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8C4F1C90-05EB-6A55-5F09-09C24B55AC0B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vagner.calado\Desktop\"/>
    </mc:Choice>
  </mc:AlternateContent>
  <xr:revisionPtr revIDLastSave="0" documentId="13_ncr:1_{73E350D0-BDDB-4FFC-A158-DADDDDAD831E}" xr6:coauthVersionLast="47" xr6:coauthVersionMax="47" xr10:uidLastSave="{00000000-0000-0000-0000-000000000000}"/>
  <bookViews>
    <workbookView xWindow="-120" yWindow="-120" windowWidth="29040" windowHeight="15720" tabRatio="854" activeTab="13" xr2:uid="{00000000-000D-0000-FFFF-FFFF00000000}"/>
  </bookViews>
  <sheets>
    <sheet name="CEVA BOVINO" sheetId="2" r:id="rId1"/>
    <sheet name="CEVA EQUINOS" sheetId="5" r:id="rId2"/>
    <sheet name="ELANCO" sheetId="9" r:id="rId3"/>
    <sheet name="JA SAUDE" sheetId="8" r:id="rId4"/>
    <sheet name="FABIANI" sheetId="7" r:id="rId5"/>
    <sheet name="MSD VALLÉE" sheetId="4" r:id="rId6"/>
    <sheet name="OURO FINO" sheetId="3" r:id="rId7"/>
    <sheet name="AGENER" sheetId="11" r:id="rId8"/>
    <sheet name="SM" sheetId="1" r:id="rId9"/>
    <sheet name="BOEHRINGER" sheetId="12" r:id="rId10"/>
    <sheet name="CALBOS" sheetId="13" r:id="rId11"/>
    <sheet name="DECHRA" sheetId="14" r:id="rId12"/>
    <sheet name="VETNIL GRANDES" sheetId="15" r:id="rId13"/>
    <sheet name="VETNIL PET" sheetId="16" r:id="rId14"/>
    <sheet name="BRAVET" sheetId="17" r:id="rId15"/>
    <sheet name="UCB" sheetId="19" r:id="rId16"/>
    <sheet name="VETOQUINOL" sheetId="20" r:id="rId17"/>
    <sheet name="FRESENIUS" sheetId="21" r:id="rId18"/>
    <sheet name="CITROMAX" sheetId="22" r:id="rId19"/>
    <sheet name="NOXON" sheetId="23" r:id="rId20"/>
    <sheet name="MICROSULLES" sheetId="24" r:id="rId21"/>
    <sheet name="GRASCON" sheetId="25" r:id="rId22"/>
    <sheet name="PEARSON" sheetId="26" r:id="rId23"/>
    <sheet name="HIPRA" sheetId="27" r:id="rId24"/>
    <sheet name="LABOVET" sheetId="28" r:id="rId25"/>
    <sheet name="CHAMPION" sheetId="29" r:id="rId26"/>
    <sheet name="LEMA" sheetId="31" r:id="rId27"/>
    <sheet name="LAPON" sheetId="32" r:id="rId28"/>
    <sheet name="PINUS" sheetId="33" r:id="rId29"/>
    <sheet name="INDUBRAS" sheetId="34" r:id="rId30"/>
    <sheet name="VANSIL" sheetId="49" r:id="rId31"/>
    <sheet name="SYNTEC GRANDES" sheetId="48" r:id="rId32"/>
    <sheet name="SYNTEC PET" sheetId="56" r:id="rId33"/>
    <sheet name="VAZIO" sheetId="38" r:id="rId34"/>
    <sheet name="BIOGENESIS" sheetId="44" r:id="rId35"/>
    <sheet name="BIOVET" sheetId="43" r:id="rId36"/>
    <sheet name="VIRBAC" sheetId="39" r:id="rId37"/>
    <sheet name="ORGANACT" sheetId="40" r:id="rId38"/>
    <sheet name="BOTUPHARMA" sheetId="41" r:id="rId39"/>
    <sheet name="PRADO" sheetId="50" r:id="rId40"/>
    <sheet name="LAVIZOO" sheetId="42" r:id="rId41"/>
    <sheet name="VILA VET" sheetId="51" r:id="rId42"/>
    <sheet name="BIMEDA" sheetId="52" r:id="rId43"/>
    <sheet name="KAPELLI" sheetId="54" r:id="rId44"/>
    <sheet name="TADABRAS" sheetId="55" r:id="rId45"/>
    <sheet name="LABORCLIN" sheetId="57" r:id="rId46"/>
  </sheets>
  <definedNames>
    <definedName name="_xlnm._FilterDatabase" localSheetId="7" hidden="1">AGENER!$B$5:$S$94</definedName>
    <definedName name="_xlnm._FilterDatabase" localSheetId="42" hidden="1">BIMEDA!$H$5:$H$9</definedName>
    <definedName name="_xlnm._FilterDatabase" localSheetId="34" hidden="1">BIOGENESIS!$H$5:$H$60</definedName>
    <definedName name="_xlnm._FilterDatabase" localSheetId="35" hidden="1">BIOVET!$H$5:$H$78</definedName>
    <definedName name="_xlnm._FilterDatabase" localSheetId="9" hidden="1">BOEHRINGER!$H$5:$H$24</definedName>
    <definedName name="_xlnm._FilterDatabase" localSheetId="38" hidden="1">BOTUPHARMA!$A$5:$M$353</definedName>
    <definedName name="_xlnm._FilterDatabase" localSheetId="14" hidden="1">BRAVET!$H$5:$H$41</definedName>
    <definedName name="_xlnm._FilterDatabase" localSheetId="10" hidden="1">CALBOS!$B$5:$I$510</definedName>
    <definedName name="_xlnm._FilterDatabase" localSheetId="0" hidden="1">'CEVA BOVINO'!$B$5:$M$69</definedName>
    <definedName name="_xlnm._FilterDatabase" localSheetId="1" hidden="1">'CEVA EQUINOS'!$H$5:$H$20</definedName>
    <definedName name="_xlnm._FilterDatabase" localSheetId="25" hidden="1">CHAMPION!$H$5:$H$23</definedName>
    <definedName name="_xlnm._FilterDatabase" localSheetId="18" hidden="1">CITROMAX!$B$5:$I$599</definedName>
    <definedName name="_xlnm._FilterDatabase" localSheetId="11" hidden="1">DECHRA!$H$5:$H$43</definedName>
    <definedName name="_xlnm._FilterDatabase" localSheetId="2" hidden="1">ELANCO!$B$5:$I$65</definedName>
    <definedName name="_xlnm._FilterDatabase" localSheetId="4" hidden="1">FABIANI!$B$5:$M$35</definedName>
    <definedName name="_xlnm._FilterDatabase" localSheetId="17" hidden="1">FRESENIUS!$H$5:$H$80</definedName>
    <definedName name="_xlnm._FilterDatabase" localSheetId="21" hidden="1">GRASCON!$H$5:$H$8</definedName>
    <definedName name="_xlnm._FilterDatabase" localSheetId="23" hidden="1">HIPRA!$H$5:$H$12</definedName>
    <definedName name="_xlnm._FilterDatabase" localSheetId="29" hidden="1">INDUBRAS!$B$5:$N$67</definedName>
    <definedName name="_xlnm._FilterDatabase" localSheetId="3" hidden="1">'JA SAUDE'!$B$5:$S$112</definedName>
    <definedName name="_xlnm._FilterDatabase" localSheetId="43" hidden="1">KAPELLI!$H$5:$H$16</definedName>
    <definedName name="_xlnm._FilterDatabase" localSheetId="45" hidden="1">LABORCLIN!$H$5:$H$6</definedName>
    <definedName name="_xlnm._FilterDatabase" localSheetId="24" hidden="1">LABOVET!$H$5:$H$26</definedName>
    <definedName name="_xlnm._FilterDatabase" localSheetId="27" hidden="1">LAPON!$H$5:$H$7</definedName>
    <definedName name="_xlnm._FilterDatabase" localSheetId="40" hidden="1">LAVIZOO!$B$5:$I$484</definedName>
    <definedName name="_xlnm._FilterDatabase" localSheetId="26" hidden="1">LEMA!$H$5:$H$58</definedName>
    <definedName name="_xlnm._FilterDatabase" localSheetId="20" hidden="1">MICROSULLES!$H$5:$H$79</definedName>
    <definedName name="_xlnm._FilterDatabase" localSheetId="5" hidden="1">'MSD VALLÉE'!$B$5:$N$528</definedName>
    <definedName name="_xlnm._FilterDatabase" localSheetId="19" hidden="1">NOXON!$H$5:$H$66</definedName>
    <definedName name="_xlnm._FilterDatabase" localSheetId="37" hidden="1">ORGANACT!$H$5:$H$71</definedName>
    <definedName name="_xlnm._FilterDatabase" localSheetId="6" hidden="1">'OURO FINO'!$H$5:$H$100</definedName>
    <definedName name="_xlnm._FilterDatabase" localSheetId="22" hidden="1">PEARSON!$H$5:$H$51</definedName>
    <definedName name="_xlnm._FilterDatabase" localSheetId="28" hidden="1">PINUS!$H$5:$H$16</definedName>
    <definedName name="_xlnm._FilterDatabase" localSheetId="39" hidden="1">PRADO!$H$5:$H$17</definedName>
    <definedName name="_xlnm._FilterDatabase" localSheetId="8" hidden="1">SM!$H$5:$H$80</definedName>
    <definedName name="_xlnm._FilterDatabase" localSheetId="31" hidden="1">'SYNTEC GRANDES'!$H$5:$H$63</definedName>
    <definedName name="_xlnm._FilterDatabase" localSheetId="32" hidden="1">'SYNTEC PET'!$H$5:$H$60</definedName>
    <definedName name="_xlnm._FilterDatabase" localSheetId="44" hidden="1">TADABRAS!$H$5:$H$6</definedName>
    <definedName name="_xlnm._FilterDatabase" localSheetId="15" hidden="1">UCB!$H$5:$H$63</definedName>
    <definedName name="_xlnm._FilterDatabase" localSheetId="30" hidden="1">VANSIL!$H$5:$H$100</definedName>
    <definedName name="_xlnm._FilterDatabase" localSheetId="33" hidden="1">VAZIO!$H$5:$H$54</definedName>
    <definedName name="_xlnm._FilterDatabase" localSheetId="12" hidden="1">'VETNIL GRANDES'!$B$5:$M$75</definedName>
    <definedName name="_xlnm._FilterDatabase" localSheetId="13" hidden="1">'VETNIL PET'!$B$5:$M$130</definedName>
    <definedName name="_xlnm._FilterDatabase" localSheetId="16" hidden="1">VETOQUINOL!$H$5:$H$484</definedName>
    <definedName name="_xlnm._FilterDatabase" localSheetId="41" hidden="1">'VILA VET'!$H$5:$H$97</definedName>
    <definedName name="_xlnm._FilterDatabase" localSheetId="36" hidden="1">VIRBAC!$H$5:$H$20</definedName>
    <definedName name="_xlnm.Print_Area" localSheetId="7">AGENER!$B$2:$I$94</definedName>
    <definedName name="_xlnm.Print_Area" localSheetId="42">BIMEDA!$B$2:$I$9</definedName>
    <definedName name="_xlnm.Print_Area" localSheetId="9">BOEHRINGER!$B$2:$K$24</definedName>
    <definedName name="_xlnm.Print_Area" localSheetId="38">BOTUPHARMA!$A$1:$K$87</definedName>
    <definedName name="_xlnm.Print_Area" localSheetId="0">'CEVA BOVINO'!$B$2:$K$61</definedName>
    <definedName name="_xlnm.Print_Area" localSheetId="1">'CEVA EQUINOS'!$B$2:$K$20</definedName>
    <definedName name="_xlnm.Print_Area" localSheetId="25">CHAMPION!$A$1:$I$23</definedName>
    <definedName name="_xlnm.Print_Area" localSheetId="18">CITROMAX!$B$2:$I$252</definedName>
    <definedName name="_xlnm.Print_Area" localSheetId="11">DECHRA!$B$2:$I$43</definedName>
    <definedName name="_xlnm.Print_Area" localSheetId="2">ELANCO!$B$2:$K$67</definedName>
    <definedName name="_xlnm.Print_Area" localSheetId="4">FABIANI!$B$2:$K$35</definedName>
    <definedName name="_xlnm.Print_Area" localSheetId="23">HIPRA!$B$2:$I$12</definedName>
    <definedName name="_xlnm.Print_Area" localSheetId="29">INDUBRAS!$B$2:$I$66</definedName>
    <definedName name="_xlnm.Print_Area" localSheetId="3">'JA SAUDE'!$B$2:$K$107</definedName>
    <definedName name="_xlnm.Print_Area" localSheetId="43">KAPELLI!$B$2:$I$16</definedName>
    <definedName name="_xlnm.Print_Area" localSheetId="45">LABORCLIN!$B$2:$I$6</definedName>
    <definedName name="_xlnm.Print_Area" localSheetId="24">LABOVET!$B$2:$K$26</definedName>
    <definedName name="_xlnm.Print_Area" localSheetId="40">LAVIZOO!$B$2:$I$88</definedName>
    <definedName name="_xlnm.Print_Area" localSheetId="5">'MSD VALLÉE'!$B$2:$K$112</definedName>
    <definedName name="_xlnm.Print_Area" localSheetId="19">NOXON!$B$2:$I$65</definedName>
    <definedName name="_xlnm.Print_Area" localSheetId="37">ORGANACT!$B$2:$I$67</definedName>
    <definedName name="_xlnm.Print_Area" localSheetId="6">'OURO FINO'!$B$2:$K$100</definedName>
    <definedName name="_xlnm.Print_Area" localSheetId="22">PEARSON!$B$2:$K$51</definedName>
    <definedName name="_xlnm.Print_Area" localSheetId="39">PRADO!$A$1:$I$17</definedName>
    <definedName name="_xlnm.Print_Area" localSheetId="8">SM!$B$4:$J$79</definedName>
    <definedName name="_xlnm.Print_Area" localSheetId="31">'SYNTEC GRANDES'!$B$2:$I$62</definedName>
    <definedName name="_xlnm.Print_Area" localSheetId="32">'SYNTEC PET'!$B$2:$I$59</definedName>
    <definedName name="_xlnm.Print_Area" localSheetId="44">TADABRAS!$B$2:$I$6</definedName>
    <definedName name="_xlnm.Print_Area" localSheetId="15">UCB!$A$1:$K$61</definedName>
    <definedName name="_xlnm.Print_Area" localSheetId="30">VANSIL!$A$1:$I$86</definedName>
    <definedName name="_xlnm.Print_Area" localSheetId="12">'VETNIL GRANDES'!$B$2:$I$74</definedName>
    <definedName name="_xlnm.Print_Area" localSheetId="13">'VETNIL PET'!$B$2:$I$129</definedName>
    <definedName name="_xlnm.Print_Area" localSheetId="41">'VILA VET'!$B$2:$I$88</definedName>
  </definedNames>
  <calcPr calcId="181029"/>
</workbook>
</file>

<file path=xl/calcChain.xml><?xml version="1.0" encoding="utf-8"?>
<calcChain xmlns="http://schemas.openxmlformats.org/spreadsheetml/2006/main">
  <c r="C7" i="32" l="1"/>
  <c r="D7" i="32"/>
  <c r="E7" i="32"/>
  <c r="F7" i="32"/>
  <c r="G7" i="32"/>
  <c r="G113" i="8"/>
  <c r="G112" i="8"/>
  <c r="C79" i="1"/>
  <c r="D79" i="1"/>
  <c r="E79" i="1"/>
  <c r="F79" i="1"/>
  <c r="G79" i="1"/>
  <c r="I34" i="1"/>
  <c r="C252" i="22"/>
  <c r="D252" i="22"/>
  <c r="E252" i="22"/>
  <c r="F252" i="22"/>
  <c r="G252" i="22"/>
  <c r="C23" i="12"/>
  <c r="D23" i="12"/>
  <c r="E23" i="12"/>
  <c r="F23" i="12"/>
  <c r="G23" i="12"/>
  <c r="I15" i="12"/>
  <c r="C65" i="23" l="1"/>
  <c r="E65" i="23"/>
  <c r="F65" i="23"/>
  <c r="G65" i="23"/>
  <c r="I14" i="23"/>
  <c r="I13" i="23"/>
  <c r="N13" i="41" l="1"/>
  <c r="O13" i="41"/>
  <c r="P13" i="41"/>
  <c r="Q13" i="41"/>
  <c r="R13" i="41"/>
  <c r="N14" i="41"/>
  <c r="O14" i="41"/>
  <c r="P14" i="41"/>
  <c r="Q14" i="41"/>
  <c r="S14" i="41" s="1"/>
  <c r="R14" i="41"/>
  <c r="N17" i="41"/>
  <c r="O17" i="41"/>
  <c r="P17" i="41"/>
  <c r="Q17" i="41"/>
  <c r="R17" i="41"/>
  <c r="N18" i="41"/>
  <c r="O18" i="41"/>
  <c r="P18" i="41"/>
  <c r="Q18" i="41"/>
  <c r="R18" i="41"/>
  <c r="N24" i="41"/>
  <c r="S24" i="41" s="1"/>
  <c r="O24" i="41"/>
  <c r="P24" i="41"/>
  <c r="Q24" i="41"/>
  <c r="R24" i="41"/>
  <c r="N35" i="41"/>
  <c r="O35" i="41"/>
  <c r="P35" i="41"/>
  <c r="Q35" i="41"/>
  <c r="R35" i="41"/>
  <c r="N44" i="41"/>
  <c r="O44" i="41"/>
  <c r="P44" i="41"/>
  <c r="Q44" i="41"/>
  <c r="R44" i="41"/>
  <c r="N63" i="41"/>
  <c r="O63" i="41"/>
  <c r="P63" i="41"/>
  <c r="Q63" i="41"/>
  <c r="R63" i="41"/>
  <c r="N64" i="41"/>
  <c r="O64" i="41"/>
  <c r="P64" i="41"/>
  <c r="Q64" i="41"/>
  <c r="S64" i="41" s="1"/>
  <c r="R64" i="41"/>
  <c r="N67" i="41"/>
  <c r="O67" i="41"/>
  <c r="P67" i="41"/>
  <c r="Q67" i="41"/>
  <c r="R67" i="41"/>
  <c r="N75" i="41"/>
  <c r="O75" i="41"/>
  <c r="P75" i="41"/>
  <c r="Q75" i="41"/>
  <c r="R75" i="41"/>
  <c r="N76" i="41"/>
  <c r="O76" i="41"/>
  <c r="P76" i="41"/>
  <c r="Q76" i="41"/>
  <c r="R76" i="41"/>
  <c r="N82" i="41"/>
  <c r="O82" i="41"/>
  <c r="P82" i="41"/>
  <c r="Q82" i="41"/>
  <c r="R82" i="41"/>
  <c r="N85" i="41"/>
  <c r="O85" i="41"/>
  <c r="P85" i="41"/>
  <c r="Q85" i="41"/>
  <c r="R85" i="41"/>
  <c r="N88" i="41"/>
  <c r="O88" i="41"/>
  <c r="P88" i="41"/>
  <c r="Q88" i="41"/>
  <c r="R88" i="41"/>
  <c r="N91" i="41"/>
  <c r="O91" i="41"/>
  <c r="P91" i="41"/>
  <c r="Q91" i="41"/>
  <c r="R91" i="41"/>
  <c r="N94" i="41"/>
  <c r="O94" i="41"/>
  <c r="P94" i="41"/>
  <c r="Q94" i="41"/>
  <c r="R94" i="41"/>
  <c r="N95" i="41"/>
  <c r="O95" i="41"/>
  <c r="P95" i="41"/>
  <c r="Q95" i="41"/>
  <c r="R95" i="41"/>
  <c r="N96" i="41"/>
  <c r="O96" i="41"/>
  <c r="P96" i="41"/>
  <c r="Q96" i="41"/>
  <c r="R96" i="41"/>
  <c r="N97" i="41"/>
  <c r="O97" i="41"/>
  <c r="P97" i="41"/>
  <c r="Q97" i="41"/>
  <c r="R97" i="41"/>
  <c r="N98" i="41"/>
  <c r="O98" i="41"/>
  <c r="P98" i="41"/>
  <c r="Q98" i="41"/>
  <c r="R98" i="41"/>
  <c r="N99" i="41"/>
  <c r="O99" i="41"/>
  <c r="P99" i="41"/>
  <c r="Q99" i="41"/>
  <c r="R99" i="41"/>
  <c r="N100" i="41"/>
  <c r="O100" i="41"/>
  <c r="P100" i="41"/>
  <c r="Q100" i="41"/>
  <c r="R100" i="41"/>
  <c r="N101" i="41"/>
  <c r="O101" i="41"/>
  <c r="P101" i="41"/>
  <c r="Q101" i="41"/>
  <c r="R101" i="41"/>
  <c r="N102" i="41"/>
  <c r="O102" i="41"/>
  <c r="P102" i="41"/>
  <c r="Q102" i="41"/>
  <c r="R102" i="41"/>
  <c r="N103" i="41"/>
  <c r="O103" i="41"/>
  <c r="P103" i="41"/>
  <c r="Q103" i="41"/>
  <c r="R103" i="41"/>
  <c r="N104" i="41"/>
  <c r="O104" i="41"/>
  <c r="P104" i="41"/>
  <c r="Q104" i="41"/>
  <c r="R104" i="41"/>
  <c r="H64" i="41"/>
  <c r="H76" i="41"/>
  <c r="H75" i="41"/>
  <c r="H97" i="41"/>
  <c r="H99" i="41"/>
  <c r="H91" i="41"/>
  <c r="H88" i="41"/>
  <c r="H85" i="41"/>
  <c r="H82" i="41"/>
  <c r="H67" i="41"/>
  <c r="U100" i="3"/>
  <c r="U99" i="3"/>
  <c r="U96" i="3"/>
  <c r="U95" i="3"/>
  <c r="U89" i="3"/>
  <c r="U88" i="3"/>
  <c r="U87" i="3"/>
  <c r="U86" i="3"/>
  <c r="U85" i="3"/>
  <c r="U84" i="3"/>
  <c r="U83" i="3"/>
  <c r="U82" i="3"/>
  <c r="U72" i="3"/>
  <c r="U68" i="3"/>
  <c r="U66" i="3"/>
  <c r="U64" i="3"/>
  <c r="U61" i="3"/>
  <c r="U58" i="3"/>
  <c r="U57" i="3"/>
  <c r="U53" i="3"/>
  <c r="U44" i="3"/>
  <c r="U43" i="3"/>
  <c r="U42" i="3"/>
  <c r="U40" i="3"/>
  <c r="U37" i="3"/>
  <c r="U34" i="3"/>
  <c r="U32" i="3"/>
  <c r="U25" i="3"/>
  <c r="U23" i="3"/>
  <c r="U22" i="3"/>
  <c r="U21" i="3"/>
  <c r="U19" i="3"/>
  <c r="U18" i="3"/>
  <c r="U15" i="3"/>
  <c r="U10" i="3"/>
  <c r="U9" i="3"/>
  <c r="U6" i="3"/>
  <c r="I50" i="34"/>
  <c r="C129" i="16"/>
  <c r="D129" i="16"/>
  <c r="E129" i="16"/>
  <c r="F129" i="16"/>
  <c r="G129" i="16"/>
  <c r="S88" i="41" l="1"/>
  <c r="S63" i="41"/>
  <c r="S18" i="41"/>
  <c r="S44" i="41"/>
  <c r="S17" i="41"/>
  <c r="S82" i="41"/>
  <c r="S96" i="41"/>
  <c r="S91" i="41"/>
  <c r="S75" i="41"/>
  <c r="S67" i="41"/>
  <c r="S100" i="41"/>
  <c r="S95" i="41"/>
  <c r="S102" i="41"/>
  <c r="S98" i="41"/>
  <c r="S104" i="41"/>
  <c r="S97" i="41"/>
  <c r="S76" i="41"/>
  <c r="S99" i="41"/>
  <c r="S35" i="41"/>
  <c r="S85" i="41"/>
  <c r="S13" i="41"/>
  <c r="S94" i="41"/>
  <c r="S101" i="41"/>
  <c r="S103" i="41"/>
  <c r="V111" i="4" l="1"/>
  <c r="V109" i="4"/>
  <c r="V108" i="4"/>
  <c r="V107" i="4"/>
  <c r="V106" i="4"/>
  <c r="V102" i="4"/>
  <c r="V101" i="4"/>
  <c r="V94" i="4"/>
  <c r="V82" i="4"/>
  <c r="V77" i="4"/>
  <c r="V70" i="4"/>
  <c r="V69" i="4"/>
  <c r="V64" i="4"/>
  <c r="V63" i="4"/>
  <c r="V62" i="4"/>
  <c r="V61" i="4"/>
  <c r="V60" i="4"/>
  <c r="V58" i="4"/>
  <c r="V57" i="4"/>
  <c r="V56" i="4"/>
  <c r="V52" i="4"/>
  <c r="V42" i="4"/>
  <c r="V41" i="4"/>
  <c r="V38" i="4"/>
  <c r="V34" i="4"/>
  <c r="V31" i="4"/>
  <c r="V30" i="4"/>
  <c r="V29" i="4"/>
  <c r="V28" i="4"/>
  <c r="V26" i="4"/>
  <c r="V23" i="4"/>
  <c r="V22" i="4"/>
  <c r="V19" i="4"/>
  <c r="V18" i="4"/>
  <c r="V17" i="4"/>
  <c r="V11" i="4"/>
  <c r="V10" i="4"/>
  <c r="C34" i="7"/>
  <c r="D34" i="7"/>
  <c r="E34" i="7"/>
  <c r="F34" i="7"/>
  <c r="C111" i="8"/>
  <c r="D111" i="8"/>
  <c r="E111" i="8"/>
  <c r="F111" i="8"/>
  <c r="C19" i="5" l="1"/>
  <c r="D19" i="5"/>
  <c r="E19" i="5"/>
  <c r="F19" i="5"/>
  <c r="G19" i="5"/>
  <c r="G100" i="42" l="1"/>
  <c r="G101" i="42"/>
  <c r="I21" i="26" l="1"/>
  <c r="C62" i="2"/>
  <c r="D62" i="2"/>
  <c r="F62" i="2"/>
  <c r="C64" i="2" l="1"/>
  <c r="D64" i="2"/>
  <c r="E64" i="2"/>
  <c r="F64" i="2"/>
  <c r="G64" i="2"/>
  <c r="H65" i="2"/>
  <c r="H64" i="2" s="1"/>
  <c r="I40" i="2" l="1"/>
  <c r="H86" i="41"/>
  <c r="H87" i="41"/>
  <c r="H103" i="41"/>
  <c r="H89" i="41"/>
  <c r="H90" i="41"/>
  <c r="H104" i="41"/>
  <c r="H92" i="41"/>
  <c r="H93" i="41"/>
  <c r="H63" i="41"/>
  <c r="Q21" i="40"/>
  <c r="R21" i="40"/>
  <c r="N22" i="40"/>
  <c r="O22" i="40"/>
  <c r="P22" i="40"/>
  <c r="O23" i="40"/>
  <c r="Q23" i="40"/>
  <c r="R23" i="40"/>
  <c r="N24" i="40"/>
  <c r="O24" i="40"/>
  <c r="P24" i="40"/>
  <c r="Q24" i="40"/>
  <c r="R24" i="40"/>
  <c r="N25" i="40"/>
  <c r="O25" i="40"/>
  <c r="P25" i="40"/>
  <c r="H21" i="40"/>
  <c r="I21" i="40"/>
  <c r="H22" i="40"/>
  <c r="I22" i="40"/>
  <c r="R22" i="40" s="1"/>
  <c r="H23" i="40"/>
  <c r="I23" i="40"/>
  <c r="P23" i="40" s="1"/>
  <c r="H24" i="40"/>
  <c r="I24" i="40"/>
  <c r="H25" i="40"/>
  <c r="I25" i="40"/>
  <c r="Q25" i="40" s="1"/>
  <c r="O21" i="40" l="1"/>
  <c r="N21" i="40"/>
  <c r="P21" i="40"/>
  <c r="Q22" i="40"/>
  <c r="S22" i="40" s="1"/>
  <c r="S24" i="40"/>
  <c r="R25" i="40"/>
  <c r="S25" i="40" s="1"/>
  <c r="N23" i="40"/>
  <c r="S23" i="40" s="1"/>
  <c r="I41" i="34"/>
  <c r="O41" i="34" s="1"/>
  <c r="I37" i="34"/>
  <c r="Q37" i="34" s="1"/>
  <c r="H35" i="34"/>
  <c r="I35" i="34"/>
  <c r="H36" i="34"/>
  <c r="I36" i="34"/>
  <c r="R36" i="34" s="1"/>
  <c r="H37" i="34"/>
  <c r="H38" i="34"/>
  <c r="I38" i="34"/>
  <c r="O38" i="34" s="1"/>
  <c r="H39" i="34"/>
  <c r="I39" i="34"/>
  <c r="R39" i="34" s="1"/>
  <c r="H40" i="34"/>
  <c r="I40" i="34"/>
  <c r="P40" i="34" s="1"/>
  <c r="H41" i="34"/>
  <c r="H42" i="34"/>
  <c r="I42" i="34"/>
  <c r="R42" i="34" s="1"/>
  <c r="P78" i="16"/>
  <c r="H78" i="16"/>
  <c r="I78" i="16"/>
  <c r="Q78" i="16" s="1"/>
  <c r="H79" i="16"/>
  <c r="I79" i="16"/>
  <c r="O79" i="16" s="1"/>
  <c r="H80" i="16"/>
  <c r="I80" i="16"/>
  <c r="H81" i="16"/>
  <c r="I81" i="16"/>
  <c r="N81" i="16" s="1"/>
  <c r="H82" i="16"/>
  <c r="I82" i="16"/>
  <c r="Q82" i="16" s="1"/>
  <c r="H83" i="16"/>
  <c r="I83" i="16"/>
  <c r="N83" i="16" s="1"/>
  <c r="H84" i="16"/>
  <c r="I84" i="16"/>
  <c r="H85" i="16"/>
  <c r="I85" i="16"/>
  <c r="N85" i="16" s="1"/>
  <c r="H86" i="16"/>
  <c r="I86" i="16"/>
  <c r="O86" i="16" s="1"/>
  <c r="H87" i="16"/>
  <c r="I87" i="16"/>
  <c r="O87" i="16" s="1"/>
  <c r="H88" i="16"/>
  <c r="I88" i="16"/>
  <c r="R88" i="16" s="1"/>
  <c r="I89" i="11"/>
  <c r="R89" i="11" s="1"/>
  <c r="G92" i="11" s="1"/>
  <c r="N89" i="11"/>
  <c r="C92" i="11" s="1"/>
  <c r="H88" i="11"/>
  <c r="H89" i="11"/>
  <c r="I88" i="11"/>
  <c r="N88" i="11" s="1"/>
  <c r="C91" i="11" s="1"/>
  <c r="H181" i="13"/>
  <c r="I181" i="13"/>
  <c r="N181" i="13" s="1"/>
  <c r="H182" i="13"/>
  <c r="I182" i="13"/>
  <c r="O182" i="13" s="1"/>
  <c r="H183" i="13"/>
  <c r="I183" i="13"/>
  <c r="Q183" i="13" s="1"/>
  <c r="H184" i="13"/>
  <c r="P184" i="13"/>
  <c r="H185" i="13"/>
  <c r="R185" i="13"/>
  <c r="H186" i="13"/>
  <c r="I186" i="13"/>
  <c r="H187" i="13"/>
  <c r="I187" i="13"/>
  <c r="P187" i="13" s="1"/>
  <c r="H188" i="13"/>
  <c r="I188" i="13"/>
  <c r="R188" i="13" s="1"/>
  <c r="H189" i="13"/>
  <c r="I189" i="13"/>
  <c r="P189" i="13" s="1"/>
  <c r="H190" i="13"/>
  <c r="I190" i="13"/>
  <c r="O190" i="13" s="1"/>
  <c r="H191" i="13"/>
  <c r="I191" i="13"/>
  <c r="O191" i="13" s="1"/>
  <c r="H192" i="13"/>
  <c r="I192" i="13"/>
  <c r="N192" i="13" s="1"/>
  <c r="H193" i="13"/>
  <c r="I193" i="13"/>
  <c r="Q193" i="13" s="1"/>
  <c r="H194" i="13"/>
  <c r="I194" i="13"/>
  <c r="O194" i="13" s="1"/>
  <c r="H195" i="13"/>
  <c r="I195" i="13"/>
  <c r="O195" i="13" s="1"/>
  <c r="H196" i="13"/>
  <c r="Q196" i="13"/>
  <c r="H197" i="13"/>
  <c r="I197" i="13"/>
  <c r="P197" i="13" s="1"/>
  <c r="H198" i="13"/>
  <c r="I198" i="13"/>
  <c r="H199" i="13"/>
  <c r="I199" i="13"/>
  <c r="N199" i="13" s="1"/>
  <c r="H200" i="13"/>
  <c r="I200" i="13"/>
  <c r="P200" i="13" s="1"/>
  <c r="H201" i="13"/>
  <c r="I201" i="13"/>
  <c r="R201" i="13" s="1"/>
  <c r="H202" i="13"/>
  <c r="I202" i="13"/>
  <c r="P202" i="13" s="1"/>
  <c r="H203" i="13"/>
  <c r="I203" i="13"/>
  <c r="N203" i="13" s="1"/>
  <c r="H204" i="13"/>
  <c r="I204" i="13"/>
  <c r="H205" i="13"/>
  <c r="I205" i="13"/>
  <c r="P205" i="13" s="1"/>
  <c r="H206" i="13"/>
  <c r="I206" i="13"/>
  <c r="O206" i="13" s="1"/>
  <c r="H207" i="13"/>
  <c r="I207" i="13"/>
  <c r="O207" i="13" s="1"/>
  <c r="H208" i="13"/>
  <c r="I208" i="13"/>
  <c r="N208" i="13" s="1"/>
  <c r="H209" i="13"/>
  <c r="I209" i="13"/>
  <c r="P209" i="13" s="1"/>
  <c r="H210" i="13"/>
  <c r="I210" i="13"/>
  <c r="R210" i="13" s="1"/>
  <c r="H211" i="13"/>
  <c r="I211" i="13"/>
  <c r="N211" i="13" s="1"/>
  <c r="H212" i="13"/>
  <c r="I212" i="13"/>
  <c r="R212" i="13" s="1"/>
  <c r="H213" i="13"/>
  <c r="I213" i="13"/>
  <c r="P213" i="13" s="1"/>
  <c r="H214" i="13"/>
  <c r="I214" i="13"/>
  <c r="R214" i="13" s="1"/>
  <c r="H215" i="13"/>
  <c r="I215" i="13"/>
  <c r="O215" i="13" s="1"/>
  <c r="H216" i="13"/>
  <c r="I216" i="13"/>
  <c r="H217" i="13"/>
  <c r="I217" i="13"/>
  <c r="O217" i="13" s="1"/>
  <c r="H218" i="13"/>
  <c r="I218" i="13"/>
  <c r="N218" i="13" s="1"/>
  <c r="H219" i="13"/>
  <c r="I219" i="13"/>
  <c r="O219" i="13" s="1"/>
  <c r="H220" i="13"/>
  <c r="I220" i="13"/>
  <c r="O220" i="13" s="1"/>
  <c r="H221" i="13"/>
  <c r="I221" i="13"/>
  <c r="Q221" i="13" s="1"/>
  <c r="H222" i="13"/>
  <c r="I222" i="13"/>
  <c r="R222" i="13" s="1"/>
  <c r="H223" i="13"/>
  <c r="I223" i="13"/>
  <c r="Q223" i="13" s="1"/>
  <c r="H224" i="13"/>
  <c r="P224" i="13"/>
  <c r="H225" i="13"/>
  <c r="R225" i="13"/>
  <c r="H226" i="13"/>
  <c r="I226" i="13"/>
  <c r="Q226" i="13" s="1"/>
  <c r="H227" i="13"/>
  <c r="H228" i="13"/>
  <c r="I228" i="13"/>
  <c r="H229" i="13"/>
  <c r="I229" i="13"/>
  <c r="R229" i="13" s="1"/>
  <c r="H230" i="13"/>
  <c r="I230" i="13"/>
  <c r="P230" i="13" s="1"/>
  <c r="H231" i="13"/>
  <c r="I231" i="13"/>
  <c r="N231" i="13" s="1"/>
  <c r="H232" i="13"/>
  <c r="I232" i="13"/>
  <c r="N232" i="13" s="1"/>
  <c r="H233" i="13"/>
  <c r="I233" i="13"/>
  <c r="N233" i="13" s="1"/>
  <c r="H234" i="13"/>
  <c r="I234" i="13"/>
  <c r="Q234" i="13" s="1"/>
  <c r="H235" i="13"/>
  <c r="I235" i="13"/>
  <c r="R235" i="13" s="1"/>
  <c r="H236" i="13"/>
  <c r="I236" i="13"/>
  <c r="O236" i="13" s="1"/>
  <c r="Q208" i="13" l="1"/>
  <c r="R194" i="13"/>
  <c r="Q194" i="13"/>
  <c r="R236" i="13"/>
  <c r="P194" i="13"/>
  <c r="R230" i="13"/>
  <c r="Q230" i="13"/>
  <c r="N187" i="13"/>
  <c r="Q229" i="13"/>
  <c r="P182" i="13"/>
  <c r="Q181" i="13"/>
  <c r="P223" i="13"/>
  <c r="N229" i="13"/>
  <c r="R213" i="13"/>
  <c r="Q89" i="11"/>
  <c r="F92" i="11" s="1"/>
  <c r="P89" i="11"/>
  <c r="E92" i="11" s="1"/>
  <c r="Q88" i="11"/>
  <c r="F91" i="11" s="1"/>
  <c r="O89" i="11"/>
  <c r="D92" i="11" s="1"/>
  <c r="Q88" i="16"/>
  <c r="P88" i="16"/>
  <c r="Q83" i="16"/>
  <c r="N87" i="16"/>
  <c r="P81" i="16"/>
  <c r="O81" i="16"/>
  <c r="P83" i="16"/>
  <c r="O83" i="16"/>
  <c r="O88" i="16"/>
  <c r="R86" i="16"/>
  <c r="R85" i="16"/>
  <c r="Q85" i="16"/>
  <c r="Q79" i="16"/>
  <c r="P82" i="16"/>
  <c r="N88" i="16"/>
  <c r="O82" i="16"/>
  <c r="N82" i="16"/>
  <c r="R79" i="16"/>
  <c r="R83" i="16"/>
  <c r="N79" i="16"/>
  <c r="R219" i="13"/>
  <c r="N207" i="13"/>
  <c r="R199" i="13"/>
  <c r="N189" i="13"/>
  <c r="Q201" i="13"/>
  <c r="R200" i="13"/>
  <c r="N194" i="13"/>
  <c r="R207" i="13"/>
  <c r="Q207" i="13"/>
  <c r="Q189" i="13"/>
  <c r="S189" i="13" s="1"/>
  <c r="N223" i="13"/>
  <c r="N200" i="13"/>
  <c r="Q236" i="13"/>
  <c r="R206" i="13"/>
  <c r="Q188" i="13"/>
  <c r="P188" i="13"/>
  <c r="N236" i="13"/>
  <c r="P215" i="13"/>
  <c r="O205" i="13"/>
  <c r="P195" i="13"/>
  <c r="Q187" i="13"/>
  <c r="Q213" i="13"/>
  <c r="O183" i="13"/>
  <c r="P201" i="13"/>
  <c r="N182" i="13"/>
  <c r="Q200" i="13"/>
  <c r="O223" i="13"/>
  <c r="O200" i="13"/>
  <c r="P181" i="13"/>
  <c r="P207" i="13"/>
  <c r="O189" i="13"/>
  <c r="R218" i="13"/>
  <c r="P199" i="13"/>
  <c r="P236" i="13"/>
  <c r="R205" i="13"/>
  <c r="N205" i="13"/>
  <c r="N195" i="13"/>
  <c r="R183" i="13"/>
  <c r="R226" i="13"/>
  <c r="R220" i="13"/>
  <c r="P234" i="13"/>
  <c r="P226" i="13"/>
  <c r="N226" i="13"/>
  <c r="O213" i="13"/>
  <c r="O232" i="13"/>
  <c r="Q225" i="13"/>
  <c r="N213" i="13"/>
  <c r="R231" i="13"/>
  <c r="O225" i="13"/>
  <c r="Q218" i="13"/>
  <c r="Q212" i="13"/>
  <c r="R191" i="13"/>
  <c r="Q231" i="13"/>
  <c r="N225" i="13"/>
  <c r="P218" i="13"/>
  <c r="O212" i="13"/>
  <c r="N184" i="13"/>
  <c r="P231" i="13"/>
  <c r="O224" i="13"/>
  <c r="O218" i="13"/>
  <c r="N212" i="13"/>
  <c r="O203" i="13"/>
  <c r="O197" i="13"/>
  <c r="O231" i="13"/>
  <c r="N224" i="13"/>
  <c r="N197" i="13"/>
  <c r="R189" i="13"/>
  <c r="P183" i="13"/>
  <c r="R234" i="13"/>
  <c r="N234" i="13"/>
  <c r="O234" i="13"/>
  <c r="R228" i="13"/>
  <c r="N228" i="13"/>
  <c r="O228" i="13"/>
  <c r="P228" i="13"/>
  <c r="Q228" i="13"/>
  <c r="O222" i="13"/>
  <c r="N222" i="13"/>
  <c r="P222" i="13"/>
  <c r="Q222" i="13"/>
  <c r="Q216" i="13"/>
  <c r="R216" i="13"/>
  <c r="P216" i="13"/>
  <c r="N216" i="13"/>
  <c r="O216" i="13"/>
  <c r="Q210" i="13"/>
  <c r="N210" i="13"/>
  <c r="O210" i="13"/>
  <c r="P210" i="13"/>
  <c r="R204" i="13"/>
  <c r="N204" i="13"/>
  <c r="Q204" i="13"/>
  <c r="O204" i="13"/>
  <c r="P204" i="13"/>
  <c r="O198" i="13"/>
  <c r="P198" i="13"/>
  <c r="Q198" i="13"/>
  <c r="R198" i="13"/>
  <c r="N198" i="13"/>
  <c r="O192" i="13"/>
  <c r="P192" i="13"/>
  <c r="Q192" i="13"/>
  <c r="R192" i="13"/>
  <c r="Q186" i="13"/>
  <c r="O186" i="13"/>
  <c r="N186" i="13"/>
  <c r="P186" i="13"/>
  <c r="R186" i="13"/>
  <c r="O233" i="13"/>
  <c r="Q233" i="13"/>
  <c r="N227" i="13"/>
  <c r="O227" i="13"/>
  <c r="P227" i="13"/>
  <c r="P221" i="13"/>
  <c r="R221" i="13"/>
  <c r="Q215" i="13"/>
  <c r="N215" i="13"/>
  <c r="N209" i="13"/>
  <c r="R209" i="13"/>
  <c r="O209" i="13"/>
  <c r="P203" i="13"/>
  <c r="Q203" i="13"/>
  <c r="R203" i="13"/>
  <c r="Q191" i="13"/>
  <c r="P191" i="13"/>
  <c r="N185" i="13"/>
  <c r="O185" i="13"/>
  <c r="P185" i="13"/>
  <c r="Q185" i="13"/>
  <c r="Q220" i="13"/>
  <c r="O208" i="13"/>
  <c r="R184" i="13"/>
  <c r="O181" i="13"/>
  <c r="R227" i="13"/>
  <c r="R223" i="13"/>
  <c r="Q184" i="13"/>
  <c r="Q232" i="13"/>
  <c r="P232" i="13"/>
  <c r="R232" i="13"/>
  <c r="N220" i="13"/>
  <c r="P220" i="13"/>
  <c r="N214" i="13"/>
  <c r="O214" i="13"/>
  <c r="P214" i="13"/>
  <c r="P208" i="13"/>
  <c r="R208" i="13"/>
  <c r="Q202" i="13"/>
  <c r="N202" i="13"/>
  <c r="N196" i="13"/>
  <c r="R196" i="13"/>
  <c r="O196" i="13"/>
  <c r="P190" i="13"/>
  <c r="Q190" i="13"/>
  <c r="R190" i="13"/>
  <c r="Q227" i="13"/>
  <c r="R215" i="13"/>
  <c r="P196" i="13"/>
  <c r="O184" i="13"/>
  <c r="P86" i="16"/>
  <c r="Q86" i="16"/>
  <c r="N86" i="16"/>
  <c r="O80" i="16"/>
  <c r="P80" i="16"/>
  <c r="Q80" i="16"/>
  <c r="R80" i="16"/>
  <c r="N80" i="16"/>
  <c r="O226" i="13"/>
  <c r="Q214" i="13"/>
  <c r="R202" i="13"/>
  <c r="N191" i="13"/>
  <c r="S89" i="11"/>
  <c r="H92" i="11" s="1"/>
  <c r="N84" i="16"/>
  <c r="O84" i="16"/>
  <c r="Q84" i="16"/>
  <c r="R84" i="16"/>
  <c r="P84" i="16"/>
  <c r="N78" i="16"/>
  <c r="O78" i="16"/>
  <c r="P235" i="13"/>
  <c r="N235" i="13"/>
  <c r="O235" i="13"/>
  <c r="Q235" i="13"/>
  <c r="R217" i="13"/>
  <c r="N217" i="13"/>
  <c r="Q217" i="13"/>
  <c r="O211" i="13"/>
  <c r="P211" i="13"/>
  <c r="Q211" i="13"/>
  <c r="R211" i="13"/>
  <c r="Q199" i="13"/>
  <c r="O199" i="13"/>
  <c r="R193" i="13"/>
  <c r="N193" i="13"/>
  <c r="O193" i="13"/>
  <c r="P193" i="13"/>
  <c r="O187" i="13"/>
  <c r="R187" i="13"/>
  <c r="R233" i="13"/>
  <c r="P229" i="13"/>
  <c r="O221" i="13"/>
  <c r="Q205" i="13"/>
  <c r="O202" i="13"/>
  <c r="R197" i="13"/>
  <c r="N190" i="13"/>
  <c r="P233" i="13"/>
  <c r="O229" i="13"/>
  <c r="N221" i="13"/>
  <c r="P217" i="13"/>
  <c r="Q209" i="13"/>
  <c r="Q197" i="13"/>
  <c r="R181" i="13"/>
  <c r="R78" i="16"/>
  <c r="O230" i="13"/>
  <c r="Q219" i="13"/>
  <c r="Q206" i="13"/>
  <c r="O201" i="13"/>
  <c r="O188" i="13"/>
  <c r="N183" i="13"/>
  <c r="N230" i="13"/>
  <c r="R224" i="13"/>
  <c r="P219" i="13"/>
  <c r="P206" i="13"/>
  <c r="N201" i="13"/>
  <c r="R195" i="13"/>
  <c r="N188" i="13"/>
  <c r="R182" i="13"/>
  <c r="S83" i="16"/>
  <c r="Q224" i="13"/>
  <c r="N219" i="13"/>
  <c r="N206" i="13"/>
  <c r="Q195" i="13"/>
  <c r="Q182" i="13"/>
  <c r="S21" i="40"/>
  <c r="P225" i="13"/>
  <c r="P212" i="13"/>
  <c r="P87" i="16"/>
  <c r="Q87" i="16"/>
  <c r="R87" i="16"/>
  <c r="Q81" i="16"/>
  <c r="R81" i="16"/>
  <c r="O88" i="11"/>
  <c r="D91" i="11" s="1"/>
  <c r="P79" i="16"/>
  <c r="S79" i="16" s="1"/>
  <c r="P85" i="16"/>
  <c r="O85" i="16"/>
  <c r="R82" i="16"/>
  <c r="P42" i="34"/>
  <c r="R41" i="34"/>
  <c r="Q39" i="34"/>
  <c r="P39" i="34"/>
  <c r="S40" i="34"/>
  <c r="R38" i="34"/>
  <c r="Q42" i="34"/>
  <c r="O40" i="34"/>
  <c r="Q36" i="34"/>
  <c r="P36" i="34"/>
  <c r="P37" i="34"/>
  <c r="Q41" i="34"/>
  <c r="R40" i="34"/>
  <c r="O37" i="34"/>
  <c r="S42" i="34"/>
  <c r="O42" i="34"/>
  <c r="P41" i="34"/>
  <c r="Q40" i="34"/>
  <c r="S39" i="34"/>
  <c r="O39" i="34"/>
  <c r="P38" i="34"/>
  <c r="R37" i="34"/>
  <c r="S36" i="34"/>
  <c r="O36" i="34"/>
  <c r="Q38" i="34"/>
  <c r="S37" i="34"/>
  <c r="S41" i="34"/>
  <c r="S38" i="34"/>
  <c r="R88" i="11"/>
  <c r="G91" i="11" s="1"/>
  <c r="P88" i="11"/>
  <c r="E91" i="11" s="1"/>
  <c r="S194" i="13" l="1"/>
  <c r="S236" i="13"/>
  <c r="S231" i="13"/>
  <c r="S207" i="13"/>
  <c r="S200" i="13"/>
  <c r="S213" i="13"/>
  <c r="S88" i="16"/>
  <c r="S82" i="16"/>
  <c r="S81" i="16"/>
  <c r="S85" i="16"/>
  <c r="S229" i="13"/>
  <c r="S226" i="13"/>
  <c r="S224" i="13"/>
  <c r="S223" i="13"/>
  <c r="S205" i="13"/>
  <c r="S181" i="13"/>
  <c r="S184" i="13"/>
  <c r="S187" i="13"/>
  <c r="S218" i="13"/>
  <c r="S208" i="13"/>
  <c r="S201" i="13"/>
  <c r="S225" i="13"/>
  <c r="S212" i="13"/>
  <c r="S211" i="13"/>
  <c r="S182" i="13"/>
  <c r="S183" i="13"/>
  <c r="S235" i="13"/>
  <c r="S87" i="16"/>
  <c r="S232" i="13"/>
  <c r="S228" i="13"/>
  <c r="S220" i="13"/>
  <c r="S192" i="13"/>
  <c r="S78" i="16"/>
  <c r="S230" i="13"/>
  <c r="S221" i="13"/>
  <c r="S193" i="13"/>
  <c r="S185" i="13"/>
  <c r="S197" i="13"/>
  <c r="S215" i="13"/>
  <c r="S216" i="13"/>
  <c r="S199" i="13"/>
  <c r="S86" i="16"/>
  <c r="S196" i="13"/>
  <c r="S209" i="13"/>
  <c r="S202" i="13"/>
  <c r="S186" i="13"/>
  <c r="S234" i="13"/>
  <c r="S206" i="13"/>
  <c r="S191" i="13"/>
  <c r="S204" i="13"/>
  <c r="S195" i="13"/>
  <c r="T42" i="34"/>
  <c r="S217" i="13"/>
  <c r="S84" i="16"/>
  <c r="S227" i="13"/>
  <c r="S203" i="13"/>
  <c r="S233" i="13"/>
  <c r="S222" i="13"/>
  <c r="S219" i="13"/>
  <c r="S214" i="13"/>
  <c r="S188" i="13"/>
  <c r="S190" i="13"/>
  <c r="S80" i="16"/>
  <c r="S198" i="13"/>
  <c r="S210" i="13"/>
  <c r="T40" i="34"/>
  <c r="T38" i="34"/>
  <c r="T41" i="34"/>
  <c r="T37" i="34"/>
  <c r="T39" i="34"/>
  <c r="T36" i="34"/>
  <c r="S88" i="11"/>
  <c r="H91" i="11" s="1"/>
  <c r="H15" i="23" l="1"/>
  <c r="H16" i="23"/>
  <c r="I7" i="23"/>
  <c r="I8" i="23"/>
  <c r="I9" i="23"/>
  <c r="I10" i="23"/>
  <c r="I11" i="23"/>
  <c r="I12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14" i="51" l="1"/>
  <c r="I15" i="51"/>
  <c r="I16" i="51"/>
  <c r="I17" i="51"/>
  <c r="N8" i="26" l="1"/>
  <c r="Q14" i="26"/>
  <c r="R14" i="26"/>
  <c r="Q15" i="26"/>
  <c r="R15" i="26"/>
  <c r="P21" i="26"/>
  <c r="P23" i="26"/>
  <c r="Q23" i="26"/>
  <c r="N32" i="26"/>
  <c r="O32" i="26"/>
  <c r="P32" i="26"/>
  <c r="N33" i="26"/>
  <c r="Q38" i="26"/>
  <c r="R38" i="26"/>
  <c r="Q39" i="26"/>
  <c r="R39" i="26"/>
  <c r="N41" i="26"/>
  <c r="P47" i="26"/>
  <c r="Q47" i="26"/>
  <c r="N49" i="26"/>
  <c r="H7" i="26"/>
  <c r="I7" i="26"/>
  <c r="N7" i="26" s="1"/>
  <c r="H8" i="26"/>
  <c r="I8" i="26"/>
  <c r="P8" i="26" s="1"/>
  <c r="H9" i="26"/>
  <c r="I9" i="26"/>
  <c r="O9" i="26" s="1"/>
  <c r="H10" i="26"/>
  <c r="I10" i="26"/>
  <c r="R10" i="26" s="1"/>
  <c r="H11" i="26"/>
  <c r="I11" i="26"/>
  <c r="N11" i="26" s="1"/>
  <c r="H12" i="26"/>
  <c r="I12" i="26"/>
  <c r="R12" i="26" s="1"/>
  <c r="H13" i="26"/>
  <c r="I13" i="26"/>
  <c r="N13" i="26" s="1"/>
  <c r="H14" i="26"/>
  <c r="I14" i="26"/>
  <c r="N14" i="26" s="1"/>
  <c r="H15" i="26"/>
  <c r="I15" i="26"/>
  <c r="N15" i="26" s="1"/>
  <c r="H16" i="26"/>
  <c r="I16" i="26"/>
  <c r="N16" i="26" s="1"/>
  <c r="H17" i="26"/>
  <c r="I17" i="26"/>
  <c r="O17" i="26" s="1"/>
  <c r="H18" i="26"/>
  <c r="I18" i="26"/>
  <c r="N18" i="26" s="1"/>
  <c r="H19" i="26"/>
  <c r="I19" i="26"/>
  <c r="P19" i="26" s="1"/>
  <c r="H20" i="26"/>
  <c r="I20" i="26"/>
  <c r="N20" i="26" s="1"/>
  <c r="H21" i="26"/>
  <c r="Q21" i="26"/>
  <c r="H22" i="26"/>
  <c r="I22" i="26"/>
  <c r="N22" i="26" s="1"/>
  <c r="H23" i="26"/>
  <c r="I23" i="26"/>
  <c r="R23" i="26" s="1"/>
  <c r="H24" i="26"/>
  <c r="I24" i="26"/>
  <c r="N24" i="26" s="1"/>
  <c r="H25" i="26"/>
  <c r="I25" i="26"/>
  <c r="O25" i="26" s="1"/>
  <c r="H26" i="26"/>
  <c r="I26" i="26"/>
  <c r="N26" i="26" s="1"/>
  <c r="H27" i="26"/>
  <c r="I27" i="26"/>
  <c r="P27" i="26" s="1"/>
  <c r="H28" i="26"/>
  <c r="I28" i="26"/>
  <c r="O28" i="26" s="1"/>
  <c r="H29" i="26"/>
  <c r="I29" i="26"/>
  <c r="N29" i="26" s="1"/>
  <c r="H30" i="26"/>
  <c r="I30" i="26"/>
  <c r="P30" i="26" s="1"/>
  <c r="H31" i="26"/>
  <c r="I31" i="26"/>
  <c r="O31" i="26" s="1"/>
  <c r="H32" i="26"/>
  <c r="I32" i="26"/>
  <c r="Q32" i="26" s="1"/>
  <c r="H33" i="26"/>
  <c r="I33" i="26"/>
  <c r="P33" i="26" s="1"/>
  <c r="H34" i="26"/>
  <c r="I34" i="26"/>
  <c r="R34" i="26" s="1"/>
  <c r="H35" i="26"/>
  <c r="N35" i="26"/>
  <c r="H36" i="26"/>
  <c r="I36" i="26"/>
  <c r="R36" i="26" s="1"/>
  <c r="H37" i="26"/>
  <c r="I37" i="26"/>
  <c r="N37" i="26" s="1"/>
  <c r="H38" i="26"/>
  <c r="I38" i="26"/>
  <c r="N38" i="26" s="1"/>
  <c r="H39" i="26"/>
  <c r="I39" i="26"/>
  <c r="N39" i="26" s="1"/>
  <c r="H40" i="26"/>
  <c r="I40" i="26"/>
  <c r="N40" i="26" s="1"/>
  <c r="H41" i="26"/>
  <c r="I41" i="26"/>
  <c r="O41" i="26" s="1"/>
  <c r="H42" i="26"/>
  <c r="I42" i="26"/>
  <c r="N42" i="26" s="1"/>
  <c r="H43" i="26"/>
  <c r="I43" i="26"/>
  <c r="P43" i="26" s="1"/>
  <c r="H44" i="26"/>
  <c r="I44" i="26"/>
  <c r="N44" i="26" s="1"/>
  <c r="H45" i="26"/>
  <c r="I45" i="26"/>
  <c r="Q45" i="26" s="1"/>
  <c r="H46" i="26"/>
  <c r="I46" i="26"/>
  <c r="N46" i="26" s="1"/>
  <c r="H47" i="26"/>
  <c r="I47" i="26"/>
  <c r="R47" i="26" s="1"/>
  <c r="H48" i="26"/>
  <c r="I48" i="26"/>
  <c r="N48" i="26" s="1"/>
  <c r="H49" i="26"/>
  <c r="I49" i="26"/>
  <c r="O49" i="26" s="1"/>
  <c r="H7" i="19"/>
  <c r="H8" i="19"/>
  <c r="H9" i="19"/>
  <c r="H10" i="19"/>
  <c r="I10" i="19"/>
  <c r="H11" i="19"/>
  <c r="I11" i="19"/>
  <c r="H12" i="19"/>
  <c r="I12" i="19"/>
  <c r="H13" i="19"/>
  <c r="H14" i="19"/>
  <c r="I14" i="19"/>
  <c r="H15" i="19"/>
  <c r="I15" i="19"/>
  <c r="H16" i="19"/>
  <c r="I16" i="19"/>
  <c r="H17" i="19"/>
  <c r="H18" i="19"/>
  <c r="H19" i="19"/>
  <c r="H20" i="19"/>
  <c r="H21" i="19"/>
  <c r="I21" i="19"/>
  <c r="H22" i="19"/>
  <c r="I22" i="19"/>
  <c r="H23" i="19"/>
  <c r="I23" i="19"/>
  <c r="H24" i="19"/>
  <c r="I24" i="19"/>
  <c r="H25" i="19"/>
  <c r="I25" i="19"/>
  <c r="H26" i="19"/>
  <c r="I26" i="19"/>
  <c r="H27" i="19"/>
  <c r="H28" i="19"/>
  <c r="H29" i="19"/>
  <c r="H30" i="19"/>
  <c r="H31" i="19"/>
  <c r="I31" i="19"/>
  <c r="H32" i="19"/>
  <c r="I32" i="19"/>
  <c r="H33" i="19"/>
  <c r="I33" i="19"/>
  <c r="H34" i="19"/>
  <c r="I34" i="19"/>
  <c r="H35" i="19"/>
  <c r="I35" i="19"/>
  <c r="H36" i="19"/>
  <c r="I36" i="19"/>
  <c r="H37" i="19"/>
  <c r="I37" i="19"/>
  <c r="H38" i="19"/>
  <c r="H39" i="19"/>
  <c r="I39" i="19"/>
  <c r="H40" i="19"/>
  <c r="I40" i="19"/>
  <c r="H41" i="19"/>
  <c r="H42" i="19"/>
  <c r="I42" i="19"/>
  <c r="H43" i="19"/>
  <c r="I43" i="19"/>
  <c r="H44" i="19"/>
  <c r="H45" i="19"/>
  <c r="I45" i="19"/>
  <c r="H46" i="19"/>
  <c r="I46" i="19"/>
  <c r="H47" i="19"/>
  <c r="I47" i="19"/>
  <c r="H48" i="19"/>
  <c r="H49" i="19"/>
  <c r="I49" i="19"/>
  <c r="H50" i="19"/>
  <c r="H51" i="19"/>
  <c r="I51" i="19"/>
  <c r="H52" i="19"/>
  <c r="I52" i="19"/>
  <c r="H53" i="19"/>
  <c r="I53" i="19"/>
  <c r="H54" i="19"/>
  <c r="H55" i="19"/>
  <c r="H56" i="19"/>
  <c r="I56" i="19"/>
  <c r="H57" i="19"/>
  <c r="I57" i="19"/>
  <c r="H58" i="19"/>
  <c r="H59" i="19"/>
  <c r="I59" i="19"/>
  <c r="H60" i="19"/>
  <c r="H35" i="17"/>
  <c r="I35" i="17"/>
  <c r="H36" i="17"/>
  <c r="I36" i="17"/>
  <c r="O7" i="14"/>
  <c r="R7" i="14"/>
  <c r="O9" i="14"/>
  <c r="Q9" i="14"/>
  <c r="R12" i="14"/>
  <c r="Q13" i="14"/>
  <c r="O15" i="14"/>
  <c r="N21" i="14"/>
  <c r="R27" i="14"/>
  <c r="N29" i="14"/>
  <c r="O29" i="14"/>
  <c r="Q35" i="14"/>
  <c r="N37" i="14"/>
  <c r="O39" i="14"/>
  <c r="Q41" i="14"/>
  <c r="R41" i="14"/>
  <c r="H7" i="14"/>
  <c r="I7" i="14"/>
  <c r="N7" i="14" s="1"/>
  <c r="H8" i="14"/>
  <c r="I8" i="14"/>
  <c r="P8" i="14" s="1"/>
  <c r="H9" i="14"/>
  <c r="I9" i="14"/>
  <c r="P9" i="14" s="1"/>
  <c r="H10" i="14"/>
  <c r="I10" i="14"/>
  <c r="R10" i="14" s="1"/>
  <c r="H11" i="14"/>
  <c r="I11" i="14"/>
  <c r="N11" i="14" s="1"/>
  <c r="H12" i="14"/>
  <c r="I12" i="14"/>
  <c r="N12" i="14" s="1"/>
  <c r="H13" i="14"/>
  <c r="I13" i="14"/>
  <c r="N13" i="14" s="1"/>
  <c r="H14" i="14"/>
  <c r="I14" i="14"/>
  <c r="N14" i="14" s="1"/>
  <c r="H15" i="14"/>
  <c r="I15" i="14"/>
  <c r="P15" i="14" s="1"/>
  <c r="H16" i="14"/>
  <c r="I16" i="14"/>
  <c r="N16" i="14" s="1"/>
  <c r="H17" i="14"/>
  <c r="I17" i="14"/>
  <c r="R17" i="14" s="1"/>
  <c r="H18" i="14"/>
  <c r="I18" i="14"/>
  <c r="N18" i="14" s="1"/>
  <c r="H19" i="14"/>
  <c r="I19" i="14"/>
  <c r="P19" i="14" s="1"/>
  <c r="H20" i="14"/>
  <c r="I20" i="14"/>
  <c r="O20" i="14" s="1"/>
  <c r="H21" i="14"/>
  <c r="I21" i="14"/>
  <c r="O21" i="14" s="1"/>
  <c r="H22" i="14"/>
  <c r="I22" i="14"/>
  <c r="Q22" i="14" s="1"/>
  <c r="H23" i="14"/>
  <c r="I23" i="14"/>
  <c r="N23" i="14" s="1"/>
  <c r="H24" i="14"/>
  <c r="I24" i="14"/>
  <c r="R24" i="14" s="1"/>
  <c r="H25" i="14"/>
  <c r="I25" i="14"/>
  <c r="N25" i="14" s="1"/>
  <c r="H26" i="14"/>
  <c r="I26" i="14"/>
  <c r="N26" i="14" s="1"/>
  <c r="H27" i="14"/>
  <c r="I27" i="14"/>
  <c r="O27" i="14" s="1"/>
  <c r="H28" i="14"/>
  <c r="I28" i="14"/>
  <c r="Q28" i="14" s="1"/>
  <c r="H29" i="14"/>
  <c r="I29" i="14"/>
  <c r="P29" i="14" s="1"/>
  <c r="H30" i="14"/>
  <c r="I30" i="14"/>
  <c r="N30" i="14" s="1"/>
  <c r="H31" i="14"/>
  <c r="I31" i="14"/>
  <c r="O31" i="14" s="1"/>
  <c r="H32" i="14"/>
  <c r="I32" i="14"/>
  <c r="P32" i="14" s="1"/>
  <c r="H33" i="14"/>
  <c r="I33" i="14"/>
  <c r="P33" i="14" s="1"/>
  <c r="H34" i="14"/>
  <c r="I34" i="14"/>
  <c r="R34" i="14" s="1"/>
  <c r="H35" i="14"/>
  <c r="I35" i="14"/>
  <c r="N35" i="14" s="1"/>
  <c r="H36" i="14"/>
  <c r="I36" i="14"/>
  <c r="O36" i="14" s="1"/>
  <c r="H37" i="14"/>
  <c r="I37" i="14"/>
  <c r="O37" i="14" s="1"/>
  <c r="H38" i="14"/>
  <c r="I38" i="14"/>
  <c r="N38" i="14" s="1"/>
  <c r="H39" i="14"/>
  <c r="I39" i="14"/>
  <c r="Q39" i="14" s="1"/>
  <c r="H40" i="14"/>
  <c r="I40" i="14"/>
  <c r="N40" i="14" s="1"/>
  <c r="H41" i="14"/>
  <c r="I41" i="14"/>
  <c r="O41" i="14" s="1"/>
  <c r="Q9" i="26" l="1"/>
  <c r="Q31" i="26"/>
  <c r="Q13" i="26"/>
  <c r="Q37" i="26"/>
  <c r="P31" i="26"/>
  <c r="P13" i="26"/>
  <c r="P37" i="26"/>
  <c r="N31" i="26"/>
  <c r="Q10" i="26"/>
  <c r="P45" i="26"/>
  <c r="S45" i="26" s="1"/>
  <c r="Q34" i="26"/>
  <c r="N28" i="26"/>
  <c r="O21" i="26"/>
  <c r="P10" i="26"/>
  <c r="O45" i="26"/>
  <c r="P34" i="26"/>
  <c r="R27" i="26"/>
  <c r="N21" i="26"/>
  <c r="R9" i="26"/>
  <c r="N45" i="26"/>
  <c r="R33" i="26"/>
  <c r="S33" i="26" s="1"/>
  <c r="Q27" i="26"/>
  <c r="S27" i="26" s="1"/>
  <c r="O19" i="26"/>
  <c r="O43" i="26"/>
  <c r="Q33" i="26"/>
  <c r="O27" i="26"/>
  <c r="N19" i="26"/>
  <c r="N9" i="26"/>
  <c r="N43" i="26"/>
  <c r="O33" i="26"/>
  <c r="N27" i="26"/>
  <c r="N17" i="26"/>
  <c r="O8" i="26"/>
  <c r="R25" i="26"/>
  <c r="S25" i="26" s="1"/>
  <c r="R49" i="26"/>
  <c r="Q25" i="26"/>
  <c r="R7" i="26"/>
  <c r="Q49" i="26"/>
  <c r="P25" i="26"/>
  <c r="P7" i="26"/>
  <c r="P49" i="26"/>
  <c r="N25" i="26"/>
  <c r="O7" i="26"/>
  <c r="S7" i="26" s="1"/>
  <c r="N20" i="14"/>
  <c r="Q34" i="14"/>
  <c r="N27" i="14"/>
  <c r="R19" i="14"/>
  <c r="Q10" i="14"/>
  <c r="P34" i="14"/>
  <c r="R26" i="14"/>
  <c r="Q19" i="14"/>
  <c r="P10" i="14"/>
  <c r="R33" i="14"/>
  <c r="O26" i="14"/>
  <c r="O19" i="14"/>
  <c r="S19" i="14" s="1"/>
  <c r="R9" i="14"/>
  <c r="Q33" i="14"/>
  <c r="R25" i="14"/>
  <c r="N19" i="14"/>
  <c r="N41" i="14"/>
  <c r="O33" i="14"/>
  <c r="Q25" i="14"/>
  <c r="Q17" i="14"/>
  <c r="P39" i="14"/>
  <c r="N33" i="14"/>
  <c r="S33" i="14" s="1"/>
  <c r="P25" i="14"/>
  <c r="P17" i="14"/>
  <c r="N9" i="14"/>
  <c r="S9" i="14" s="1"/>
  <c r="O8" i="14"/>
  <c r="N39" i="14"/>
  <c r="N32" i="14"/>
  <c r="O22" i="14"/>
  <c r="N15" i="14"/>
  <c r="N8" i="14"/>
  <c r="O32" i="14"/>
  <c r="P22" i="14"/>
  <c r="Q38" i="14"/>
  <c r="R31" i="14"/>
  <c r="Q21" i="14"/>
  <c r="P14" i="14"/>
  <c r="R37" i="14"/>
  <c r="P21" i="14"/>
  <c r="R13" i="14"/>
  <c r="P7" i="14"/>
  <c r="Q36" i="26"/>
  <c r="N30" i="26"/>
  <c r="Q12" i="26"/>
  <c r="P41" i="14"/>
  <c r="S41" i="14" s="1"/>
  <c r="Q36" i="14"/>
  <c r="O34" i="14"/>
  <c r="Q26" i="14"/>
  <c r="P24" i="14"/>
  <c r="N22" i="14"/>
  <c r="O17" i="14"/>
  <c r="R14" i="14"/>
  <c r="P12" i="14"/>
  <c r="O10" i="14"/>
  <c r="O47" i="26"/>
  <c r="R40" i="26"/>
  <c r="P36" i="26"/>
  <c r="O34" i="26"/>
  <c r="R29" i="26"/>
  <c r="O23" i="26"/>
  <c r="R16" i="26"/>
  <c r="P12" i="26"/>
  <c r="O10" i="26"/>
  <c r="R38" i="14"/>
  <c r="P36" i="14"/>
  <c r="N34" i="14"/>
  <c r="N31" i="14"/>
  <c r="R28" i="14"/>
  <c r="P26" i="14"/>
  <c r="O24" i="14"/>
  <c r="R21" i="14"/>
  <c r="S21" i="14" s="1"/>
  <c r="N17" i="14"/>
  <c r="Q14" i="14"/>
  <c r="O12" i="14"/>
  <c r="N10" i="14"/>
  <c r="Q7" i="14"/>
  <c r="N47" i="26"/>
  <c r="R42" i="26"/>
  <c r="Q40" i="26"/>
  <c r="P38" i="26"/>
  <c r="O36" i="26"/>
  <c r="N34" i="26"/>
  <c r="R31" i="26"/>
  <c r="Q29" i="26"/>
  <c r="N23" i="26"/>
  <c r="S23" i="26" s="1"/>
  <c r="R18" i="26"/>
  <c r="Q16" i="26"/>
  <c r="P14" i="26"/>
  <c r="O12" i="26"/>
  <c r="N10" i="26"/>
  <c r="Q7" i="26"/>
  <c r="R36" i="14"/>
  <c r="R44" i="26"/>
  <c r="Q42" i="26"/>
  <c r="P40" i="26"/>
  <c r="O38" i="26"/>
  <c r="S38" i="26" s="1"/>
  <c r="N36" i="26"/>
  <c r="P29" i="26"/>
  <c r="R20" i="26"/>
  <c r="Q18" i="26"/>
  <c r="P16" i="26"/>
  <c r="O14" i="26"/>
  <c r="N12" i="26"/>
  <c r="R46" i="26"/>
  <c r="Q44" i="26"/>
  <c r="P42" i="26"/>
  <c r="O40" i="26"/>
  <c r="S40" i="26" s="1"/>
  <c r="R35" i="26"/>
  <c r="O29" i="26"/>
  <c r="R22" i="26"/>
  <c r="Q20" i="26"/>
  <c r="P18" i="26"/>
  <c r="O16" i="26"/>
  <c r="R11" i="26"/>
  <c r="R30" i="14"/>
  <c r="N24" i="14"/>
  <c r="R16" i="14"/>
  <c r="R40" i="14"/>
  <c r="P38" i="14"/>
  <c r="N36" i="14"/>
  <c r="Q30" i="14"/>
  <c r="P28" i="14"/>
  <c r="R23" i="14"/>
  <c r="Q16" i="14"/>
  <c r="O14" i="14"/>
  <c r="R11" i="14"/>
  <c r="Q40" i="14"/>
  <c r="O38" i="14"/>
  <c r="R35" i="14"/>
  <c r="P30" i="14"/>
  <c r="O28" i="14"/>
  <c r="Q23" i="14"/>
  <c r="R18" i="14"/>
  <c r="P16" i="14"/>
  <c r="Q11" i="14"/>
  <c r="R48" i="26"/>
  <c r="Q46" i="26"/>
  <c r="P44" i="26"/>
  <c r="O42" i="26"/>
  <c r="R37" i="26"/>
  <c r="Q35" i="26"/>
  <c r="R24" i="26"/>
  <c r="Q22" i="26"/>
  <c r="P20" i="26"/>
  <c r="O18" i="26"/>
  <c r="S18" i="26" s="1"/>
  <c r="R13" i="26"/>
  <c r="Q11" i="26"/>
  <c r="P9" i="26"/>
  <c r="Q24" i="14"/>
  <c r="Q12" i="14"/>
  <c r="O30" i="14"/>
  <c r="N28" i="14"/>
  <c r="P23" i="14"/>
  <c r="Q18" i="14"/>
  <c r="O16" i="14"/>
  <c r="P11" i="14"/>
  <c r="Q48" i="26"/>
  <c r="P46" i="26"/>
  <c r="O44" i="26"/>
  <c r="P35" i="26"/>
  <c r="R26" i="26"/>
  <c r="Q24" i="26"/>
  <c r="P22" i="26"/>
  <c r="O20" i="26"/>
  <c r="P11" i="26"/>
  <c r="O40" i="14"/>
  <c r="P48" i="26"/>
  <c r="O46" i="26"/>
  <c r="S46" i="26" s="1"/>
  <c r="R41" i="26"/>
  <c r="O35" i="26"/>
  <c r="R28" i="26"/>
  <c r="Q26" i="26"/>
  <c r="P24" i="26"/>
  <c r="O22" i="26"/>
  <c r="R17" i="26"/>
  <c r="O11" i="26"/>
  <c r="P40" i="14"/>
  <c r="P35" i="14"/>
  <c r="O23" i="14"/>
  <c r="P18" i="14"/>
  <c r="O11" i="14"/>
  <c r="Q37" i="14"/>
  <c r="O35" i="14"/>
  <c r="R32" i="14"/>
  <c r="R29" i="14"/>
  <c r="Q27" i="14"/>
  <c r="O25" i="14"/>
  <c r="S25" i="14" s="1"/>
  <c r="Q20" i="14"/>
  <c r="O18" i="14"/>
  <c r="R15" i="14"/>
  <c r="P13" i="14"/>
  <c r="R8" i="14"/>
  <c r="O48" i="26"/>
  <c r="R43" i="26"/>
  <c r="Q41" i="26"/>
  <c r="P39" i="26"/>
  <c r="O37" i="26"/>
  <c r="R30" i="26"/>
  <c r="Q28" i="26"/>
  <c r="P26" i="26"/>
  <c r="O24" i="26"/>
  <c r="S24" i="26" s="1"/>
  <c r="R19" i="26"/>
  <c r="Q17" i="26"/>
  <c r="P15" i="26"/>
  <c r="O13" i="26"/>
  <c r="R8" i="26"/>
  <c r="P37" i="14"/>
  <c r="S37" i="14" s="1"/>
  <c r="Q29" i="14"/>
  <c r="R22" i="14"/>
  <c r="Q15" i="14"/>
  <c r="O13" i="14"/>
  <c r="Q8" i="14"/>
  <c r="S8" i="14" s="1"/>
  <c r="R45" i="26"/>
  <c r="Q43" i="26"/>
  <c r="S43" i="26" s="1"/>
  <c r="P41" i="26"/>
  <c r="O39" i="26"/>
  <c r="R32" i="26"/>
  <c r="S32" i="26" s="1"/>
  <c r="Q30" i="26"/>
  <c r="P28" i="26"/>
  <c r="O26" i="26"/>
  <c r="R21" i="26"/>
  <c r="Q19" i="26"/>
  <c r="P17" i="26"/>
  <c r="O15" i="26"/>
  <c r="Q8" i="26"/>
  <c r="O30" i="26"/>
  <c r="R20" i="14"/>
  <c r="R39" i="14"/>
  <c r="Q32" i="14"/>
  <c r="P27" i="14"/>
  <c r="P20" i="14"/>
  <c r="S29" i="14"/>
  <c r="S7" i="14"/>
  <c r="S49" i="26"/>
  <c r="Q31" i="14"/>
  <c r="P31" i="14"/>
  <c r="S31" i="26" l="1"/>
  <c r="S21" i="26"/>
  <c r="S19" i="26"/>
  <c r="S37" i="26"/>
  <c r="S8" i="26"/>
  <c r="S16" i="26"/>
  <c r="S10" i="26"/>
  <c r="S9" i="26"/>
  <c r="S14" i="26"/>
  <c r="S13" i="26"/>
  <c r="S32" i="14"/>
  <c r="S20" i="14"/>
  <c r="S39" i="14"/>
  <c r="S23" i="14"/>
  <c r="S22" i="14"/>
  <c r="S15" i="14"/>
  <c r="S12" i="26"/>
  <c r="S20" i="26"/>
  <c r="S26" i="26"/>
  <c r="S16" i="14"/>
  <c r="S18" i="14"/>
  <c r="S40" i="14"/>
  <c r="S28" i="14"/>
  <c r="S38" i="14"/>
  <c r="S12" i="14"/>
  <c r="S35" i="14"/>
  <c r="S42" i="26"/>
  <c r="S22" i="26"/>
  <c r="S28" i="26"/>
  <c r="S44" i="26"/>
  <c r="S48" i="26"/>
  <c r="S26" i="14"/>
  <c r="S30" i="14"/>
  <c r="S27" i="14"/>
  <c r="S14" i="14"/>
  <c r="S11" i="26"/>
  <c r="S47" i="26"/>
  <c r="S34" i="14"/>
  <c r="S13" i="14"/>
  <c r="S17" i="14"/>
  <c r="S31" i="14"/>
  <c r="S36" i="26"/>
  <c r="S15" i="26"/>
  <c r="S24" i="14"/>
  <c r="S34" i="26"/>
  <c r="S30" i="26"/>
  <c r="S41" i="26"/>
  <c r="S35" i="26"/>
  <c r="S17" i="26"/>
  <c r="S11" i="14"/>
  <c r="S10" i="14"/>
  <c r="S39" i="26"/>
  <c r="S36" i="14"/>
  <c r="S29" i="26"/>
  <c r="I16" i="12"/>
  <c r="H53" i="11"/>
  <c r="H54" i="11"/>
  <c r="H55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N86" i="11" s="1"/>
  <c r="I87" i="11"/>
  <c r="H85" i="11"/>
  <c r="O85" i="11"/>
  <c r="H86" i="11"/>
  <c r="I65" i="4"/>
  <c r="I15" i="4"/>
  <c r="I16" i="4"/>
  <c r="I20" i="4"/>
  <c r="I21" i="4"/>
  <c r="I24" i="4"/>
  <c r="I25" i="4"/>
  <c r="I27" i="4"/>
  <c r="I32" i="4"/>
  <c r="I33" i="4"/>
  <c r="I35" i="4"/>
  <c r="I36" i="4"/>
  <c r="I37" i="4"/>
  <c r="I39" i="4"/>
  <c r="I40" i="4"/>
  <c r="I43" i="4"/>
  <c r="I44" i="4"/>
  <c r="I45" i="4"/>
  <c r="I46" i="4"/>
  <c r="I47" i="4"/>
  <c r="I48" i="4"/>
  <c r="I49" i="4"/>
  <c r="I50" i="4"/>
  <c r="I51" i="4"/>
  <c r="I53" i="4"/>
  <c r="I54" i="4"/>
  <c r="I55" i="4"/>
  <c r="I59" i="4"/>
  <c r="I66" i="4"/>
  <c r="I67" i="4"/>
  <c r="I68" i="4"/>
  <c r="I71" i="4"/>
  <c r="I72" i="4"/>
  <c r="I73" i="4"/>
  <c r="I74" i="4"/>
  <c r="I75" i="4"/>
  <c r="I76" i="4"/>
  <c r="I78" i="4"/>
  <c r="I79" i="4"/>
  <c r="I83" i="4"/>
  <c r="I84" i="4"/>
  <c r="I85" i="4"/>
  <c r="I86" i="4"/>
  <c r="I87" i="4"/>
  <c r="I88" i="4"/>
  <c r="I89" i="4"/>
  <c r="I90" i="4"/>
  <c r="I91" i="4"/>
  <c r="I92" i="4"/>
  <c r="I93" i="4"/>
  <c r="I95" i="4"/>
  <c r="I96" i="4"/>
  <c r="I97" i="4"/>
  <c r="I98" i="4"/>
  <c r="I99" i="4"/>
  <c r="I100" i="4"/>
  <c r="I105" i="4"/>
  <c r="I110" i="4"/>
  <c r="I8" i="4"/>
  <c r="H17" i="8"/>
  <c r="H18" i="8"/>
  <c r="H19" i="8"/>
  <c r="H20" i="8"/>
  <c r="H21" i="8"/>
  <c r="R105" i="8"/>
  <c r="Q106" i="8"/>
  <c r="O107" i="8"/>
  <c r="Q108" i="8"/>
  <c r="H105" i="8"/>
  <c r="I105" i="8"/>
  <c r="Q105" i="8" s="1"/>
  <c r="H106" i="8"/>
  <c r="I106" i="8"/>
  <c r="N106" i="8" s="1"/>
  <c r="H107" i="8"/>
  <c r="I107" i="8"/>
  <c r="N107" i="8" s="1"/>
  <c r="H108" i="8"/>
  <c r="I108" i="8"/>
  <c r="O108" i="8" s="1"/>
  <c r="H109" i="8"/>
  <c r="I109" i="8"/>
  <c r="H110" i="8"/>
  <c r="I110" i="8"/>
  <c r="Q110" i="8" s="1"/>
  <c r="I16" i="5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1" i="2"/>
  <c r="I42" i="2"/>
  <c r="I43" i="2"/>
  <c r="I44" i="2"/>
  <c r="I45" i="2"/>
  <c r="I46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Q86" i="11" l="1"/>
  <c r="P85" i="11"/>
  <c r="N85" i="11"/>
  <c r="R85" i="11"/>
  <c r="Q85" i="11"/>
  <c r="O86" i="11"/>
  <c r="P86" i="11"/>
  <c r="R86" i="11"/>
  <c r="P110" i="8"/>
  <c r="N108" i="8"/>
  <c r="P106" i="8"/>
  <c r="O110" i="8"/>
  <c r="R108" i="8"/>
  <c r="N109" i="8"/>
  <c r="R109" i="8"/>
  <c r="O109" i="8"/>
  <c r="P107" i="8"/>
  <c r="Q107" i="8"/>
  <c r="O105" i="8"/>
  <c r="P105" i="8"/>
  <c r="Q109" i="8"/>
  <c r="N105" i="8"/>
  <c r="P109" i="8"/>
  <c r="R107" i="8"/>
  <c r="R110" i="8"/>
  <c r="N110" i="8"/>
  <c r="P108" i="8"/>
  <c r="O106" i="8"/>
  <c r="R106" i="8"/>
  <c r="S106" i="8" l="1"/>
  <c r="S109" i="8"/>
  <c r="S108" i="8"/>
  <c r="S85" i="11"/>
  <c r="S86" i="11"/>
  <c r="S110" i="8"/>
  <c r="S105" i="8"/>
  <c r="S107" i="8"/>
  <c r="I40" i="40" l="1"/>
  <c r="U77" i="49"/>
  <c r="U75" i="49"/>
  <c r="U73" i="49"/>
  <c r="U69" i="49"/>
  <c r="U68" i="49"/>
  <c r="U64" i="49"/>
  <c r="U45" i="49"/>
  <c r="U41" i="49"/>
  <c r="U36" i="49"/>
  <c r="U15" i="49"/>
  <c r="I50" i="49"/>
  <c r="H77" i="49"/>
  <c r="H75" i="49"/>
  <c r="H73" i="49"/>
  <c r="H69" i="49"/>
  <c r="H68" i="49"/>
  <c r="H64" i="49"/>
  <c r="H51" i="49"/>
  <c r="H50" i="49"/>
  <c r="H45" i="49"/>
  <c r="H41" i="49"/>
  <c r="H36" i="49"/>
  <c r="I19" i="8" l="1"/>
  <c r="P19" i="8" l="1"/>
  <c r="Q19" i="8"/>
  <c r="N19" i="8"/>
  <c r="R19" i="8"/>
  <c r="O19" i="8"/>
  <c r="M17" i="29"/>
  <c r="V6" i="29"/>
  <c r="I7" i="29"/>
  <c r="I8" i="29"/>
  <c r="I9" i="29"/>
  <c r="I10" i="29"/>
  <c r="I11" i="29"/>
  <c r="I12" i="29"/>
  <c r="I13" i="29"/>
  <c r="I14" i="29"/>
  <c r="I15" i="29"/>
  <c r="I16" i="29"/>
  <c r="I18" i="29"/>
  <c r="I20" i="29"/>
  <c r="I21" i="29"/>
  <c r="I6" i="29"/>
  <c r="L17" i="29"/>
  <c r="I17" i="29" s="1"/>
  <c r="S19" i="8" l="1"/>
  <c r="H25" i="3" l="1"/>
  <c r="I25" i="3"/>
  <c r="H23" i="3"/>
  <c r="H24" i="3"/>
  <c r="H26" i="3"/>
  <c r="Q60" i="2"/>
  <c r="N59" i="2"/>
  <c r="O58" i="2"/>
  <c r="P53" i="2"/>
  <c r="Q52" i="2"/>
  <c r="N51" i="2"/>
  <c r="P49" i="2"/>
  <c r="Q48" i="2"/>
  <c r="N47" i="2"/>
  <c r="O46" i="2"/>
  <c r="Q44" i="2"/>
  <c r="N43" i="2"/>
  <c r="O42" i="2"/>
  <c r="Q40" i="2"/>
  <c r="N39" i="2"/>
  <c r="P37" i="2"/>
  <c r="Q36" i="2"/>
  <c r="O34" i="2"/>
  <c r="P33" i="2"/>
  <c r="Q32" i="2"/>
  <c r="O30" i="2"/>
  <c r="P29" i="2"/>
  <c r="N27" i="2"/>
  <c r="Q28" i="2"/>
  <c r="P26" i="2"/>
  <c r="N24" i="2"/>
  <c r="O23" i="2"/>
  <c r="N20" i="2"/>
  <c r="Q17" i="2"/>
  <c r="O15" i="2"/>
  <c r="N16" i="2"/>
  <c r="O11" i="2"/>
  <c r="P10" i="2"/>
  <c r="P14" i="2"/>
  <c r="Q9" i="2"/>
  <c r="H7" i="2"/>
  <c r="O7" i="2"/>
  <c r="H8" i="2"/>
  <c r="N8" i="2"/>
  <c r="H9" i="2"/>
  <c r="H10" i="2"/>
  <c r="H11" i="2"/>
  <c r="H12" i="2"/>
  <c r="N12" i="2"/>
  <c r="H13" i="2"/>
  <c r="Q13" i="2"/>
  <c r="H14" i="2"/>
  <c r="H15" i="2"/>
  <c r="H16" i="2"/>
  <c r="H17" i="2"/>
  <c r="H18" i="2"/>
  <c r="P18" i="2"/>
  <c r="H19" i="2"/>
  <c r="O19" i="2"/>
  <c r="H20" i="2"/>
  <c r="H21" i="2"/>
  <c r="Q21" i="2"/>
  <c r="H22" i="2"/>
  <c r="P22" i="2"/>
  <c r="H23" i="2"/>
  <c r="H24" i="2"/>
  <c r="H25" i="2"/>
  <c r="Q25" i="2"/>
  <c r="H26" i="2"/>
  <c r="H27" i="2"/>
  <c r="H28" i="2"/>
  <c r="H29" i="2"/>
  <c r="H30" i="2"/>
  <c r="H31" i="2"/>
  <c r="N31" i="2"/>
  <c r="H32" i="2"/>
  <c r="H33" i="2"/>
  <c r="H34" i="2"/>
  <c r="H35" i="2"/>
  <c r="N35" i="2"/>
  <c r="H36" i="2"/>
  <c r="H37" i="2"/>
  <c r="H38" i="2"/>
  <c r="O38" i="2"/>
  <c r="H39" i="2"/>
  <c r="H40" i="2"/>
  <c r="H41" i="2"/>
  <c r="P41" i="2"/>
  <c r="H42" i="2"/>
  <c r="H43" i="2"/>
  <c r="H44" i="2"/>
  <c r="H45" i="2"/>
  <c r="P45" i="2"/>
  <c r="H46" i="2"/>
  <c r="H47" i="2"/>
  <c r="H48" i="2"/>
  <c r="H49" i="2"/>
  <c r="H50" i="2"/>
  <c r="O50" i="2"/>
  <c r="H51" i="2"/>
  <c r="H52" i="2"/>
  <c r="H53" i="2"/>
  <c r="H54" i="2"/>
  <c r="O54" i="2"/>
  <c r="H55" i="2"/>
  <c r="N55" i="2"/>
  <c r="H56" i="2"/>
  <c r="Q56" i="2"/>
  <c r="H57" i="2"/>
  <c r="P57" i="2"/>
  <c r="H58" i="2"/>
  <c r="H59" i="2"/>
  <c r="H60" i="2"/>
  <c r="G72" i="2"/>
  <c r="I9" i="5"/>
  <c r="H7" i="38"/>
  <c r="I7" i="38"/>
  <c r="P7" i="38" s="1"/>
  <c r="H8" i="38"/>
  <c r="I8" i="38"/>
  <c r="O8" i="38" s="1"/>
  <c r="H9" i="38"/>
  <c r="I9" i="38"/>
  <c r="Q9" i="38" s="1"/>
  <c r="H10" i="38"/>
  <c r="I10" i="38"/>
  <c r="P10" i="38" s="1"/>
  <c r="H11" i="38"/>
  <c r="I11" i="38"/>
  <c r="O11" i="38" s="1"/>
  <c r="H12" i="38"/>
  <c r="I12" i="38"/>
  <c r="N12" i="38" s="1"/>
  <c r="H13" i="38"/>
  <c r="I13" i="38"/>
  <c r="Q13" i="38" s="1"/>
  <c r="H14" i="38"/>
  <c r="I14" i="38"/>
  <c r="P14" i="38" s="1"/>
  <c r="H15" i="38"/>
  <c r="I15" i="38"/>
  <c r="N15" i="38" s="1"/>
  <c r="H16" i="38"/>
  <c r="I16" i="38"/>
  <c r="Q16" i="38" s="1"/>
  <c r="H17" i="38"/>
  <c r="I17" i="38"/>
  <c r="O17" i="38" s="1"/>
  <c r="H18" i="38"/>
  <c r="I18" i="38"/>
  <c r="N18" i="38" s="1"/>
  <c r="H19" i="38"/>
  <c r="I19" i="38"/>
  <c r="Q19" i="38" s="1"/>
  <c r="H20" i="38"/>
  <c r="I20" i="38"/>
  <c r="P20" i="38" s="1"/>
  <c r="H21" i="38"/>
  <c r="I21" i="38"/>
  <c r="O21" i="38" s="1"/>
  <c r="H22" i="38"/>
  <c r="I22" i="38"/>
  <c r="N22" i="38" s="1"/>
  <c r="H23" i="38"/>
  <c r="I23" i="38"/>
  <c r="P23" i="38" s="1"/>
  <c r="H24" i="38"/>
  <c r="I24" i="38"/>
  <c r="O24" i="38" s="1"/>
  <c r="H25" i="38"/>
  <c r="I25" i="38"/>
  <c r="N25" i="38" s="1"/>
  <c r="H26" i="38"/>
  <c r="I26" i="38"/>
  <c r="Q26" i="38" s="1"/>
  <c r="H27" i="38"/>
  <c r="I27" i="38"/>
  <c r="P27" i="38" s="1"/>
  <c r="H28" i="38"/>
  <c r="I28" i="38"/>
  <c r="O28" i="38" s="1"/>
  <c r="H29" i="38"/>
  <c r="I29" i="38"/>
  <c r="Q29" i="38" s="1"/>
  <c r="H30" i="38"/>
  <c r="I30" i="38"/>
  <c r="P30" i="38" s="1"/>
  <c r="H31" i="38"/>
  <c r="I31" i="38"/>
  <c r="O31" i="38" s="1"/>
  <c r="H32" i="38"/>
  <c r="I32" i="38"/>
  <c r="N32" i="38" s="1"/>
  <c r="H33" i="38"/>
  <c r="I33" i="38"/>
  <c r="Q33" i="38" s="1"/>
  <c r="H34" i="38"/>
  <c r="I34" i="38"/>
  <c r="P34" i="38" s="1"/>
  <c r="H35" i="38"/>
  <c r="I35" i="38"/>
  <c r="O35" i="38" s="1"/>
  <c r="H36" i="38"/>
  <c r="I36" i="38"/>
  <c r="N36" i="38" s="1"/>
  <c r="H37" i="38"/>
  <c r="I37" i="38"/>
  <c r="Q37" i="38" s="1"/>
  <c r="H38" i="38"/>
  <c r="I38" i="38"/>
  <c r="P38" i="38" s="1"/>
  <c r="H39" i="38"/>
  <c r="I39" i="38"/>
  <c r="O39" i="38" s="1"/>
  <c r="H40" i="38"/>
  <c r="I40" i="38"/>
  <c r="N40" i="38" s="1"/>
  <c r="H41" i="38"/>
  <c r="I41" i="38"/>
  <c r="Q41" i="38" s="1"/>
  <c r="H42" i="38"/>
  <c r="I42" i="38"/>
  <c r="P42" i="38" s="1"/>
  <c r="H43" i="38"/>
  <c r="I43" i="38"/>
  <c r="O43" i="38" s="1"/>
  <c r="H44" i="38"/>
  <c r="I44" i="38"/>
  <c r="N44" i="38" s="1"/>
  <c r="H45" i="38"/>
  <c r="I45" i="38"/>
  <c r="Q45" i="38" s="1"/>
  <c r="H46" i="38"/>
  <c r="I46" i="38"/>
  <c r="P46" i="38" s="1"/>
  <c r="H47" i="38"/>
  <c r="I47" i="38"/>
  <c r="O47" i="38" s="1"/>
  <c r="H48" i="38"/>
  <c r="I48" i="38"/>
  <c r="N48" i="38" s="1"/>
  <c r="H49" i="38"/>
  <c r="I49" i="38"/>
  <c r="Q49" i="38" s="1"/>
  <c r="H50" i="38"/>
  <c r="I50" i="38"/>
  <c r="P50" i="38" s="1"/>
  <c r="H51" i="38"/>
  <c r="I51" i="38"/>
  <c r="O51" i="38" s="1"/>
  <c r="H52" i="38"/>
  <c r="I52" i="38"/>
  <c r="N52" i="38" s="1"/>
  <c r="H78" i="41"/>
  <c r="H79" i="41"/>
  <c r="H80" i="41"/>
  <c r="H81" i="41"/>
  <c r="H101" i="41"/>
  <c r="H83" i="41"/>
  <c r="H84" i="41"/>
  <c r="H102" i="41"/>
  <c r="S25" i="3" l="1"/>
  <c r="Q25" i="3"/>
  <c r="R25" i="3"/>
  <c r="O25" i="3"/>
  <c r="P25" i="3"/>
  <c r="Q52" i="38"/>
  <c r="R51" i="38"/>
  <c r="N51" i="38"/>
  <c r="S51" i="38" s="1"/>
  <c r="O50" i="38"/>
  <c r="P49" i="38"/>
  <c r="Q48" i="38"/>
  <c r="R47" i="38"/>
  <c r="N47" i="38"/>
  <c r="O46" i="38"/>
  <c r="P45" i="38"/>
  <c r="Q44" i="38"/>
  <c r="R43" i="38"/>
  <c r="N43" i="38"/>
  <c r="O42" i="38"/>
  <c r="P41" i="38"/>
  <c r="Q40" i="38"/>
  <c r="R39" i="38"/>
  <c r="N39" i="38"/>
  <c r="O38" i="38"/>
  <c r="S38" i="38" s="1"/>
  <c r="P37" i="38"/>
  <c r="Q36" i="38"/>
  <c r="R35" i="38"/>
  <c r="N35" i="38"/>
  <c r="O34" i="38"/>
  <c r="P33" i="38"/>
  <c r="Q32" i="38"/>
  <c r="R31" i="38"/>
  <c r="N31" i="38"/>
  <c r="O30" i="38"/>
  <c r="P29" i="38"/>
  <c r="R28" i="38"/>
  <c r="N28" i="38"/>
  <c r="O27" i="38"/>
  <c r="P26" i="38"/>
  <c r="Q25" i="38"/>
  <c r="R24" i="38"/>
  <c r="N24" i="38"/>
  <c r="O23" i="38"/>
  <c r="Q22" i="38"/>
  <c r="R21" i="38"/>
  <c r="N21" i="38"/>
  <c r="O20" i="38"/>
  <c r="P19" i="38"/>
  <c r="S19" i="38" s="1"/>
  <c r="Q18" i="38"/>
  <c r="R17" i="38"/>
  <c r="N17" i="38"/>
  <c r="P16" i="38"/>
  <c r="Q15" i="38"/>
  <c r="O14" i="38"/>
  <c r="P13" i="38"/>
  <c r="Q12" i="38"/>
  <c r="R11" i="38"/>
  <c r="N11" i="38"/>
  <c r="O10" i="38"/>
  <c r="P9" i="38"/>
  <c r="R8" i="38"/>
  <c r="N8" i="38"/>
  <c r="O7" i="38"/>
  <c r="P52" i="38"/>
  <c r="Q51" i="38"/>
  <c r="R50" i="38"/>
  <c r="N50" i="38"/>
  <c r="O49" i="38"/>
  <c r="P48" i="38"/>
  <c r="Q47" i="38"/>
  <c r="R46" i="38"/>
  <c r="N46" i="38"/>
  <c r="S46" i="38" s="1"/>
  <c r="O45" i="38"/>
  <c r="P44" i="38"/>
  <c r="Q43" i="38"/>
  <c r="R42" i="38"/>
  <c r="N42" i="38"/>
  <c r="O41" i="38"/>
  <c r="P40" i="38"/>
  <c r="Q39" i="38"/>
  <c r="R38" i="38"/>
  <c r="N38" i="38"/>
  <c r="O37" i="38"/>
  <c r="P36" i="38"/>
  <c r="S36" i="38" s="1"/>
  <c r="Q35" i="38"/>
  <c r="R34" i="38"/>
  <c r="N34" i="38"/>
  <c r="O33" i="38"/>
  <c r="S33" i="38" s="1"/>
  <c r="P32" i="38"/>
  <c r="Q31" i="38"/>
  <c r="R30" i="38"/>
  <c r="N30" i="38"/>
  <c r="O29" i="38"/>
  <c r="Q28" i="38"/>
  <c r="R27" i="38"/>
  <c r="N27" i="38"/>
  <c r="S27" i="38" s="1"/>
  <c r="O26" i="38"/>
  <c r="P25" i="38"/>
  <c r="Q24" i="38"/>
  <c r="R23" i="38"/>
  <c r="N23" i="38"/>
  <c r="P22" i="38"/>
  <c r="Q21" i="38"/>
  <c r="R20" i="38"/>
  <c r="N20" i="38"/>
  <c r="O19" i="38"/>
  <c r="P18" i="38"/>
  <c r="Q17" i="38"/>
  <c r="S17" i="38" s="1"/>
  <c r="O16" i="38"/>
  <c r="P15" i="38"/>
  <c r="R14" i="38"/>
  <c r="N14" i="38"/>
  <c r="O13" i="38"/>
  <c r="P12" i="38"/>
  <c r="Q11" i="38"/>
  <c r="R10" i="38"/>
  <c r="N10" i="38"/>
  <c r="O9" i="38"/>
  <c r="Q8" i="38"/>
  <c r="R7" i="38"/>
  <c r="S7" i="38" s="1"/>
  <c r="N7" i="38"/>
  <c r="O52" i="38"/>
  <c r="P51" i="38"/>
  <c r="Q50" i="38"/>
  <c r="R49" i="38"/>
  <c r="N49" i="38"/>
  <c r="O48" i="38"/>
  <c r="P47" i="38"/>
  <c r="Q46" i="38"/>
  <c r="R45" i="38"/>
  <c r="N45" i="38"/>
  <c r="S45" i="38" s="1"/>
  <c r="O44" i="38"/>
  <c r="P43" i="38"/>
  <c r="Q42" i="38"/>
  <c r="R41" i="38"/>
  <c r="N41" i="38"/>
  <c r="O40" i="38"/>
  <c r="P39" i="38"/>
  <c r="Q38" i="38"/>
  <c r="R37" i="38"/>
  <c r="N37" i="38"/>
  <c r="O36" i="38"/>
  <c r="P35" i="38"/>
  <c r="Q34" i="38"/>
  <c r="R33" i="38"/>
  <c r="N33" i="38"/>
  <c r="O32" i="38"/>
  <c r="P31" i="38"/>
  <c r="Q30" i="38"/>
  <c r="R29" i="38"/>
  <c r="N29" i="38"/>
  <c r="P28" i="38"/>
  <c r="Q27" i="38"/>
  <c r="R26" i="38"/>
  <c r="N26" i="38"/>
  <c r="S26" i="38" s="1"/>
  <c r="O25" i="38"/>
  <c r="S25" i="38" s="1"/>
  <c r="P24" i="38"/>
  <c r="Q23" i="38"/>
  <c r="O22" i="38"/>
  <c r="P21" i="38"/>
  <c r="Q20" i="38"/>
  <c r="R19" i="38"/>
  <c r="N19" i="38"/>
  <c r="O18" i="38"/>
  <c r="P17" i="38"/>
  <c r="R16" i="38"/>
  <c r="N16" i="38"/>
  <c r="O15" i="38"/>
  <c r="Q14" i="38"/>
  <c r="R13" i="38"/>
  <c r="N13" i="38"/>
  <c r="O12" i="38"/>
  <c r="P11" i="38"/>
  <c r="Q10" i="38"/>
  <c r="R9" i="38"/>
  <c r="N9" i="38"/>
  <c r="P8" i="38"/>
  <c r="Q7" i="38"/>
  <c r="R52" i="38"/>
  <c r="R48" i="38"/>
  <c r="R44" i="38"/>
  <c r="R40" i="38"/>
  <c r="R36" i="38"/>
  <c r="R32" i="38"/>
  <c r="R25" i="38"/>
  <c r="R22" i="38"/>
  <c r="R18" i="38"/>
  <c r="R15" i="38"/>
  <c r="R12" i="38"/>
  <c r="R58" i="2"/>
  <c r="O49" i="2"/>
  <c r="P44" i="2"/>
  <c r="R34" i="2"/>
  <c r="N58" i="2"/>
  <c r="Q47" i="2"/>
  <c r="R42" i="2"/>
  <c r="N34" i="2"/>
  <c r="P60" i="2"/>
  <c r="P52" i="2"/>
  <c r="R46" i="2"/>
  <c r="N42" i="2"/>
  <c r="Q59" i="2"/>
  <c r="Q51" i="2"/>
  <c r="N46" i="2"/>
  <c r="P40" i="2"/>
  <c r="O57" i="2"/>
  <c r="P56" i="2"/>
  <c r="Q55" i="2"/>
  <c r="R54" i="2"/>
  <c r="N54" i="2"/>
  <c r="O53" i="2"/>
  <c r="R50" i="2"/>
  <c r="N50" i="2"/>
  <c r="P48" i="2"/>
  <c r="O45" i="2"/>
  <c r="Q43" i="2"/>
  <c r="O41" i="2"/>
  <c r="Q39" i="2"/>
  <c r="R38" i="2"/>
  <c r="N38" i="2"/>
  <c r="O37" i="2"/>
  <c r="P36" i="2"/>
  <c r="Q35" i="2"/>
  <c r="O33" i="2"/>
  <c r="P32" i="2"/>
  <c r="Q31" i="2"/>
  <c r="R30" i="2"/>
  <c r="N30" i="2"/>
  <c r="O29" i="2"/>
  <c r="P28" i="2"/>
  <c r="Q27" i="2"/>
  <c r="O26" i="2"/>
  <c r="P25" i="2"/>
  <c r="Q24" i="2"/>
  <c r="R23" i="2"/>
  <c r="N23" i="2"/>
  <c r="O22" i="2"/>
  <c r="P21" i="2"/>
  <c r="Q20" i="2"/>
  <c r="R19" i="2"/>
  <c r="N19" i="2"/>
  <c r="O18" i="2"/>
  <c r="P17" i="2"/>
  <c r="Q16" i="2"/>
  <c r="R15" i="2"/>
  <c r="N15" i="2"/>
  <c r="O14" i="2"/>
  <c r="P13" i="2"/>
  <c r="Q12" i="2"/>
  <c r="R11" i="2"/>
  <c r="N11" i="2"/>
  <c r="O10" i="2"/>
  <c r="P9" i="2"/>
  <c r="Q8" i="2"/>
  <c r="R7" i="2"/>
  <c r="N7" i="2"/>
  <c r="O60" i="2"/>
  <c r="P59" i="2"/>
  <c r="Q58" i="2"/>
  <c r="R57" i="2"/>
  <c r="N57" i="2"/>
  <c r="O56" i="2"/>
  <c r="P55" i="2"/>
  <c r="Q54" i="2"/>
  <c r="R53" i="2"/>
  <c r="N53" i="2"/>
  <c r="O52" i="2"/>
  <c r="P51" i="2"/>
  <c r="Q50" i="2"/>
  <c r="R49" i="2"/>
  <c r="N49" i="2"/>
  <c r="O48" i="2"/>
  <c r="P47" i="2"/>
  <c r="Q46" i="2"/>
  <c r="R45" i="2"/>
  <c r="N45" i="2"/>
  <c r="O44" i="2"/>
  <c r="P43" i="2"/>
  <c r="Q42" i="2"/>
  <c r="R41" i="2"/>
  <c r="N41" i="2"/>
  <c r="O40" i="2"/>
  <c r="P39" i="2"/>
  <c r="Q38" i="2"/>
  <c r="R37" i="2"/>
  <c r="N37" i="2"/>
  <c r="O36" i="2"/>
  <c r="P35" i="2"/>
  <c r="Q34" i="2"/>
  <c r="R33" i="2"/>
  <c r="N33" i="2"/>
  <c r="O32" i="2"/>
  <c r="P31" i="2"/>
  <c r="Q30" i="2"/>
  <c r="R29" i="2"/>
  <c r="N29" i="2"/>
  <c r="O28" i="2"/>
  <c r="P27" i="2"/>
  <c r="R26" i="2"/>
  <c r="N26" i="2"/>
  <c r="O25" i="2"/>
  <c r="P24" i="2"/>
  <c r="Q23" i="2"/>
  <c r="R22" i="2"/>
  <c r="N22" i="2"/>
  <c r="O21" i="2"/>
  <c r="P20" i="2"/>
  <c r="Q19" i="2"/>
  <c r="R18" i="2"/>
  <c r="N18" i="2"/>
  <c r="O17" i="2"/>
  <c r="P16" i="2"/>
  <c r="Q15" i="2"/>
  <c r="R14" i="2"/>
  <c r="N14" i="2"/>
  <c r="O13" i="2"/>
  <c r="P12" i="2"/>
  <c r="Q11" i="2"/>
  <c r="R10" i="2"/>
  <c r="N10" i="2"/>
  <c r="O9" i="2"/>
  <c r="P8" i="2"/>
  <c r="Q7" i="2"/>
  <c r="R60" i="2"/>
  <c r="N60" i="2"/>
  <c r="O59" i="2"/>
  <c r="P58" i="2"/>
  <c r="Q57" i="2"/>
  <c r="R56" i="2"/>
  <c r="N56" i="2"/>
  <c r="O55" i="2"/>
  <c r="P54" i="2"/>
  <c r="Q53" i="2"/>
  <c r="R52" i="2"/>
  <c r="N52" i="2"/>
  <c r="O51" i="2"/>
  <c r="P50" i="2"/>
  <c r="Q49" i="2"/>
  <c r="R48" i="2"/>
  <c r="N48" i="2"/>
  <c r="O47" i="2"/>
  <c r="P46" i="2"/>
  <c r="Q45" i="2"/>
  <c r="R44" i="2"/>
  <c r="N44" i="2"/>
  <c r="O43" i="2"/>
  <c r="P42" i="2"/>
  <c r="Q41" i="2"/>
  <c r="R40" i="2"/>
  <c r="N40" i="2"/>
  <c r="O39" i="2"/>
  <c r="P38" i="2"/>
  <c r="Q37" i="2"/>
  <c r="R36" i="2"/>
  <c r="N36" i="2"/>
  <c r="O35" i="2"/>
  <c r="P34" i="2"/>
  <c r="Q33" i="2"/>
  <c r="R32" i="2"/>
  <c r="N32" i="2"/>
  <c r="O31" i="2"/>
  <c r="P30" i="2"/>
  <c r="Q29" i="2"/>
  <c r="R28" i="2"/>
  <c r="N28" i="2"/>
  <c r="O27" i="2"/>
  <c r="Q26" i="2"/>
  <c r="R25" i="2"/>
  <c r="N25" i="2"/>
  <c r="O24" i="2"/>
  <c r="P23" i="2"/>
  <c r="Q22" i="2"/>
  <c r="R21" i="2"/>
  <c r="N21" i="2"/>
  <c r="O20" i="2"/>
  <c r="P19" i="2"/>
  <c r="Q18" i="2"/>
  <c r="R17" i="2"/>
  <c r="N17" i="2"/>
  <c r="O16" i="2"/>
  <c r="P15" i="2"/>
  <c r="Q14" i="2"/>
  <c r="R13" i="2"/>
  <c r="N13" i="2"/>
  <c r="O12" i="2"/>
  <c r="P11" i="2"/>
  <c r="Q10" i="2"/>
  <c r="R9" i="2"/>
  <c r="N9" i="2"/>
  <c r="O8" i="2"/>
  <c r="P7" i="2"/>
  <c r="R59" i="2"/>
  <c r="R55" i="2"/>
  <c r="R51" i="2"/>
  <c r="R47" i="2"/>
  <c r="R43" i="2"/>
  <c r="R39" i="2"/>
  <c r="R35" i="2"/>
  <c r="R31" i="2"/>
  <c r="R27" i="2"/>
  <c r="R24" i="2"/>
  <c r="R20" i="2"/>
  <c r="R16" i="2"/>
  <c r="R12" i="2"/>
  <c r="R8" i="2"/>
  <c r="H209" i="22"/>
  <c r="I209" i="22"/>
  <c r="N209" i="22" s="1"/>
  <c r="H210" i="22"/>
  <c r="I210" i="22"/>
  <c r="H211" i="22"/>
  <c r="I211" i="22"/>
  <c r="P211" i="22" s="1"/>
  <c r="H212" i="22"/>
  <c r="I212" i="22"/>
  <c r="H213" i="22"/>
  <c r="I213" i="22"/>
  <c r="O213" i="22" s="1"/>
  <c r="H214" i="22"/>
  <c r="I214" i="22"/>
  <c r="H215" i="22"/>
  <c r="I215" i="22"/>
  <c r="N215" i="22" s="1"/>
  <c r="H216" i="22"/>
  <c r="H217" i="22"/>
  <c r="I217" i="22"/>
  <c r="Q217" i="22" s="1"/>
  <c r="H218" i="22"/>
  <c r="I218" i="22"/>
  <c r="Q218" i="22" s="1"/>
  <c r="H219" i="22"/>
  <c r="I219" i="22"/>
  <c r="P219" i="22" s="1"/>
  <c r="H220" i="22"/>
  <c r="I220" i="22"/>
  <c r="H221" i="22"/>
  <c r="I221" i="22"/>
  <c r="O221" i="22" s="1"/>
  <c r="H222" i="22"/>
  <c r="I222" i="22"/>
  <c r="N222" i="22" s="1"/>
  <c r="H223" i="22"/>
  <c r="I223" i="22"/>
  <c r="H224" i="22"/>
  <c r="I224" i="22"/>
  <c r="Q224" i="22" s="1"/>
  <c r="H225" i="22"/>
  <c r="I225" i="22"/>
  <c r="H226" i="22"/>
  <c r="I226" i="22"/>
  <c r="P226" i="22" s="1"/>
  <c r="H227" i="22"/>
  <c r="I227" i="22"/>
  <c r="O227" i="22" s="1"/>
  <c r="H228" i="22"/>
  <c r="H229" i="22"/>
  <c r="I229" i="22"/>
  <c r="N229" i="22" s="1"/>
  <c r="H230" i="22"/>
  <c r="H231" i="22"/>
  <c r="I231" i="22"/>
  <c r="Q231" i="22" s="1"/>
  <c r="H232" i="22"/>
  <c r="H233" i="22"/>
  <c r="I233" i="22"/>
  <c r="P233" i="22" s="1"/>
  <c r="H234" i="22"/>
  <c r="I234" i="22"/>
  <c r="H235" i="22"/>
  <c r="I235" i="22"/>
  <c r="O235" i="22" s="1"/>
  <c r="H236" i="22"/>
  <c r="H237" i="22"/>
  <c r="I237" i="22"/>
  <c r="N237" i="22" s="1"/>
  <c r="H238" i="22"/>
  <c r="I238" i="22"/>
  <c r="H239" i="22"/>
  <c r="I239" i="22"/>
  <c r="Q239" i="22" s="1"/>
  <c r="H240" i="22"/>
  <c r="I240" i="22"/>
  <c r="H241" i="22"/>
  <c r="P241" i="22"/>
  <c r="H242" i="22"/>
  <c r="H243" i="22"/>
  <c r="O243" i="22"/>
  <c r="H244" i="22"/>
  <c r="H245" i="22"/>
  <c r="N245" i="22"/>
  <c r="H246" i="22"/>
  <c r="I246" i="22"/>
  <c r="H247" i="22"/>
  <c r="Q247" i="22"/>
  <c r="H248" i="22"/>
  <c r="I248" i="22"/>
  <c r="N248" i="22" s="1"/>
  <c r="H249" i="22"/>
  <c r="I249" i="22"/>
  <c r="P249" i="22" s="1"/>
  <c r="H250" i="22"/>
  <c r="H251" i="22"/>
  <c r="I251" i="22"/>
  <c r="O251" i="22" s="1"/>
  <c r="N235" i="22"/>
  <c r="S32" i="38" l="1"/>
  <c r="S12" i="38"/>
  <c r="S41" i="38"/>
  <c r="S14" i="38"/>
  <c r="T25" i="3"/>
  <c r="S23" i="38"/>
  <c r="S42" i="38"/>
  <c r="S10" i="38"/>
  <c r="S20" i="38"/>
  <c r="S30" i="38"/>
  <c r="S39" i="38"/>
  <c r="S11" i="38"/>
  <c r="S21" i="38"/>
  <c r="S35" i="38"/>
  <c r="S59" i="2"/>
  <c r="S27" i="2"/>
  <c r="S49" i="38"/>
  <c r="S50" i="38"/>
  <c r="S22" i="38"/>
  <c r="S52" i="38"/>
  <c r="S40" i="38"/>
  <c r="S24" i="38"/>
  <c r="S31" i="38"/>
  <c r="S37" i="38"/>
  <c r="S43" i="38"/>
  <c r="S47" i="38"/>
  <c r="S43" i="2"/>
  <c r="S41" i="2"/>
  <c r="S55" i="2"/>
  <c r="S18" i="2"/>
  <c r="S28" i="2"/>
  <c r="S34" i="2"/>
  <c r="S50" i="2"/>
  <c r="S30" i="2"/>
  <c r="S38" i="2"/>
  <c r="S35" i="2"/>
  <c r="S60" i="2"/>
  <c r="S19" i="2"/>
  <c r="S8" i="2"/>
  <c r="S40" i="2"/>
  <c r="S44" i="2"/>
  <c r="S53" i="2"/>
  <c r="S56" i="2"/>
  <c r="S7" i="2"/>
  <c r="S14" i="2"/>
  <c r="S29" i="2"/>
  <c r="S33" i="2"/>
  <c r="S36" i="2"/>
  <c r="S42" i="2"/>
  <c r="S45" i="2"/>
  <c r="S49" i="2"/>
  <c r="S52" i="2"/>
  <c r="S58" i="2"/>
  <c r="S11" i="2"/>
  <c r="S54" i="2"/>
  <c r="S24" i="2"/>
  <c r="S15" i="2"/>
  <c r="S46" i="2"/>
  <c r="S34" i="38"/>
  <c r="S16" i="38"/>
  <c r="S18" i="38"/>
  <c r="S9" i="38"/>
  <c r="S28" i="38"/>
  <c r="S15" i="38"/>
  <c r="S44" i="38"/>
  <c r="S13" i="38"/>
  <c r="S29" i="38"/>
  <c r="S48" i="38"/>
  <c r="S8" i="38"/>
  <c r="N219" i="22"/>
  <c r="Q221" i="22"/>
  <c r="O209" i="22"/>
  <c r="R213" i="22"/>
  <c r="S57" i="2"/>
  <c r="S39" i="2"/>
  <c r="S12" i="2"/>
  <c r="S37" i="2"/>
  <c r="S47" i="2"/>
  <c r="S10" i="2"/>
  <c r="S13" i="2"/>
  <c r="S17" i="2"/>
  <c r="S20" i="2"/>
  <c r="S23" i="2"/>
  <c r="S21" i="2"/>
  <c r="S48" i="2"/>
  <c r="S9" i="2"/>
  <c r="S22" i="2"/>
  <c r="S25" i="2"/>
  <c r="S32" i="2"/>
  <c r="S31" i="2"/>
  <c r="S16" i="2"/>
  <c r="S26" i="2"/>
  <c r="S51" i="2"/>
  <c r="R219" i="22"/>
  <c r="P213" i="22"/>
  <c r="N227" i="22"/>
  <c r="Q215" i="22"/>
  <c r="R241" i="22"/>
  <c r="N224" i="22"/>
  <c r="P217" i="22"/>
  <c r="Q211" i="22"/>
  <c r="Q229" i="22"/>
  <c r="P209" i="22"/>
  <c r="Q237" i="22"/>
  <c r="N233" i="22"/>
  <c r="P229" i="22"/>
  <c r="O226" i="22"/>
  <c r="Q222" i="22"/>
  <c r="N221" i="22"/>
  <c r="R217" i="22"/>
  <c r="P215" i="22"/>
  <c r="R211" i="22"/>
  <c r="Q235" i="22"/>
  <c r="P231" i="22"/>
  <c r="R227" i="22"/>
  <c r="R224" i="22"/>
  <c r="O222" i="22"/>
  <c r="N251" i="22"/>
  <c r="P235" i="22"/>
  <c r="O231" i="22"/>
  <c r="P227" i="22"/>
  <c r="O224" i="22"/>
  <c r="R221" i="22"/>
  <c r="Q219" i="22"/>
  <c r="N217" i="22"/>
  <c r="Q213" i="22"/>
  <c r="O211" i="22"/>
  <c r="N247" i="22"/>
  <c r="O237" i="22"/>
  <c r="R226" i="22"/>
  <c r="O239" i="22"/>
  <c r="N226" i="22"/>
  <c r="Q209" i="22"/>
  <c r="N249" i="22"/>
  <c r="R239" i="22"/>
  <c r="R235" i="22"/>
  <c r="Q233" i="22"/>
  <c r="N231" i="22"/>
  <c r="Q227" i="22"/>
  <c r="Q226" i="22"/>
  <c r="P224" i="22"/>
  <c r="P222" i="22"/>
  <c r="P221" i="22"/>
  <c r="O219" i="22"/>
  <c r="O217" i="22"/>
  <c r="O215" i="22"/>
  <c r="N213" i="22"/>
  <c r="N211" i="22"/>
  <c r="R243" i="22"/>
  <c r="Q251" i="22"/>
  <c r="P247" i="22"/>
  <c r="P243" i="22"/>
  <c r="P239" i="22"/>
  <c r="P237" i="22"/>
  <c r="R231" i="22"/>
  <c r="Q249" i="22"/>
  <c r="P245" i="22"/>
  <c r="O241" i="22"/>
  <c r="N239" i="22"/>
  <c r="O229" i="22"/>
  <c r="P251" i="22"/>
  <c r="O249" i="22"/>
  <c r="O247" i="22"/>
  <c r="O245" i="22"/>
  <c r="N243" i="22"/>
  <c r="N241" i="22"/>
  <c r="R233" i="22"/>
  <c r="R251" i="22"/>
  <c r="R249" i="22"/>
  <c r="R247" i="22"/>
  <c r="Q245" i="22"/>
  <c r="Q243" i="22"/>
  <c r="Q241" i="22"/>
  <c r="O233" i="22"/>
  <c r="R209" i="22"/>
  <c r="R245" i="22"/>
  <c r="R237" i="22"/>
  <c r="R229" i="22"/>
  <c r="R222" i="22"/>
  <c r="R215" i="22"/>
  <c r="O250" i="22"/>
  <c r="N250" i="22"/>
  <c r="R250" i="22"/>
  <c r="Q246" i="22"/>
  <c r="P246" i="22"/>
  <c r="P244" i="22"/>
  <c r="O244" i="22"/>
  <c r="O242" i="22"/>
  <c r="R242" i="22"/>
  <c r="N240" i="22"/>
  <c r="Q240" i="22"/>
  <c r="Q238" i="22"/>
  <c r="P238" i="22"/>
  <c r="P236" i="22"/>
  <c r="O236" i="22"/>
  <c r="O234" i="22"/>
  <c r="N234" i="22"/>
  <c r="R234" i="22"/>
  <c r="N232" i="22"/>
  <c r="Q232" i="22"/>
  <c r="Q230" i="22"/>
  <c r="P230" i="22"/>
  <c r="P228" i="22"/>
  <c r="O228" i="22"/>
  <c r="N225" i="22"/>
  <c r="Q225" i="22"/>
  <c r="Q223" i="22"/>
  <c r="P223" i="22"/>
  <c r="N220" i="22"/>
  <c r="Q220" i="22"/>
  <c r="P216" i="22"/>
  <c r="O216" i="22"/>
  <c r="O214" i="22"/>
  <c r="N214" i="22"/>
  <c r="R214" i="22"/>
  <c r="N212" i="22"/>
  <c r="Q212" i="22"/>
  <c r="P210" i="22"/>
  <c r="O210" i="22"/>
  <c r="P218" i="22"/>
  <c r="Q248" i="22"/>
  <c r="N242" i="22"/>
  <c r="Q250" i="22"/>
  <c r="P248" i="22"/>
  <c r="O246" i="22"/>
  <c r="R244" i="22"/>
  <c r="N244" i="22"/>
  <c r="Q242" i="22"/>
  <c r="P240" i="22"/>
  <c r="O238" i="22"/>
  <c r="R236" i="22"/>
  <c r="N236" i="22"/>
  <c r="Q234" i="22"/>
  <c r="P232" i="22"/>
  <c r="O230" i="22"/>
  <c r="R228" i="22"/>
  <c r="N228" i="22"/>
  <c r="P225" i="22"/>
  <c r="O223" i="22"/>
  <c r="P220" i="22"/>
  <c r="O218" i="22"/>
  <c r="R216" i="22"/>
  <c r="N216" i="22"/>
  <c r="Q214" i="22"/>
  <c r="P212" i="22"/>
  <c r="R210" i="22"/>
  <c r="N210" i="22"/>
  <c r="P250" i="22"/>
  <c r="O248" i="22"/>
  <c r="R246" i="22"/>
  <c r="N246" i="22"/>
  <c r="Q244" i="22"/>
  <c r="P242" i="22"/>
  <c r="O240" i="22"/>
  <c r="R238" i="22"/>
  <c r="N238" i="22"/>
  <c r="Q236" i="22"/>
  <c r="P234" i="22"/>
  <c r="O232" i="22"/>
  <c r="R230" i="22"/>
  <c r="N230" i="22"/>
  <c r="Q228" i="22"/>
  <c r="O225" i="22"/>
  <c r="R223" i="22"/>
  <c r="N223" i="22"/>
  <c r="O220" i="22"/>
  <c r="R218" i="22"/>
  <c r="N218" i="22"/>
  <c r="Q216" i="22"/>
  <c r="P214" i="22"/>
  <c r="O212" i="22"/>
  <c r="Q210" i="22"/>
  <c r="R248" i="22"/>
  <c r="R240" i="22"/>
  <c r="R232" i="22"/>
  <c r="R225" i="22"/>
  <c r="R220" i="22"/>
  <c r="R212" i="22"/>
  <c r="S219" i="22" l="1"/>
  <c r="S209" i="22"/>
  <c r="S221" i="22"/>
  <c r="S235" i="22"/>
  <c r="S227" i="22"/>
  <c r="S229" i="22"/>
  <c r="S231" i="22"/>
  <c r="S222" i="22"/>
  <c r="S241" i="22"/>
  <c r="S243" i="22"/>
  <c r="S217" i="22"/>
  <c r="S224" i="22"/>
  <c r="S213" i="22"/>
  <c r="S215" i="22"/>
  <c r="S237" i="22"/>
  <c r="S211" i="22"/>
  <c r="S226" i="22"/>
  <c r="S239" i="22"/>
  <c r="S245" i="22"/>
  <c r="S233" i="22"/>
  <c r="S249" i="22"/>
  <c r="S220" i="22"/>
  <c r="S238" i="22"/>
  <c r="S251" i="22"/>
  <c r="S247" i="22"/>
  <c r="S210" i="22"/>
  <c r="S218" i="22"/>
  <c r="S223" i="22"/>
  <c r="S228" i="22"/>
  <c r="S240" i="22"/>
  <c r="S212" i="22"/>
  <c r="S230" i="22"/>
  <c r="S225" i="22"/>
  <c r="S244" i="22"/>
  <c r="S232" i="22"/>
  <c r="S248" i="22"/>
  <c r="S246" i="22"/>
  <c r="S242" i="22"/>
  <c r="S236" i="22"/>
  <c r="S234" i="22"/>
  <c r="S214" i="22"/>
  <c r="S216" i="22"/>
  <c r="S250" i="22"/>
  <c r="H8" i="9" l="1"/>
  <c r="I8" i="9"/>
  <c r="H7" i="9"/>
  <c r="I7" i="9"/>
  <c r="H9" i="9"/>
  <c r="I9" i="9"/>
  <c r="H10" i="9"/>
  <c r="I10" i="9"/>
  <c r="R9" i="9" s="1"/>
  <c r="H11" i="9"/>
  <c r="I11" i="9"/>
  <c r="H12" i="9"/>
  <c r="I12" i="9"/>
  <c r="H13" i="9"/>
  <c r="I13" i="9"/>
  <c r="H14" i="9"/>
  <c r="I14" i="9"/>
  <c r="O14" i="9" s="1"/>
  <c r="H15" i="9"/>
  <c r="I15" i="9"/>
  <c r="H16" i="9"/>
  <c r="I16" i="9"/>
  <c r="N15" i="9" s="1"/>
  <c r="H17" i="9"/>
  <c r="I17" i="9"/>
  <c r="H20" i="9"/>
  <c r="I20" i="9"/>
  <c r="H21" i="9"/>
  <c r="I21" i="9"/>
  <c r="H23" i="9"/>
  <c r="I23" i="9"/>
  <c r="N23" i="9" s="1"/>
  <c r="H22" i="9"/>
  <c r="I22" i="9"/>
  <c r="H19" i="9"/>
  <c r="I19" i="9"/>
  <c r="N21" i="9" s="1"/>
  <c r="H18" i="9"/>
  <c r="I18" i="9"/>
  <c r="H26" i="9"/>
  <c r="I26" i="9"/>
  <c r="N24" i="9" s="1"/>
  <c r="H24" i="9"/>
  <c r="I24" i="9"/>
  <c r="H27" i="9"/>
  <c r="I27" i="9"/>
  <c r="H28" i="9"/>
  <c r="I28" i="9"/>
  <c r="H25" i="9"/>
  <c r="I25" i="9"/>
  <c r="H29" i="9"/>
  <c r="I29" i="9"/>
  <c r="R29" i="9" s="1"/>
  <c r="H30" i="9"/>
  <c r="I30" i="9"/>
  <c r="P30" i="9" s="1"/>
  <c r="H31" i="9"/>
  <c r="I31" i="9"/>
  <c r="H33" i="9"/>
  <c r="I33" i="9"/>
  <c r="H32" i="9"/>
  <c r="I32" i="9"/>
  <c r="H37" i="9"/>
  <c r="I37" i="9"/>
  <c r="H38" i="9"/>
  <c r="I38" i="9"/>
  <c r="H39" i="9"/>
  <c r="I39" i="9"/>
  <c r="H40" i="9"/>
  <c r="I40" i="9"/>
  <c r="H47" i="9"/>
  <c r="I47" i="9"/>
  <c r="H48" i="9"/>
  <c r="I48" i="9"/>
  <c r="H51" i="9"/>
  <c r="I51" i="9"/>
  <c r="R47" i="9" s="1"/>
  <c r="H52" i="9"/>
  <c r="I52" i="9"/>
  <c r="H49" i="9"/>
  <c r="I49" i="9"/>
  <c r="H54" i="9"/>
  <c r="I54" i="9"/>
  <c r="H55" i="9"/>
  <c r="I55" i="9"/>
  <c r="H53" i="9"/>
  <c r="I53" i="9"/>
  <c r="H56" i="9"/>
  <c r="I56" i="9"/>
  <c r="O52" i="9" s="1"/>
  <c r="H58" i="9"/>
  <c r="I58" i="9"/>
  <c r="H59" i="9"/>
  <c r="I59" i="9"/>
  <c r="O51" i="9" s="1"/>
  <c r="H57" i="9"/>
  <c r="I57" i="9"/>
  <c r="H61" i="9"/>
  <c r="I61" i="9"/>
  <c r="H60" i="9"/>
  <c r="I60" i="9"/>
  <c r="H63" i="9"/>
  <c r="I63" i="9"/>
  <c r="H64" i="9"/>
  <c r="I64" i="9"/>
  <c r="H65" i="9"/>
  <c r="I65" i="9"/>
  <c r="H35" i="9"/>
  <c r="I35" i="9"/>
  <c r="H34" i="9"/>
  <c r="I34" i="9"/>
  <c r="H50" i="9"/>
  <c r="I50" i="9"/>
  <c r="H41" i="9"/>
  <c r="I41" i="9"/>
  <c r="H43" i="9"/>
  <c r="I43" i="9"/>
  <c r="H42" i="9"/>
  <c r="I42" i="9"/>
  <c r="H62" i="9"/>
  <c r="I62" i="9"/>
  <c r="H46" i="9"/>
  <c r="I46" i="9"/>
  <c r="N40" i="9" s="1"/>
  <c r="H45" i="9"/>
  <c r="I45" i="9"/>
  <c r="H44" i="9"/>
  <c r="I44" i="9"/>
  <c r="H36" i="9"/>
  <c r="I36" i="9"/>
  <c r="N58" i="9" s="1"/>
  <c r="Q59" i="9" l="1"/>
  <c r="N26" i="9"/>
  <c r="R56" i="9"/>
  <c r="Q61" i="9"/>
  <c r="R50" i="9"/>
  <c r="P33" i="9"/>
  <c r="P20" i="9"/>
  <c r="Q32" i="9"/>
  <c r="P46" i="9"/>
  <c r="R44" i="9"/>
  <c r="P42" i="9"/>
  <c r="R35" i="9"/>
  <c r="P25" i="9"/>
  <c r="Q65" i="9"/>
  <c r="P65" i="9"/>
  <c r="N61" i="9"/>
  <c r="R52" i="9"/>
  <c r="R15" i="9"/>
  <c r="Q56" i="9"/>
  <c r="N52" i="9"/>
  <c r="O46" i="9"/>
  <c r="R26" i="9"/>
  <c r="R23" i="9"/>
  <c r="P54" i="9"/>
  <c r="R40" i="9"/>
  <c r="O40" i="9"/>
  <c r="R38" i="9"/>
  <c r="O60" i="9"/>
  <c r="N55" i="9"/>
  <c r="P48" i="9"/>
  <c r="N43" i="9"/>
  <c r="N37" i="9"/>
  <c r="P22" i="9"/>
  <c r="O11" i="9"/>
  <c r="P36" i="9"/>
  <c r="O18" i="9"/>
  <c r="N9" i="9"/>
  <c r="Q39" i="9"/>
  <c r="N39" i="9"/>
  <c r="R39" i="9"/>
  <c r="N62" i="9"/>
  <c r="R62" i="9"/>
  <c r="O62" i="9"/>
  <c r="Q57" i="9"/>
  <c r="N57" i="9"/>
  <c r="R57" i="9"/>
  <c r="O53" i="9"/>
  <c r="P53" i="9"/>
  <c r="P49" i="9"/>
  <c r="Q49" i="9"/>
  <c r="N45" i="9"/>
  <c r="R45" i="9"/>
  <c r="O45" i="9"/>
  <c r="O41" i="9"/>
  <c r="P41" i="9"/>
  <c r="Q34" i="9"/>
  <c r="N34" i="9"/>
  <c r="R34" i="9"/>
  <c r="P31" i="9"/>
  <c r="Q31" i="9"/>
  <c r="Q28" i="9"/>
  <c r="N28" i="9"/>
  <c r="R28" i="9"/>
  <c r="N19" i="9"/>
  <c r="R19" i="9"/>
  <c r="O19" i="9"/>
  <c r="P19" i="9"/>
  <c r="Q17" i="9"/>
  <c r="N17" i="9"/>
  <c r="R17" i="9"/>
  <c r="O17" i="9"/>
  <c r="O12" i="9"/>
  <c r="P12" i="9"/>
  <c r="Q12" i="9"/>
  <c r="N7" i="9"/>
  <c r="R7" i="9"/>
  <c r="O7" i="9"/>
  <c r="P7" i="9"/>
  <c r="O57" i="9"/>
  <c r="P45" i="9"/>
  <c r="O39" i="9"/>
  <c r="R12" i="9"/>
  <c r="Q62" i="9"/>
  <c r="O58" i="9"/>
  <c r="O49" i="9"/>
  <c r="O43" i="9"/>
  <c r="R41" i="9"/>
  <c r="O37" i="9"/>
  <c r="P34" i="9"/>
  <c r="O31" i="9"/>
  <c r="P28" i="9"/>
  <c r="N12" i="9"/>
  <c r="O38" i="9"/>
  <c r="P38" i="9"/>
  <c r="N59" i="9"/>
  <c r="R59" i="9"/>
  <c r="O59" i="9"/>
  <c r="N54" i="9"/>
  <c r="R54" i="9"/>
  <c r="O54" i="9"/>
  <c r="O50" i="9"/>
  <c r="P50" i="9"/>
  <c r="O47" i="9"/>
  <c r="P47" i="9"/>
  <c r="O44" i="9"/>
  <c r="P44" i="9"/>
  <c r="O35" i="9"/>
  <c r="P35" i="9"/>
  <c r="O29" i="9"/>
  <c r="P29" i="9"/>
  <c r="Q25" i="9"/>
  <c r="N25" i="9"/>
  <c r="R25" i="9"/>
  <c r="P18" i="9"/>
  <c r="Q18" i="9"/>
  <c r="N18" i="9"/>
  <c r="R18" i="9"/>
  <c r="O15" i="9"/>
  <c r="P15" i="9"/>
  <c r="Q15" i="9"/>
  <c r="N16" i="9"/>
  <c r="R16" i="9"/>
  <c r="O16" i="9"/>
  <c r="P16" i="9"/>
  <c r="Q13" i="9"/>
  <c r="N13" i="9"/>
  <c r="R13" i="9"/>
  <c r="O13" i="9"/>
  <c r="O9" i="9"/>
  <c r="P9" i="9"/>
  <c r="Q9" i="9"/>
  <c r="Q8" i="9"/>
  <c r="N8" i="9"/>
  <c r="R8" i="9"/>
  <c r="O8" i="9"/>
  <c r="P62" i="9"/>
  <c r="P59" i="9"/>
  <c r="Q53" i="9"/>
  <c r="Q50" i="9"/>
  <c r="N49" i="9"/>
  <c r="Q47" i="9"/>
  <c r="Q44" i="9"/>
  <c r="Q41" i="9"/>
  <c r="Q38" i="9"/>
  <c r="Q35" i="9"/>
  <c r="O34" i="9"/>
  <c r="N31" i="9"/>
  <c r="Q29" i="9"/>
  <c r="O28" i="9"/>
  <c r="O25" i="9"/>
  <c r="P17" i="9"/>
  <c r="P8" i="9"/>
  <c r="P58" i="9"/>
  <c r="Q58" i="9"/>
  <c r="O64" i="9"/>
  <c r="P64" i="9"/>
  <c r="Q60" i="9"/>
  <c r="N60" i="9"/>
  <c r="R60" i="9"/>
  <c r="P55" i="9"/>
  <c r="Q55" i="9"/>
  <c r="Q51" i="9"/>
  <c r="N51" i="9"/>
  <c r="R51" i="9"/>
  <c r="N48" i="9"/>
  <c r="R48" i="9"/>
  <c r="O48" i="9"/>
  <c r="P43" i="9"/>
  <c r="Q43" i="9"/>
  <c r="P37" i="9"/>
  <c r="Q37" i="9"/>
  <c r="O32" i="9"/>
  <c r="P32" i="9"/>
  <c r="N27" i="9"/>
  <c r="R27" i="9"/>
  <c r="O27" i="9"/>
  <c r="O24" i="9"/>
  <c r="P24" i="9"/>
  <c r="O21" i="9"/>
  <c r="P21" i="9"/>
  <c r="N22" i="9"/>
  <c r="R22" i="9"/>
  <c r="O22" i="9"/>
  <c r="P14" i="9"/>
  <c r="Q14" i="9"/>
  <c r="N14" i="9"/>
  <c r="R14" i="9"/>
  <c r="P11" i="9"/>
  <c r="Q11" i="9"/>
  <c r="N11" i="9"/>
  <c r="R11" i="9"/>
  <c r="Q64" i="9"/>
  <c r="R58" i="9"/>
  <c r="R55" i="9"/>
  <c r="R49" i="9"/>
  <c r="R43" i="9"/>
  <c r="R37" i="9"/>
  <c r="R31" i="9"/>
  <c r="P27" i="9"/>
  <c r="Q24" i="9"/>
  <c r="Q21" i="9"/>
  <c r="N64" i="9"/>
  <c r="O55" i="9"/>
  <c r="R53" i="9"/>
  <c r="R32" i="9"/>
  <c r="Q22" i="9"/>
  <c r="P40" i="9"/>
  <c r="Q40" i="9"/>
  <c r="N65" i="9"/>
  <c r="R65" i="9"/>
  <c r="O65" i="9"/>
  <c r="O61" i="9"/>
  <c r="P61" i="9"/>
  <c r="O56" i="9"/>
  <c r="P56" i="9"/>
  <c r="P52" i="9"/>
  <c r="Q52" i="9"/>
  <c r="Q46" i="9"/>
  <c r="N46" i="9"/>
  <c r="R46" i="9"/>
  <c r="N42" i="9"/>
  <c r="R42" i="9"/>
  <c r="O42" i="9"/>
  <c r="N36" i="9"/>
  <c r="R36" i="9"/>
  <c r="O36" i="9"/>
  <c r="N33" i="9"/>
  <c r="R33" i="9"/>
  <c r="O33" i="9"/>
  <c r="N30" i="9"/>
  <c r="R30" i="9"/>
  <c r="O30" i="9"/>
  <c r="P26" i="9"/>
  <c r="Q26" i="9"/>
  <c r="Q20" i="9"/>
  <c r="N20" i="9"/>
  <c r="R20" i="9"/>
  <c r="O20" i="9"/>
  <c r="P23" i="9"/>
  <c r="Q23" i="9"/>
  <c r="N10" i="9"/>
  <c r="R10" i="9"/>
  <c r="O10" i="9"/>
  <c r="P10" i="9"/>
  <c r="R64" i="9"/>
  <c r="R61" i="9"/>
  <c r="P60" i="9"/>
  <c r="P57" i="9"/>
  <c r="N56" i="9"/>
  <c r="Q54" i="9"/>
  <c r="N53" i="9"/>
  <c r="P51" i="9"/>
  <c r="N50" i="9"/>
  <c r="Q48" i="9"/>
  <c r="N47" i="9"/>
  <c r="Q45" i="9"/>
  <c r="N44" i="9"/>
  <c r="Q42" i="9"/>
  <c r="N41" i="9"/>
  <c r="P39" i="9"/>
  <c r="N38" i="9"/>
  <c r="Q36" i="9"/>
  <c r="N35" i="9"/>
  <c r="Q33" i="9"/>
  <c r="N32" i="9"/>
  <c r="Q30" i="9"/>
  <c r="N29" i="9"/>
  <c r="Q27" i="9"/>
  <c r="O26" i="9"/>
  <c r="R24" i="9"/>
  <c r="O23" i="9"/>
  <c r="R21" i="9"/>
  <c r="Q19" i="9"/>
  <c r="Q16" i="9"/>
  <c r="P13" i="9"/>
  <c r="Q10" i="9"/>
  <c r="Q7" i="9"/>
  <c r="L19" i="29"/>
  <c r="I19" i="29" s="1"/>
  <c r="S60" i="9" l="1"/>
  <c r="S18" i="9"/>
  <c r="S52" i="9"/>
  <c r="S50" i="9"/>
  <c r="S14" i="9"/>
  <c r="S25" i="9"/>
  <c r="S58" i="9"/>
  <c r="S37" i="9"/>
  <c r="S12" i="9"/>
  <c r="S59" i="9"/>
  <c r="S24" i="9"/>
  <c r="S23" i="9"/>
  <c r="S33" i="9"/>
  <c r="S46" i="9"/>
  <c r="S65" i="9"/>
  <c r="S40" i="9"/>
  <c r="S27" i="9"/>
  <c r="S26" i="9"/>
  <c r="S38" i="9"/>
  <c r="S34" i="9"/>
  <c r="S62" i="9"/>
  <c r="S56" i="9"/>
  <c r="S30" i="9"/>
  <c r="S16" i="9"/>
  <c r="S15" i="9"/>
  <c r="S47" i="9"/>
  <c r="S35" i="9"/>
  <c r="S49" i="9"/>
  <c r="S51" i="9"/>
  <c r="S10" i="9"/>
  <c r="S42" i="9"/>
  <c r="S11" i="9"/>
  <c r="S32" i="9"/>
  <c r="S55" i="9"/>
  <c r="S17" i="9"/>
  <c r="S54" i="9"/>
  <c r="S19" i="9"/>
  <c r="S31" i="9"/>
  <c r="S53" i="9"/>
  <c r="S22" i="9"/>
  <c r="S48" i="9"/>
  <c r="S39" i="9"/>
  <c r="S21" i="9"/>
  <c r="S43" i="9"/>
  <c r="S9" i="9"/>
  <c r="S29" i="9"/>
  <c r="S45" i="9"/>
  <c r="S41" i="9"/>
  <c r="S13" i="9"/>
  <c r="S20" i="9"/>
  <c r="S36" i="9"/>
  <c r="S61" i="9"/>
  <c r="S64" i="9"/>
  <c r="S8" i="9"/>
  <c r="S44" i="9"/>
  <c r="S57" i="9"/>
  <c r="S7" i="9"/>
  <c r="S28" i="9"/>
  <c r="H33" i="17"/>
  <c r="I33" i="17"/>
  <c r="H34" i="17"/>
  <c r="I34" i="17"/>
  <c r="H108" i="16"/>
  <c r="I108" i="16"/>
  <c r="H112" i="16"/>
  <c r="I112" i="16"/>
  <c r="H113" i="16"/>
  <c r="I113" i="16"/>
  <c r="H116" i="16"/>
  <c r="I116" i="16"/>
  <c r="H117" i="16"/>
  <c r="I117" i="16"/>
  <c r="H43" i="15"/>
  <c r="I43" i="15"/>
  <c r="H44" i="15"/>
  <c r="I44" i="15"/>
  <c r="H45" i="15"/>
  <c r="I45" i="15"/>
  <c r="H46" i="15"/>
  <c r="I46" i="15"/>
  <c r="H47" i="15"/>
  <c r="I47" i="15"/>
  <c r="H48" i="15"/>
  <c r="I48" i="15"/>
  <c r="O116" i="16" l="1"/>
  <c r="P116" i="16"/>
  <c r="Q116" i="16"/>
  <c r="N116" i="16"/>
  <c r="R116" i="16"/>
  <c r="Q117" i="16"/>
  <c r="R117" i="16"/>
  <c r="P117" i="16"/>
  <c r="N117" i="16"/>
  <c r="O117" i="16"/>
  <c r="R112" i="16"/>
  <c r="N112" i="16"/>
  <c r="O112" i="16"/>
  <c r="P112" i="16"/>
  <c r="Q112" i="16"/>
  <c r="R113" i="16"/>
  <c r="N113" i="16"/>
  <c r="P113" i="16"/>
  <c r="Q113" i="16"/>
  <c r="O113" i="16"/>
  <c r="N108" i="16"/>
  <c r="O108" i="16"/>
  <c r="P108" i="16"/>
  <c r="Q108" i="16"/>
  <c r="R108" i="16"/>
  <c r="Q47" i="15"/>
  <c r="P47" i="15"/>
  <c r="O47" i="15"/>
  <c r="R47" i="15"/>
  <c r="N47" i="15"/>
  <c r="Q43" i="15"/>
  <c r="P43" i="15"/>
  <c r="O43" i="15"/>
  <c r="R43" i="15"/>
  <c r="N43" i="15"/>
  <c r="O45" i="15"/>
  <c r="R45" i="15"/>
  <c r="N45" i="15"/>
  <c r="Q45" i="15"/>
  <c r="P45" i="15"/>
  <c r="P48" i="15"/>
  <c r="O48" i="15"/>
  <c r="R48" i="15"/>
  <c r="N48" i="15"/>
  <c r="Q48" i="15"/>
  <c r="P44" i="15"/>
  <c r="O44" i="15"/>
  <c r="R44" i="15"/>
  <c r="N44" i="15"/>
  <c r="Q44" i="15"/>
  <c r="R46" i="15"/>
  <c r="N46" i="15"/>
  <c r="Q46" i="15"/>
  <c r="P46" i="15"/>
  <c r="O46" i="15"/>
  <c r="H82" i="11"/>
  <c r="H83" i="11"/>
  <c r="H84" i="11"/>
  <c r="I6" i="11"/>
  <c r="S108" i="16" l="1"/>
  <c r="S117" i="16"/>
  <c r="S113" i="16"/>
  <c r="S112" i="16"/>
  <c r="S116" i="16"/>
  <c r="S46" i="15"/>
  <c r="S48" i="15"/>
  <c r="S44" i="15"/>
  <c r="S43" i="15"/>
  <c r="S45" i="15"/>
  <c r="S47" i="15"/>
  <c r="P70" i="11"/>
  <c r="Q70" i="11"/>
  <c r="N70" i="11"/>
  <c r="R70" i="11"/>
  <c r="O70" i="11"/>
  <c r="P50" i="11"/>
  <c r="Q50" i="11"/>
  <c r="R50" i="11"/>
  <c r="N50" i="11"/>
  <c r="O50" i="11"/>
  <c r="Q30" i="11"/>
  <c r="N30" i="11"/>
  <c r="R30" i="11"/>
  <c r="O30" i="11"/>
  <c r="P30" i="11"/>
  <c r="O12" i="11"/>
  <c r="P12" i="11"/>
  <c r="Q12" i="11"/>
  <c r="N12" i="11"/>
  <c r="R12" i="11"/>
  <c r="P83" i="11"/>
  <c r="Q83" i="11"/>
  <c r="N83" i="11"/>
  <c r="R83" i="11"/>
  <c r="O83" i="11"/>
  <c r="N79" i="11"/>
  <c r="R79" i="11"/>
  <c r="O79" i="11"/>
  <c r="P79" i="11"/>
  <c r="Q79" i="11"/>
  <c r="N29" i="11"/>
  <c r="R29" i="11"/>
  <c r="O29" i="11"/>
  <c r="Q29" i="11"/>
  <c r="P29" i="11"/>
  <c r="Q77" i="11"/>
  <c r="N77" i="11"/>
  <c r="R77" i="11"/>
  <c r="O77" i="11"/>
  <c r="P77" i="11"/>
  <c r="O73" i="11"/>
  <c r="N73" i="11"/>
  <c r="P73" i="11"/>
  <c r="R73" i="11"/>
  <c r="Q73" i="11"/>
  <c r="Q69" i="11"/>
  <c r="N69" i="11"/>
  <c r="R69" i="11"/>
  <c r="P69" i="11"/>
  <c r="O69" i="11"/>
  <c r="Q65" i="11"/>
  <c r="N65" i="11"/>
  <c r="R65" i="11"/>
  <c r="O65" i="11"/>
  <c r="P65" i="11"/>
  <c r="O61" i="11"/>
  <c r="P61" i="11"/>
  <c r="N61" i="11"/>
  <c r="R61" i="11"/>
  <c r="Q61" i="11"/>
  <c r="Q57" i="11"/>
  <c r="N57" i="11"/>
  <c r="R57" i="11"/>
  <c r="P57" i="11"/>
  <c r="O57" i="11"/>
  <c r="O53" i="11"/>
  <c r="P53" i="11"/>
  <c r="Q53" i="11"/>
  <c r="R53" i="11"/>
  <c r="N53" i="11"/>
  <c r="Q49" i="11"/>
  <c r="N49" i="11"/>
  <c r="R49" i="11"/>
  <c r="O49" i="11"/>
  <c r="P49" i="11"/>
  <c r="N43" i="11"/>
  <c r="R43" i="11"/>
  <c r="O43" i="11"/>
  <c r="P43" i="11"/>
  <c r="Q43" i="11"/>
  <c r="Q38" i="11"/>
  <c r="N38" i="11"/>
  <c r="R38" i="11"/>
  <c r="P38" i="11"/>
  <c r="O38" i="11"/>
  <c r="P33" i="11"/>
  <c r="Q33" i="11"/>
  <c r="N33" i="11"/>
  <c r="O33" i="11"/>
  <c r="R33" i="11"/>
  <c r="O28" i="11"/>
  <c r="P28" i="11"/>
  <c r="Q28" i="11"/>
  <c r="R28" i="11"/>
  <c r="N28" i="11"/>
  <c r="P22" i="11"/>
  <c r="Q22" i="11"/>
  <c r="R22" i="11"/>
  <c r="N22" i="11"/>
  <c r="O22" i="11"/>
  <c r="O17" i="11"/>
  <c r="P17" i="11"/>
  <c r="R17" i="11"/>
  <c r="N17" i="11"/>
  <c r="Q17" i="11"/>
  <c r="P11" i="11"/>
  <c r="Q11" i="11"/>
  <c r="N11" i="11"/>
  <c r="O11" i="11"/>
  <c r="R11" i="11"/>
  <c r="N7" i="11"/>
  <c r="R7" i="11"/>
  <c r="O7" i="11"/>
  <c r="Q7" i="11"/>
  <c r="P7" i="11"/>
  <c r="N15" i="11"/>
  <c r="R15" i="11"/>
  <c r="O15" i="11"/>
  <c r="P15" i="11"/>
  <c r="Q15" i="11"/>
  <c r="N82" i="11"/>
  <c r="R82" i="11"/>
  <c r="O82" i="11"/>
  <c r="P82" i="11"/>
  <c r="Q82" i="11"/>
  <c r="O39" i="11"/>
  <c r="P39" i="11"/>
  <c r="N39" i="11"/>
  <c r="R39" i="11"/>
  <c r="Q39" i="11"/>
  <c r="O34" i="11"/>
  <c r="P34" i="11"/>
  <c r="Q34" i="11"/>
  <c r="R34" i="11"/>
  <c r="N34" i="11"/>
  <c r="N74" i="11"/>
  <c r="R74" i="11"/>
  <c r="O74" i="11"/>
  <c r="P74" i="11"/>
  <c r="Q74" i="11"/>
  <c r="N62" i="11"/>
  <c r="R62" i="11"/>
  <c r="O62" i="11"/>
  <c r="P62" i="11"/>
  <c r="Q62" i="11"/>
  <c r="N54" i="11"/>
  <c r="R54" i="11"/>
  <c r="O54" i="11"/>
  <c r="Q54" i="11"/>
  <c r="P54" i="11"/>
  <c r="N40" i="11"/>
  <c r="R40" i="11"/>
  <c r="O40" i="11"/>
  <c r="P40" i="11"/>
  <c r="Q40" i="11"/>
  <c r="P19" i="11"/>
  <c r="Q19" i="11"/>
  <c r="R19" i="11"/>
  <c r="N19" i="11"/>
  <c r="O19" i="11"/>
  <c r="N18" i="11"/>
  <c r="R18" i="11"/>
  <c r="O18" i="11"/>
  <c r="P18" i="11"/>
  <c r="Q18" i="11"/>
  <c r="O76" i="11"/>
  <c r="P76" i="11"/>
  <c r="Q76" i="11"/>
  <c r="N76" i="11"/>
  <c r="R76" i="11"/>
  <c r="Q72" i="11"/>
  <c r="N72" i="11"/>
  <c r="R72" i="11"/>
  <c r="O72" i="11"/>
  <c r="P72" i="11"/>
  <c r="N68" i="11"/>
  <c r="O68" i="11"/>
  <c r="R68" i="11"/>
  <c r="P68" i="11"/>
  <c r="Q68" i="11"/>
  <c r="O64" i="11"/>
  <c r="P64" i="11"/>
  <c r="R64" i="11"/>
  <c r="N64" i="11"/>
  <c r="Q64" i="11"/>
  <c r="Q60" i="11"/>
  <c r="N60" i="11"/>
  <c r="R60" i="11"/>
  <c r="O60" i="11"/>
  <c r="P60" i="11"/>
  <c r="O56" i="11"/>
  <c r="P56" i="11"/>
  <c r="Q56" i="11"/>
  <c r="R56" i="11"/>
  <c r="N56" i="11"/>
  <c r="Q52" i="11"/>
  <c r="N52" i="11"/>
  <c r="R52" i="11"/>
  <c r="O52" i="11"/>
  <c r="P52" i="11"/>
  <c r="O48" i="11"/>
  <c r="P48" i="11"/>
  <c r="N48" i="11"/>
  <c r="R48" i="11"/>
  <c r="Q48" i="11"/>
  <c r="P42" i="11"/>
  <c r="Q42" i="11"/>
  <c r="N42" i="11"/>
  <c r="O42" i="11"/>
  <c r="R42" i="11"/>
  <c r="N37" i="11"/>
  <c r="R37" i="11"/>
  <c r="O37" i="11"/>
  <c r="P37" i="11"/>
  <c r="Q37" i="11"/>
  <c r="N32" i="11"/>
  <c r="R32" i="11"/>
  <c r="O32" i="11"/>
  <c r="Q32" i="11"/>
  <c r="P32" i="11"/>
  <c r="P27" i="11"/>
  <c r="Q27" i="11"/>
  <c r="N27" i="11"/>
  <c r="O27" i="11"/>
  <c r="R27" i="11"/>
  <c r="Q21" i="11"/>
  <c r="N21" i="11"/>
  <c r="R21" i="11"/>
  <c r="O21" i="11"/>
  <c r="P21" i="11"/>
  <c r="Q16" i="11"/>
  <c r="N16" i="11"/>
  <c r="R16" i="11"/>
  <c r="P16" i="11"/>
  <c r="O16" i="11"/>
  <c r="N10" i="11"/>
  <c r="R10" i="11"/>
  <c r="O10" i="11"/>
  <c r="P10" i="11"/>
  <c r="Q10" i="11"/>
  <c r="P87" i="11"/>
  <c r="Q87" i="11"/>
  <c r="N87" i="11"/>
  <c r="R87" i="11"/>
  <c r="O87" i="11"/>
  <c r="O81" i="11"/>
  <c r="P81" i="11"/>
  <c r="Q81" i="11"/>
  <c r="N81" i="11"/>
  <c r="R81" i="11"/>
  <c r="Q24" i="11"/>
  <c r="N24" i="11"/>
  <c r="R24" i="11"/>
  <c r="O24" i="11"/>
  <c r="P24" i="11"/>
  <c r="O45" i="11"/>
  <c r="P45" i="11"/>
  <c r="N45" i="11"/>
  <c r="R45" i="11"/>
  <c r="Q45" i="11"/>
  <c r="P78" i="11"/>
  <c r="Q78" i="11"/>
  <c r="N78" i="11"/>
  <c r="R78" i="11"/>
  <c r="O78" i="11"/>
  <c r="P66" i="11"/>
  <c r="Q66" i="11"/>
  <c r="R66" i="11"/>
  <c r="O66" i="11"/>
  <c r="N66" i="11"/>
  <c r="P58" i="11"/>
  <c r="Q58" i="11"/>
  <c r="N58" i="11"/>
  <c r="O58" i="11"/>
  <c r="R58" i="11"/>
  <c r="Q44" i="11"/>
  <c r="N44" i="11"/>
  <c r="R44" i="11"/>
  <c r="O44" i="11"/>
  <c r="P44" i="11"/>
  <c r="Q35" i="11"/>
  <c r="N35" i="11"/>
  <c r="R35" i="11"/>
  <c r="P35" i="11"/>
  <c r="O35" i="11"/>
  <c r="N23" i="11"/>
  <c r="R23" i="11"/>
  <c r="O23" i="11"/>
  <c r="Q23" i="11"/>
  <c r="P23" i="11"/>
  <c r="Q8" i="11"/>
  <c r="N8" i="11"/>
  <c r="R8" i="11"/>
  <c r="O8" i="11"/>
  <c r="P8" i="11"/>
  <c r="Q80" i="11"/>
  <c r="N80" i="11"/>
  <c r="R80" i="11"/>
  <c r="O80" i="11"/>
  <c r="P80" i="11"/>
  <c r="P75" i="11"/>
  <c r="Q75" i="11"/>
  <c r="N75" i="11"/>
  <c r="R75" i="11"/>
  <c r="O75" i="11"/>
  <c r="N71" i="11"/>
  <c r="R71" i="11"/>
  <c r="O71" i="11"/>
  <c r="Q71" i="11"/>
  <c r="P71" i="11"/>
  <c r="N67" i="11"/>
  <c r="R67" i="11"/>
  <c r="O67" i="11"/>
  <c r="P67" i="11"/>
  <c r="Q67" i="11"/>
  <c r="P63" i="11"/>
  <c r="Q63" i="11"/>
  <c r="R63" i="11"/>
  <c r="N63" i="11"/>
  <c r="O63" i="11"/>
  <c r="N59" i="11"/>
  <c r="R59" i="11"/>
  <c r="O59" i="11"/>
  <c r="P59" i="11"/>
  <c r="Q59" i="11"/>
  <c r="P55" i="11"/>
  <c r="Q55" i="11"/>
  <c r="N55" i="11"/>
  <c r="O55" i="11"/>
  <c r="R55" i="11"/>
  <c r="N51" i="11"/>
  <c r="R51" i="11"/>
  <c r="O51" i="11"/>
  <c r="Q51" i="11"/>
  <c r="P51" i="11"/>
  <c r="P47" i="11"/>
  <c r="Q47" i="11"/>
  <c r="R47" i="11"/>
  <c r="O47" i="11"/>
  <c r="N47" i="11"/>
  <c r="Q41" i="11"/>
  <c r="N41" i="11"/>
  <c r="R41" i="11"/>
  <c r="O41" i="11"/>
  <c r="P41" i="11"/>
  <c r="P36" i="11"/>
  <c r="Q36" i="11"/>
  <c r="N36" i="11"/>
  <c r="O36" i="11"/>
  <c r="R36" i="11"/>
  <c r="O31" i="11"/>
  <c r="P31" i="11"/>
  <c r="Q31" i="11"/>
  <c r="R31" i="11"/>
  <c r="N31" i="11"/>
  <c r="O25" i="11"/>
  <c r="P25" i="11"/>
  <c r="Q25" i="11"/>
  <c r="R25" i="11"/>
  <c r="N25" i="11"/>
  <c r="O20" i="11"/>
  <c r="P20" i="11"/>
  <c r="R20" i="11"/>
  <c r="N20" i="11"/>
  <c r="Q20" i="11"/>
  <c r="P14" i="11"/>
  <c r="Q14" i="11"/>
  <c r="N14" i="11"/>
  <c r="O14" i="11"/>
  <c r="R14" i="11"/>
  <c r="O9" i="11"/>
  <c r="P9" i="11"/>
  <c r="Q9" i="11"/>
  <c r="R9" i="11"/>
  <c r="N9" i="11"/>
  <c r="O84" i="11"/>
  <c r="P84" i="11"/>
  <c r="Q84" i="11"/>
  <c r="N84" i="11"/>
  <c r="R84" i="11"/>
  <c r="Q13" i="11"/>
  <c r="N13" i="11"/>
  <c r="R13" i="11"/>
  <c r="O13" i="11"/>
  <c r="P13" i="11"/>
  <c r="N26" i="11"/>
  <c r="R26" i="11"/>
  <c r="O26" i="11"/>
  <c r="Q26" i="11"/>
  <c r="P26" i="11"/>
  <c r="N46" i="11"/>
  <c r="R46" i="11"/>
  <c r="O46" i="11"/>
  <c r="P46" i="11"/>
  <c r="Q46" i="11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S85" i="3" l="1"/>
  <c r="O85" i="3"/>
  <c r="P85" i="3"/>
  <c r="Q85" i="3"/>
  <c r="R85" i="3"/>
  <c r="P86" i="3"/>
  <c r="Q86" i="3"/>
  <c r="R86" i="3"/>
  <c r="S86" i="3"/>
  <c r="O86" i="3"/>
  <c r="R90" i="3"/>
  <c r="O90" i="3"/>
  <c r="T90" i="3" s="1"/>
  <c r="P90" i="3"/>
  <c r="Q90" i="3"/>
  <c r="S90" i="3"/>
  <c r="O89" i="3"/>
  <c r="P89" i="3"/>
  <c r="Q89" i="3"/>
  <c r="R89" i="3"/>
  <c r="S89" i="3"/>
  <c r="O82" i="3"/>
  <c r="P82" i="3"/>
  <c r="Q82" i="3"/>
  <c r="R82" i="3"/>
  <c r="S82" i="3"/>
  <c r="O84" i="3"/>
  <c r="P84" i="3"/>
  <c r="Q84" i="3"/>
  <c r="R84" i="3"/>
  <c r="S84" i="3"/>
  <c r="R88" i="3"/>
  <c r="S88" i="3"/>
  <c r="P88" i="3"/>
  <c r="Q88" i="3"/>
  <c r="O88" i="3"/>
  <c r="O92" i="3"/>
  <c r="P92" i="3"/>
  <c r="Q92" i="3"/>
  <c r="R92" i="3"/>
  <c r="S92" i="3"/>
  <c r="O80" i="3"/>
  <c r="P80" i="3"/>
  <c r="Q80" i="3"/>
  <c r="R80" i="3"/>
  <c r="S80" i="3"/>
  <c r="O91" i="3"/>
  <c r="P91" i="3"/>
  <c r="Q91" i="3"/>
  <c r="R91" i="3"/>
  <c r="S91" i="3"/>
  <c r="S83" i="3"/>
  <c r="O83" i="3"/>
  <c r="P83" i="3"/>
  <c r="Q83" i="3"/>
  <c r="R83" i="3"/>
  <c r="O87" i="3"/>
  <c r="P87" i="3"/>
  <c r="Q87" i="3"/>
  <c r="R87" i="3"/>
  <c r="S87" i="3"/>
  <c r="R81" i="3"/>
  <c r="S81" i="3"/>
  <c r="P81" i="3"/>
  <c r="O81" i="3"/>
  <c r="Q81" i="3"/>
  <c r="S30" i="11"/>
  <c r="S61" i="11"/>
  <c r="S43" i="11"/>
  <c r="S53" i="11"/>
  <c r="S8" i="11"/>
  <c r="S15" i="11"/>
  <c r="S14" i="11"/>
  <c r="S20" i="11"/>
  <c r="S36" i="11"/>
  <c r="S45" i="11"/>
  <c r="S24" i="11"/>
  <c r="S81" i="11"/>
  <c r="S10" i="11"/>
  <c r="S16" i="11"/>
  <c r="S32" i="11"/>
  <c r="S42" i="11"/>
  <c r="S64" i="11"/>
  <c r="S68" i="11"/>
  <c r="S72" i="11"/>
  <c r="S74" i="11"/>
  <c r="S77" i="11"/>
  <c r="S46" i="11"/>
  <c r="S84" i="11"/>
  <c r="S55" i="11"/>
  <c r="S67" i="11"/>
  <c r="S78" i="11"/>
  <c r="S37" i="11"/>
  <c r="S48" i="11"/>
  <c r="S56" i="11"/>
  <c r="S60" i="11"/>
  <c r="S34" i="11"/>
  <c r="S11" i="11"/>
  <c r="S22" i="11"/>
  <c r="S28" i="11"/>
  <c r="S33" i="11"/>
  <c r="S49" i="11"/>
  <c r="S65" i="11"/>
  <c r="S12" i="11"/>
  <c r="S70" i="11"/>
  <c r="S51" i="11"/>
  <c r="S75" i="11"/>
  <c r="S66" i="11"/>
  <c r="S87" i="11"/>
  <c r="S21" i="11"/>
  <c r="S27" i="11"/>
  <c r="S54" i="11"/>
  <c r="S39" i="11"/>
  <c r="S7" i="11"/>
  <c r="S38" i="11"/>
  <c r="S69" i="11"/>
  <c r="S29" i="11"/>
  <c r="S79" i="11"/>
  <c r="S83" i="11"/>
  <c r="S26" i="11"/>
  <c r="S25" i="11"/>
  <c r="S13" i="11"/>
  <c r="S9" i="11"/>
  <c r="S31" i="11"/>
  <c r="S41" i="11"/>
  <c r="S47" i="11"/>
  <c r="S59" i="11"/>
  <c r="S63" i="11"/>
  <c r="S71" i="11"/>
  <c r="S80" i="11"/>
  <c r="S23" i="11"/>
  <c r="S35" i="11"/>
  <c r="S44" i="11"/>
  <c r="S58" i="11"/>
  <c r="S52" i="11"/>
  <c r="S76" i="11"/>
  <c r="S18" i="11"/>
  <c r="S19" i="11"/>
  <c r="S40" i="11"/>
  <c r="S62" i="11"/>
  <c r="S82" i="11"/>
  <c r="S17" i="11"/>
  <c r="S57" i="11"/>
  <c r="S73" i="11"/>
  <c r="S50" i="11"/>
  <c r="I6" i="23"/>
  <c r="T86" i="3" l="1"/>
  <c r="T89" i="3"/>
  <c r="T91" i="3"/>
  <c r="T87" i="3"/>
  <c r="T82" i="3"/>
  <c r="T83" i="3"/>
  <c r="T80" i="3"/>
  <c r="T85" i="3"/>
  <c r="T88" i="3"/>
  <c r="T81" i="3"/>
  <c r="T84" i="3"/>
  <c r="T92" i="3"/>
  <c r="H9" i="48"/>
  <c r="I9" i="48"/>
  <c r="H10" i="48"/>
  <c r="I10" i="48"/>
  <c r="H8" i="48"/>
  <c r="I8" i="48"/>
  <c r="H16" i="48"/>
  <c r="I16" i="48"/>
  <c r="H20" i="48"/>
  <c r="I20" i="48"/>
  <c r="H25" i="48"/>
  <c r="I25" i="48"/>
  <c r="H26" i="48"/>
  <c r="I26" i="48"/>
  <c r="O8" i="19"/>
  <c r="N9" i="19"/>
  <c r="Q10" i="19"/>
  <c r="O12" i="19"/>
  <c r="N13" i="19"/>
  <c r="Q14" i="19"/>
  <c r="O15" i="19"/>
  <c r="O16" i="19"/>
  <c r="N17" i="19"/>
  <c r="Q18" i="19"/>
  <c r="O20" i="19"/>
  <c r="N21" i="19"/>
  <c r="Q22" i="19"/>
  <c r="O24" i="19"/>
  <c r="N25" i="19"/>
  <c r="Q26" i="19"/>
  <c r="O27" i="19"/>
  <c r="O28" i="19"/>
  <c r="N29" i="19"/>
  <c r="Q30" i="19"/>
  <c r="O32" i="19"/>
  <c r="N33" i="19"/>
  <c r="Q34" i="19"/>
  <c r="O36" i="19"/>
  <c r="N37" i="19"/>
  <c r="Q38" i="19"/>
  <c r="O40" i="19"/>
  <c r="N41" i="19"/>
  <c r="Q42" i="19"/>
  <c r="O43" i="19"/>
  <c r="O44" i="19"/>
  <c r="N45" i="19"/>
  <c r="Q46" i="19"/>
  <c r="P48" i="19"/>
  <c r="O49" i="19"/>
  <c r="N50" i="19"/>
  <c r="P52" i="19"/>
  <c r="O53" i="19"/>
  <c r="N54" i="19"/>
  <c r="P55" i="19"/>
  <c r="O56" i="19"/>
  <c r="N57" i="19"/>
  <c r="P59" i="19"/>
  <c r="O60" i="19"/>
  <c r="P46" i="19" l="1"/>
  <c r="Q36" i="19"/>
  <c r="R32" i="19"/>
  <c r="Q29" i="19"/>
  <c r="N28" i="19"/>
  <c r="R24" i="19"/>
  <c r="Q20" i="19"/>
  <c r="P17" i="19"/>
  <c r="R60" i="19"/>
  <c r="O55" i="19"/>
  <c r="N49" i="19"/>
  <c r="P42" i="19"/>
  <c r="N36" i="19"/>
  <c r="Q32" i="19"/>
  <c r="P29" i="19"/>
  <c r="P26" i="19"/>
  <c r="Q24" i="19"/>
  <c r="N20" i="19"/>
  <c r="Q13" i="19"/>
  <c r="N60" i="19"/>
  <c r="O52" i="19"/>
  <c r="O48" i="19"/>
  <c r="P38" i="19"/>
  <c r="Q33" i="19"/>
  <c r="N32" i="19"/>
  <c r="R28" i="19"/>
  <c r="Q25" i="19"/>
  <c r="N24" i="19"/>
  <c r="P18" i="19"/>
  <c r="P13" i="19"/>
  <c r="O59" i="19"/>
  <c r="Q50" i="19"/>
  <c r="R36" i="19"/>
  <c r="P33" i="19"/>
  <c r="P30" i="19"/>
  <c r="Q28" i="19"/>
  <c r="P25" i="19"/>
  <c r="R20" i="19"/>
  <c r="Q17" i="19"/>
  <c r="Q57" i="19"/>
  <c r="R49" i="19"/>
  <c r="P45" i="19"/>
  <c r="Q40" i="19"/>
  <c r="P37" i="19"/>
  <c r="P34" i="19"/>
  <c r="P21" i="19"/>
  <c r="Q16" i="19"/>
  <c r="P10" i="19"/>
  <c r="Q8" i="19"/>
  <c r="N56" i="19"/>
  <c r="N53" i="19"/>
  <c r="R44" i="19"/>
  <c r="Q41" i="19"/>
  <c r="N40" i="19"/>
  <c r="N16" i="19"/>
  <c r="R12" i="19"/>
  <c r="Q9" i="19"/>
  <c r="N8" i="19"/>
  <c r="Q44" i="19"/>
  <c r="P41" i="19"/>
  <c r="P22" i="19"/>
  <c r="P14" i="19"/>
  <c r="Q12" i="19"/>
  <c r="P9" i="19"/>
  <c r="Q54" i="19"/>
  <c r="Q45" i="19"/>
  <c r="N44" i="19"/>
  <c r="R40" i="19"/>
  <c r="Q37" i="19"/>
  <c r="Q21" i="19"/>
  <c r="R16" i="19"/>
  <c r="N12" i="19"/>
  <c r="R8" i="19"/>
  <c r="R56" i="19"/>
  <c r="R53" i="19"/>
  <c r="P47" i="19"/>
  <c r="Q47" i="19"/>
  <c r="R47" i="19"/>
  <c r="N47" i="19"/>
  <c r="P35" i="19"/>
  <c r="R35" i="19"/>
  <c r="Q35" i="19"/>
  <c r="N35" i="19"/>
  <c r="P23" i="19"/>
  <c r="Q23" i="19"/>
  <c r="N23" i="19"/>
  <c r="R23" i="19"/>
  <c r="P11" i="19"/>
  <c r="Q11" i="19"/>
  <c r="N11" i="19"/>
  <c r="R11" i="19"/>
  <c r="O11" i="19"/>
  <c r="O47" i="19"/>
  <c r="P43" i="19"/>
  <c r="Q43" i="19"/>
  <c r="N43" i="19"/>
  <c r="R43" i="19"/>
  <c r="P31" i="19"/>
  <c r="Q31" i="19"/>
  <c r="N31" i="19"/>
  <c r="R31" i="19"/>
  <c r="P19" i="19"/>
  <c r="Q19" i="19"/>
  <c r="N19" i="19"/>
  <c r="R19" i="19"/>
  <c r="P7" i="19"/>
  <c r="Q7" i="19"/>
  <c r="N7" i="19"/>
  <c r="R7" i="19"/>
  <c r="O7" i="19"/>
  <c r="O31" i="19"/>
  <c r="O35" i="19"/>
  <c r="O19" i="19"/>
  <c r="Q58" i="19"/>
  <c r="N58" i="19"/>
  <c r="R58" i="19"/>
  <c r="P58" i="19"/>
  <c r="O58" i="19"/>
  <c r="Q51" i="19"/>
  <c r="N51" i="19"/>
  <c r="R51" i="19"/>
  <c r="P51" i="19"/>
  <c r="O51" i="19"/>
  <c r="P39" i="19"/>
  <c r="Q39" i="19"/>
  <c r="R39" i="19"/>
  <c r="N39" i="19"/>
  <c r="P27" i="19"/>
  <c r="Q27" i="19"/>
  <c r="N27" i="19"/>
  <c r="R27" i="19"/>
  <c r="P15" i="19"/>
  <c r="Q15" i="19"/>
  <c r="N15" i="19"/>
  <c r="R15" i="19"/>
  <c r="O39" i="19"/>
  <c r="O23" i="19"/>
  <c r="O46" i="19"/>
  <c r="O42" i="19"/>
  <c r="O34" i="19"/>
  <c r="O30" i="19"/>
  <c r="O26" i="19"/>
  <c r="O22" i="19"/>
  <c r="O18" i="19"/>
  <c r="O14" i="19"/>
  <c r="O10" i="19"/>
  <c r="Q60" i="19"/>
  <c r="R59" i="19"/>
  <c r="N59" i="19"/>
  <c r="P57" i="19"/>
  <c r="Q56" i="19"/>
  <c r="R55" i="19"/>
  <c r="N55" i="19"/>
  <c r="P54" i="19"/>
  <c r="Q53" i="19"/>
  <c r="R52" i="19"/>
  <c r="N52" i="19"/>
  <c r="P50" i="19"/>
  <c r="Q49" i="19"/>
  <c r="R48" i="19"/>
  <c r="N48" i="19"/>
  <c r="O38" i="19"/>
  <c r="R46" i="19"/>
  <c r="N46" i="19"/>
  <c r="O45" i="19"/>
  <c r="P44" i="19"/>
  <c r="R42" i="19"/>
  <c r="N42" i="19"/>
  <c r="O41" i="19"/>
  <c r="P40" i="19"/>
  <c r="R38" i="19"/>
  <c r="N38" i="19"/>
  <c r="O37" i="19"/>
  <c r="P36" i="19"/>
  <c r="R34" i="19"/>
  <c r="N34" i="19"/>
  <c r="O33" i="19"/>
  <c r="P32" i="19"/>
  <c r="R30" i="19"/>
  <c r="N30" i="19"/>
  <c r="O29" i="19"/>
  <c r="P28" i="19"/>
  <c r="R26" i="19"/>
  <c r="N26" i="19"/>
  <c r="O25" i="19"/>
  <c r="P24" i="19"/>
  <c r="S24" i="19" s="1"/>
  <c r="R22" i="19"/>
  <c r="N22" i="19"/>
  <c r="O21" i="19"/>
  <c r="P20" i="19"/>
  <c r="R18" i="19"/>
  <c r="N18" i="19"/>
  <c r="O17" i="19"/>
  <c r="P16" i="19"/>
  <c r="R14" i="19"/>
  <c r="N14" i="19"/>
  <c r="O13" i="19"/>
  <c r="P12" i="19"/>
  <c r="R10" i="19"/>
  <c r="N10" i="19"/>
  <c r="O9" i="19"/>
  <c r="P8" i="19"/>
  <c r="P60" i="19"/>
  <c r="Q59" i="19"/>
  <c r="O57" i="19"/>
  <c r="P56" i="19"/>
  <c r="Q55" i="19"/>
  <c r="O54" i="19"/>
  <c r="P53" i="19"/>
  <c r="Q52" i="19"/>
  <c r="O50" i="19"/>
  <c r="P49" i="19"/>
  <c r="Q48" i="19"/>
  <c r="R45" i="19"/>
  <c r="R41" i="19"/>
  <c r="R37" i="19"/>
  <c r="R33" i="19"/>
  <c r="R29" i="19"/>
  <c r="R25" i="19"/>
  <c r="R21" i="19"/>
  <c r="R17" i="19"/>
  <c r="R13" i="19"/>
  <c r="R9" i="19"/>
  <c r="R57" i="19"/>
  <c r="R54" i="19"/>
  <c r="R50" i="19"/>
  <c r="S9" i="19" l="1"/>
  <c r="S32" i="19"/>
  <c r="S33" i="19"/>
  <c r="S25" i="19"/>
  <c r="S15" i="19"/>
  <c r="S11" i="19"/>
  <c r="S37" i="19"/>
  <c r="S57" i="19"/>
  <c r="S35" i="19"/>
  <c r="S8" i="19"/>
  <c r="S60" i="19"/>
  <c r="S20" i="19"/>
  <c r="S41" i="19"/>
  <c r="S21" i="19"/>
  <c r="S39" i="19"/>
  <c r="S55" i="19"/>
  <c r="S52" i="19"/>
  <c r="S30" i="19"/>
  <c r="S38" i="19"/>
  <c r="S42" i="19"/>
  <c r="S46" i="19"/>
  <c r="S23" i="19"/>
  <c r="S47" i="19"/>
  <c r="S27" i="19"/>
  <c r="S58" i="19"/>
  <c r="S7" i="19"/>
  <c r="S19" i="19"/>
  <c r="S31" i="19"/>
  <c r="S36" i="19"/>
  <c r="S59" i="19"/>
  <c r="S18" i="19"/>
  <c r="S53" i="19"/>
  <c r="S28" i="19"/>
  <c r="S13" i="19"/>
  <c r="S56" i="19"/>
  <c r="S16" i="19"/>
  <c r="S17" i="19"/>
  <c r="S48" i="19"/>
  <c r="S29" i="19"/>
  <c r="S12" i="19"/>
  <c r="S49" i="19"/>
  <c r="S50" i="19"/>
  <c r="S54" i="19"/>
  <c r="S10" i="19"/>
  <c r="S14" i="19"/>
  <c r="S22" i="19"/>
  <c r="S26" i="19"/>
  <c r="S34" i="19"/>
  <c r="S51" i="19"/>
  <c r="S45" i="19"/>
  <c r="S43" i="19"/>
  <c r="S40" i="19"/>
  <c r="S44" i="19"/>
  <c r="H12" i="7"/>
  <c r="H13" i="7"/>
  <c r="H14" i="7"/>
  <c r="H15" i="7"/>
  <c r="I12" i="7"/>
  <c r="N12" i="7" s="1"/>
  <c r="H33" i="8"/>
  <c r="I33" i="8"/>
  <c r="H34" i="8"/>
  <c r="I34" i="8"/>
  <c r="H35" i="8"/>
  <c r="I35" i="8"/>
  <c r="H36" i="8"/>
  <c r="I36" i="8"/>
  <c r="H37" i="8"/>
  <c r="I37" i="8"/>
  <c r="H38" i="8"/>
  <c r="I38" i="8"/>
  <c r="H39" i="8"/>
  <c r="I39" i="8"/>
  <c r="H40" i="8"/>
  <c r="I40" i="8"/>
  <c r="H41" i="8"/>
  <c r="I41" i="8"/>
  <c r="H42" i="8"/>
  <c r="I42" i="8"/>
  <c r="H43" i="8"/>
  <c r="I43" i="8"/>
  <c r="H44" i="8"/>
  <c r="I44" i="8"/>
  <c r="H45" i="8"/>
  <c r="I45" i="8"/>
  <c r="H46" i="8"/>
  <c r="I46" i="8"/>
  <c r="H47" i="8"/>
  <c r="I47" i="8"/>
  <c r="H48" i="8"/>
  <c r="I48" i="8"/>
  <c r="H49" i="8"/>
  <c r="I49" i="8"/>
  <c r="H50" i="8"/>
  <c r="I50" i="8"/>
  <c r="H51" i="8"/>
  <c r="I51" i="8"/>
  <c r="H52" i="8"/>
  <c r="I52" i="8"/>
  <c r="H53" i="8"/>
  <c r="I53" i="8"/>
  <c r="H54" i="8"/>
  <c r="I54" i="8"/>
  <c r="H55" i="8"/>
  <c r="I55" i="8"/>
  <c r="H56" i="8"/>
  <c r="I56" i="8"/>
  <c r="H57" i="8"/>
  <c r="I57" i="8"/>
  <c r="H58" i="8"/>
  <c r="I58" i="8"/>
  <c r="H59" i="8"/>
  <c r="I59" i="8"/>
  <c r="H60" i="8"/>
  <c r="I60" i="8"/>
  <c r="H61" i="8"/>
  <c r="I61" i="8"/>
  <c r="H62" i="8"/>
  <c r="I62" i="8"/>
  <c r="H63" i="8"/>
  <c r="I63" i="8"/>
  <c r="H64" i="8"/>
  <c r="I64" i="8"/>
  <c r="H65" i="8"/>
  <c r="I65" i="8"/>
  <c r="H66" i="8"/>
  <c r="I66" i="8"/>
  <c r="H67" i="8"/>
  <c r="I67" i="8"/>
  <c r="H68" i="8"/>
  <c r="I68" i="8"/>
  <c r="H69" i="8"/>
  <c r="I69" i="8"/>
  <c r="H70" i="8"/>
  <c r="I70" i="8"/>
  <c r="H71" i="8"/>
  <c r="I71" i="8"/>
  <c r="H72" i="8"/>
  <c r="I72" i="8"/>
  <c r="H73" i="8"/>
  <c r="I73" i="8"/>
  <c r="H74" i="8"/>
  <c r="I74" i="8"/>
  <c r="H75" i="8"/>
  <c r="I75" i="8"/>
  <c r="H76" i="8"/>
  <c r="I76" i="8"/>
  <c r="H77" i="8"/>
  <c r="I77" i="8"/>
  <c r="H78" i="8"/>
  <c r="I78" i="8"/>
  <c r="H79" i="8"/>
  <c r="I79" i="8"/>
  <c r="H80" i="8"/>
  <c r="I80" i="8"/>
  <c r="H81" i="8"/>
  <c r="I81" i="8"/>
  <c r="H82" i="8"/>
  <c r="I82" i="8"/>
  <c r="H83" i="8"/>
  <c r="I83" i="8"/>
  <c r="H84" i="8"/>
  <c r="I84" i="8"/>
  <c r="H85" i="8"/>
  <c r="I85" i="8"/>
  <c r="H86" i="8"/>
  <c r="I86" i="8"/>
  <c r="H87" i="8"/>
  <c r="I87" i="8"/>
  <c r="H88" i="8"/>
  <c r="I88" i="8"/>
  <c r="H89" i="8"/>
  <c r="I89" i="8"/>
  <c r="H90" i="8"/>
  <c r="I90" i="8"/>
  <c r="H91" i="8"/>
  <c r="I91" i="8"/>
  <c r="H92" i="8"/>
  <c r="I92" i="8"/>
  <c r="H93" i="8"/>
  <c r="I93" i="8"/>
  <c r="H94" i="8"/>
  <c r="I94" i="8"/>
  <c r="H95" i="8"/>
  <c r="I95" i="8"/>
  <c r="H96" i="8"/>
  <c r="I96" i="8"/>
  <c r="H97" i="8"/>
  <c r="I97" i="8"/>
  <c r="H98" i="8"/>
  <c r="I98" i="8"/>
  <c r="H99" i="8"/>
  <c r="I99" i="8"/>
  <c r="H100" i="8"/>
  <c r="I100" i="8"/>
  <c r="H101" i="8"/>
  <c r="I101" i="8"/>
  <c r="H102" i="8"/>
  <c r="I102" i="8"/>
  <c r="H103" i="8"/>
  <c r="I103" i="8"/>
  <c r="H104" i="8"/>
  <c r="I104" i="8"/>
  <c r="H7" i="8"/>
  <c r="I7" i="8"/>
  <c r="H8" i="8"/>
  <c r="I8" i="8"/>
  <c r="H9" i="8"/>
  <c r="I9" i="8"/>
  <c r="H10" i="8"/>
  <c r="I10" i="8"/>
  <c r="H11" i="8"/>
  <c r="I11" i="8"/>
  <c r="H12" i="8"/>
  <c r="I12" i="8"/>
  <c r="H13" i="8"/>
  <c r="I13" i="8"/>
  <c r="H14" i="8"/>
  <c r="I14" i="8"/>
  <c r="H15" i="8"/>
  <c r="I15" i="8"/>
  <c r="H16" i="8"/>
  <c r="I16" i="8"/>
  <c r="I17" i="8"/>
  <c r="I18" i="8"/>
  <c r="I20" i="8"/>
  <c r="I21" i="8"/>
  <c r="H22" i="8"/>
  <c r="I22" i="8"/>
  <c r="H23" i="8"/>
  <c r="I23" i="8"/>
  <c r="H24" i="8"/>
  <c r="I24" i="8"/>
  <c r="H25" i="8"/>
  <c r="I25" i="8"/>
  <c r="H26" i="8"/>
  <c r="I26" i="8"/>
  <c r="H27" i="8"/>
  <c r="I27" i="8"/>
  <c r="H28" i="8"/>
  <c r="I28" i="8"/>
  <c r="H29" i="8"/>
  <c r="I29" i="8"/>
  <c r="H30" i="8"/>
  <c r="I30" i="8"/>
  <c r="H31" i="8"/>
  <c r="I31" i="8"/>
  <c r="H32" i="8"/>
  <c r="I32" i="8"/>
  <c r="I13" i="50"/>
  <c r="I8" i="50"/>
  <c r="O8" i="50" s="1"/>
  <c r="I7" i="52"/>
  <c r="I13" i="54"/>
  <c r="G402" i="57"/>
  <c r="G401" i="57"/>
  <c r="G400" i="57"/>
  <c r="G399" i="57"/>
  <c r="G398" i="57"/>
  <c r="G397" i="57"/>
  <c r="G396" i="57"/>
  <c r="G395" i="57"/>
  <c r="G394" i="57"/>
  <c r="G393" i="57"/>
  <c r="G392" i="57"/>
  <c r="G391" i="57"/>
  <c r="G390" i="57"/>
  <c r="G389" i="57"/>
  <c r="G388" i="57"/>
  <c r="G387" i="57"/>
  <c r="G386" i="57"/>
  <c r="G385" i="57"/>
  <c r="G384" i="57"/>
  <c r="G383" i="57"/>
  <c r="G382" i="57"/>
  <c r="G381" i="57"/>
  <c r="G380" i="57"/>
  <c r="G379" i="57"/>
  <c r="G378" i="57"/>
  <c r="G377" i="57"/>
  <c r="G376" i="57"/>
  <c r="G375" i="57"/>
  <c r="G374" i="57"/>
  <c r="G373" i="57"/>
  <c r="G372" i="57"/>
  <c r="G371" i="57"/>
  <c r="G370" i="57"/>
  <c r="G369" i="57"/>
  <c r="G368" i="57"/>
  <c r="G367" i="57"/>
  <c r="G366" i="57"/>
  <c r="G365" i="57"/>
  <c r="G364" i="57"/>
  <c r="G363" i="57"/>
  <c r="G362" i="57"/>
  <c r="G361" i="57"/>
  <c r="G360" i="57"/>
  <c r="G359" i="57"/>
  <c r="G358" i="57"/>
  <c r="G357" i="57"/>
  <c r="G356" i="57"/>
  <c r="G355" i="57"/>
  <c r="G354" i="57"/>
  <c r="G353" i="57"/>
  <c r="G352" i="57"/>
  <c r="G351" i="57"/>
  <c r="G350" i="57"/>
  <c r="G349" i="57"/>
  <c r="G348" i="57"/>
  <c r="G347" i="57"/>
  <c r="G346" i="57"/>
  <c r="G345" i="57"/>
  <c r="G344" i="57"/>
  <c r="G343" i="57"/>
  <c r="G342" i="57"/>
  <c r="G341" i="57"/>
  <c r="G340" i="57"/>
  <c r="G339" i="57"/>
  <c r="G338" i="57"/>
  <c r="G337" i="57"/>
  <c r="G336" i="57"/>
  <c r="G335" i="57"/>
  <c r="G334" i="57"/>
  <c r="G333" i="57"/>
  <c r="G332" i="57"/>
  <c r="G331" i="57"/>
  <c r="G330" i="57"/>
  <c r="G329" i="57"/>
  <c r="G328" i="57"/>
  <c r="G327" i="57"/>
  <c r="G326" i="57"/>
  <c r="G325" i="57"/>
  <c r="G324" i="57"/>
  <c r="G323" i="57"/>
  <c r="G322" i="57"/>
  <c r="G321" i="57"/>
  <c r="G320" i="57"/>
  <c r="G319" i="57"/>
  <c r="G318" i="57"/>
  <c r="G317" i="57"/>
  <c r="G316" i="57"/>
  <c r="G315" i="57"/>
  <c r="G314" i="57"/>
  <c r="G313" i="57"/>
  <c r="G312" i="57"/>
  <c r="G311" i="57"/>
  <c r="G310" i="57"/>
  <c r="G309" i="57"/>
  <c r="G308" i="57"/>
  <c r="G307" i="57"/>
  <c r="G306" i="57"/>
  <c r="G305" i="57"/>
  <c r="G304" i="57"/>
  <c r="G303" i="57"/>
  <c r="G302" i="57"/>
  <c r="G301" i="57"/>
  <c r="G300" i="57"/>
  <c r="G299" i="57"/>
  <c r="G298" i="57"/>
  <c r="G297" i="57"/>
  <c r="G296" i="57"/>
  <c r="G295" i="57"/>
  <c r="G294" i="57"/>
  <c r="G293" i="57"/>
  <c r="G292" i="57"/>
  <c r="G291" i="57"/>
  <c r="G290" i="57"/>
  <c r="G289" i="57"/>
  <c r="G288" i="57"/>
  <c r="G287" i="57"/>
  <c r="G286" i="57"/>
  <c r="G285" i="57"/>
  <c r="G284" i="57"/>
  <c r="G283" i="57"/>
  <c r="G282" i="57"/>
  <c r="G281" i="57"/>
  <c r="G280" i="57"/>
  <c r="G279" i="57"/>
  <c r="G278" i="57"/>
  <c r="G277" i="57"/>
  <c r="G276" i="57"/>
  <c r="G275" i="57"/>
  <c r="G274" i="57"/>
  <c r="G273" i="57"/>
  <c r="G272" i="57"/>
  <c r="G271" i="57"/>
  <c r="G270" i="57"/>
  <c r="G269" i="57"/>
  <c r="G268" i="57"/>
  <c r="G267" i="57"/>
  <c r="G266" i="57"/>
  <c r="G265" i="57"/>
  <c r="G264" i="57"/>
  <c r="G263" i="57"/>
  <c r="G262" i="57"/>
  <c r="G261" i="57"/>
  <c r="G260" i="57"/>
  <c r="G259" i="57"/>
  <c r="G258" i="57"/>
  <c r="G257" i="57"/>
  <c r="G256" i="57"/>
  <c r="G255" i="57"/>
  <c r="G254" i="57"/>
  <c r="G253" i="57"/>
  <c r="G252" i="57"/>
  <c r="G251" i="57"/>
  <c r="G250" i="57"/>
  <c r="G249" i="57"/>
  <c r="G248" i="57"/>
  <c r="G247" i="57"/>
  <c r="G246" i="57"/>
  <c r="G245" i="57"/>
  <c r="G244" i="57"/>
  <c r="G243" i="57"/>
  <c r="G242" i="57"/>
  <c r="G241" i="57"/>
  <c r="G240" i="57"/>
  <c r="G239" i="57"/>
  <c r="G238" i="57"/>
  <c r="G237" i="57"/>
  <c r="G236" i="57"/>
  <c r="G235" i="57"/>
  <c r="G234" i="57"/>
  <c r="G233" i="57"/>
  <c r="G232" i="57"/>
  <c r="G231" i="57"/>
  <c r="G230" i="57"/>
  <c r="G229" i="57"/>
  <c r="G228" i="57"/>
  <c r="G227" i="57"/>
  <c r="G226" i="57"/>
  <c r="G225" i="57"/>
  <c r="G224" i="57"/>
  <c r="G223" i="57"/>
  <c r="G222" i="57"/>
  <c r="G221" i="57"/>
  <c r="G220" i="57"/>
  <c r="G219" i="57"/>
  <c r="G218" i="57"/>
  <c r="G217" i="57"/>
  <c r="G216" i="57"/>
  <c r="G215" i="57"/>
  <c r="G214" i="57"/>
  <c r="G213" i="57"/>
  <c r="G212" i="57"/>
  <c r="G211" i="57"/>
  <c r="G210" i="57"/>
  <c r="G209" i="57"/>
  <c r="G208" i="57"/>
  <c r="G207" i="57"/>
  <c r="G206" i="57"/>
  <c r="G205" i="57"/>
  <c r="G204" i="57"/>
  <c r="G203" i="57"/>
  <c r="G202" i="57"/>
  <c r="G201" i="57"/>
  <c r="G200" i="57"/>
  <c r="G199" i="57"/>
  <c r="G198" i="57"/>
  <c r="G197" i="57"/>
  <c r="G196" i="57"/>
  <c r="G195" i="57"/>
  <c r="G194" i="57"/>
  <c r="G193" i="57"/>
  <c r="G192" i="57"/>
  <c r="G191" i="57"/>
  <c r="G190" i="57"/>
  <c r="G189" i="57"/>
  <c r="G188" i="57"/>
  <c r="G187" i="57"/>
  <c r="G186" i="57"/>
  <c r="G185" i="57"/>
  <c r="G184" i="57"/>
  <c r="G183" i="57"/>
  <c r="G182" i="57"/>
  <c r="G181" i="57"/>
  <c r="G180" i="57"/>
  <c r="G179" i="57"/>
  <c r="G178" i="57"/>
  <c r="G177" i="57"/>
  <c r="G176" i="57"/>
  <c r="G175" i="57"/>
  <c r="G174" i="57"/>
  <c r="G173" i="57"/>
  <c r="G172" i="57"/>
  <c r="G171" i="57"/>
  <c r="G170" i="57"/>
  <c r="G169" i="57"/>
  <c r="G168" i="57"/>
  <c r="G167" i="57"/>
  <c r="G166" i="57"/>
  <c r="G165" i="57"/>
  <c r="G164" i="57"/>
  <c r="G163" i="57"/>
  <c r="G162" i="57"/>
  <c r="G161" i="57"/>
  <c r="G160" i="57"/>
  <c r="G159" i="57"/>
  <c r="G158" i="57"/>
  <c r="G157" i="57"/>
  <c r="G156" i="57"/>
  <c r="G155" i="57"/>
  <c r="G154" i="57"/>
  <c r="G153" i="57"/>
  <c r="G152" i="57"/>
  <c r="G151" i="57"/>
  <c r="G150" i="57"/>
  <c r="G149" i="57"/>
  <c r="G148" i="57"/>
  <c r="G147" i="57"/>
  <c r="G146" i="57"/>
  <c r="G145" i="57"/>
  <c r="G144" i="57"/>
  <c r="G143" i="57"/>
  <c r="G142" i="57"/>
  <c r="G141" i="57"/>
  <c r="G140" i="57"/>
  <c r="G139" i="57"/>
  <c r="G138" i="57"/>
  <c r="G137" i="57"/>
  <c r="G136" i="57"/>
  <c r="G135" i="57"/>
  <c r="G134" i="57"/>
  <c r="G133" i="57"/>
  <c r="G132" i="57"/>
  <c r="G131" i="57"/>
  <c r="G130" i="57"/>
  <c r="G129" i="57"/>
  <c r="G128" i="57"/>
  <c r="G127" i="57"/>
  <c r="G126" i="57"/>
  <c r="G125" i="57"/>
  <c r="G124" i="57"/>
  <c r="G123" i="57"/>
  <c r="G122" i="57"/>
  <c r="G121" i="57"/>
  <c r="G120" i="57"/>
  <c r="G119" i="57"/>
  <c r="G118" i="57"/>
  <c r="G117" i="57"/>
  <c r="G116" i="57"/>
  <c r="G115" i="57"/>
  <c r="G114" i="57"/>
  <c r="G113" i="57"/>
  <c r="G112" i="57"/>
  <c r="G111" i="57"/>
  <c r="G110" i="57"/>
  <c r="G109" i="57"/>
  <c r="G108" i="57"/>
  <c r="G107" i="57"/>
  <c r="G106" i="57"/>
  <c r="G105" i="57"/>
  <c r="G104" i="57"/>
  <c r="G103" i="57"/>
  <c r="G102" i="57"/>
  <c r="G101" i="57"/>
  <c r="G100" i="57"/>
  <c r="G99" i="57"/>
  <c r="G98" i="57"/>
  <c r="G97" i="57"/>
  <c r="G96" i="57"/>
  <c r="G95" i="57"/>
  <c r="G94" i="57"/>
  <c r="G93" i="57"/>
  <c r="G92" i="57"/>
  <c r="G91" i="57"/>
  <c r="G90" i="57"/>
  <c r="G89" i="57"/>
  <c r="G88" i="57"/>
  <c r="G87" i="57"/>
  <c r="G86" i="57"/>
  <c r="G85" i="57"/>
  <c r="G84" i="57"/>
  <c r="G83" i="57"/>
  <c r="G82" i="57"/>
  <c r="G81" i="57"/>
  <c r="G80" i="57"/>
  <c r="G79" i="57"/>
  <c r="G78" i="57"/>
  <c r="G77" i="57"/>
  <c r="G76" i="57"/>
  <c r="G75" i="57"/>
  <c r="G74" i="57"/>
  <c r="G73" i="57"/>
  <c r="G72" i="57"/>
  <c r="G71" i="57"/>
  <c r="G70" i="57"/>
  <c r="G69" i="57"/>
  <c r="G68" i="57"/>
  <c r="G67" i="57"/>
  <c r="G66" i="57"/>
  <c r="G65" i="57"/>
  <c r="G64" i="57"/>
  <c r="G63" i="57"/>
  <c r="G62" i="57"/>
  <c r="G61" i="57"/>
  <c r="G60" i="57"/>
  <c r="G59" i="57"/>
  <c r="G58" i="57"/>
  <c r="G57" i="57"/>
  <c r="G56" i="57"/>
  <c r="G55" i="57"/>
  <c r="G54" i="57"/>
  <c r="G53" i="57"/>
  <c r="G52" i="57"/>
  <c r="G51" i="57"/>
  <c r="G50" i="57"/>
  <c r="G49" i="57"/>
  <c r="G48" i="57"/>
  <c r="G47" i="57"/>
  <c r="G46" i="57"/>
  <c r="G45" i="57"/>
  <c r="G44" i="57"/>
  <c r="G43" i="57"/>
  <c r="G42" i="57"/>
  <c r="G41" i="57"/>
  <c r="G40" i="57"/>
  <c r="G39" i="57"/>
  <c r="G38" i="57"/>
  <c r="G37" i="57"/>
  <c r="G36" i="57"/>
  <c r="G35" i="57"/>
  <c r="G34" i="57"/>
  <c r="G33" i="57"/>
  <c r="G32" i="57"/>
  <c r="G31" i="57"/>
  <c r="G30" i="57"/>
  <c r="G29" i="57"/>
  <c r="G28" i="57"/>
  <c r="G27" i="57"/>
  <c r="G26" i="57"/>
  <c r="G25" i="57"/>
  <c r="G24" i="57"/>
  <c r="G23" i="57"/>
  <c r="G22" i="57"/>
  <c r="N6" i="57"/>
  <c r="I6" i="57"/>
  <c r="Q6" i="57" s="1"/>
  <c r="H6" i="57"/>
  <c r="G483" i="56"/>
  <c r="G482" i="56"/>
  <c r="G481" i="56"/>
  <c r="G480" i="56"/>
  <c r="G479" i="56"/>
  <c r="G478" i="56"/>
  <c r="G477" i="56"/>
  <c r="G476" i="56"/>
  <c r="G475" i="56"/>
  <c r="G474" i="56"/>
  <c r="G473" i="56"/>
  <c r="G472" i="56"/>
  <c r="G471" i="56"/>
  <c r="G470" i="56"/>
  <c r="G469" i="56"/>
  <c r="G468" i="56"/>
  <c r="G467" i="56"/>
  <c r="G466" i="56"/>
  <c r="G465" i="56"/>
  <c r="G464" i="56"/>
  <c r="G463" i="56"/>
  <c r="G462" i="56"/>
  <c r="G461" i="56"/>
  <c r="G460" i="56"/>
  <c r="G459" i="56"/>
  <c r="G458" i="56"/>
  <c r="G457" i="56"/>
  <c r="G456" i="56"/>
  <c r="G455" i="56"/>
  <c r="G454" i="56"/>
  <c r="G453" i="56"/>
  <c r="G452" i="56"/>
  <c r="G451" i="56"/>
  <c r="G450" i="56"/>
  <c r="G449" i="56"/>
  <c r="G448" i="56"/>
  <c r="G447" i="56"/>
  <c r="G446" i="56"/>
  <c r="G445" i="56"/>
  <c r="G444" i="56"/>
  <c r="G443" i="56"/>
  <c r="G442" i="56"/>
  <c r="G441" i="56"/>
  <c r="G440" i="56"/>
  <c r="G439" i="56"/>
  <c r="G438" i="56"/>
  <c r="G437" i="56"/>
  <c r="G436" i="56"/>
  <c r="G435" i="56"/>
  <c r="G434" i="56"/>
  <c r="G433" i="56"/>
  <c r="G432" i="56"/>
  <c r="G431" i="56"/>
  <c r="G430" i="56"/>
  <c r="G429" i="56"/>
  <c r="G428" i="56"/>
  <c r="G427" i="56"/>
  <c r="G426" i="56"/>
  <c r="G425" i="56"/>
  <c r="G424" i="56"/>
  <c r="G423" i="56"/>
  <c r="G422" i="56"/>
  <c r="G421" i="56"/>
  <c r="G420" i="56"/>
  <c r="G419" i="56"/>
  <c r="G418" i="56"/>
  <c r="G417" i="56"/>
  <c r="G416" i="56"/>
  <c r="G415" i="56"/>
  <c r="G414" i="56"/>
  <c r="G413" i="56"/>
  <c r="G412" i="56"/>
  <c r="G411" i="56"/>
  <c r="G410" i="56"/>
  <c r="G409" i="56"/>
  <c r="G408" i="56"/>
  <c r="G407" i="56"/>
  <c r="G406" i="56"/>
  <c r="G405" i="56"/>
  <c r="G404" i="56"/>
  <c r="G403" i="56"/>
  <c r="G402" i="56"/>
  <c r="G401" i="56"/>
  <c r="G400" i="56"/>
  <c r="G399" i="56"/>
  <c r="G398" i="56"/>
  <c r="G397" i="56"/>
  <c r="G396" i="56"/>
  <c r="G395" i="56"/>
  <c r="G394" i="56"/>
  <c r="G393" i="56"/>
  <c r="G392" i="56"/>
  <c r="G391" i="56"/>
  <c r="G390" i="56"/>
  <c r="G389" i="56"/>
  <c r="G388" i="56"/>
  <c r="G387" i="56"/>
  <c r="G386" i="56"/>
  <c r="G385" i="56"/>
  <c r="G384" i="56"/>
  <c r="G383" i="56"/>
  <c r="G382" i="56"/>
  <c r="G381" i="56"/>
  <c r="G380" i="56"/>
  <c r="G379" i="56"/>
  <c r="G378" i="56"/>
  <c r="G377" i="56"/>
  <c r="G376" i="56"/>
  <c r="G375" i="56"/>
  <c r="G374" i="56"/>
  <c r="G373" i="56"/>
  <c r="G372" i="56"/>
  <c r="G371" i="56"/>
  <c r="G370" i="56"/>
  <c r="G369" i="56"/>
  <c r="G368" i="56"/>
  <c r="G367" i="56"/>
  <c r="G366" i="56"/>
  <c r="G365" i="56"/>
  <c r="G364" i="56"/>
  <c r="G363" i="56"/>
  <c r="G362" i="56"/>
  <c r="G361" i="56"/>
  <c r="G360" i="56"/>
  <c r="G359" i="56"/>
  <c r="G358" i="56"/>
  <c r="G357" i="56"/>
  <c r="G356" i="56"/>
  <c r="G355" i="56"/>
  <c r="G354" i="56"/>
  <c r="G353" i="56"/>
  <c r="G352" i="56"/>
  <c r="G351" i="56"/>
  <c r="G350" i="56"/>
  <c r="G349" i="56"/>
  <c r="G348" i="56"/>
  <c r="G347" i="56"/>
  <c r="G346" i="56"/>
  <c r="G345" i="56"/>
  <c r="G344" i="56"/>
  <c r="G343" i="56"/>
  <c r="G342" i="56"/>
  <c r="G341" i="56"/>
  <c r="G340" i="56"/>
  <c r="G339" i="56"/>
  <c r="G338" i="56"/>
  <c r="G337" i="56"/>
  <c r="G336" i="56"/>
  <c r="G335" i="56"/>
  <c r="G334" i="56"/>
  <c r="G333" i="56"/>
  <c r="G332" i="56"/>
  <c r="G331" i="56"/>
  <c r="G330" i="56"/>
  <c r="G329" i="56"/>
  <c r="G328" i="56"/>
  <c r="G327" i="56"/>
  <c r="G326" i="56"/>
  <c r="G325" i="56"/>
  <c r="G324" i="56"/>
  <c r="G323" i="56"/>
  <c r="G322" i="56"/>
  <c r="G321" i="56"/>
  <c r="G320" i="56"/>
  <c r="G319" i="56"/>
  <c r="G318" i="56"/>
  <c r="G317" i="56"/>
  <c r="G316" i="56"/>
  <c r="G315" i="56"/>
  <c r="G314" i="56"/>
  <c r="G313" i="56"/>
  <c r="G312" i="56"/>
  <c r="G311" i="56"/>
  <c r="G310" i="56"/>
  <c r="G309" i="56"/>
  <c r="G308" i="56"/>
  <c r="G307" i="56"/>
  <c r="G306" i="56"/>
  <c r="G305" i="56"/>
  <c r="G304" i="56"/>
  <c r="G303" i="56"/>
  <c r="G302" i="56"/>
  <c r="G301" i="56"/>
  <c r="G300" i="56"/>
  <c r="G299" i="56"/>
  <c r="G298" i="56"/>
  <c r="G297" i="56"/>
  <c r="G296" i="56"/>
  <c r="G295" i="56"/>
  <c r="G294" i="56"/>
  <c r="G293" i="56"/>
  <c r="G292" i="56"/>
  <c r="G291" i="56"/>
  <c r="G290" i="56"/>
  <c r="G289" i="56"/>
  <c r="G288" i="56"/>
  <c r="G287" i="56"/>
  <c r="G286" i="56"/>
  <c r="G285" i="56"/>
  <c r="G284" i="56"/>
  <c r="G283" i="56"/>
  <c r="G282" i="56"/>
  <c r="G281" i="56"/>
  <c r="G280" i="56"/>
  <c r="G279" i="56"/>
  <c r="G278" i="56"/>
  <c r="G277" i="56"/>
  <c r="G276" i="56"/>
  <c r="G275" i="56"/>
  <c r="G274" i="56"/>
  <c r="G273" i="56"/>
  <c r="G272" i="56"/>
  <c r="G271" i="56"/>
  <c r="G270" i="56"/>
  <c r="G269" i="56"/>
  <c r="G268" i="56"/>
  <c r="G267" i="56"/>
  <c r="G266" i="56"/>
  <c r="G265" i="56"/>
  <c r="G264" i="56"/>
  <c r="G263" i="56"/>
  <c r="G262" i="56"/>
  <c r="G261" i="56"/>
  <c r="G260" i="56"/>
  <c r="G259" i="56"/>
  <c r="G258" i="56"/>
  <c r="G257" i="56"/>
  <c r="G256" i="56"/>
  <c r="G255" i="56"/>
  <c r="G254" i="56"/>
  <c r="G253" i="56"/>
  <c r="G252" i="56"/>
  <c r="G251" i="56"/>
  <c r="G250" i="56"/>
  <c r="G249" i="56"/>
  <c r="G248" i="56"/>
  <c r="G247" i="56"/>
  <c r="G246" i="56"/>
  <c r="G245" i="56"/>
  <c r="G244" i="56"/>
  <c r="G243" i="56"/>
  <c r="G242" i="56"/>
  <c r="G241" i="56"/>
  <c r="G240" i="56"/>
  <c r="G239" i="56"/>
  <c r="G238" i="56"/>
  <c r="G237" i="56"/>
  <c r="G236" i="56"/>
  <c r="G235" i="56"/>
  <c r="G234" i="56"/>
  <c r="G233" i="56"/>
  <c r="G232" i="56"/>
  <c r="G231" i="56"/>
  <c r="G230" i="56"/>
  <c r="G229" i="56"/>
  <c r="G228" i="56"/>
  <c r="G227" i="56"/>
  <c r="G226" i="56"/>
  <c r="G225" i="56"/>
  <c r="G224" i="56"/>
  <c r="G223" i="56"/>
  <c r="G222" i="56"/>
  <c r="G221" i="56"/>
  <c r="G220" i="56"/>
  <c r="G219" i="56"/>
  <c r="G218" i="56"/>
  <c r="G217" i="56"/>
  <c r="G216" i="56"/>
  <c r="G215" i="56"/>
  <c r="G214" i="56"/>
  <c r="G213" i="56"/>
  <c r="G212" i="56"/>
  <c r="G211" i="56"/>
  <c r="G210" i="56"/>
  <c r="G209" i="56"/>
  <c r="G208" i="56"/>
  <c r="G207" i="56"/>
  <c r="G206" i="56"/>
  <c r="G205" i="56"/>
  <c r="G204" i="56"/>
  <c r="G203" i="56"/>
  <c r="G202" i="56"/>
  <c r="G201" i="56"/>
  <c r="G200" i="56"/>
  <c r="G199" i="56"/>
  <c r="G198" i="56"/>
  <c r="G197" i="56"/>
  <c r="G196" i="56"/>
  <c r="G195" i="56"/>
  <c r="G194" i="56"/>
  <c r="G193" i="56"/>
  <c r="G192" i="56"/>
  <c r="G191" i="56"/>
  <c r="G190" i="56"/>
  <c r="G189" i="56"/>
  <c r="G188" i="56"/>
  <c r="G187" i="56"/>
  <c r="G186" i="56"/>
  <c r="G185" i="56"/>
  <c r="G184" i="56"/>
  <c r="G183" i="56"/>
  <c r="G182" i="56"/>
  <c r="G181" i="56"/>
  <c r="G180" i="56"/>
  <c r="G179" i="56"/>
  <c r="G178" i="56"/>
  <c r="G177" i="56"/>
  <c r="G176" i="56"/>
  <c r="G175" i="56"/>
  <c r="G174" i="56"/>
  <c r="G173" i="56"/>
  <c r="G172" i="56"/>
  <c r="G171" i="56"/>
  <c r="G170" i="56"/>
  <c r="G169" i="56"/>
  <c r="G168" i="56"/>
  <c r="G167" i="56"/>
  <c r="G166" i="56"/>
  <c r="G165" i="56"/>
  <c r="G164" i="56"/>
  <c r="G163" i="56"/>
  <c r="G162" i="56"/>
  <c r="G161" i="56"/>
  <c r="G160" i="56"/>
  <c r="G159" i="56"/>
  <c r="G158" i="56"/>
  <c r="G157" i="56"/>
  <c r="G156" i="56"/>
  <c r="G155" i="56"/>
  <c r="G154" i="56"/>
  <c r="G153" i="56"/>
  <c r="G152" i="56"/>
  <c r="G151" i="56"/>
  <c r="G150" i="56"/>
  <c r="G149" i="56"/>
  <c r="G148" i="56"/>
  <c r="G147" i="56"/>
  <c r="G146" i="56"/>
  <c r="G145" i="56"/>
  <c r="G144" i="56"/>
  <c r="G143" i="56"/>
  <c r="G142" i="56"/>
  <c r="G141" i="56"/>
  <c r="G140" i="56"/>
  <c r="G139" i="56"/>
  <c r="G138" i="56"/>
  <c r="G137" i="56"/>
  <c r="G136" i="56"/>
  <c r="G135" i="56"/>
  <c r="G134" i="56"/>
  <c r="G133" i="56"/>
  <c r="G132" i="56"/>
  <c r="G131" i="56"/>
  <c r="G130" i="56"/>
  <c r="G129" i="56"/>
  <c r="G128" i="56"/>
  <c r="G127" i="56"/>
  <c r="G126" i="56"/>
  <c r="G125" i="56"/>
  <c r="G124" i="56"/>
  <c r="G123" i="56"/>
  <c r="G122" i="56"/>
  <c r="G121" i="56"/>
  <c r="G120" i="56"/>
  <c r="G119" i="56"/>
  <c r="G118" i="56"/>
  <c r="G117" i="56"/>
  <c r="G116" i="56"/>
  <c r="G115" i="56"/>
  <c r="G114" i="56"/>
  <c r="G113" i="56"/>
  <c r="G112" i="56"/>
  <c r="G111" i="56"/>
  <c r="G110" i="56"/>
  <c r="G109" i="56"/>
  <c r="G108" i="56"/>
  <c r="G107" i="56"/>
  <c r="G106" i="56"/>
  <c r="G105" i="56"/>
  <c r="G104" i="56"/>
  <c r="G103" i="56"/>
  <c r="G102" i="56"/>
  <c r="G101" i="56"/>
  <c r="G100" i="56"/>
  <c r="G99" i="56"/>
  <c r="G98" i="56"/>
  <c r="G97" i="56"/>
  <c r="G96" i="56"/>
  <c r="G95" i="56"/>
  <c r="G94" i="56"/>
  <c r="G93" i="56"/>
  <c r="G92" i="56"/>
  <c r="G91" i="56"/>
  <c r="G90" i="56"/>
  <c r="G89" i="56"/>
  <c r="G88" i="56"/>
  <c r="G87" i="56"/>
  <c r="G86" i="56"/>
  <c r="G85" i="56"/>
  <c r="G84" i="56"/>
  <c r="G83" i="56"/>
  <c r="G82" i="56"/>
  <c r="G81" i="56"/>
  <c r="G80" i="56"/>
  <c r="G79" i="56"/>
  <c r="G78" i="56"/>
  <c r="G77" i="56"/>
  <c r="G76" i="56"/>
  <c r="G75" i="56"/>
  <c r="G74" i="56"/>
  <c r="G73" i="56"/>
  <c r="G72" i="56"/>
  <c r="G71" i="56"/>
  <c r="G70" i="56"/>
  <c r="I58" i="56"/>
  <c r="Q58" i="56" s="1"/>
  <c r="H58" i="56"/>
  <c r="I57" i="56"/>
  <c r="Q57" i="56" s="1"/>
  <c r="H57" i="56"/>
  <c r="I56" i="56"/>
  <c r="Q56" i="56" s="1"/>
  <c r="H56" i="56"/>
  <c r="I55" i="56"/>
  <c r="Q55" i="56" s="1"/>
  <c r="H55" i="56"/>
  <c r="I54" i="56"/>
  <c r="Q54" i="56" s="1"/>
  <c r="H54" i="56"/>
  <c r="I53" i="56"/>
  <c r="Q53" i="56" s="1"/>
  <c r="H53" i="56"/>
  <c r="I52" i="56"/>
  <c r="Q52" i="56" s="1"/>
  <c r="H52" i="56"/>
  <c r="I51" i="56"/>
  <c r="Q51" i="56" s="1"/>
  <c r="H51" i="56"/>
  <c r="I50" i="56"/>
  <c r="Q50" i="56" s="1"/>
  <c r="H50" i="56"/>
  <c r="I49" i="56"/>
  <c r="Q49" i="56" s="1"/>
  <c r="H49" i="56"/>
  <c r="I48" i="56"/>
  <c r="Q48" i="56" s="1"/>
  <c r="H48" i="56"/>
  <c r="I47" i="56"/>
  <c r="Q47" i="56" s="1"/>
  <c r="H47" i="56"/>
  <c r="I46" i="56"/>
  <c r="Q46" i="56" s="1"/>
  <c r="H46" i="56"/>
  <c r="I45" i="56"/>
  <c r="Q45" i="56" s="1"/>
  <c r="H45" i="56"/>
  <c r="I44" i="56"/>
  <c r="Q44" i="56" s="1"/>
  <c r="H44" i="56"/>
  <c r="I43" i="56"/>
  <c r="Q43" i="56" s="1"/>
  <c r="H43" i="56"/>
  <c r="I42" i="56"/>
  <c r="Q42" i="56" s="1"/>
  <c r="H42" i="56"/>
  <c r="I41" i="56"/>
  <c r="Q41" i="56" s="1"/>
  <c r="H41" i="56"/>
  <c r="N40" i="56"/>
  <c r="I40" i="56"/>
  <c r="Q40" i="56" s="1"/>
  <c r="H40" i="56"/>
  <c r="I39" i="56"/>
  <c r="Q39" i="56" s="1"/>
  <c r="H39" i="56"/>
  <c r="I38" i="56"/>
  <c r="Q38" i="56" s="1"/>
  <c r="H38" i="56"/>
  <c r="I37" i="56"/>
  <c r="Q37" i="56" s="1"/>
  <c r="H37" i="56"/>
  <c r="I36" i="56"/>
  <c r="Q36" i="56" s="1"/>
  <c r="H36" i="56"/>
  <c r="I35" i="56"/>
  <c r="Q35" i="56" s="1"/>
  <c r="H35" i="56"/>
  <c r="I34" i="56"/>
  <c r="Q34" i="56" s="1"/>
  <c r="H34" i="56"/>
  <c r="I33" i="56"/>
  <c r="Q33" i="56" s="1"/>
  <c r="H33" i="56"/>
  <c r="I32" i="56"/>
  <c r="Q32" i="56" s="1"/>
  <c r="H32" i="56"/>
  <c r="I31" i="56"/>
  <c r="Q31" i="56" s="1"/>
  <c r="H31" i="56"/>
  <c r="I30" i="56"/>
  <c r="Q30" i="56" s="1"/>
  <c r="H30" i="56"/>
  <c r="I29" i="56"/>
  <c r="Q29" i="56" s="1"/>
  <c r="H29" i="56"/>
  <c r="I28" i="56"/>
  <c r="Q28" i="56" s="1"/>
  <c r="H28" i="56"/>
  <c r="I27" i="56"/>
  <c r="Q27" i="56" s="1"/>
  <c r="H27" i="56"/>
  <c r="I26" i="56"/>
  <c r="Q26" i="56" s="1"/>
  <c r="H26" i="56"/>
  <c r="I25" i="56"/>
  <c r="Q25" i="56" s="1"/>
  <c r="H25" i="56"/>
  <c r="I24" i="56"/>
  <c r="Q24" i="56" s="1"/>
  <c r="H24" i="56"/>
  <c r="I23" i="56"/>
  <c r="Q23" i="56" s="1"/>
  <c r="H23" i="56"/>
  <c r="I22" i="56"/>
  <c r="Q22" i="56" s="1"/>
  <c r="H22" i="56"/>
  <c r="I21" i="56"/>
  <c r="Q21" i="56" s="1"/>
  <c r="H21" i="56"/>
  <c r="I20" i="56"/>
  <c r="Q20" i="56" s="1"/>
  <c r="H20" i="56"/>
  <c r="I19" i="56"/>
  <c r="Q19" i="56" s="1"/>
  <c r="H19" i="56"/>
  <c r="I18" i="56"/>
  <c r="Q18" i="56" s="1"/>
  <c r="H18" i="56"/>
  <c r="I17" i="56"/>
  <c r="Q17" i="56" s="1"/>
  <c r="H17" i="56"/>
  <c r="I16" i="56"/>
  <c r="Q16" i="56" s="1"/>
  <c r="H16" i="56"/>
  <c r="I15" i="56"/>
  <c r="Q15" i="56" s="1"/>
  <c r="H15" i="56"/>
  <c r="I14" i="56"/>
  <c r="Q14" i="56" s="1"/>
  <c r="H14" i="56"/>
  <c r="Q13" i="56"/>
  <c r="H13" i="56"/>
  <c r="I12" i="56"/>
  <c r="Q12" i="56" s="1"/>
  <c r="H12" i="56"/>
  <c r="I11" i="56"/>
  <c r="Q11" i="56" s="1"/>
  <c r="H11" i="56"/>
  <c r="I10" i="56"/>
  <c r="Q10" i="56" s="1"/>
  <c r="H10" i="56"/>
  <c r="I9" i="56"/>
  <c r="Q9" i="56" s="1"/>
  <c r="H9" i="56"/>
  <c r="I8" i="56"/>
  <c r="Q8" i="56" s="1"/>
  <c r="H8" i="56"/>
  <c r="I7" i="56"/>
  <c r="Q7" i="56" s="1"/>
  <c r="H7" i="56"/>
  <c r="I6" i="56"/>
  <c r="Q6" i="56" s="1"/>
  <c r="H6" i="56"/>
  <c r="G402" i="55"/>
  <c r="G401" i="55"/>
  <c r="G400" i="55"/>
  <c r="G399" i="55"/>
  <c r="G398" i="55"/>
  <c r="G397" i="55"/>
  <c r="G396" i="55"/>
  <c r="G395" i="55"/>
  <c r="G394" i="55"/>
  <c r="G393" i="55"/>
  <c r="G392" i="55"/>
  <c r="G391" i="55"/>
  <c r="G390" i="55"/>
  <c r="G389" i="55"/>
  <c r="G388" i="55"/>
  <c r="G387" i="55"/>
  <c r="G386" i="55"/>
  <c r="G385" i="55"/>
  <c r="G384" i="55"/>
  <c r="G383" i="55"/>
  <c r="G382" i="55"/>
  <c r="G381" i="55"/>
  <c r="G380" i="55"/>
  <c r="G379" i="55"/>
  <c r="G378" i="55"/>
  <c r="G377" i="55"/>
  <c r="G376" i="55"/>
  <c r="G375" i="55"/>
  <c r="G374" i="55"/>
  <c r="G373" i="55"/>
  <c r="G372" i="55"/>
  <c r="G371" i="55"/>
  <c r="G370" i="55"/>
  <c r="G369" i="55"/>
  <c r="G368" i="55"/>
  <c r="G367" i="55"/>
  <c r="G366" i="55"/>
  <c r="G365" i="55"/>
  <c r="G364" i="55"/>
  <c r="G363" i="55"/>
  <c r="G362" i="55"/>
  <c r="G361" i="55"/>
  <c r="G360" i="55"/>
  <c r="G359" i="55"/>
  <c r="G358" i="55"/>
  <c r="G357" i="55"/>
  <c r="G356" i="55"/>
  <c r="G355" i="55"/>
  <c r="G354" i="55"/>
  <c r="G353" i="55"/>
  <c r="G352" i="55"/>
  <c r="G351" i="55"/>
  <c r="G350" i="55"/>
  <c r="G349" i="55"/>
  <c r="G348" i="55"/>
  <c r="G347" i="55"/>
  <c r="G346" i="55"/>
  <c r="G345" i="55"/>
  <c r="G344" i="55"/>
  <c r="G343" i="55"/>
  <c r="G342" i="55"/>
  <c r="G341" i="55"/>
  <c r="G340" i="55"/>
  <c r="G339" i="55"/>
  <c r="G338" i="55"/>
  <c r="G337" i="55"/>
  <c r="G336" i="55"/>
  <c r="G335" i="55"/>
  <c r="G334" i="55"/>
  <c r="G333" i="55"/>
  <c r="G332" i="55"/>
  <c r="G331" i="55"/>
  <c r="G330" i="55"/>
  <c r="G329" i="55"/>
  <c r="G328" i="55"/>
  <c r="G327" i="55"/>
  <c r="G326" i="55"/>
  <c r="G325" i="55"/>
  <c r="G324" i="55"/>
  <c r="G323" i="55"/>
  <c r="G322" i="55"/>
  <c r="G321" i="55"/>
  <c r="G320" i="55"/>
  <c r="G319" i="55"/>
  <c r="G318" i="55"/>
  <c r="G317" i="55"/>
  <c r="G316" i="55"/>
  <c r="G315" i="55"/>
  <c r="G314" i="55"/>
  <c r="G313" i="55"/>
  <c r="G312" i="55"/>
  <c r="G311" i="55"/>
  <c r="G310" i="55"/>
  <c r="G309" i="55"/>
  <c r="G308" i="55"/>
  <c r="G307" i="55"/>
  <c r="G306" i="55"/>
  <c r="G305" i="55"/>
  <c r="G304" i="55"/>
  <c r="G303" i="55"/>
  <c r="G302" i="55"/>
  <c r="G301" i="55"/>
  <c r="G300" i="55"/>
  <c r="G299" i="55"/>
  <c r="G298" i="55"/>
  <c r="G297" i="55"/>
  <c r="G296" i="55"/>
  <c r="G295" i="55"/>
  <c r="G294" i="55"/>
  <c r="G293" i="55"/>
  <c r="G292" i="55"/>
  <c r="G291" i="55"/>
  <c r="G290" i="55"/>
  <c r="G289" i="55"/>
  <c r="G288" i="55"/>
  <c r="G287" i="55"/>
  <c r="G286" i="55"/>
  <c r="G285" i="55"/>
  <c r="G284" i="55"/>
  <c r="G283" i="55"/>
  <c r="G282" i="55"/>
  <c r="G281" i="55"/>
  <c r="G280" i="55"/>
  <c r="G279" i="55"/>
  <c r="G278" i="55"/>
  <c r="G277" i="55"/>
  <c r="G276" i="55"/>
  <c r="G275" i="55"/>
  <c r="G274" i="55"/>
  <c r="G273" i="55"/>
  <c r="G272" i="55"/>
  <c r="G271" i="55"/>
  <c r="G270" i="55"/>
  <c r="G269" i="55"/>
  <c r="G268" i="55"/>
  <c r="G267" i="55"/>
  <c r="G266" i="55"/>
  <c r="G265" i="55"/>
  <c r="G264" i="55"/>
  <c r="G263" i="55"/>
  <c r="G262" i="55"/>
  <c r="G261" i="55"/>
  <c r="G260" i="55"/>
  <c r="G259" i="55"/>
  <c r="G258" i="55"/>
  <c r="G257" i="55"/>
  <c r="G256" i="55"/>
  <c r="G255" i="55"/>
  <c r="G254" i="55"/>
  <c r="G253" i="55"/>
  <c r="G252" i="55"/>
  <c r="G251" i="55"/>
  <c r="G250" i="55"/>
  <c r="G249" i="55"/>
  <c r="G248" i="55"/>
  <c r="G247" i="55"/>
  <c r="G246" i="55"/>
  <c r="G245" i="55"/>
  <c r="G244" i="55"/>
  <c r="G243" i="55"/>
  <c r="G242" i="55"/>
  <c r="G241" i="55"/>
  <c r="G240" i="55"/>
  <c r="G239" i="55"/>
  <c r="G238" i="55"/>
  <c r="G237" i="55"/>
  <c r="G236" i="55"/>
  <c r="G235" i="55"/>
  <c r="G234" i="55"/>
  <c r="G233" i="55"/>
  <c r="G232" i="55"/>
  <c r="G231" i="55"/>
  <c r="G230" i="55"/>
  <c r="G229" i="55"/>
  <c r="G228" i="55"/>
  <c r="G227" i="55"/>
  <c r="G226" i="55"/>
  <c r="G225" i="55"/>
  <c r="G224" i="55"/>
  <c r="G223" i="55"/>
  <c r="G222" i="55"/>
  <c r="G221" i="55"/>
  <c r="G220" i="55"/>
  <c r="G219" i="55"/>
  <c r="G218" i="55"/>
  <c r="G217" i="55"/>
  <c r="G216" i="55"/>
  <c r="G215" i="55"/>
  <c r="G214" i="55"/>
  <c r="G213" i="55"/>
  <c r="G212" i="55"/>
  <c r="G211" i="55"/>
  <c r="G210" i="55"/>
  <c r="G209" i="55"/>
  <c r="G208" i="55"/>
  <c r="G207" i="55"/>
  <c r="G206" i="55"/>
  <c r="G205" i="55"/>
  <c r="G204" i="55"/>
  <c r="G203" i="55"/>
  <c r="G202" i="55"/>
  <c r="G201" i="55"/>
  <c r="G200" i="55"/>
  <c r="G199" i="55"/>
  <c r="G198" i="55"/>
  <c r="G197" i="55"/>
  <c r="G196" i="55"/>
  <c r="G195" i="55"/>
  <c r="G194" i="55"/>
  <c r="G193" i="55"/>
  <c r="G192" i="55"/>
  <c r="G191" i="55"/>
  <c r="G190" i="55"/>
  <c r="G189" i="55"/>
  <c r="G188" i="55"/>
  <c r="G187" i="55"/>
  <c r="G186" i="55"/>
  <c r="G185" i="55"/>
  <c r="G184" i="55"/>
  <c r="G183" i="55"/>
  <c r="G182" i="55"/>
  <c r="G181" i="55"/>
  <c r="G180" i="55"/>
  <c r="G179" i="55"/>
  <c r="G178" i="55"/>
  <c r="G177" i="55"/>
  <c r="G176" i="55"/>
  <c r="G175" i="55"/>
  <c r="G174" i="55"/>
  <c r="G173" i="55"/>
  <c r="G172" i="55"/>
  <c r="G171" i="55"/>
  <c r="G170" i="55"/>
  <c r="G169" i="55"/>
  <c r="G168" i="55"/>
  <c r="G167" i="55"/>
  <c r="G166" i="55"/>
  <c r="G165" i="55"/>
  <c r="G164" i="55"/>
  <c r="G163" i="55"/>
  <c r="G162" i="55"/>
  <c r="G161" i="55"/>
  <c r="G160" i="55"/>
  <c r="G159" i="55"/>
  <c r="G158" i="55"/>
  <c r="G157" i="55"/>
  <c r="G156" i="55"/>
  <c r="G155" i="55"/>
  <c r="G154" i="55"/>
  <c r="G153" i="55"/>
  <c r="G152" i="55"/>
  <c r="G151" i="55"/>
  <c r="G150" i="55"/>
  <c r="G149" i="55"/>
  <c r="G148" i="55"/>
  <c r="G147" i="55"/>
  <c r="G146" i="55"/>
  <c r="G145" i="55"/>
  <c r="G144" i="55"/>
  <c r="G143" i="55"/>
  <c r="G142" i="55"/>
  <c r="G141" i="55"/>
  <c r="G140" i="55"/>
  <c r="G139" i="55"/>
  <c r="G138" i="55"/>
  <c r="G137" i="55"/>
  <c r="G136" i="55"/>
  <c r="G135" i="55"/>
  <c r="G134" i="55"/>
  <c r="G133" i="55"/>
  <c r="G132" i="55"/>
  <c r="G131" i="55"/>
  <c r="G130" i="55"/>
  <c r="G129" i="55"/>
  <c r="G128" i="55"/>
  <c r="G127" i="55"/>
  <c r="G126" i="55"/>
  <c r="G125" i="55"/>
  <c r="G124" i="55"/>
  <c r="G123" i="55"/>
  <c r="G122" i="55"/>
  <c r="G121" i="55"/>
  <c r="G120" i="55"/>
  <c r="G119" i="55"/>
  <c r="G118" i="55"/>
  <c r="G117" i="55"/>
  <c r="G116" i="55"/>
  <c r="G115" i="55"/>
  <c r="G114" i="55"/>
  <c r="G113" i="55"/>
  <c r="G112" i="55"/>
  <c r="G111" i="55"/>
  <c r="G110" i="55"/>
  <c r="G109" i="55"/>
  <c r="G108" i="55"/>
  <c r="G107" i="55"/>
  <c r="G106" i="55"/>
  <c r="G105" i="55"/>
  <c r="G104" i="55"/>
  <c r="G103" i="55"/>
  <c r="G102" i="55"/>
  <c r="G101" i="55"/>
  <c r="G100" i="55"/>
  <c r="G99" i="55"/>
  <c r="G98" i="55"/>
  <c r="G97" i="55"/>
  <c r="G96" i="55"/>
  <c r="G95" i="55"/>
  <c r="G94" i="55"/>
  <c r="G93" i="55"/>
  <c r="G92" i="55"/>
  <c r="G91" i="55"/>
  <c r="G90" i="55"/>
  <c r="G89" i="55"/>
  <c r="G88" i="55"/>
  <c r="G87" i="55"/>
  <c r="G86" i="55"/>
  <c r="G85" i="55"/>
  <c r="G84" i="55"/>
  <c r="G83" i="55"/>
  <c r="G82" i="55"/>
  <c r="G81" i="55"/>
  <c r="G80" i="55"/>
  <c r="G79" i="55"/>
  <c r="G78" i="55"/>
  <c r="G77" i="55"/>
  <c r="G76" i="55"/>
  <c r="G75" i="55"/>
  <c r="G74" i="55"/>
  <c r="G73" i="55"/>
  <c r="G72" i="55"/>
  <c r="G71" i="55"/>
  <c r="G70" i="55"/>
  <c r="G69" i="55"/>
  <c r="G68" i="55"/>
  <c r="G67" i="55"/>
  <c r="G66" i="55"/>
  <c r="G65" i="55"/>
  <c r="G64" i="55"/>
  <c r="G63" i="55"/>
  <c r="G62" i="55"/>
  <c r="G61" i="55"/>
  <c r="G60" i="55"/>
  <c r="G59" i="55"/>
  <c r="G58" i="55"/>
  <c r="G57" i="55"/>
  <c r="G56" i="55"/>
  <c r="G55" i="55"/>
  <c r="G54" i="55"/>
  <c r="G53" i="55"/>
  <c r="G52" i="55"/>
  <c r="G51" i="55"/>
  <c r="G50" i="55"/>
  <c r="G49" i="55"/>
  <c r="G48" i="55"/>
  <c r="G47" i="55"/>
  <c r="G46" i="55"/>
  <c r="G45" i="55"/>
  <c r="G44" i="55"/>
  <c r="G43" i="55"/>
  <c r="G42" i="55"/>
  <c r="G41" i="55"/>
  <c r="G40" i="55"/>
  <c r="G39" i="55"/>
  <c r="G38" i="55"/>
  <c r="G37" i="55"/>
  <c r="G36" i="55"/>
  <c r="G35" i="55"/>
  <c r="G34" i="55"/>
  <c r="G33" i="55"/>
  <c r="G32" i="55"/>
  <c r="G31" i="55"/>
  <c r="G30" i="55"/>
  <c r="G29" i="55"/>
  <c r="G28" i="55"/>
  <c r="G27" i="55"/>
  <c r="G26" i="55"/>
  <c r="G25" i="55"/>
  <c r="G24" i="55"/>
  <c r="G23" i="55"/>
  <c r="G22" i="55"/>
  <c r="G21" i="55"/>
  <c r="G20" i="55"/>
  <c r="G19" i="55"/>
  <c r="G18" i="55"/>
  <c r="I6" i="55"/>
  <c r="R6" i="55" s="1"/>
  <c r="H6" i="55"/>
  <c r="G412" i="54"/>
  <c r="G411" i="54"/>
  <c r="G410" i="54"/>
  <c r="G409" i="54"/>
  <c r="G408" i="54"/>
  <c r="G407" i="54"/>
  <c r="G406" i="54"/>
  <c r="G405" i="54"/>
  <c r="G404" i="54"/>
  <c r="G403" i="54"/>
  <c r="G402" i="54"/>
  <c r="G401" i="54"/>
  <c r="G400" i="54"/>
  <c r="G399" i="54"/>
  <c r="G398" i="54"/>
  <c r="G397" i="54"/>
  <c r="G396" i="54"/>
  <c r="G395" i="54"/>
  <c r="G394" i="54"/>
  <c r="G393" i="54"/>
  <c r="G392" i="54"/>
  <c r="G391" i="54"/>
  <c r="G390" i="54"/>
  <c r="G389" i="54"/>
  <c r="G388" i="54"/>
  <c r="G387" i="54"/>
  <c r="G386" i="54"/>
  <c r="G385" i="54"/>
  <c r="G384" i="54"/>
  <c r="G383" i="54"/>
  <c r="G382" i="54"/>
  <c r="G381" i="54"/>
  <c r="G380" i="54"/>
  <c r="G379" i="54"/>
  <c r="G378" i="54"/>
  <c r="G377" i="54"/>
  <c r="G376" i="54"/>
  <c r="G375" i="54"/>
  <c r="G374" i="54"/>
  <c r="G373" i="54"/>
  <c r="G372" i="54"/>
  <c r="G371" i="54"/>
  <c r="G370" i="54"/>
  <c r="G369" i="54"/>
  <c r="G368" i="54"/>
  <c r="G367" i="54"/>
  <c r="G366" i="54"/>
  <c r="G365" i="54"/>
  <c r="G364" i="54"/>
  <c r="G363" i="54"/>
  <c r="G362" i="54"/>
  <c r="G361" i="54"/>
  <c r="G360" i="54"/>
  <c r="G359" i="54"/>
  <c r="G358" i="54"/>
  <c r="G357" i="54"/>
  <c r="G356" i="54"/>
  <c r="G355" i="54"/>
  <c r="G354" i="54"/>
  <c r="G353" i="54"/>
  <c r="G352" i="54"/>
  <c r="G351" i="54"/>
  <c r="G350" i="54"/>
  <c r="G349" i="54"/>
  <c r="G348" i="54"/>
  <c r="G347" i="54"/>
  <c r="G346" i="54"/>
  <c r="G345" i="54"/>
  <c r="G344" i="54"/>
  <c r="G343" i="54"/>
  <c r="G342" i="54"/>
  <c r="G341" i="54"/>
  <c r="G340" i="54"/>
  <c r="G339" i="54"/>
  <c r="G338" i="54"/>
  <c r="G337" i="54"/>
  <c r="G336" i="54"/>
  <c r="G335" i="54"/>
  <c r="G334" i="54"/>
  <c r="G333" i="54"/>
  <c r="G332" i="54"/>
  <c r="G331" i="54"/>
  <c r="G330" i="54"/>
  <c r="G329" i="54"/>
  <c r="G328" i="54"/>
  <c r="G327" i="54"/>
  <c r="G326" i="54"/>
  <c r="G325" i="54"/>
  <c r="G324" i="54"/>
  <c r="G323" i="54"/>
  <c r="G322" i="54"/>
  <c r="G321" i="54"/>
  <c r="G320" i="54"/>
  <c r="G319" i="54"/>
  <c r="G318" i="54"/>
  <c r="G317" i="54"/>
  <c r="G316" i="54"/>
  <c r="G315" i="54"/>
  <c r="G314" i="54"/>
  <c r="G313" i="54"/>
  <c r="G312" i="54"/>
  <c r="G311" i="54"/>
  <c r="G310" i="54"/>
  <c r="G309" i="54"/>
  <c r="G308" i="54"/>
  <c r="G307" i="54"/>
  <c r="G306" i="54"/>
  <c r="G305" i="54"/>
  <c r="G304" i="54"/>
  <c r="G303" i="54"/>
  <c r="G302" i="54"/>
  <c r="G301" i="54"/>
  <c r="G300" i="54"/>
  <c r="G299" i="54"/>
  <c r="G298" i="54"/>
  <c r="G297" i="54"/>
  <c r="G296" i="54"/>
  <c r="G295" i="54"/>
  <c r="G294" i="54"/>
  <c r="G293" i="54"/>
  <c r="G292" i="54"/>
  <c r="G291" i="54"/>
  <c r="G290" i="54"/>
  <c r="G289" i="54"/>
  <c r="G288" i="54"/>
  <c r="G287" i="54"/>
  <c r="G286" i="54"/>
  <c r="G285" i="54"/>
  <c r="G284" i="54"/>
  <c r="G283" i="54"/>
  <c r="G282" i="54"/>
  <c r="G281" i="54"/>
  <c r="G280" i="54"/>
  <c r="G279" i="54"/>
  <c r="G278" i="54"/>
  <c r="G277" i="54"/>
  <c r="G276" i="54"/>
  <c r="G275" i="54"/>
  <c r="G274" i="54"/>
  <c r="G273" i="54"/>
  <c r="G272" i="54"/>
  <c r="G271" i="54"/>
  <c r="G270" i="54"/>
  <c r="G269" i="54"/>
  <c r="G268" i="54"/>
  <c r="G267" i="54"/>
  <c r="G266" i="54"/>
  <c r="G265" i="54"/>
  <c r="G264" i="54"/>
  <c r="G263" i="54"/>
  <c r="G262" i="54"/>
  <c r="G261" i="54"/>
  <c r="G260" i="54"/>
  <c r="G259" i="54"/>
  <c r="G258" i="54"/>
  <c r="G257" i="54"/>
  <c r="G256" i="54"/>
  <c r="G255" i="54"/>
  <c r="G254" i="54"/>
  <c r="G253" i="54"/>
  <c r="G252" i="54"/>
  <c r="G251" i="54"/>
  <c r="G250" i="54"/>
  <c r="G249" i="54"/>
  <c r="G248" i="54"/>
  <c r="G247" i="54"/>
  <c r="G246" i="54"/>
  <c r="G245" i="54"/>
  <c r="G244" i="54"/>
  <c r="G243" i="54"/>
  <c r="G242" i="54"/>
  <c r="G241" i="54"/>
  <c r="G240" i="54"/>
  <c r="G239" i="54"/>
  <c r="G238" i="54"/>
  <c r="G237" i="54"/>
  <c r="G236" i="54"/>
  <c r="G235" i="54"/>
  <c r="G234" i="54"/>
  <c r="G233" i="54"/>
  <c r="G232" i="54"/>
  <c r="G231" i="54"/>
  <c r="G230" i="54"/>
  <c r="G229" i="54"/>
  <c r="G228" i="54"/>
  <c r="G227" i="54"/>
  <c r="G226" i="54"/>
  <c r="G225" i="54"/>
  <c r="G224" i="54"/>
  <c r="G223" i="54"/>
  <c r="G222" i="54"/>
  <c r="G221" i="54"/>
  <c r="G220" i="54"/>
  <c r="G219" i="54"/>
  <c r="G218" i="54"/>
  <c r="G217" i="54"/>
  <c r="G216" i="54"/>
  <c r="G215" i="54"/>
  <c r="G214" i="54"/>
  <c r="G213" i="54"/>
  <c r="G212" i="54"/>
  <c r="G211" i="54"/>
  <c r="G210" i="54"/>
  <c r="G209" i="54"/>
  <c r="G208" i="54"/>
  <c r="G207" i="54"/>
  <c r="G206" i="54"/>
  <c r="G205" i="54"/>
  <c r="G204" i="54"/>
  <c r="G203" i="54"/>
  <c r="G202" i="54"/>
  <c r="G201" i="54"/>
  <c r="G200" i="54"/>
  <c r="G199" i="54"/>
  <c r="G198" i="54"/>
  <c r="G197" i="54"/>
  <c r="G196" i="54"/>
  <c r="G195" i="54"/>
  <c r="G194" i="54"/>
  <c r="G193" i="54"/>
  <c r="G192" i="54"/>
  <c r="G191" i="54"/>
  <c r="G190" i="54"/>
  <c r="G189" i="54"/>
  <c r="G188" i="54"/>
  <c r="G187" i="54"/>
  <c r="G186" i="54"/>
  <c r="G185" i="54"/>
  <c r="G184" i="54"/>
  <c r="G183" i="54"/>
  <c r="G182" i="54"/>
  <c r="G181" i="54"/>
  <c r="G180" i="54"/>
  <c r="G179" i="54"/>
  <c r="G178" i="54"/>
  <c r="G177" i="54"/>
  <c r="G176" i="54"/>
  <c r="G175" i="54"/>
  <c r="G174" i="54"/>
  <c r="G173" i="54"/>
  <c r="G172" i="54"/>
  <c r="G171" i="54"/>
  <c r="G170" i="54"/>
  <c r="G169" i="54"/>
  <c r="G168" i="54"/>
  <c r="G167" i="54"/>
  <c r="G166" i="54"/>
  <c r="G165" i="54"/>
  <c r="G164" i="54"/>
  <c r="G163" i="54"/>
  <c r="G162" i="54"/>
  <c r="G161" i="54"/>
  <c r="G160" i="54"/>
  <c r="G159" i="54"/>
  <c r="G158" i="54"/>
  <c r="G157" i="54"/>
  <c r="G156" i="54"/>
  <c r="G155" i="54"/>
  <c r="G154" i="54"/>
  <c r="G153" i="54"/>
  <c r="G152" i="54"/>
  <c r="G151" i="54"/>
  <c r="G150" i="54"/>
  <c r="G149" i="54"/>
  <c r="G148" i="54"/>
  <c r="G147" i="54"/>
  <c r="G146" i="54"/>
  <c r="G145" i="54"/>
  <c r="G144" i="54"/>
  <c r="G143" i="54"/>
  <c r="G142" i="54"/>
  <c r="G141" i="54"/>
  <c r="G140" i="54"/>
  <c r="G139" i="54"/>
  <c r="G138" i="54"/>
  <c r="G137" i="54"/>
  <c r="G136" i="54"/>
  <c r="G135" i="54"/>
  <c r="G134" i="54"/>
  <c r="G133" i="54"/>
  <c r="G132" i="54"/>
  <c r="G131" i="54"/>
  <c r="G130" i="54"/>
  <c r="G129" i="54"/>
  <c r="G128" i="54"/>
  <c r="G127" i="54"/>
  <c r="G126" i="54"/>
  <c r="G125" i="54"/>
  <c r="G124" i="54"/>
  <c r="G123" i="54"/>
  <c r="G122" i="54"/>
  <c r="G121" i="54"/>
  <c r="G120" i="54"/>
  <c r="G119" i="54"/>
  <c r="G118" i="54"/>
  <c r="G117" i="54"/>
  <c r="G116" i="54"/>
  <c r="G115" i="54"/>
  <c r="G114" i="54"/>
  <c r="G113" i="54"/>
  <c r="G112" i="54"/>
  <c r="G111" i="54"/>
  <c r="G110" i="54"/>
  <c r="G109" i="54"/>
  <c r="G108" i="54"/>
  <c r="G107" i="54"/>
  <c r="G106" i="54"/>
  <c r="G105" i="54"/>
  <c r="G104" i="54"/>
  <c r="G103" i="54"/>
  <c r="G102" i="54"/>
  <c r="G101" i="54"/>
  <c r="G100" i="54"/>
  <c r="G99" i="54"/>
  <c r="G98" i="54"/>
  <c r="G97" i="54"/>
  <c r="G96" i="54"/>
  <c r="G95" i="54"/>
  <c r="G94" i="54"/>
  <c r="G93" i="54"/>
  <c r="G92" i="54"/>
  <c r="G91" i="54"/>
  <c r="G90" i="54"/>
  <c r="G89" i="54"/>
  <c r="G88" i="54"/>
  <c r="G87" i="54"/>
  <c r="G86" i="54"/>
  <c r="G85" i="54"/>
  <c r="G84" i="54"/>
  <c r="G83" i="54"/>
  <c r="G82" i="54"/>
  <c r="G81" i="54"/>
  <c r="G80" i="54"/>
  <c r="G79" i="54"/>
  <c r="G78" i="54"/>
  <c r="G77" i="54"/>
  <c r="G76" i="54"/>
  <c r="G75" i="54"/>
  <c r="G74" i="54"/>
  <c r="G73" i="54"/>
  <c r="G72" i="54"/>
  <c r="G71" i="54"/>
  <c r="G70" i="54"/>
  <c r="G69" i="54"/>
  <c r="G68" i="54"/>
  <c r="G67" i="54"/>
  <c r="G66" i="54"/>
  <c r="G65" i="54"/>
  <c r="G64" i="54"/>
  <c r="G63" i="54"/>
  <c r="G62" i="54"/>
  <c r="G61" i="54"/>
  <c r="G60" i="54"/>
  <c r="G59" i="54"/>
  <c r="G58" i="54"/>
  <c r="G57" i="54"/>
  <c r="G56" i="54"/>
  <c r="G55" i="54"/>
  <c r="G54" i="54"/>
  <c r="G53" i="54"/>
  <c r="G52" i="54"/>
  <c r="G51" i="54"/>
  <c r="G50" i="54"/>
  <c r="G49" i="54"/>
  <c r="G48" i="54"/>
  <c r="G47" i="54"/>
  <c r="G46" i="54"/>
  <c r="G45" i="54"/>
  <c r="G44" i="54"/>
  <c r="G43" i="54"/>
  <c r="G42" i="54"/>
  <c r="G41" i="54"/>
  <c r="G40" i="54"/>
  <c r="G39" i="54"/>
  <c r="G38" i="54"/>
  <c r="G37" i="54"/>
  <c r="G36" i="54"/>
  <c r="G35" i="54"/>
  <c r="G34" i="54"/>
  <c r="G33" i="54"/>
  <c r="G32" i="54"/>
  <c r="G31" i="54"/>
  <c r="G30" i="54"/>
  <c r="G29" i="54"/>
  <c r="G28" i="54"/>
  <c r="I16" i="54"/>
  <c r="P16" i="54" s="1"/>
  <c r="H16" i="54"/>
  <c r="I15" i="54"/>
  <c r="P15" i="54" s="1"/>
  <c r="H15" i="54"/>
  <c r="I14" i="54"/>
  <c r="H14" i="54"/>
  <c r="H13" i="54"/>
  <c r="I12" i="54"/>
  <c r="Q12" i="54" s="1"/>
  <c r="H12" i="54"/>
  <c r="I11" i="54"/>
  <c r="H11" i="54"/>
  <c r="I10" i="54"/>
  <c r="Q10" i="54" s="1"/>
  <c r="H10" i="54"/>
  <c r="I9" i="54"/>
  <c r="Q9" i="54" s="1"/>
  <c r="H9" i="54"/>
  <c r="I8" i="54"/>
  <c r="Q8" i="54" s="1"/>
  <c r="H8" i="54"/>
  <c r="I7" i="54"/>
  <c r="H7" i="54"/>
  <c r="I6" i="54"/>
  <c r="Q6" i="54" s="1"/>
  <c r="H6" i="54"/>
  <c r="G405" i="52"/>
  <c r="G404" i="52"/>
  <c r="G403" i="52"/>
  <c r="G402" i="52"/>
  <c r="G401" i="52"/>
  <c r="G400" i="52"/>
  <c r="G399" i="52"/>
  <c r="G398" i="52"/>
  <c r="G397" i="52"/>
  <c r="G396" i="52"/>
  <c r="G395" i="52"/>
  <c r="G394" i="52"/>
  <c r="G393" i="52"/>
  <c r="G392" i="52"/>
  <c r="G391" i="52"/>
  <c r="G390" i="52"/>
  <c r="G389" i="52"/>
  <c r="G388" i="52"/>
  <c r="G387" i="52"/>
  <c r="G386" i="52"/>
  <c r="G385" i="52"/>
  <c r="G384" i="52"/>
  <c r="G383" i="52"/>
  <c r="G382" i="52"/>
  <c r="G381" i="52"/>
  <c r="G380" i="52"/>
  <c r="G379" i="52"/>
  <c r="G378" i="52"/>
  <c r="G377" i="52"/>
  <c r="G376" i="52"/>
  <c r="G375" i="52"/>
  <c r="G374" i="52"/>
  <c r="G373" i="52"/>
  <c r="G372" i="52"/>
  <c r="G371" i="52"/>
  <c r="G370" i="52"/>
  <c r="G369" i="52"/>
  <c r="G368" i="52"/>
  <c r="G367" i="52"/>
  <c r="G366" i="52"/>
  <c r="G365" i="52"/>
  <c r="G364" i="52"/>
  <c r="G363" i="52"/>
  <c r="G362" i="52"/>
  <c r="G361" i="52"/>
  <c r="G360" i="52"/>
  <c r="G359" i="52"/>
  <c r="G358" i="52"/>
  <c r="G357" i="52"/>
  <c r="G356" i="52"/>
  <c r="G355" i="52"/>
  <c r="G354" i="52"/>
  <c r="G353" i="52"/>
  <c r="G352" i="52"/>
  <c r="G351" i="52"/>
  <c r="G350" i="52"/>
  <c r="G349" i="52"/>
  <c r="G348" i="52"/>
  <c r="G347" i="52"/>
  <c r="G346" i="52"/>
  <c r="G345" i="52"/>
  <c r="G344" i="52"/>
  <c r="G343" i="52"/>
  <c r="G342" i="52"/>
  <c r="G341" i="52"/>
  <c r="G340" i="52"/>
  <c r="G339" i="52"/>
  <c r="G338" i="52"/>
  <c r="G337" i="52"/>
  <c r="G336" i="52"/>
  <c r="G335" i="52"/>
  <c r="G334" i="52"/>
  <c r="G333" i="52"/>
  <c r="G332" i="52"/>
  <c r="G331" i="52"/>
  <c r="G330" i="52"/>
  <c r="G329" i="52"/>
  <c r="G328" i="52"/>
  <c r="G327" i="52"/>
  <c r="G326" i="52"/>
  <c r="G325" i="52"/>
  <c r="G324" i="52"/>
  <c r="G323" i="52"/>
  <c r="G322" i="52"/>
  <c r="G321" i="52"/>
  <c r="G320" i="52"/>
  <c r="G319" i="52"/>
  <c r="G318" i="52"/>
  <c r="G317" i="52"/>
  <c r="G316" i="52"/>
  <c r="G315" i="52"/>
  <c r="G314" i="52"/>
  <c r="G313" i="52"/>
  <c r="G312" i="52"/>
  <c r="G311" i="52"/>
  <c r="G310" i="52"/>
  <c r="G309" i="52"/>
  <c r="G308" i="52"/>
  <c r="G307" i="52"/>
  <c r="G306" i="52"/>
  <c r="G305" i="52"/>
  <c r="G304" i="52"/>
  <c r="G303" i="52"/>
  <c r="G302" i="52"/>
  <c r="G301" i="52"/>
  <c r="G300" i="52"/>
  <c r="G299" i="52"/>
  <c r="G298" i="52"/>
  <c r="G297" i="52"/>
  <c r="G296" i="52"/>
  <c r="G295" i="52"/>
  <c r="G294" i="52"/>
  <c r="G293" i="52"/>
  <c r="G292" i="52"/>
  <c r="G291" i="52"/>
  <c r="G290" i="52"/>
  <c r="G289" i="52"/>
  <c r="G288" i="52"/>
  <c r="G287" i="52"/>
  <c r="G286" i="52"/>
  <c r="G285" i="52"/>
  <c r="G284" i="52"/>
  <c r="G283" i="52"/>
  <c r="G282" i="52"/>
  <c r="G281" i="52"/>
  <c r="G280" i="52"/>
  <c r="G279" i="52"/>
  <c r="G278" i="52"/>
  <c r="G277" i="52"/>
  <c r="G276" i="52"/>
  <c r="G275" i="52"/>
  <c r="G274" i="52"/>
  <c r="G273" i="52"/>
  <c r="G272" i="52"/>
  <c r="G271" i="52"/>
  <c r="G270" i="52"/>
  <c r="G269" i="52"/>
  <c r="G268" i="52"/>
  <c r="G267" i="52"/>
  <c r="G266" i="52"/>
  <c r="G265" i="52"/>
  <c r="G264" i="52"/>
  <c r="G263" i="52"/>
  <c r="G262" i="52"/>
  <c r="G261" i="52"/>
  <c r="G260" i="52"/>
  <c r="G259" i="52"/>
  <c r="G258" i="52"/>
  <c r="G257" i="52"/>
  <c r="G256" i="52"/>
  <c r="G255" i="52"/>
  <c r="G254" i="52"/>
  <c r="G253" i="52"/>
  <c r="G252" i="52"/>
  <c r="G251" i="52"/>
  <c r="G250" i="52"/>
  <c r="G249" i="52"/>
  <c r="G248" i="52"/>
  <c r="G247" i="52"/>
  <c r="G246" i="52"/>
  <c r="G245" i="52"/>
  <c r="G244" i="52"/>
  <c r="G243" i="52"/>
  <c r="G242" i="52"/>
  <c r="G241" i="52"/>
  <c r="G240" i="52"/>
  <c r="G239" i="52"/>
  <c r="G238" i="52"/>
  <c r="G237" i="52"/>
  <c r="G236" i="52"/>
  <c r="G235" i="52"/>
  <c r="G234" i="52"/>
  <c r="G233" i="52"/>
  <c r="G232" i="52"/>
  <c r="G231" i="52"/>
  <c r="G230" i="52"/>
  <c r="G229" i="52"/>
  <c r="G228" i="52"/>
  <c r="G227" i="52"/>
  <c r="G226" i="52"/>
  <c r="G225" i="52"/>
  <c r="G224" i="52"/>
  <c r="G223" i="52"/>
  <c r="G222" i="52"/>
  <c r="G221" i="52"/>
  <c r="G220" i="52"/>
  <c r="G219" i="52"/>
  <c r="G218" i="52"/>
  <c r="G217" i="52"/>
  <c r="G216" i="52"/>
  <c r="G215" i="52"/>
  <c r="G214" i="52"/>
  <c r="G213" i="52"/>
  <c r="G212" i="52"/>
  <c r="G211" i="52"/>
  <c r="G210" i="52"/>
  <c r="G209" i="52"/>
  <c r="G208" i="52"/>
  <c r="G207" i="52"/>
  <c r="G206" i="52"/>
  <c r="G205" i="52"/>
  <c r="G204" i="52"/>
  <c r="G203" i="52"/>
  <c r="G202" i="52"/>
  <c r="G201" i="52"/>
  <c r="G200" i="52"/>
  <c r="G199" i="52"/>
  <c r="G198" i="52"/>
  <c r="G197" i="52"/>
  <c r="G196" i="52"/>
  <c r="G195" i="52"/>
  <c r="G194" i="52"/>
  <c r="G193" i="52"/>
  <c r="G192" i="52"/>
  <c r="G191" i="52"/>
  <c r="G190" i="52"/>
  <c r="G189" i="52"/>
  <c r="G188" i="52"/>
  <c r="G187" i="52"/>
  <c r="G186" i="52"/>
  <c r="G185" i="52"/>
  <c r="G184" i="52"/>
  <c r="G183" i="52"/>
  <c r="G182" i="52"/>
  <c r="G181" i="52"/>
  <c r="G180" i="52"/>
  <c r="G179" i="52"/>
  <c r="G178" i="52"/>
  <c r="G177" i="52"/>
  <c r="G176" i="52"/>
  <c r="G175" i="52"/>
  <c r="G174" i="52"/>
  <c r="G173" i="52"/>
  <c r="G172" i="52"/>
  <c r="G171" i="52"/>
  <c r="G170" i="52"/>
  <c r="G169" i="52"/>
  <c r="G168" i="52"/>
  <c r="G167" i="52"/>
  <c r="G166" i="52"/>
  <c r="G165" i="52"/>
  <c r="G164" i="52"/>
  <c r="G163" i="52"/>
  <c r="G162" i="52"/>
  <c r="G161" i="52"/>
  <c r="G160" i="52"/>
  <c r="G159" i="52"/>
  <c r="G158" i="52"/>
  <c r="G157" i="52"/>
  <c r="G156" i="52"/>
  <c r="G155" i="52"/>
  <c r="G154" i="52"/>
  <c r="G153" i="52"/>
  <c r="G152" i="52"/>
  <c r="G151" i="52"/>
  <c r="G150" i="52"/>
  <c r="G149" i="52"/>
  <c r="G148" i="52"/>
  <c r="G147" i="52"/>
  <c r="G146" i="52"/>
  <c r="G145" i="52"/>
  <c r="G144" i="52"/>
  <c r="G143" i="52"/>
  <c r="G142" i="52"/>
  <c r="G141" i="52"/>
  <c r="G140" i="52"/>
  <c r="G139" i="52"/>
  <c r="G138" i="52"/>
  <c r="G137" i="52"/>
  <c r="G136" i="52"/>
  <c r="G135" i="52"/>
  <c r="G134" i="52"/>
  <c r="G133" i="52"/>
  <c r="G132" i="52"/>
  <c r="G131" i="52"/>
  <c r="G130" i="52"/>
  <c r="G129" i="52"/>
  <c r="G128" i="52"/>
  <c r="G127" i="52"/>
  <c r="G126" i="52"/>
  <c r="G125" i="52"/>
  <c r="G124" i="52"/>
  <c r="G123" i="52"/>
  <c r="G122" i="52"/>
  <c r="G121" i="52"/>
  <c r="G120" i="52"/>
  <c r="G119" i="52"/>
  <c r="G118" i="52"/>
  <c r="G117" i="52"/>
  <c r="G116" i="52"/>
  <c r="G115" i="52"/>
  <c r="G114" i="52"/>
  <c r="G113" i="52"/>
  <c r="G112" i="52"/>
  <c r="G111" i="52"/>
  <c r="G110" i="52"/>
  <c r="G109" i="52"/>
  <c r="G108" i="52"/>
  <c r="G107" i="52"/>
  <c r="G106" i="52"/>
  <c r="G105" i="52"/>
  <c r="G104" i="52"/>
  <c r="G103" i="52"/>
  <c r="G102" i="52"/>
  <c r="G101" i="52"/>
  <c r="G100" i="52"/>
  <c r="G99" i="52"/>
  <c r="G98" i="52"/>
  <c r="G97" i="52"/>
  <c r="G96" i="52"/>
  <c r="G95" i="52"/>
  <c r="G94" i="52"/>
  <c r="G93" i="52"/>
  <c r="G92" i="52"/>
  <c r="G91" i="52"/>
  <c r="G90" i="52"/>
  <c r="G89" i="52"/>
  <c r="G88" i="52"/>
  <c r="G87" i="52"/>
  <c r="G86" i="52"/>
  <c r="G85" i="52"/>
  <c r="G84" i="52"/>
  <c r="G83" i="52"/>
  <c r="G82" i="52"/>
  <c r="G81" i="52"/>
  <c r="G80" i="52"/>
  <c r="G79" i="52"/>
  <c r="G78" i="52"/>
  <c r="G77" i="52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I9" i="52"/>
  <c r="P9" i="52" s="1"/>
  <c r="H9" i="52"/>
  <c r="I8" i="52"/>
  <c r="P8" i="52" s="1"/>
  <c r="H8" i="52"/>
  <c r="H7" i="52"/>
  <c r="I6" i="52"/>
  <c r="P6" i="52" s="1"/>
  <c r="H6" i="52"/>
  <c r="G480" i="51"/>
  <c r="G479" i="51"/>
  <c r="G478" i="51"/>
  <c r="G477" i="51"/>
  <c r="G476" i="51"/>
  <c r="G475" i="51"/>
  <c r="G474" i="51"/>
  <c r="G473" i="51"/>
  <c r="G472" i="51"/>
  <c r="G471" i="51"/>
  <c r="G470" i="51"/>
  <c r="G469" i="51"/>
  <c r="G468" i="51"/>
  <c r="G467" i="51"/>
  <c r="G466" i="51"/>
  <c r="G465" i="51"/>
  <c r="G464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40" i="51"/>
  <c r="G439" i="51"/>
  <c r="G438" i="51"/>
  <c r="G437" i="51"/>
  <c r="G436" i="51"/>
  <c r="G435" i="51"/>
  <c r="G434" i="51"/>
  <c r="G433" i="51"/>
  <c r="G432" i="51"/>
  <c r="G431" i="51"/>
  <c r="G430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11" i="51"/>
  <c r="G410" i="51"/>
  <c r="G409" i="51"/>
  <c r="G408" i="51"/>
  <c r="G407" i="51"/>
  <c r="G406" i="51"/>
  <c r="G405" i="51"/>
  <c r="G404" i="51"/>
  <c r="G403" i="51"/>
  <c r="G402" i="51"/>
  <c r="G401" i="51"/>
  <c r="G400" i="51"/>
  <c r="G399" i="51"/>
  <c r="G398" i="51"/>
  <c r="G397" i="51"/>
  <c r="G396" i="51"/>
  <c r="G395" i="51"/>
  <c r="G394" i="51"/>
  <c r="G393" i="51"/>
  <c r="G392" i="51"/>
  <c r="G391" i="51"/>
  <c r="G390" i="51"/>
  <c r="G389" i="51"/>
  <c r="G388" i="51"/>
  <c r="G387" i="51"/>
  <c r="G386" i="51"/>
  <c r="G385" i="51"/>
  <c r="G384" i="51"/>
  <c r="G383" i="51"/>
  <c r="G382" i="51"/>
  <c r="G381" i="51"/>
  <c r="G380" i="51"/>
  <c r="G379" i="51"/>
  <c r="G378" i="51"/>
  <c r="G377" i="51"/>
  <c r="G376" i="51"/>
  <c r="G375" i="51"/>
  <c r="G374" i="51"/>
  <c r="G373" i="51"/>
  <c r="G372" i="51"/>
  <c r="G371" i="51"/>
  <c r="G370" i="51"/>
  <c r="G369" i="51"/>
  <c r="G368" i="51"/>
  <c r="G367" i="51"/>
  <c r="G366" i="51"/>
  <c r="G365" i="51"/>
  <c r="G364" i="51"/>
  <c r="G363" i="51"/>
  <c r="G362" i="51"/>
  <c r="G361" i="51"/>
  <c r="G360" i="51"/>
  <c r="G359" i="51"/>
  <c r="G358" i="51"/>
  <c r="G357" i="51"/>
  <c r="G356" i="51"/>
  <c r="G355" i="51"/>
  <c r="G35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34" i="51"/>
  <c r="G333" i="51"/>
  <c r="G332" i="51"/>
  <c r="G331" i="51"/>
  <c r="G330" i="51"/>
  <c r="G329" i="51"/>
  <c r="G328" i="51"/>
  <c r="G327" i="51"/>
  <c r="G326" i="51"/>
  <c r="G325" i="51"/>
  <c r="G324" i="51"/>
  <c r="G323" i="51"/>
  <c r="G322" i="51"/>
  <c r="G321" i="51"/>
  <c r="G320" i="51"/>
  <c r="G319" i="51"/>
  <c r="G318" i="51"/>
  <c r="G317" i="51"/>
  <c r="G316" i="51"/>
  <c r="G315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02" i="51"/>
  <c r="G301" i="51"/>
  <c r="G300" i="51"/>
  <c r="G299" i="51"/>
  <c r="G298" i="51"/>
  <c r="G297" i="51"/>
  <c r="G296" i="51"/>
  <c r="G295" i="51"/>
  <c r="G294" i="51"/>
  <c r="G293" i="51"/>
  <c r="G292" i="51"/>
  <c r="G291" i="51"/>
  <c r="G290" i="51"/>
  <c r="G289" i="51"/>
  <c r="G288" i="51"/>
  <c r="G287" i="51"/>
  <c r="G286" i="51"/>
  <c r="G285" i="51"/>
  <c r="G284" i="51"/>
  <c r="G283" i="51"/>
  <c r="G282" i="51"/>
  <c r="G281" i="51"/>
  <c r="G280" i="51"/>
  <c r="G279" i="51"/>
  <c r="G278" i="51"/>
  <c r="G277" i="51"/>
  <c r="G276" i="51"/>
  <c r="G275" i="51"/>
  <c r="G274" i="51"/>
  <c r="G273" i="51"/>
  <c r="G272" i="51"/>
  <c r="G271" i="51"/>
  <c r="G270" i="51"/>
  <c r="G26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51" i="51"/>
  <c r="G250" i="51"/>
  <c r="G249" i="51"/>
  <c r="G248" i="51"/>
  <c r="G247" i="51"/>
  <c r="G246" i="51"/>
  <c r="G245" i="51"/>
  <c r="G244" i="51"/>
  <c r="G243" i="51"/>
  <c r="G242" i="51"/>
  <c r="G241" i="51"/>
  <c r="G240" i="51"/>
  <c r="G239" i="51"/>
  <c r="G238" i="51"/>
  <c r="G237" i="51"/>
  <c r="G236" i="51"/>
  <c r="G235" i="51"/>
  <c r="G234" i="51"/>
  <c r="G233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10" i="51"/>
  <c r="G209" i="51"/>
  <c r="G208" i="51"/>
  <c r="G207" i="51"/>
  <c r="G206" i="51"/>
  <c r="G205" i="51"/>
  <c r="G204" i="51"/>
  <c r="G203" i="51"/>
  <c r="G202" i="51"/>
  <c r="G201" i="51"/>
  <c r="G200" i="51"/>
  <c r="G199" i="51"/>
  <c r="G198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78" i="51"/>
  <c r="G177" i="51"/>
  <c r="G176" i="51"/>
  <c r="G175" i="51"/>
  <c r="G174" i="51"/>
  <c r="G173" i="51"/>
  <c r="G172" i="51"/>
  <c r="G171" i="51"/>
  <c r="G170" i="51"/>
  <c r="G169" i="51"/>
  <c r="G168" i="51"/>
  <c r="G167" i="51"/>
  <c r="G166" i="51"/>
  <c r="G165" i="51"/>
  <c r="G164" i="51"/>
  <c r="G163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43" i="51"/>
  <c r="G142" i="51"/>
  <c r="G141" i="51"/>
  <c r="G140" i="51"/>
  <c r="G139" i="51"/>
  <c r="G138" i="51"/>
  <c r="G137" i="51"/>
  <c r="G136" i="51"/>
  <c r="G135" i="51"/>
  <c r="G134" i="51"/>
  <c r="G133" i="51"/>
  <c r="G132" i="51"/>
  <c r="G131" i="51"/>
  <c r="G130" i="51"/>
  <c r="G129" i="51"/>
  <c r="G128" i="51"/>
  <c r="G127" i="51"/>
  <c r="G126" i="51"/>
  <c r="G125" i="51"/>
  <c r="G124" i="51"/>
  <c r="G123" i="51"/>
  <c r="G122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I95" i="51"/>
  <c r="H95" i="51"/>
  <c r="I94" i="51"/>
  <c r="H94" i="51"/>
  <c r="I93" i="51"/>
  <c r="H93" i="51"/>
  <c r="I92" i="51"/>
  <c r="H92" i="51"/>
  <c r="I91" i="51"/>
  <c r="H91" i="51"/>
  <c r="I90" i="51"/>
  <c r="H90" i="51"/>
  <c r="I89" i="51"/>
  <c r="H89" i="51"/>
  <c r="I88" i="51"/>
  <c r="H88" i="51"/>
  <c r="I87" i="51"/>
  <c r="H87" i="51"/>
  <c r="I86" i="51"/>
  <c r="H86" i="51"/>
  <c r="I85" i="51"/>
  <c r="H85" i="51"/>
  <c r="I84" i="51"/>
  <c r="H84" i="51"/>
  <c r="I83" i="51"/>
  <c r="H83" i="51"/>
  <c r="I82" i="51"/>
  <c r="H82" i="51"/>
  <c r="I81" i="51"/>
  <c r="H81" i="51"/>
  <c r="I80" i="51"/>
  <c r="H80" i="51"/>
  <c r="I79" i="51"/>
  <c r="H79" i="51"/>
  <c r="I78" i="51"/>
  <c r="H78" i="51"/>
  <c r="I77" i="51"/>
  <c r="H77" i="51"/>
  <c r="I76" i="51"/>
  <c r="H76" i="51"/>
  <c r="I75" i="51"/>
  <c r="H75" i="51"/>
  <c r="I74" i="51"/>
  <c r="H74" i="51"/>
  <c r="I73" i="51"/>
  <c r="H73" i="51"/>
  <c r="I72" i="51"/>
  <c r="H72" i="51"/>
  <c r="I71" i="51"/>
  <c r="H71" i="51"/>
  <c r="I70" i="51"/>
  <c r="H70" i="51"/>
  <c r="I69" i="51"/>
  <c r="H69" i="51"/>
  <c r="I68" i="51"/>
  <c r="H68" i="51"/>
  <c r="I67" i="51"/>
  <c r="H67" i="51"/>
  <c r="I66" i="51"/>
  <c r="H66" i="51"/>
  <c r="I65" i="51"/>
  <c r="H65" i="51"/>
  <c r="I64" i="51"/>
  <c r="H64" i="51"/>
  <c r="I63" i="51"/>
  <c r="H63" i="51"/>
  <c r="I62" i="51"/>
  <c r="H62" i="51"/>
  <c r="I61" i="51"/>
  <c r="H61" i="51"/>
  <c r="I60" i="51"/>
  <c r="H60" i="51"/>
  <c r="I59" i="51"/>
  <c r="H59" i="51"/>
  <c r="I58" i="51"/>
  <c r="H58" i="51"/>
  <c r="I57" i="51"/>
  <c r="H57" i="51"/>
  <c r="I56" i="51"/>
  <c r="H56" i="51"/>
  <c r="I55" i="51"/>
  <c r="H55" i="51"/>
  <c r="I54" i="51"/>
  <c r="H54" i="51"/>
  <c r="I53" i="51"/>
  <c r="H53" i="51"/>
  <c r="I52" i="51"/>
  <c r="H52" i="51"/>
  <c r="I51" i="51"/>
  <c r="H51" i="51"/>
  <c r="I50" i="51"/>
  <c r="H50" i="51"/>
  <c r="I49" i="51"/>
  <c r="H49" i="51"/>
  <c r="I48" i="51"/>
  <c r="H48" i="51"/>
  <c r="I47" i="51"/>
  <c r="H47" i="51"/>
  <c r="I46" i="51"/>
  <c r="H46" i="51"/>
  <c r="I45" i="51"/>
  <c r="H45" i="51"/>
  <c r="I44" i="51"/>
  <c r="H44" i="51"/>
  <c r="I43" i="51"/>
  <c r="H43" i="51"/>
  <c r="I42" i="51"/>
  <c r="H42" i="51"/>
  <c r="I41" i="51"/>
  <c r="H41" i="51"/>
  <c r="I40" i="51"/>
  <c r="H40" i="51"/>
  <c r="I39" i="51"/>
  <c r="H39" i="51"/>
  <c r="I38" i="51"/>
  <c r="H38" i="51"/>
  <c r="I37" i="51"/>
  <c r="H37" i="51"/>
  <c r="I36" i="51"/>
  <c r="H36" i="51"/>
  <c r="I35" i="51"/>
  <c r="H35" i="51"/>
  <c r="I34" i="51"/>
  <c r="H34" i="51"/>
  <c r="I33" i="51"/>
  <c r="H33" i="51"/>
  <c r="I32" i="51"/>
  <c r="H32" i="51"/>
  <c r="I31" i="51"/>
  <c r="H31" i="51"/>
  <c r="I30" i="51"/>
  <c r="H30" i="51"/>
  <c r="I29" i="51"/>
  <c r="H29" i="51"/>
  <c r="I28" i="51"/>
  <c r="H28" i="51"/>
  <c r="H27" i="51"/>
  <c r="I26" i="51"/>
  <c r="H26" i="51"/>
  <c r="I25" i="51"/>
  <c r="H25" i="51"/>
  <c r="I24" i="51"/>
  <c r="H24" i="51"/>
  <c r="I23" i="51"/>
  <c r="H23" i="51"/>
  <c r="I22" i="51"/>
  <c r="H22" i="51"/>
  <c r="I21" i="51"/>
  <c r="H21" i="51"/>
  <c r="I20" i="51"/>
  <c r="H20" i="51"/>
  <c r="I19" i="51"/>
  <c r="H19" i="51"/>
  <c r="I18" i="51"/>
  <c r="H18" i="51"/>
  <c r="H17" i="51"/>
  <c r="H16" i="51"/>
  <c r="H15" i="51"/>
  <c r="H14" i="51"/>
  <c r="I13" i="51"/>
  <c r="H13" i="51"/>
  <c r="I12" i="51"/>
  <c r="H12" i="51"/>
  <c r="I11" i="51"/>
  <c r="H11" i="51"/>
  <c r="I10" i="51"/>
  <c r="H10" i="51"/>
  <c r="I9" i="51"/>
  <c r="H9" i="51"/>
  <c r="I8" i="51"/>
  <c r="H8" i="51"/>
  <c r="I7" i="51"/>
  <c r="H7" i="51"/>
  <c r="I6" i="51"/>
  <c r="P6" i="51" s="1"/>
  <c r="H6" i="51"/>
  <c r="G411" i="50"/>
  <c r="G410" i="50"/>
  <c r="G409" i="50"/>
  <c r="G408" i="50"/>
  <c r="G407" i="50"/>
  <c r="G406" i="50"/>
  <c r="G405" i="50"/>
  <c r="G404" i="50"/>
  <c r="G403" i="50"/>
  <c r="G402" i="50"/>
  <c r="G401" i="50"/>
  <c r="G400" i="50"/>
  <c r="G399" i="50"/>
  <c r="G398" i="50"/>
  <c r="G397" i="50"/>
  <c r="G396" i="50"/>
  <c r="G395" i="50"/>
  <c r="G394" i="50"/>
  <c r="G393" i="50"/>
  <c r="G392" i="50"/>
  <c r="G391" i="50"/>
  <c r="G390" i="50"/>
  <c r="G389" i="50"/>
  <c r="G388" i="50"/>
  <c r="G387" i="50"/>
  <c r="G386" i="50"/>
  <c r="G385" i="50"/>
  <c r="G384" i="50"/>
  <c r="G383" i="50"/>
  <c r="G382" i="50"/>
  <c r="G381" i="50"/>
  <c r="G380" i="50"/>
  <c r="G379" i="50"/>
  <c r="G378" i="50"/>
  <c r="G377" i="50"/>
  <c r="G376" i="50"/>
  <c r="G375" i="50"/>
  <c r="G374" i="50"/>
  <c r="G373" i="50"/>
  <c r="G372" i="50"/>
  <c r="G371" i="50"/>
  <c r="G370" i="50"/>
  <c r="G369" i="50"/>
  <c r="G368" i="50"/>
  <c r="G367" i="50"/>
  <c r="G366" i="50"/>
  <c r="G365" i="50"/>
  <c r="G364" i="50"/>
  <c r="G363" i="50"/>
  <c r="G362" i="50"/>
  <c r="G361" i="50"/>
  <c r="G360" i="50"/>
  <c r="G359" i="50"/>
  <c r="G358" i="50"/>
  <c r="G357" i="50"/>
  <c r="G356" i="50"/>
  <c r="G355" i="50"/>
  <c r="G354" i="50"/>
  <c r="G353" i="50"/>
  <c r="G352" i="50"/>
  <c r="G351" i="50"/>
  <c r="G350" i="50"/>
  <c r="G349" i="50"/>
  <c r="G348" i="50"/>
  <c r="G347" i="50"/>
  <c r="G346" i="50"/>
  <c r="G345" i="50"/>
  <c r="G344" i="50"/>
  <c r="G343" i="50"/>
  <c r="G342" i="50"/>
  <c r="G341" i="50"/>
  <c r="G340" i="50"/>
  <c r="G339" i="50"/>
  <c r="G338" i="50"/>
  <c r="G337" i="50"/>
  <c r="G336" i="50"/>
  <c r="G335" i="50"/>
  <c r="G334" i="50"/>
  <c r="G333" i="50"/>
  <c r="G332" i="50"/>
  <c r="G331" i="50"/>
  <c r="G330" i="50"/>
  <c r="G329" i="50"/>
  <c r="G328" i="50"/>
  <c r="G327" i="50"/>
  <c r="G326" i="50"/>
  <c r="G325" i="50"/>
  <c r="G324" i="50"/>
  <c r="G323" i="50"/>
  <c r="G322" i="50"/>
  <c r="G321" i="50"/>
  <c r="G320" i="50"/>
  <c r="G319" i="50"/>
  <c r="G318" i="50"/>
  <c r="G317" i="50"/>
  <c r="G316" i="50"/>
  <c r="G315" i="50"/>
  <c r="G314" i="50"/>
  <c r="G313" i="50"/>
  <c r="G312" i="50"/>
  <c r="G311" i="50"/>
  <c r="G310" i="50"/>
  <c r="G309" i="50"/>
  <c r="G308" i="50"/>
  <c r="G307" i="50"/>
  <c r="G306" i="50"/>
  <c r="G305" i="50"/>
  <c r="G304" i="50"/>
  <c r="G303" i="50"/>
  <c r="G302" i="50"/>
  <c r="G301" i="50"/>
  <c r="G300" i="50"/>
  <c r="G299" i="50"/>
  <c r="G298" i="50"/>
  <c r="G297" i="50"/>
  <c r="G296" i="50"/>
  <c r="G295" i="50"/>
  <c r="G294" i="50"/>
  <c r="G293" i="50"/>
  <c r="G292" i="50"/>
  <c r="G291" i="50"/>
  <c r="G290" i="50"/>
  <c r="G289" i="50"/>
  <c r="G288" i="50"/>
  <c r="G287" i="50"/>
  <c r="G286" i="50"/>
  <c r="G285" i="50"/>
  <c r="G284" i="50"/>
  <c r="G283" i="50"/>
  <c r="G282" i="50"/>
  <c r="G281" i="50"/>
  <c r="G280" i="50"/>
  <c r="G279" i="50"/>
  <c r="G278" i="50"/>
  <c r="G277" i="50"/>
  <c r="G276" i="50"/>
  <c r="G275" i="50"/>
  <c r="G274" i="50"/>
  <c r="G273" i="50"/>
  <c r="G272" i="50"/>
  <c r="G271" i="50"/>
  <c r="G270" i="50"/>
  <c r="G269" i="50"/>
  <c r="G268" i="50"/>
  <c r="G267" i="50"/>
  <c r="G266" i="50"/>
  <c r="G265" i="50"/>
  <c r="G264" i="50"/>
  <c r="G263" i="50"/>
  <c r="G262" i="50"/>
  <c r="G261" i="50"/>
  <c r="G260" i="50"/>
  <c r="G259" i="50"/>
  <c r="G258" i="50"/>
  <c r="G257" i="50"/>
  <c r="G256" i="50"/>
  <c r="G255" i="50"/>
  <c r="G254" i="50"/>
  <c r="G253" i="50"/>
  <c r="G252" i="50"/>
  <c r="G251" i="50"/>
  <c r="G250" i="50"/>
  <c r="G249" i="50"/>
  <c r="G248" i="50"/>
  <c r="G247" i="50"/>
  <c r="G246" i="50"/>
  <c r="G245" i="50"/>
  <c r="G244" i="50"/>
  <c r="G243" i="50"/>
  <c r="G242" i="50"/>
  <c r="G241" i="50"/>
  <c r="G240" i="50"/>
  <c r="G239" i="50"/>
  <c r="G238" i="50"/>
  <c r="G237" i="50"/>
  <c r="G236" i="50"/>
  <c r="G235" i="50"/>
  <c r="G234" i="50"/>
  <c r="G233" i="50"/>
  <c r="G232" i="50"/>
  <c r="G231" i="50"/>
  <c r="G230" i="50"/>
  <c r="G229" i="50"/>
  <c r="G228" i="50"/>
  <c r="G227" i="50"/>
  <c r="G226" i="50"/>
  <c r="G225" i="50"/>
  <c r="G224" i="50"/>
  <c r="G223" i="50"/>
  <c r="G222" i="50"/>
  <c r="G221" i="50"/>
  <c r="G220" i="50"/>
  <c r="G219" i="50"/>
  <c r="G218" i="50"/>
  <c r="G217" i="50"/>
  <c r="G216" i="50"/>
  <c r="G215" i="50"/>
  <c r="G214" i="50"/>
  <c r="G213" i="50"/>
  <c r="G212" i="50"/>
  <c r="G211" i="50"/>
  <c r="G210" i="50"/>
  <c r="G209" i="50"/>
  <c r="G208" i="50"/>
  <c r="G207" i="50"/>
  <c r="G206" i="50"/>
  <c r="G205" i="50"/>
  <c r="G204" i="50"/>
  <c r="G203" i="50"/>
  <c r="G202" i="50"/>
  <c r="G201" i="50"/>
  <c r="G200" i="50"/>
  <c r="G199" i="50"/>
  <c r="G198" i="50"/>
  <c r="G197" i="50"/>
  <c r="G196" i="50"/>
  <c r="G195" i="50"/>
  <c r="G194" i="50"/>
  <c r="G193" i="50"/>
  <c r="G192" i="50"/>
  <c r="G191" i="50"/>
  <c r="G190" i="50"/>
  <c r="G189" i="50"/>
  <c r="G188" i="50"/>
  <c r="G187" i="50"/>
  <c r="G186" i="50"/>
  <c r="G185" i="50"/>
  <c r="G184" i="50"/>
  <c r="G183" i="50"/>
  <c r="G182" i="50"/>
  <c r="G181" i="50"/>
  <c r="G180" i="50"/>
  <c r="G179" i="50"/>
  <c r="G178" i="50"/>
  <c r="G177" i="50"/>
  <c r="G176" i="50"/>
  <c r="G175" i="50"/>
  <c r="G174" i="50"/>
  <c r="G173" i="50"/>
  <c r="G172" i="50"/>
  <c r="G171" i="50"/>
  <c r="G170" i="50"/>
  <c r="G169" i="50"/>
  <c r="G168" i="50"/>
  <c r="G167" i="50"/>
  <c r="G166" i="50"/>
  <c r="G165" i="50"/>
  <c r="G164" i="50"/>
  <c r="G163" i="50"/>
  <c r="G162" i="50"/>
  <c r="G161" i="50"/>
  <c r="G160" i="50"/>
  <c r="G159" i="50"/>
  <c r="G158" i="50"/>
  <c r="G157" i="50"/>
  <c r="G156" i="50"/>
  <c r="G155" i="50"/>
  <c r="G154" i="50"/>
  <c r="G153" i="50"/>
  <c r="G152" i="50"/>
  <c r="G151" i="50"/>
  <c r="G150" i="50"/>
  <c r="G149" i="50"/>
  <c r="G148" i="50"/>
  <c r="G147" i="50"/>
  <c r="G146" i="50"/>
  <c r="G145" i="50"/>
  <c r="G144" i="50"/>
  <c r="G143" i="50"/>
  <c r="G142" i="50"/>
  <c r="G141" i="50"/>
  <c r="G140" i="50"/>
  <c r="G139" i="50"/>
  <c r="G138" i="50"/>
  <c r="G137" i="50"/>
  <c r="G136" i="50"/>
  <c r="G135" i="50"/>
  <c r="G134" i="50"/>
  <c r="G133" i="50"/>
  <c r="G132" i="50"/>
  <c r="G131" i="50"/>
  <c r="G130" i="50"/>
  <c r="G129" i="50"/>
  <c r="G128" i="50"/>
  <c r="G127" i="50"/>
  <c r="G126" i="50"/>
  <c r="G125" i="50"/>
  <c r="G124" i="50"/>
  <c r="G123" i="50"/>
  <c r="G122" i="50"/>
  <c r="G121" i="50"/>
  <c r="G120" i="50"/>
  <c r="G119" i="50"/>
  <c r="G118" i="50"/>
  <c r="G117" i="50"/>
  <c r="G116" i="50"/>
  <c r="G115" i="50"/>
  <c r="G114" i="50"/>
  <c r="G113" i="50"/>
  <c r="G112" i="50"/>
  <c r="G111" i="50"/>
  <c r="G110" i="50"/>
  <c r="G109" i="50"/>
  <c r="G108" i="50"/>
  <c r="G107" i="50"/>
  <c r="G106" i="50"/>
  <c r="G105" i="50"/>
  <c r="G104" i="50"/>
  <c r="G103" i="50"/>
  <c r="G102" i="50"/>
  <c r="G101" i="50"/>
  <c r="G100" i="50"/>
  <c r="G99" i="50"/>
  <c r="G98" i="50"/>
  <c r="G97" i="50"/>
  <c r="G96" i="50"/>
  <c r="G95" i="50"/>
  <c r="G94" i="50"/>
  <c r="G93" i="50"/>
  <c r="G92" i="50"/>
  <c r="G91" i="50"/>
  <c r="G90" i="50"/>
  <c r="G89" i="50"/>
  <c r="G88" i="50"/>
  <c r="G87" i="50"/>
  <c r="G86" i="50"/>
  <c r="G85" i="50"/>
  <c r="G84" i="50"/>
  <c r="G83" i="50"/>
  <c r="G82" i="50"/>
  <c r="G81" i="50"/>
  <c r="G80" i="50"/>
  <c r="G79" i="50"/>
  <c r="G78" i="50"/>
  <c r="G77" i="50"/>
  <c r="G76" i="50"/>
  <c r="G75" i="50"/>
  <c r="G74" i="50"/>
  <c r="G73" i="50"/>
  <c r="G72" i="50"/>
  <c r="G71" i="50"/>
  <c r="G70" i="50"/>
  <c r="G69" i="50"/>
  <c r="G68" i="50"/>
  <c r="G67" i="50"/>
  <c r="G66" i="50"/>
  <c r="G65" i="50"/>
  <c r="G64" i="50"/>
  <c r="G63" i="50"/>
  <c r="G62" i="50"/>
  <c r="G61" i="50"/>
  <c r="G60" i="50"/>
  <c r="G59" i="50"/>
  <c r="G58" i="50"/>
  <c r="G57" i="50"/>
  <c r="G56" i="50"/>
  <c r="G55" i="50"/>
  <c r="G54" i="50"/>
  <c r="G53" i="50"/>
  <c r="G52" i="50"/>
  <c r="G51" i="50"/>
  <c r="G50" i="50"/>
  <c r="G49" i="50"/>
  <c r="G48" i="50"/>
  <c r="G47" i="50"/>
  <c r="G46" i="50"/>
  <c r="G45" i="50"/>
  <c r="G44" i="50"/>
  <c r="G43" i="50"/>
  <c r="G42" i="50"/>
  <c r="G41" i="50"/>
  <c r="G40" i="50"/>
  <c r="G39" i="50"/>
  <c r="G38" i="50"/>
  <c r="G37" i="50"/>
  <c r="G36" i="50"/>
  <c r="G35" i="50"/>
  <c r="G34" i="50"/>
  <c r="G33" i="50"/>
  <c r="G32" i="50"/>
  <c r="G31" i="50"/>
  <c r="G30" i="50"/>
  <c r="G29" i="50"/>
  <c r="G28" i="50"/>
  <c r="G27" i="50"/>
  <c r="I15" i="50"/>
  <c r="O15" i="50" s="1"/>
  <c r="H15" i="50"/>
  <c r="I14" i="50"/>
  <c r="O14" i="50" s="1"/>
  <c r="H14" i="50"/>
  <c r="H13" i="50"/>
  <c r="I12" i="50"/>
  <c r="O12" i="50" s="1"/>
  <c r="H12" i="50"/>
  <c r="I11" i="50"/>
  <c r="O11" i="50" s="1"/>
  <c r="H11" i="50"/>
  <c r="I10" i="50"/>
  <c r="O10" i="50" s="1"/>
  <c r="H10" i="50"/>
  <c r="I9" i="50"/>
  <c r="O9" i="50" s="1"/>
  <c r="H9" i="50"/>
  <c r="H8" i="50"/>
  <c r="I7" i="50"/>
  <c r="O7" i="50" s="1"/>
  <c r="H7" i="50"/>
  <c r="I6" i="50"/>
  <c r="O6" i="50" s="1"/>
  <c r="H6" i="50"/>
  <c r="H7" i="13"/>
  <c r="I7" i="13"/>
  <c r="H8" i="13"/>
  <c r="I8" i="13"/>
  <c r="H9" i="13"/>
  <c r="I9" i="13"/>
  <c r="H10" i="13"/>
  <c r="I10" i="13"/>
  <c r="H11" i="13"/>
  <c r="I11" i="13"/>
  <c r="H12" i="13"/>
  <c r="I12" i="13"/>
  <c r="H13" i="13"/>
  <c r="I13" i="13"/>
  <c r="H14" i="13"/>
  <c r="I14" i="13"/>
  <c r="H15" i="13"/>
  <c r="I15" i="13"/>
  <c r="H16" i="13"/>
  <c r="I16" i="13"/>
  <c r="H17" i="13"/>
  <c r="I17" i="13"/>
  <c r="H18" i="13"/>
  <c r="I18" i="13"/>
  <c r="H19" i="13"/>
  <c r="I19" i="13"/>
  <c r="H20" i="13"/>
  <c r="I20" i="13"/>
  <c r="H21" i="13"/>
  <c r="I21" i="13"/>
  <c r="H22" i="13"/>
  <c r="I22" i="13"/>
  <c r="H23" i="13"/>
  <c r="H24" i="13"/>
  <c r="I24" i="13"/>
  <c r="H25" i="13"/>
  <c r="I25" i="13"/>
  <c r="H26" i="13"/>
  <c r="I26" i="13"/>
  <c r="H27" i="13"/>
  <c r="H28" i="13"/>
  <c r="I28" i="13"/>
  <c r="H29" i="13"/>
  <c r="I29" i="13"/>
  <c r="H30" i="13"/>
  <c r="I30" i="13"/>
  <c r="H31" i="13"/>
  <c r="I31" i="13"/>
  <c r="H32" i="13"/>
  <c r="H33" i="13"/>
  <c r="I33" i="13"/>
  <c r="H34" i="13"/>
  <c r="I34" i="13"/>
  <c r="H35" i="13"/>
  <c r="I35" i="13"/>
  <c r="H36" i="13"/>
  <c r="I36" i="13"/>
  <c r="H37" i="13"/>
  <c r="I37" i="13"/>
  <c r="H38" i="13"/>
  <c r="I38" i="13"/>
  <c r="H39" i="13"/>
  <c r="I39" i="13"/>
  <c r="H40" i="13"/>
  <c r="I40" i="13"/>
  <c r="H41" i="13"/>
  <c r="I41" i="13"/>
  <c r="H42" i="13"/>
  <c r="I42" i="13"/>
  <c r="H43" i="13"/>
  <c r="I43" i="13"/>
  <c r="H44" i="13"/>
  <c r="I44" i="13"/>
  <c r="H45" i="13"/>
  <c r="I45" i="13"/>
  <c r="H46" i="13"/>
  <c r="I46" i="13"/>
  <c r="H47" i="13"/>
  <c r="I47" i="13"/>
  <c r="H48" i="13"/>
  <c r="I48" i="13"/>
  <c r="H49" i="13"/>
  <c r="I49" i="13"/>
  <c r="H50" i="13"/>
  <c r="I50" i="13"/>
  <c r="H51" i="13"/>
  <c r="I51" i="13"/>
  <c r="H52" i="13"/>
  <c r="I52" i="13"/>
  <c r="H53" i="13"/>
  <c r="I53" i="13"/>
  <c r="H54" i="13"/>
  <c r="I54" i="13"/>
  <c r="H55" i="13"/>
  <c r="I55" i="13"/>
  <c r="H56" i="13"/>
  <c r="H57" i="13"/>
  <c r="H58" i="13"/>
  <c r="I58" i="13"/>
  <c r="H59" i="13"/>
  <c r="I59" i="13"/>
  <c r="H60" i="13"/>
  <c r="I60" i="13"/>
  <c r="H61" i="13"/>
  <c r="I61" i="13"/>
  <c r="H62" i="13"/>
  <c r="I62" i="13"/>
  <c r="H63" i="13"/>
  <c r="I63" i="13"/>
  <c r="H64" i="13"/>
  <c r="I64" i="13"/>
  <c r="H65" i="13"/>
  <c r="I65" i="13"/>
  <c r="H66" i="13"/>
  <c r="I66" i="13"/>
  <c r="H67" i="13"/>
  <c r="I67" i="13"/>
  <c r="H68" i="13"/>
  <c r="I68" i="13"/>
  <c r="H69" i="13"/>
  <c r="I69" i="13"/>
  <c r="H70" i="13"/>
  <c r="I70" i="13"/>
  <c r="H71" i="13"/>
  <c r="I71" i="13"/>
  <c r="H72" i="13"/>
  <c r="I72" i="13"/>
  <c r="H73" i="13"/>
  <c r="I73" i="13"/>
  <c r="H74" i="13"/>
  <c r="I74" i="13"/>
  <c r="H75" i="13"/>
  <c r="I75" i="13"/>
  <c r="H76" i="13"/>
  <c r="I76" i="13"/>
  <c r="H77" i="13"/>
  <c r="I77" i="13"/>
  <c r="H78" i="13"/>
  <c r="I78" i="13"/>
  <c r="H79" i="13"/>
  <c r="I79" i="13"/>
  <c r="H80" i="13"/>
  <c r="I80" i="13"/>
  <c r="H81" i="13"/>
  <c r="I81" i="13"/>
  <c r="H82" i="13"/>
  <c r="I82" i="13"/>
  <c r="H83" i="13"/>
  <c r="I83" i="13"/>
  <c r="H84" i="13"/>
  <c r="I84" i="13"/>
  <c r="H85" i="13"/>
  <c r="I85" i="13"/>
  <c r="H86" i="13"/>
  <c r="I86" i="13"/>
  <c r="H87" i="13"/>
  <c r="I87" i="13"/>
  <c r="H88" i="13"/>
  <c r="I88" i="13"/>
  <c r="H89" i="13"/>
  <c r="I89" i="13"/>
  <c r="H90" i="13"/>
  <c r="I90" i="13"/>
  <c r="H91" i="13"/>
  <c r="I91" i="13"/>
  <c r="H92" i="13"/>
  <c r="I92" i="13"/>
  <c r="H93" i="13"/>
  <c r="I93" i="13"/>
  <c r="H94" i="13"/>
  <c r="H95" i="13"/>
  <c r="I95" i="13"/>
  <c r="H96" i="13"/>
  <c r="H97" i="13"/>
  <c r="I97" i="13"/>
  <c r="H98" i="13"/>
  <c r="I98" i="13"/>
  <c r="H99" i="13"/>
  <c r="I99" i="13"/>
  <c r="H100" i="13"/>
  <c r="I100" i="13"/>
  <c r="H101" i="13"/>
  <c r="I101" i="13"/>
  <c r="H102" i="13"/>
  <c r="I102" i="13"/>
  <c r="H103" i="13"/>
  <c r="I103" i="13"/>
  <c r="H104" i="13"/>
  <c r="I104" i="13"/>
  <c r="H105" i="13"/>
  <c r="I105" i="13"/>
  <c r="H106" i="13"/>
  <c r="I106" i="13"/>
  <c r="H107" i="13"/>
  <c r="H108" i="13"/>
  <c r="H109" i="13"/>
  <c r="H110" i="13"/>
  <c r="I110" i="13"/>
  <c r="H111" i="13"/>
  <c r="I111" i="13"/>
  <c r="H112" i="13"/>
  <c r="I112" i="13"/>
  <c r="H113" i="13"/>
  <c r="I113" i="13"/>
  <c r="H114" i="13"/>
  <c r="I114" i="13"/>
  <c r="H115" i="13"/>
  <c r="I115" i="13"/>
  <c r="H116" i="13"/>
  <c r="I116" i="13"/>
  <c r="H117" i="13"/>
  <c r="I117" i="13"/>
  <c r="H118" i="13"/>
  <c r="I118" i="13"/>
  <c r="H119" i="13"/>
  <c r="I119" i="13"/>
  <c r="H120" i="13"/>
  <c r="I120" i="13"/>
  <c r="H121" i="13"/>
  <c r="I121" i="13"/>
  <c r="H122" i="13"/>
  <c r="I122" i="13"/>
  <c r="H123" i="13"/>
  <c r="H124" i="13"/>
  <c r="I124" i="13"/>
  <c r="H125" i="13"/>
  <c r="I125" i="13"/>
  <c r="H126" i="13"/>
  <c r="I126" i="13"/>
  <c r="H127" i="13"/>
  <c r="I127" i="13"/>
  <c r="H128" i="13"/>
  <c r="I128" i="13"/>
  <c r="H129" i="13"/>
  <c r="H130" i="13"/>
  <c r="I130" i="13"/>
  <c r="H131" i="13"/>
  <c r="I131" i="13"/>
  <c r="H132" i="13"/>
  <c r="I132" i="13"/>
  <c r="H133" i="13"/>
  <c r="I133" i="13"/>
  <c r="H134" i="13"/>
  <c r="I134" i="13"/>
  <c r="H135" i="13"/>
  <c r="H136" i="13"/>
  <c r="I136" i="13"/>
  <c r="H137" i="13"/>
  <c r="I137" i="13"/>
  <c r="H138" i="13"/>
  <c r="I138" i="13"/>
  <c r="H139" i="13"/>
  <c r="H140" i="13"/>
  <c r="I140" i="13"/>
  <c r="H141" i="13"/>
  <c r="H142" i="13"/>
  <c r="I142" i="13"/>
  <c r="H143" i="13"/>
  <c r="I143" i="13"/>
  <c r="H144" i="13"/>
  <c r="H145" i="13"/>
  <c r="I145" i="13"/>
  <c r="H146" i="13"/>
  <c r="I146" i="13"/>
  <c r="H147" i="13"/>
  <c r="I147" i="13"/>
  <c r="H148" i="13"/>
  <c r="I148" i="13"/>
  <c r="H149" i="13"/>
  <c r="I149" i="13"/>
  <c r="H150" i="13"/>
  <c r="I150" i="13"/>
  <c r="H151" i="13"/>
  <c r="I151" i="13"/>
  <c r="H152" i="13"/>
  <c r="H153" i="13"/>
  <c r="I153" i="13"/>
  <c r="H154" i="13"/>
  <c r="H155" i="13"/>
  <c r="I155" i="13"/>
  <c r="H156" i="13"/>
  <c r="H157" i="13"/>
  <c r="I157" i="13"/>
  <c r="H158" i="13"/>
  <c r="H159" i="13"/>
  <c r="H160" i="13"/>
  <c r="H161" i="13"/>
  <c r="I161" i="13"/>
  <c r="H162" i="13"/>
  <c r="H163" i="13"/>
  <c r="I163" i="13"/>
  <c r="H164" i="13"/>
  <c r="H165" i="13"/>
  <c r="H166" i="13"/>
  <c r="I166" i="13"/>
  <c r="H167" i="13"/>
  <c r="I167" i="13"/>
  <c r="H168" i="13"/>
  <c r="I168" i="13"/>
  <c r="H169" i="13"/>
  <c r="I169" i="13"/>
  <c r="H170" i="13"/>
  <c r="I170" i="13"/>
  <c r="H171" i="13"/>
  <c r="I171" i="13"/>
  <c r="H172" i="13"/>
  <c r="I172" i="13"/>
  <c r="H173" i="13"/>
  <c r="I173" i="13"/>
  <c r="H174" i="13"/>
  <c r="I174" i="13"/>
  <c r="H175" i="13"/>
  <c r="I175" i="13"/>
  <c r="H176" i="13"/>
  <c r="H177" i="13"/>
  <c r="I177" i="13"/>
  <c r="H178" i="13"/>
  <c r="H179" i="13"/>
  <c r="H180" i="13"/>
  <c r="I180" i="13"/>
  <c r="H72" i="4"/>
  <c r="H73" i="4"/>
  <c r="H74" i="4"/>
  <c r="H75" i="4"/>
  <c r="H76" i="4"/>
  <c r="H77" i="4"/>
  <c r="I6" i="2"/>
  <c r="P153" i="13" l="1"/>
  <c r="O153" i="13"/>
  <c r="Q153" i="13"/>
  <c r="R153" i="13"/>
  <c r="N153" i="13"/>
  <c r="R51" i="13"/>
  <c r="N51" i="13"/>
  <c r="P51" i="13"/>
  <c r="O51" i="13"/>
  <c r="Q51" i="13"/>
  <c r="O171" i="13"/>
  <c r="P171" i="13"/>
  <c r="Q171" i="13"/>
  <c r="R171" i="13"/>
  <c r="N171" i="13"/>
  <c r="P27" i="13"/>
  <c r="Q27" i="13"/>
  <c r="R27" i="13"/>
  <c r="N27" i="13"/>
  <c r="O27" i="13"/>
  <c r="R177" i="13"/>
  <c r="O177" i="13"/>
  <c r="P177" i="13"/>
  <c r="Q177" i="13"/>
  <c r="N177" i="13"/>
  <c r="O165" i="13"/>
  <c r="N165" i="13"/>
  <c r="P165" i="13"/>
  <c r="Q165" i="13"/>
  <c r="R165" i="13"/>
  <c r="N141" i="13"/>
  <c r="P141" i="13"/>
  <c r="Q141" i="13"/>
  <c r="R141" i="13"/>
  <c r="O141" i="13"/>
  <c r="P135" i="13"/>
  <c r="O135" i="13"/>
  <c r="Q135" i="13"/>
  <c r="R135" i="13"/>
  <c r="N135" i="13"/>
  <c r="P117" i="13"/>
  <c r="O117" i="13"/>
  <c r="Q117" i="13"/>
  <c r="R117" i="13"/>
  <c r="N117" i="13"/>
  <c r="Q111" i="13"/>
  <c r="O111" i="13"/>
  <c r="R111" i="13"/>
  <c r="P111" i="13"/>
  <c r="N111" i="13"/>
  <c r="Q99" i="13"/>
  <c r="N99" i="13"/>
  <c r="O99" i="13"/>
  <c r="P99" i="13"/>
  <c r="R99" i="13"/>
  <c r="N87" i="13"/>
  <c r="O87" i="13"/>
  <c r="P87" i="13"/>
  <c r="Q87" i="13"/>
  <c r="R87" i="13"/>
  <c r="P69" i="13"/>
  <c r="N69" i="13"/>
  <c r="R69" i="13"/>
  <c r="O69" i="13"/>
  <c r="Q69" i="13"/>
  <c r="R39" i="13"/>
  <c r="O39" i="13"/>
  <c r="P39" i="13"/>
  <c r="Q39" i="13"/>
  <c r="N39" i="13"/>
  <c r="R9" i="13"/>
  <c r="N9" i="13"/>
  <c r="Q9" i="13"/>
  <c r="O9" i="13"/>
  <c r="P9" i="13"/>
  <c r="N8" i="56"/>
  <c r="P176" i="13"/>
  <c r="N176" i="13"/>
  <c r="O176" i="13"/>
  <c r="Q176" i="13"/>
  <c r="R176" i="13"/>
  <c r="Q170" i="13"/>
  <c r="R170" i="13"/>
  <c r="N170" i="13"/>
  <c r="O170" i="13"/>
  <c r="P170" i="13"/>
  <c r="Q164" i="13"/>
  <c r="N164" i="13"/>
  <c r="O164" i="13"/>
  <c r="P164" i="13"/>
  <c r="R164" i="13"/>
  <c r="Q158" i="13"/>
  <c r="R158" i="13"/>
  <c r="N158" i="13"/>
  <c r="O158" i="13"/>
  <c r="P158" i="13"/>
  <c r="N152" i="13"/>
  <c r="O152" i="13"/>
  <c r="R152" i="13"/>
  <c r="P152" i="13"/>
  <c r="Q152" i="13"/>
  <c r="Q146" i="13"/>
  <c r="R146" i="13"/>
  <c r="N146" i="13"/>
  <c r="O146" i="13"/>
  <c r="P146" i="13"/>
  <c r="P140" i="13"/>
  <c r="O140" i="13"/>
  <c r="Q140" i="13"/>
  <c r="R140" i="13"/>
  <c r="N140" i="13"/>
  <c r="O134" i="13"/>
  <c r="P134" i="13"/>
  <c r="Q134" i="13"/>
  <c r="N134" i="13"/>
  <c r="R134" i="13"/>
  <c r="R128" i="13"/>
  <c r="O128" i="13"/>
  <c r="N128" i="13"/>
  <c r="P128" i="13"/>
  <c r="Q128" i="13"/>
  <c r="R122" i="13"/>
  <c r="N122" i="13"/>
  <c r="Q122" i="13"/>
  <c r="O122" i="13"/>
  <c r="P122" i="13"/>
  <c r="N116" i="13"/>
  <c r="Q116" i="13"/>
  <c r="O116" i="13"/>
  <c r="P116" i="13"/>
  <c r="R116" i="13"/>
  <c r="R110" i="13"/>
  <c r="N110" i="13"/>
  <c r="O110" i="13"/>
  <c r="P110" i="13"/>
  <c r="Q110" i="13"/>
  <c r="O104" i="13"/>
  <c r="N104" i="13"/>
  <c r="P104" i="13"/>
  <c r="Q104" i="13"/>
  <c r="R104" i="13"/>
  <c r="O98" i="13"/>
  <c r="R98" i="13"/>
  <c r="N98" i="13"/>
  <c r="P98" i="13"/>
  <c r="Q98" i="13"/>
  <c r="P92" i="13"/>
  <c r="O92" i="13"/>
  <c r="Q92" i="13"/>
  <c r="R92" i="13"/>
  <c r="N92" i="13"/>
  <c r="P86" i="13"/>
  <c r="N86" i="13"/>
  <c r="O86" i="13"/>
  <c r="Q86" i="13"/>
  <c r="R86" i="13"/>
  <c r="Q80" i="13"/>
  <c r="O80" i="13"/>
  <c r="N80" i="13"/>
  <c r="P80" i="13"/>
  <c r="R80" i="13"/>
  <c r="R74" i="13"/>
  <c r="N74" i="13"/>
  <c r="Q74" i="13"/>
  <c r="O74" i="13"/>
  <c r="P74" i="13"/>
  <c r="Q68" i="13"/>
  <c r="R68" i="13"/>
  <c r="N68" i="13"/>
  <c r="O68" i="13"/>
  <c r="P68" i="13"/>
  <c r="R62" i="13"/>
  <c r="N62" i="13"/>
  <c r="O62" i="13"/>
  <c r="P62" i="13"/>
  <c r="Q62" i="13"/>
  <c r="O56" i="13"/>
  <c r="P56" i="13"/>
  <c r="Q56" i="13"/>
  <c r="N56" i="13"/>
  <c r="R56" i="13"/>
  <c r="P50" i="13"/>
  <c r="Q50" i="13"/>
  <c r="N50" i="13"/>
  <c r="O50" i="13"/>
  <c r="R50" i="13"/>
  <c r="O44" i="13"/>
  <c r="P44" i="13"/>
  <c r="N44" i="13"/>
  <c r="Q44" i="13"/>
  <c r="R44" i="13"/>
  <c r="P38" i="13"/>
  <c r="Q38" i="13"/>
  <c r="R38" i="13"/>
  <c r="N38" i="13"/>
  <c r="O38" i="13"/>
  <c r="N32" i="13"/>
  <c r="O32" i="13"/>
  <c r="Q32" i="13"/>
  <c r="R32" i="13"/>
  <c r="P32" i="13"/>
  <c r="Q26" i="13"/>
  <c r="R26" i="13"/>
  <c r="O26" i="13"/>
  <c r="N26" i="13"/>
  <c r="P26" i="13"/>
  <c r="R20" i="13"/>
  <c r="N20" i="13"/>
  <c r="P20" i="13"/>
  <c r="Q20" i="13"/>
  <c r="O20" i="13"/>
  <c r="O14" i="13"/>
  <c r="P14" i="13"/>
  <c r="Q14" i="13"/>
  <c r="N14" i="13"/>
  <c r="R14" i="13"/>
  <c r="N8" i="13"/>
  <c r="O8" i="13"/>
  <c r="P8" i="13"/>
  <c r="Q8" i="13"/>
  <c r="R8" i="13"/>
  <c r="Q147" i="13"/>
  <c r="N147" i="13"/>
  <c r="O147" i="13"/>
  <c r="P147" i="13"/>
  <c r="R147" i="13"/>
  <c r="Q93" i="13"/>
  <c r="O93" i="13"/>
  <c r="R93" i="13"/>
  <c r="N93" i="13"/>
  <c r="P93" i="13"/>
  <c r="N33" i="13"/>
  <c r="O33" i="13"/>
  <c r="Q33" i="13"/>
  <c r="P33" i="13"/>
  <c r="R33" i="13"/>
  <c r="R169" i="13"/>
  <c r="N169" i="13"/>
  <c r="P169" i="13"/>
  <c r="Q169" i="13"/>
  <c r="O169" i="13"/>
  <c r="O13" i="13"/>
  <c r="P13" i="13"/>
  <c r="Q13" i="13"/>
  <c r="R13" i="13"/>
  <c r="N13" i="13"/>
  <c r="N123" i="13"/>
  <c r="P123" i="13"/>
  <c r="Q123" i="13"/>
  <c r="R123" i="13"/>
  <c r="O123" i="13"/>
  <c r="O75" i="13"/>
  <c r="R75" i="13"/>
  <c r="N75" i="13"/>
  <c r="P75" i="13"/>
  <c r="Q75" i="13"/>
  <c r="P15" i="13"/>
  <c r="Q15" i="13"/>
  <c r="R15" i="13"/>
  <c r="N15" i="13"/>
  <c r="O15" i="13"/>
  <c r="O115" i="13"/>
  <c r="N115" i="13"/>
  <c r="P115" i="13"/>
  <c r="Q115" i="13"/>
  <c r="R115" i="13"/>
  <c r="R19" i="13"/>
  <c r="N19" i="13"/>
  <c r="O19" i="13"/>
  <c r="P19" i="13"/>
  <c r="Q19" i="13"/>
  <c r="R31" i="13"/>
  <c r="N31" i="13"/>
  <c r="O31" i="13"/>
  <c r="P31" i="13"/>
  <c r="Q31" i="13"/>
  <c r="R180" i="13"/>
  <c r="N180" i="13"/>
  <c r="O180" i="13"/>
  <c r="P180" i="13"/>
  <c r="Q180" i="13"/>
  <c r="O174" i="13"/>
  <c r="R174" i="13"/>
  <c r="N174" i="13"/>
  <c r="P174" i="13"/>
  <c r="Q174" i="13"/>
  <c r="N168" i="13"/>
  <c r="O168" i="13"/>
  <c r="R168" i="13"/>
  <c r="P168" i="13"/>
  <c r="Q168" i="13"/>
  <c r="P162" i="13"/>
  <c r="Q162" i="13"/>
  <c r="R162" i="13"/>
  <c r="O162" i="13"/>
  <c r="N162" i="13"/>
  <c r="P156" i="13"/>
  <c r="N156" i="13"/>
  <c r="O156" i="13"/>
  <c r="Q156" i="13"/>
  <c r="R156" i="13"/>
  <c r="R150" i="13"/>
  <c r="P150" i="13"/>
  <c r="Q150" i="13"/>
  <c r="N150" i="13"/>
  <c r="O150" i="13"/>
  <c r="R144" i="13"/>
  <c r="N144" i="13"/>
  <c r="O144" i="13"/>
  <c r="P144" i="13"/>
  <c r="Q144" i="13"/>
  <c r="P138" i="13"/>
  <c r="N138" i="13"/>
  <c r="R138" i="13"/>
  <c r="O138" i="13"/>
  <c r="Q138" i="13"/>
  <c r="Q132" i="13"/>
  <c r="O132" i="13"/>
  <c r="P132" i="13"/>
  <c r="N132" i="13"/>
  <c r="R132" i="13"/>
  <c r="P126" i="13"/>
  <c r="N126" i="13"/>
  <c r="O126" i="13"/>
  <c r="Q126" i="13"/>
  <c r="R126" i="13"/>
  <c r="Q120" i="13"/>
  <c r="O120" i="13"/>
  <c r="P120" i="13"/>
  <c r="R120" i="13"/>
  <c r="N120" i="13"/>
  <c r="R114" i="13"/>
  <c r="N114" i="13"/>
  <c r="P114" i="13"/>
  <c r="Q114" i="13"/>
  <c r="O114" i="13"/>
  <c r="Q108" i="13"/>
  <c r="P108" i="13"/>
  <c r="O108" i="13"/>
  <c r="R108" i="13"/>
  <c r="N108" i="13"/>
  <c r="Q102" i="13"/>
  <c r="N102" i="13"/>
  <c r="O102" i="13"/>
  <c r="P102" i="13"/>
  <c r="R102" i="13"/>
  <c r="N96" i="13"/>
  <c r="O96" i="13"/>
  <c r="P96" i="13"/>
  <c r="Q96" i="13"/>
  <c r="R96" i="13"/>
  <c r="R90" i="13"/>
  <c r="Q90" i="13"/>
  <c r="P90" i="13"/>
  <c r="O90" i="13"/>
  <c r="N90" i="13"/>
  <c r="O84" i="13"/>
  <c r="Q84" i="13"/>
  <c r="N84" i="13"/>
  <c r="P84" i="13"/>
  <c r="R84" i="13"/>
  <c r="O78" i="13"/>
  <c r="N78" i="13"/>
  <c r="P78" i="13"/>
  <c r="R78" i="13"/>
  <c r="Q78" i="13"/>
  <c r="N72" i="13"/>
  <c r="O72" i="13"/>
  <c r="P72" i="13"/>
  <c r="R72" i="13"/>
  <c r="Q72" i="13"/>
  <c r="P66" i="13"/>
  <c r="Q66" i="13"/>
  <c r="N66" i="13"/>
  <c r="O66" i="13"/>
  <c r="R66" i="13"/>
  <c r="Q60" i="13"/>
  <c r="O60" i="13"/>
  <c r="N60" i="13"/>
  <c r="P60" i="13"/>
  <c r="R60" i="13"/>
  <c r="N54" i="13"/>
  <c r="P54" i="13"/>
  <c r="O54" i="13"/>
  <c r="Q54" i="13"/>
  <c r="R54" i="13"/>
  <c r="R48" i="13"/>
  <c r="P48" i="13"/>
  <c r="N48" i="13"/>
  <c r="O48" i="13"/>
  <c r="Q48" i="13"/>
  <c r="N42" i="13"/>
  <c r="O42" i="13"/>
  <c r="R42" i="13"/>
  <c r="Q42" i="13"/>
  <c r="P42" i="13"/>
  <c r="O36" i="13"/>
  <c r="P36" i="13"/>
  <c r="Q36" i="13"/>
  <c r="N36" i="13"/>
  <c r="R36" i="13"/>
  <c r="N30" i="13"/>
  <c r="O30" i="13"/>
  <c r="R30" i="13"/>
  <c r="P30" i="13"/>
  <c r="Q30" i="13"/>
  <c r="P24" i="13"/>
  <c r="Q24" i="13"/>
  <c r="R24" i="13"/>
  <c r="N24" i="13"/>
  <c r="O24" i="13"/>
  <c r="Q18" i="13"/>
  <c r="R18" i="13"/>
  <c r="P18" i="13"/>
  <c r="N18" i="13"/>
  <c r="O18" i="13"/>
  <c r="N12" i="13"/>
  <c r="O12" i="13"/>
  <c r="P12" i="13"/>
  <c r="R12" i="13"/>
  <c r="Q12" i="13"/>
  <c r="R22" i="56"/>
  <c r="P37" i="13"/>
  <c r="Q37" i="13"/>
  <c r="O37" i="13"/>
  <c r="N37" i="13"/>
  <c r="R37" i="13"/>
  <c r="O63" i="13"/>
  <c r="Q63" i="13"/>
  <c r="R63" i="13"/>
  <c r="N63" i="13"/>
  <c r="P63" i="13"/>
  <c r="R101" i="13"/>
  <c r="O101" i="13"/>
  <c r="N101" i="13"/>
  <c r="P101" i="13"/>
  <c r="Q101" i="13"/>
  <c r="N23" i="13"/>
  <c r="O23" i="13"/>
  <c r="P23" i="13"/>
  <c r="Q23" i="13"/>
  <c r="R23" i="13"/>
  <c r="O25" i="13"/>
  <c r="P25" i="13"/>
  <c r="Q25" i="13"/>
  <c r="N25" i="13"/>
  <c r="R25" i="13"/>
  <c r="P161" i="13"/>
  <c r="Q161" i="13"/>
  <c r="R161" i="13"/>
  <c r="N161" i="13"/>
  <c r="O161" i="13"/>
  <c r="P125" i="13"/>
  <c r="R125" i="13"/>
  <c r="N125" i="13"/>
  <c r="Q125" i="13"/>
  <c r="O125" i="13"/>
  <c r="O89" i="13"/>
  <c r="R89" i="13"/>
  <c r="N89" i="13"/>
  <c r="P89" i="13"/>
  <c r="Q89" i="13"/>
  <c r="N65" i="13"/>
  <c r="O65" i="13"/>
  <c r="P65" i="13"/>
  <c r="R65" i="13"/>
  <c r="Q65" i="13"/>
  <c r="P47" i="13"/>
  <c r="Q47" i="13"/>
  <c r="R47" i="13"/>
  <c r="O47" i="13"/>
  <c r="N47" i="13"/>
  <c r="Q17" i="13"/>
  <c r="R17" i="13"/>
  <c r="O17" i="13"/>
  <c r="P17" i="13"/>
  <c r="N17" i="13"/>
  <c r="N45" i="13"/>
  <c r="O45" i="13"/>
  <c r="P45" i="13"/>
  <c r="Q45" i="13"/>
  <c r="R45" i="13"/>
  <c r="Q49" i="13"/>
  <c r="R49" i="13"/>
  <c r="N49" i="13"/>
  <c r="O49" i="13"/>
  <c r="P49" i="13"/>
  <c r="R179" i="13"/>
  <c r="N179" i="13"/>
  <c r="Q179" i="13"/>
  <c r="O179" i="13"/>
  <c r="P179" i="13"/>
  <c r="R149" i="13"/>
  <c r="N149" i="13"/>
  <c r="O149" i="13"/>
  <c r="P149" i="13"/>
  <c r="Q149" i="13"/>
  <c r="R113" i="13"/>
  <c r="N113" i="13"/>
  <c r="O113" i="13"/>
  <c r="P113" i="13"/>
  <c r="Q113" i="13"/>
  <c r="P77" i="13"/>
  <c r="O77" i="13"/>
  <c r="R77" i="13"/>
  <c r="N77" i="13"/>
  <c r="Q77" i="13"/>
  <c r="O35" i="13"/>
  <c r="P35" i="13"/>
  <c r="Q35" i="13"/>
  <c r="R35" i="13"/>
  <c r="N35" i="13"/>
  <c r="N172" i="13"/>
  <c r="O172" i="13"/>
  <c r="P172" i="13"/>
  <c r="Q172" i="13"/>
  <c r="R172" i="13"/>
  <c r="R130" i="13"/>
  <c r="N130" i="13"/>
  <c r="Q130" i="13"/>
  <c r="O130" i="13"/>
  <c r="P130" i="13"/>
  <c r="Q88" i="13"/>
  <c r="N88" i="13"/>
  <c r="O88" i="13"/>
  <c r="P88" i="13"/>
  <c r="R88" i="13"/>
  <c r="N52" i="13"/>
  <c r="O52" i="13"/>
  <c r="P52" i="13"/>
  <c r="Q52" i="13"/>
  <c r="R52" i="13"/>
  <c r="P16" i="13"/>
  <c r="Q16" i="13"/>
  <c r="R16" i="13"/>
  <c r="N16" i="13"/>
  <c r="O16" i="13"/>
  <c r="R159" i="13"/>
  <c r="N159" i="13"/>
  <c r="O159" i="13"/>
  <c r="Q159" i="13"/>
  <c r="P159" i="13"/>
  <c r="P129" i="13"/>
  <c r="N129" i="13"/>
  <c r="O129" i="13"/>
  <c r="Q129" i="13"/>
  <c r="R129" i="13"/>
  <c r="R105" i="13"/>
  <c r="O105" i="13"/>
  <c r="P105" i="13"/>
  <c r="Q105" i="13"/>
  <c r="N105" i="13"/>
  <c r="R81" i="13"/>
  <c r="N81" i="13"/>
  <c r="O81" i="13"/>
  <c r="Q81" i="13"/>
  <c r="P81" i="13"/>
  <c r="P57" i="13"/>
  <c r="Q57" i="13"/>
  <c r="N57" i="13"/>
  <c r="O57" i="13"/>
  <c r="R57" i="13"/>
  <c r="N21" i="13"/>
  <c r="O21" i="13"/>
  <c r="P21" i="13"/>
  <c r="Q21" i="13"/>
  <c r="R21" i="13"/>
  <c r="Q175" i="13"/>
  <c r="R175" i="13"/>
  <c r="N175" i="13"/>
  <c r="O175" i="13"/>
  <c r="P175" i="13"/>
  <c r="N163" i="13"/>
  <c r="R163" i="13"/>
  <c r="O163" i="13"/>
  <c r="P163" i="13"/>
  <c r="Q163" i="13"/>
  <c r="R157" i="13"/>
  <c r="N157" i="13"/>
  <c r="O157" i="13"/>
  <c r="Q157" i="13"/>
  <c r="P157" i="13"/>
  <c r="O151" i="13"/>
  <c r="R151" i="13"/>
  <c r="N151" i="13"/>
  <c r="P151" i="13"/>
  <c r="Q151" i="13"/>
  <c r="P145" i="13"/>
  <c r="Q145" i="13"/>
  <c r="R145" i="13"/>
  <c r="N145" i="13"/>
  <c r="O145" i="13"/>
  <c r="N139" i="13"/>
  <c r="Q139" i="13"/>
  <c r="R139" i="13"/>
  <c r="P139" i="13"/>
  <c r="O139" i="13"/>
  <c r="R133" i="13"/>
  <c r="N133" i="13"/>
  <c r="P133" i="13"/>
  <c r="O133" i="13"/>
  <c r="Q133" i="13"/>
  <c r="O127" i="13"/>
  <c r="P127" i="13"/>
  <c r="R127" i="13"/>
  <c r="N127" i="13"/>
  <c r="Q127" i="13"/>
  <c r="R121" i="13"/>
  <c r="O121" i="13"/>
  <c r="P121" i="13"/>
  <c r="Q121" i="13"/>
  <c r="N121" i="13"/>
  <c r="O109" i="13"/>
  <c r="P109" i="13"/>
  <c r="R109" i="13"/>
  <c r="N109" i="13"/>
  <c r="Q109" i="13"/>
  <c r="O103" i="13"/>
  <c r="P103" i="13"/>
  <c r="Q103" i="13"/>
  <c r="R103" i="13"/>
  <c r="N103" i="13"/>
  <c r="P97" i="13"/>
  <c r="R97" i="13"/>
  <c r="N97" i="13"/>
  <c r="O97" i="13"/>
  <c r="Q97" i="13"/>
  <c r="P91" i="13"/>
  <c r="N91" i="13"/>
  <c r="O91" i="13"/>
  <c r="Q91" i="13"/>
  <c r="R91" i="13"/>
  <c r="P85" i="13"/>
  <c r="N85" i="13"/>
  <c r="O85" i="13"/>
  <c r="Q85" i="13"/>
  <c r="R85" i="13"/>
  <c r="R79" i="13"/>
  <c r="O79" i="13"/>
  <c r="Q79" i="13"/>
  <c r="N79" i="13"/>
  <c r="P79" i="13"/>
  <c r="R73" i="13"/>
  <c r="N73" i="13"/>
  <c r="O73" i="13"/>
  <c r="P73" i="13"/>
  <c r="Q73" i="13"/>
  <c r="O67" i="13"/>
  <c r="P67" i="13"/>
  <c r="Q67" i="13"/>
  <c r="R67" i="13"/>
  <c r="N67" i="13"/>
  <c r="R61" i="13"/>
  <c r="P61" i="13"/>
  <c r="Q61" i="13"/>
  <c r="N61" i="13"/>
  <c r="O61" i="13"/>
  <c r="O55" i="13"/>
  <c r="P55" i="13"/>
  <c r="Q55" i="13"/>
  <c r="R55" i="13"/>
  <c r="N55" i="13"/>
  <c r="N43" i="13"/>
  <c r="O43" i="13"/>
  <c r="R43" i="13"/>
  <c r="P43" i="13"/>
  <c r="Q43" i="13"/>
  <c r="Q7" i="13"/>
  <c r="R7" i="13"/>
  <c r="O7" i="13"/>
  <c r="N7" i="13"/>
  <c r="P7" i="13"/>
  <c r="P173" i="13"/>
  <c r="N173" i="13"/>
  <c r="O173" i="13"/>
  <c r="Q173" i="13"/>
  <c r="R173" i="13"/>
  <c r="Q167" i="13"/>
  <c r="N167" i="13"/>
  <c r="O167" i="13"/>
  <c r="P167" i="13"/>
  <c r="R167" i="13"/>
  <c r="Q155" i="13"/>
  <c r="N155" i="13"/>
  <c r="O155" i="13"/>
  <c r="P155" i="13"/>
  <c r="R155" i="13"/>
  <c r="O143" i="13"/>
  <c r="N143" i="13"/>
  <c r="P143" i="13"/>
  <c r="R143" i="13"/>
  <c r="Q143" i="13"/>
  <c r="Q137" i="13"/>
  <c r="O137" i="13"/>
  <c r="P137" i="13"/>
  <c r="R137" i="13"/>
  <c r="N137" i="13"/>
  <c r="Q131" i="13"/>
  <c r="N131" i="13"/>
  <c r="O131" i="13"/>
  <c r="P131" i="13"/>
  <c r="R131" i="13"/>
  <c r="R119" i="13"/>
  <c r="O119" i="13"/>
  <c r="P119" i="13"/>
  <c r="Q119" i="13"/>
  <c r="N119" i="13"/>
  <c r="N107" i="13"/>
  <c r="O107" i="13"/>
  <c r="P107" i="13"/>
  <c r="Q107" i="13"/>
  <c r="R107" i="13"/>
  <c r="O95" i="13"/>
  <c r="N95" i="13"/>
  <c r="Q95" i="13"/>
  <c r="R95" i="13"/>
  <c r="P95" i="13"/>
  <c r="N83" i="13"/>
  <c r="O83" i="13"/>
  <c r="P83" i="13"/>
  <c r="Q83" i="13"/>
  <c r="R83" i="13"/>
  <c r="Q71" i="13"/>
  <c r="N71" i="13"/>
  <c r="O71" i="13"/>
  <c r="P71" i="13"/>
  <c r="R71" i="13"/>
  <c r="Q59" i="13"/>
  <c r="R59" i="13"/>
  <c r="N59" i="13"/>
  <c r="O59" i="13"/>
  <c r="P59" i="13"/>
  <c r="N53" i="13"/>
  <c r="O53" i="13"/>
  <c r="P53" i="13"/>
  <c r="Q53" i="13"/>
  <c r="R53" i="13"/>
  <c r="N41" i="13"/>
  <c r="P41" i="13"/>
  <c r="O41" i="13"/>
  <c r="Q41" i="13"/>
  <c r="R41" i="13"/>
  <c r="Q29" i="13"/>
  <c r="R29" i="13"/>
  <c r="N29" i="13"/>
  <c r="P29" i="13"/>
  <c r="O29" i="13"/>
  <c r="N11" i="13"/>
  <c r="O11" i="13"/>
  <c r="P11" i="13"/>
  <c r="Q11" i="13"/>
  <c r="R11" i="13"/>
  <c r="Q178" i="13"/>
  <c r="P178" i="13"/>
  <c r="R178" i="13"/>
  <c r="N178" i="13"/>
  <c r="O178" i="13"/>
  <c r="R166" i="13"/>
  <c r="Q166" i="13"/>
  <c r="P166" i="13"/>
  <c r="O166" i="13"/>
  <c r="N166" i="13"/>
  <c r="O160" i="13"/>
  <c r="N160" i="13"/>
  <c r="P160" i="13"/>
  <c r="Q160" i="13"/>
  <c r="R160" i="13"/>
  <c r="O154" i="13"/>
  <c r="Q154" i="13"/>
  <c r="R154" i="13"/>
  <c r="N154" i="13"/>
  <c r="P154" i="13"/>
  <c r="O148" i="13"/>
  <c r="P148" i="13"/>
  <c r="Q148" i="13"/>
  <c r="R148" i="13"/>
  <c r="N148" i="13"/>
  <c r="Q142" i="13"/>
  <c r="N142" i="13"/>
  <c r="O142" i="13"/>
  <c r="P142" i="13"/>
  <c r="R142" i="13"/>
  <c r="O136" i="13"/>
  <c r="P136" i="13"/>
  <c r="R136" i="13"/>
  <c r="N136" i="13"/>
  <c r="Q136" i="13"/>
  <c r="O124" i="13"/>
  <c r="Q124" i="13"/>
  <c r="P124" i="13"/>
  <c r="R124" i="13"/>
  <c r="N124" i="13"/>
  <c r="O118" i="13"/>
  <c r="N118" i="13"/>
  <c r="P118" i="13"/>
  <c r="Q118" i="13"/>
  <c r="R118" i="13"/>
  <c r="O112" i="13"/>
  <c r="N112" i="13"/>
  <c r="P112" i="13"/>
  <c r="Q112" i="13"/>
  <c r="R112" i="13"/>
  <c r="P106" i="13"/>
  <c r="R106" i="13"/>
  <c r="Q106" i="13"/>
  <c r="O106" i="13"/>
  <c r="N106" i="13"/>
  <c r="P100" i="13"/>
  <c r="Q100" i="13"/>
  <c r="N100" i="13"/>
  <c r="O100" i="13"/>
  <c r="R100" i="13"/>
  <c r="N94" i="13"/>
  <c r="O94" i="13"/>
  <c r="P94" i="13"/>
  <c r="Q94" i="13"/>
  <c r="R94" i="13"/>
  <c r="R82" i="13"/>
  <c r="N82" i="13"/>
  <c r="O82" i="13"/>
  <c r="P82" i="13"/>
  <c r="Q82" i="13"/>
  <c r="N76" i="13"/>
  <c r="Q76" i="13"/>
  <c r="P76" i="13"/>
  <c r="R76" i="13"/>
  <c r="O76" i="13"/>
  <c r="R70" i="13"/>
  <c r="N70" i="13"/>
  <c r="O70" i="13"/>
  <c r="P70" i="13"/>
  <c r="Q70" i="13"/>
  <c r="O64" i="13"/>
  <c r="P64" i="13"/>
  <c r="N64" i="13"/>
  <c r="Q64" i="13"/>
  <c r="R64" i="13"/>
  <c r="P58" i="13"/>
  <c r="N58" i="13"/>
  <c r="O58" i="13"/>
  <c r="Q58" i="13"/>
  <c r="R58" i="13"/>
  <c r="P46" i="13"/>
  <c r="Q46" i="13"/>
  <c r="N46" i="13"/>
  <c r="O46" i="13"/>
  <c r="R46" i="13"/>
  <c r="R40" i="13"/>
  <c r="N40" i="13"/>
  <c r="O40" i="13"/>
  <c r="P40" i="13"/>
  <c r="Q40" i="13"/>
  <c r="N34" i="13"/>
  <c r="O34" i="13"/>
  <c r="P34" i="13"/>
  <c r="Q34" i="13"/>
  <c r="R34" i="13"/>
  <c r="R28" i="13"/>
  <c r="Q28" i="13"/>
  <c r="N28" i="13"/>
  <c r="O28" i="13"/>
  <c r="P28" i="13"/>
  <c r="N22" i="13"/>
  <c r="O22" i="13"/>
  <c r="P22" i="13"/>
  <c r="R22" i="13"/>
  <c r="Q22" i="13"/>
  <c r="N10" i="13"/>
  <c r="O10" i="13"/>
  <c r="P10" i="13"/>
  <c r="R10" i="13"/>
  <c r="Q10" i="13"/>
  <c r="N30" i="56"/>
  <c r="P30" i="8"/>
  <c r="Q30" i="8"/>
  <c r="N30" i="8"/>
  <c r="R30" i="8"/>
  <c r="O30" i="8"/>
  <c r="N26" i="8"/>
  <c r="R26" i="8"/>
  <c r="O26" i="8"/>
  <c r="P26" i="8"/>
  <c r="Q26" i="8"/>
  <c r="P22" i="8"/>
  <c r="Q22" i="8"/>
  <c r="N22" i="8"/>
  <c r="R22" i="8"/>
  <c r="O22" i="8"/>
  <c r="O17" i="8"/>
  <c r="P17" i="8"/>
  <c r="Q17" i="8"/>
  <c r="N17" i="8"/>
  <c r="R17" i="8"/>
  <c r="Q13" i="8"/>
  <c r="N13" i="8"/>
  <c r="R13" i="8"/>
  <c r="O13" i="8"/>
  <c r="P13" i="8"/>
  <c r="P11" i="8"/>
  <c r="Q11" i="8"/>
  <c r="N11" i="8"/>
  <c r="R11" i="8"/>
  <c r="O11" i="8"/>
  <c r="N7" i="8"/>
  <c r="R7" i="8"/>
  <c r="O7" i="8"/>
  <c r="P7" i="8"/>
  <c r="Q7" i="8"/>
  <c r="P101" i="8"/>
  <c r="Q101" i="8"/>
  <c r="R101" i="8"/>
  <c r="N101" i="8"/>
  <c r="O101" i="8"/>
  <c r="O99" i="8"/>
  <c r="P99" i="8"/>
  <c r="N99" i="8"/>
  <c r="Q99" i="8"/>
  <c r="R99" i="8"/>
  <c r="Q95" i="8"/>
  <c r="N95" i="8"/>
  <c r="R95" i="8"/>
  <c r="O95" i="8"/>
  <c r="P95" i="8"/>
  <c r="O91" i="8"/>
  <c r="P91" i="8"/>
  <c r="Q91" i="8"/>
  <c r="R91" i="8"/>
  <c r="N91" i="8"/>
  <c r="Q87" i="8"/>
  <c r="N87" i="8"/>
  <c r="R87" i="8"/>
  <c r="O87" i="8"/>
  <c r="P87" i="8"/>
  <c r="P85" i="8"/>
  <c r="Q85" i="8"/>
  <c r="R85" i="8"/>
  <c r="N85" i="8"/>
  <c r="O85" i="8"/>
  <c r="N81" i="8"/>
  <c r="R81" i="8"/>
  <c r="O81" i="8"/>
  <c r="P81" i="8"/>
  <c r="Q81" i="8"/>
  <c r="P77" i="8"/>
  <c r="Q77" i="8"/>
  <c r="N77" i="8"/>
  <c r="O77" i="8"/>
  <c r="R77" i="8"/>
  <c r="N73" i="8"/>
  <c r="R73" i="8"/>
  <c r="O73" i="8"/>
  <c r="P73" i="8"/>
  <c r="Q73" i="8"/>
  <c r="S73" i="8" s="1"/>
  <c r="P69" i="8"/>
  <c r="Q69" i="8"/>
  <c r="R69" i="8"/>
  <c r="N69" i="8"/>
  <c r="O69" i="8"/>
  <c r="O65" i="8"/>
  <c r="P65" i="8"/>
  <c r="Q65" i="8"/>
  <c r="R65" i="8"/>
  <c r="N65" i="8"/>
  <c r="Q61" i="8"/>
  <c r="N61" i="8"/>
  <c r="R61" i="8"/>
  <c r="O61" i="8"/>
  <c r="P61" i="8"/>
  <c r="O57" i="8"/>
  <c r="P57" i="8"/>
  <c r="Q57" i="8"/>
  <c r="N57" i="8"/>
  <c r="R57" i="8"/>
  <c r="Q53" i="8"/>
  <c r="N53" i="8"/>
  <c r="R53" i="8"/>
  <c r="O53" i="8"/>
  <c r="P53" i="8"/>
  <c r="O49" i="8"/>
  <c r="P49" i="8"/>
  <c r="Q49" i="8"/>
  <c r="N49" i="8"/>
  <c r="R49" i="8"/>
  <c r="Q45" i="8"/>
  <c r="N45" i="8"/>
  <c r="R45" i="8"/>
  <c r="O45" i="8"/>
  <c r="P45" i="8"/>
  <c r="P43" i="8"/>
  <c r="Q43" i="8"/>
  <c r="N43" i="8"/>
  <c r="R43" i="8"/>
  <c r="O43" i="8"/>
  <c r="O41" i="8"/>
  <c r="P41" i="8"/>
  <c r="Q41" i="8"/>
  <c r="N41" i="8"/>
  <c r="R41" i="8"/>
  <c r="N39" i="8"/>
  <c r="R39" i="8"/>
  <c r="O39" i="8"/>
  <c r="P39" i="8"/>
  <c r="Q39" i="8"/>
  <c r="Q37" i="8"/>
  <c r="N37" i="8"/>
  <c r="R37" i="8"/>
  <c r="O37" i="8"/>
  <c r="P37" i="8"/>
  <c r="O33" i="8"/>
  <c r="P33" i="8"/>
  <c r="Q33" i="8"/>
  <c r="R33" i="8"/>
  <c r="N33" i="8"/>
  <c r="N31" i="8"/>
  <c r="R31" i="8"/>
  <c r="O31" i="8"/>
  <c r="P31" i="8"/>
  <c r="Q31" i="8"/>
  <c r="Q29" i="8"/>
  <c r="N29" i="8"/>
  <c r="R29" i="8"/>
  <c r="O29" i="8"/>
  <c r="P29" i="8"/>
  <c r="P27" i="8"/>
  <c r="Q27" i="8"/>
  <c r="N27" i="8"/>
  <c r="R27" i="8"/>
  <c r="O27" i="8"/>
  <c r="O25" i="8"/>
  <c r="P25" i="8"/>
  <c r="Q25" i="8"/>
  <c r="N25" i="8"/>
  <c r="R25" i="8"/>
  <c r="N23" i="8"/>
  <c r="R23" i="8"/>
  <c r="O23" i="8"/>
  <c r="P23" i="8"/>
  <c r="Q23" i="8"/>
  <c r="Q21" i="8"/>
  <c r="N21" i="8"/>
  <c r="R21" i="8"/>
  <c r="O21" i="8"/>
  <c r="P21" i="8"/>
  <c r="N18" i="8"/>
  <c r="R18" i="8"/>
  <c r="O18" i="8"/>
  <c r="P18" i="8"/>
  <c r="Q18" i="8"/>
  <c r="Q16" i="8"/>
  <c r="N16" i="8"/>
  <c r="R16" i="8"/>
  <c r="O16" i="8"/>
  <c r="P16" i="8"/>
  <c r="P14" i="8"/>
  <c r="Q14" i="8"/>
  <c r="N14" i="8"/>
  <c r="R14" i="8"/>
  <c r="O14" i="8"/>
  <c r="O12" i="8"/>
  <c r="P12" i="8"/>
  <c r="Q12" i="8"/>
  <c r="N12" i="8"/>
  <c r="R12" i="8"/>
  <c r="N10" i="8"/>
  <c r="R10" i="8"/>
  <c r="O10" i="8"/>
  <c r="P10" i="8"/>
  <c r="Q10" i="8"/>
  <c r="Q8" i="8"/>
  <c r="N8" i="8"/>
  <c r="R8" i="8"/>
  <c r="O8" i="8"/>
  <c r="P8" i="8"/>
  <c r="P104" i="8"/>
  <c r="Q104" i="8"/>
  <c r="R104" i="8"/>
  <c r="N104" i="8"/>
  <c r="O104" i="8"/>
  <c r="O102" i="8"/>
  <c r="P102" i="8"/>
  <c r="N102" i="8"/>
  <c r="Q102" i="8"/>
  <c r="R102" i="8"/>
  <c r="N100" i="8"/>
  <c r="R100" i="8"/>
  <c r="O100" i="8"/>
  <c r="P100" i="8"/>
  <c r="Q100" i="8"/>
  <c r="Q98" i="8"/>
  <c r="N98" i="8"/>
  <c r="R98" i="8"/>
  <c r="O98" i="8"/>
  <c r="P98" i="8"/>
  <c r="P96" i="8"/>
  <c r="Q96" i="8"/>
  <c r="N96" i="8"/>
  <c r="O96" i="8"/>
  <c r="R96" i="8"/>
  <c r="O94" i="8"/>
  <c r="P94" i="8"/>
  <c r="Q94" i="8"/>
  <c r="R94" i="8"/>
  <c r="N94" i="8"/>
  <c r="N92" i="8"/>
  <c r="R92" i="8"/>
  <c r="O92" i="8"/>
  <c r="P92" i="8"/>
  <c r="Q92" i="8"/>
  <c r="Q90" i="8"/>
  <c r="N90" i="8"/>
  <c r="R90" i="8"/>
  <c r="O90" i="8"/>
  <c r="P90" i="8"/>
  <c r="P88" i="8"/>
  <c r="Q88" i="8"/>
  <c r="R88" i="8"/>
  <c r="N88" i="8"/>
  <c r="O88" i="8"/>
  <c r="O86" i="8"/>
  <c r="P86" i="8"/>
  <c r="N86" i="8"/>
  <c r="Q86" i="8"/>
  <c r="R86" i="8"/>
  <c r="N84" i="8"/>
  <c r="R84" i="8"/>
  <c r="O84" i="8"/>
  <c r="P84" i="8"/>
  <c r="Q84" i="8"/>
  <c r="Q82" i="8"/>
  <c r="N82" i="8"/>
  <c r="R82" i="8"/>
  <c r="O82" i="8"/>
  <c r="P82" i="8"/>
  <c r="P80" i="8"/>
  <c r="Q80" i="8"/>
  <c r="N80" i="8"/>
  <c r="O80" i="8"/>
  <c r="R80" i="8"/>
  <c r="O78" i="8"/>
  <c r="P78" i="8"/>
  <c r="Q78" i="8"/>
  <c r="R78" i="8"/>
  <c r="N78" i="8"/>
  <c r="N76" i="8"/>
  <c r="R76" i="8"/>
  <c r="O76" i="8"/>
  <c r="P76" i="8"/>
  <c r="Q76" i="8"/>
  <c r="Q74" i="8"/>
  <c r="N74" i="8"/>
  <c r="R74" i="8"/>
  <c r="O74" i="8"/>
  <c r="P74" i="8"/>
  <c r="P72" i="8"/>
  <c r="Q72" i="8"/>
  <c r="R72" i="8"/>
  <c r="N72" i="8"/>
  <c r="O72" i="8"/>
  <c r="O70" i="8"/>
  <c r="P70" i="8"/>
  <c r="N70" i="8"/>
  <c r="Q70" i="8"/>
  <c r="R70" i="8"/>
  <c r="O68" i="8"/>
  <c r="P68" i="8"/>
  <c r="Q68" i="8"/>
  <c r="R68" i="8"/>
  <c r="N68" i="8"/>
  <c r="N66" i="8"/>
  <c r="R66" i="8"/>
  <c r="O66" i="8"/>
  <c r="P66" i="8"/>
  <c r="Q66" i="8"/>
  <c r="Q64" i="8"/>
  <c r="N64" i="8"/>
  <c r="R64" i="8"/>
  <c r="O64" i="8"/>
  <c r="P64" i="8"/>
  <c r="P62" i="8"/>
  <c r="Q62" i="8"/>
  <c r="N62" i="8"/>
  <c r="R62" i="8"/>
  <c r="O62" i="8"/>
  <c r="O60" i="8"/>
  <c r="P60" i="8"/>
  <c r="Q60" i="8"/>
  <c r="N60" i="8"/>
  <c r="R60" i="8"/>
  <c r="N58" i="8"/>
  <c r="R58" i="8"/>
  <c r="O58" i="8"/>
  <c r="P58" i="8"/>
  <c r="Q58" i="8"/>
  <c r="Q56" i="8"/>
  <c r="N56" i="8"/>
  <c r="R56" i="8"/>
  <c r="O56" i="8"/>
  <c r="P56" i="8"/>
  <c r="P54" i="8"/>
  <c r="Q54" i="8"/>
  <c r="N54" i="8"/>
  <c r="R54" i="8"/>
  <c r="O54" i="8"/>
  <c r="O52" i="8"/>
  <c r="P52" i="8"/>
  <c r="Q52" i="8"/>
  <c r="N52" i="8"/>
  <c r="R52" i="8"/>
  <c r="N50" i="8"/>
  <c r="R50" i="8"/>
  <c r="O50" i="8"/>
  <c r="P50" i="8"/>
  <c r="Q50" i="8"/>
  <c r="Q48" i="8"/>
  <c r="N48" i="8"/>
  <c r="R48" i="8"/>
  <c r="O48" i="8"/>
  <c r="P48" i="8"/>
  <c r="P46" i="8"/>
  <c r="Q46" i="8"/>
  <c r="N46" i="8"/>
  <c r="R46" i="8"/>
  <c r="O46" i="8"/>
  <c r="O44" i="8"/>
  <c r="P44" i="8"/>
  <c r="Q44" i="8"/>
  <c r="N44" i="8"/>
  <c r="R44" i="8"/>
  <c r="N42" i="8"/>
  <c r="R42" i="8"/>
  <c r="O42" i="8"/>
  <c r="P42" i="8"/>
  <c r="Q42" i="8"/>
  <c r="Q40" i="8"/>
  <c r="N40" i="8"/>
  <c r="R40" i="8"/>
  <c r="O40" i="8"/>
  <c r="P40" i="8"/>
  <c r="P38" i="8"/>
  <c r="Q38" i="8"/>
  <c r="N38" i="8"/>
  <c r="R38" i="8"/>
  <c r="O38" i="8"/>
  <c r="O36" i="8"/>
  <c r="P36" i="8"/>
  <c r="Q36" i="8"/>
  <c r="R36" i="8"/>
  <c r="N36" i="8"/>
  <c r="N34" i="8"/>
  <c r="R34" i="8"/>
  <c r="O34" i="8"/>
  <c r="P34" i="8"/>
  <c r="Q34" i="8"/>
  <c r="Q32" i="8"/>
  <c r="N32" i="8"/>
  <c r="R32" i="8"/>
  <c r="O32" i="8"/>
  <c r="P32" i="8"/>
  <c r="O28" i="8"/>
  <c r="P28" i="8"/>
  <c r="Q28" i="8"/>
  <c r="N28" i="8"/>
  <c r="R28" i="8"/>
  <c r="Q24" i="8"/>
  <c r="N24" i="8"/>
  <c r="R24" i="8"/>
  <c r="O24" i="8"/>
  <c r="P24" i="8"/>
  <c r="O20" i="8"/>
  <c r="P20" i="8"/>
  <c r="Q20" i="8"/>
  <c r="N20" i="8"/>
  <c r="R20" i="8"/>
  <c r="N15" i="8"/>
  <c r="R15" i="8"/>
  <c r="O15" i="8"/>
  <c r="P15" i="8"/>
  <c r="Q15" i="8"/>
  <c r="O9" i="8"/>
  <c r="P9" i="8"/>
  <c r="Q9" i="8"/>
  <c r="N9" i="8"/>
  <c r="R9" i="8"/>
  <c r="Q103" i="8"/>
  <c r="N103" i="8"/>
  <c r="R103" i="8"/>
  <c r="O103" i="8"/>
  <c r="P103" i="8"/>
  <c r="N97" i="8"/>
  <c r="R97" i="8"/>
  <c r="O97" i="8"/>
  <c r="P97" i="8"/>
  <c r="Q97" i="8"/>
  <c r="P93" i="8"/>
  <c r="Q93" i="8"/>
  <c r="N93" i="8"/>
  <c r="O93" i="8"/>
  <c r="R93" i="8"/>
  <c r="N89" i="8"/>
  <c r="R89" i="8"/>
  <c r="O89" i="8"/>
  <c r="P89" i="8"/>
  <c r="Q89" i="8"/>
  <c r="O83" i="8"/>
  <c r="P83" i="8"/>
  <c r="N83" i="8"/>
  <c r="Q83" i="8"/>
  <c r="R83" i="8"/>
  <c r="Q79" i="8"/>
  <c r="N79" i="8"/>
  <c r="R79" i="8"/>
  <c r="O79" i="8"/>
  <c r="P79" i="8"/>
  <c r="O75" i="8"/>
  <c r="P75" i="8"/>
  <c r="Q75" i="8"/>
  <c r="R75" i="8"/>
  <c r="N75" i="8"/>
  <c r="Q71" i="8"/>
  <c r="N71" i="8"/>
  <c r="R71" i="8"/>
  <c r="O71" i="8"/>
  <c r="P71" i="8"/>
  <c r="P67" i="8"/>
  <c r="Q67" i="8"/>
  <c r="N67" i="8"/>
  <c r="R67" i="8"/>
  <c r="O67" i="8"/>
  <c r="N63" i="8"/>
  <c r="R63" i="8"/>
  <c r="O63" i="8"/>
  <c r="P63" i="8"/>
  <c r="Q63" i="8"/>
  <c r="P59" i="8"/>
  <c r="Q59" i="8"/>
  <c r="N59" i="8"/>
  <c r="R59" i="8"/>
  <c r="O59" i="8"/>
  <c r="N55" i="8"/>
  <c r="R55" i="8"/>
  <c r="O55" i="8"/>
  <c r="P55" i="8"/>
  <c r="Q55" i="8"/>
  <c r="P51" i="8"/>
  <c r="Q51" i="8"/>
  <c r="N51" i="8"/>
  <c r="R51" i="8"/>
  <c r="O51" i="8"/>
  <c r="N47" i="8"/>
  <c r="R47" i="8"/>
  <c r="O47" i="8"/>
  <c r="P47" i="8"/>
  <c r="Q47" i="8"/>
  <c r="P35" i="8"/>
  <c r="Q35" i="8"/>
  <c r="N35" i="8"/>
  <c r="R35" i="8"/>
  <c r="O35" i="8"/>
  <c r="O8" i="51"/>
  <c r="P8" i="51"/>
  <c r="N8" i="51"/>
  <c r="Q8" i="51"/>
  <c r="R8" i="51"/>
  <c r="Q10" i="51"/>
  <c r="N10" i="51"/>
  <c r="R10" i="51"/>
  <c r="O10" i="51"/>
  <c r="P10" i="51"/>
  <c r="O12" i="51"/>
  <c r="P12" i="51"/>
  <c r="Q12" i="51"/>
  <c r="R12" i="51"/>
  <c r="N12" i="51"/>
  <c r="Q14" i="51"/>
  <c r="N14" i="51"/>
  <c r="R14" i="51"/>
  <c r="O14" i="51"/>
  <c r="P14" i="51"/>
  <c r="O16" i="51"/>
  <c r="P16" i="51"/>
  <c r="N16" i="51"/>
  <c r="Q16" i="51"/>
  <c r="R16" i="51"/>
  <c r="Q18" i="51"/>
  <c r="N18" i="51"/>
  <c r="R18" i="51"/>
  <c r="O18" i="51"/>
  <c r="P18" i="51"/>
  <c r="O20" i="51"/>
  <c r="P20" i="51"/>
  <c r="Q20" i="51"/>
  <c r="R20" i="51"/>
  <c r="N20" i="51"/>
  <c r="P22" i="51"/>
  <c r="Q22" i="51"/>
  <c r="N22" i="51"/>
  <c r="O22" i="51"/>
  <c r="R22" i="51"/>
  <c r="N24" i="51"/>
  <c r="R24" i="51"/>
  <c r="O24" i="51"/>
  <c r="P24" i="51"/>
  <c r="Q24" i="51"/>
  <c r="P26" i="51"/>
  <c r="Q26" i="51"/>
  <c r="R26" i="51"/>
  <c r="N26" i="51"/>
  <c r="O26" i="51"/>
  <c r="N28" i="51"/>
  <c r="R28" i="51"/>
  <c r="O28" i="51"/>
  <c r="P28" i="51"/>
  <c r="Q28" i="51"/>
  <c r="P30" i="51"/>
  <c r="Q30" i="51"/>
  <c r="N30" i="51"/>
  <c r="O30" i="51"/>
  <c r="R30" i="51"/>
  <c r="N32" i="51"/>
  <c r="R32" i="51"/>
  <c r="O32" i="51"/>
  <c r="P32" i="51"/>
  <c r="Q32" i="51"/>
  <c r="P34" i="51"/>
  <c r="Q34" i="51"/>
  <c r="R34" i="51"/>
  <c r="N34" i="51"/>
  <c r="O34" i="51"/>
  <c r="Q36" i="51"/>
  <c r="N36" i="51"/>
  <c r="R36" i="51"/>
  <c r="O36" i="51"/>
  <c r="P36" i="51"/>
  <c r="O38" i="51"/>
  <c r="P38" i="51"/>
  <c r="N38" i="51"/>
  <c r="Q38" i="51"/>
  <c r="R38" i="51"/>
  <c r="P40" i="51"/>
  <c r="Q40" i="51"/>
  <c r="R40" i="51"/>
  <c r="N40" i="51"/>
  <c r="O40" i="51"/>
  <c r="N42" i="51"/>
  <c r="R42" i="51"/>
  <c r="O42" i="51"/>
  <c r="P42" i="51"/>
  <c r="Q42" i="51"/>
  <c r="P44" i="51"/>
  <c r="Q44" i="51"/>
  <c r="N44" i="51"/>
  <c r="O44" i="51"/>
  <c r="R44" i="51"/>
  <c r="N46" i="51"/>
  <c r="R46" i="51"/>
  <c r="O46" i="51"/>
  <c r="P46" i="51"/>
  <c r="Q46" i="51"/>
  <c r="P48" i="51"/>
  <c r="Q48" i="51"/>
  <c r="R48" i="51"/>
  <c r="N48" i="51"/>
  <c r="O48" i="51"/>
  <c r="N50" i="51"/>
  <c r="R50" i="51"/>
  <c r="O50" i="51"/>
  <c r="P50" i="51"/>
  <c r="Q50" i="51"/>
  <c r="O52" i="51"/>
  <c r="P52" i="51"/>
  <c r="N52" i="51"/>
  <c r="Q52" i="51"/>
  <c r="R52" i="51"/>
  <c r="Q54" i="51"/>
  <c r="N54" i="51"/>
  <c r="R54" i="51"/>
  <c r="O54" i="51"/>
  <c r="P54" i="51"/>
  <c r="O56" i="51"/>
  <c r="P56" i="51"/>
  <c r="Q56" i="51"/>
  <c r="R56" i="51"/>
  <c r="N56" i="51"/>
  <c r="N58" i="51"/>
  <c r="R58" i="51"/>
  <c r="O58" i="51"/>
  <c r="P58" i="51"/>
  <c r="Q58" i="51"/>
  <c r="O60" i="51"/>
  <c r="N60" i="51"/>
  <c r="P60" i="51"/>
  <c r="Q60" i="51"/>
  <c r="R60" i="51"/>
  <c r="Q62" i="51"/>
  <c r="O62" i="51"/>
  <c r="P62" i="51"/>
  <c r="R62" i="51"/>
  <c r="N62" i="51"/>
  <c r="O64" i="51"/>
  <c r="P64" i="51"/>
  <c r="Q64" i="51"/>
  <c r="R64" i="51"/>
  <c r="N64" i="51"/>
  <c r="P66" i="51"/>
  <c r="O66" i="51"/>
  <c r="Q66" i="51"/>
  <c r="R66" i="51"/>
  <c r="N66" i="51"/>
  <c r="N68" i="51"/>
  <c r="R68" i="51"/>
  <c r="P68" i="51"/>
  <c r="Q68" i="51"/>
  <c r="O68" i="51"/>
  <c r="P70" i="51"/>
  <c r="Q70" i="51"/>
  <c r="R70" i="51"/>
  <c r="N70" i="51"/>
  <c r="O70" i="51"/>
  <c r="Q72" i="51"/>
  <c r="P72" i="51"/>
  <c r="R72" i="51"/>
  <c r="N72" i="51"/>
  <c r="O72" i="51"/>
  <c r="N74" i="51"/>
  <c r="R74" i="51"/>
  <c r="O74" i="51"/>
  <c r="P74" i="51"/>
  <c r="Q74" i="51"/>
  <c r="P76" i="51"/>
  <c r="Q76" i="51"/>
  <c r="N76" i="51"/>
  <c r="R76" i="51"/>
  <c r="O76" i="51"/>
  <c r="N78" i="51"/>
  <c r="R78" i="51"/>
  <c r="O78" i="51"/>
  <c r="P78" i="51"/>
  <c r="Q78" i="51"/>
  <c r="P80" i="51"/>
  <c r="Q80" i="51"/>
  <c r="N80" i="51"/>
  <c r="R80" i="51"/>
  <c r="O80" i="51"/>
  <c r="N82" i="51"/>
  <c r="R82" i="51"/>
  <c r="O82" i="51"/>
  <c r="P82" i="51"/>
  <c r="Q82" i="51"/>
  <c r="P84" i="51"/>
  <c r="Q84" i="51"/>
  <c r="N84" i="51"/>
  <c r="R84" i="51"/>
  <c r="O84" i="51"/>
  <c r="N86" i="51"/>
  <c r="R86" i="51"/>
  <c r="O86" i="51"/>
  <c r="P86" i="51"/>
  <c r="Q86" i="51"/>
  <c r="P88" i="51"/>
  <c r="Q88" i="51"/>
  <c r="N88" i="51"/>
  <c r="R88" i="51"/>
  <c r="O88" i="51"/>
  <c r="Q90" i="51"/>
  <c r="N90" i="51"/>
  <c r="R90" i="51"/>
  <c r="O90" i="51"/>
  <c r="P90" i="51"/>
  <c r="O92" i="51"/>
  <c r="P92" i="51"/>
  <c r="Q92" i="51"/>
  <c r="N92" i="51"/>
  <c r="R92" i="51"/>
  <c r="Q94" i="51"/>
  <c r="N94" i="51"/>
  <c r="R94" i="51"/>
  <c r="O94" i="51"/>
  <c r="P94" i="51"/>
  <c r="P7" i="51"/>
  <c r="Q7" i="51"/>
  <c r="R7" i="51"/>
  <c r="N7" i="51"/>
  <c r="O7" i="51"/>
  <c r="N9" i="51"/>
  <c r="R9" i="51"/>
  <c r="O9" i="51"/>
  <c r="P9" i="51"/>
  <c r="Q9" i="51"/>
  <c r="P11" i="51"/>
  <c r="Q11" i="51"/>
  <c r="N11" i="51"/>
  <c r="O11" i="51"/>
  <c r="R11" i="51"/>
  <c r="N13" i="51"/>
  <c r="R13" i="51"/>
  <c r="O13" i="51"/>
  <c r="P13" i="51"/>
  <c r="Q13" i="51"/>
  <c r="P15" i="51"/>
  <c r="Q15" i="51"/>
  <c r="R15" i="51"/>
  <c r="N15" i="51"/>
  <c r="O15" i="51"/>
  <c r="N17" i="51"/>
  <c r="R17" i="51"/>
  <c r="O17" i="51"/>
  <c r="P17" i="51"/>
  <c r="Q17" i="51"/>
  <c r="P19" i="51"/>
  <c r="Q19" i="51"/>
  <c r="N19" i="51"/>
  <c r="O19" i="51"/>
  <c r="R19" i="51"/>
  <c r="Q21" i="51"/>
  <c r="N21" i="51"/>
  <c r="R21" i="51"/>
  <c r="O21" i="51"/>
  <c r="P21" i="51"/>
  <c r="O23" i="51"/>
  <c r="P23" i="51"/>
  <c r="Q23" i="51"/>
  <c r="R23" i="51"/>
  <c r="N23" i="51"/>
  <c r="Q25" i="51"/>
  <c r="N25" i="51"/>
  <c r="R25" i="51"/>
  <c r="O25" i="51"/>
  <c r="P25" i="51"/>
  <c r="O27" i="51"/>
  <c r="P27" i="51"/>
  <c r="N27" i="51"/>
  <c r="Q27" i="51"/>
  <c r="R27" i="51"/>
  <c r="Q29" i="51"/>
  <c r="N29" i="51"/>
  <c r="R29" i="51"/>
  <c r="O29" i="51"/>
  <c r="P29" i="51"/>
  <c r="O31" i="51"/>
  <c r="P31" i="51"/>
  <c r="Q31" i="51"/>
  <c r="R31" i="51"/>
  <c r="N31" i="51"/>
  <c r="Q33" i="51"/>
  <c r="N33" i="51"/>
  <c r="R33" i="51"/>
  <c r="O33" i="51"/>
  <c r="P33" i="51"/>
  <c r="N35" i="51"/>
  <c r="R35" i="51"/>
  <c r="O35" i="51"/>
  <c r="P35" i="51"/>
  <c r="Q35" i="51"/>
  <c r="P37" i="51"/>
  <c r="Q37" i="51"/>
  <c r="R37" i="51"/>
  <c r="N37" i="51"/>
  <c r="O37" i="51"/>
  <c r="Q39" i="51"/>
  <c r="N39" i="51"/>
  <c r="R39" i="51"/>
  <c r="O39" i="51"/>
  <c r="P39" i="51"/>
  <c r="O41" i="51"/>
  <c r="P41" i="51"/>
  <c r="N41" i="51"/>
  <c r="Q41" i="51"/>
  <c r="R41" i="51"/>
  <c r="Q43" i="51"/>
  <c r="N43" i="51"/>
  <c r="R43" i="51"/>
  <c r="O43" i="51"/>
  <c r="P43" i="51"/>
  <c r="O45" i="51"/>
  <c r="P45" i="51"/>
  <c r="Q45" i="51"/>
  <c r="R45" i="51"/>
  <c r="N45" i="51"/>
  <c r="Q47" i="51"/>
  <c r="N47" i="51"/>
  <c r="R47" i="51"/>
  <c r="O47" i="51"/>
  <c r="P47" i="51"/>
  <c r="O49" i="51"/>
  <c r="P49" i="51"/>
  <c r="N49" i="51"/>
  <c r="Q49" i="51"/>
  <c r="R49" i="51"/>
  <c r="P51" i="51"/>
  <c r="Q51" i="51"/>
  <c r="R51" i="51"/>
  <c r="N51" i="51"/>
  <c r="O51" i="51"/>
  <c r="N53" i="51"/>
  <c r="R53" i="51"/>
  <c r="O53" i="51"/>
  <c r="P53" i="51"/>
  <c r="Q53" i="51"/>
  <c r="P55" i="51"/>
  <c r="Q55" i="51"/>
  <c r="N55" i="51"/>
  <c r="O55" i="51"/>
  <c r="R55" i="51"/>
  <c r="N57" i="51"/>
  <c r="R57" i="51"/>
  <c r="O57" i="51"/>
  <c r="P57" i="51"/>
  <c r="Q57" i="51"/>
  <c r="P59" i="51"/>
  <c r="N59" i="51"/>
  <c r="O59" i="51"/>
  <c r="Q59" i="51"/>
  <c r="R59" i="51"/>
  <c r="N61" i="51"/>
  <c r="R61" i="51"/>
  <c r="O61" i="51"/>
  <c r="P61" i="51"/>
  <c r="Q61" i="51"/>
  <c r="P63" i="51"/>
  <c r="O63" i="51"/>
  <c r="Q63" i="51"/>
  <c r="R63" i="51"/>
  <c r="N63" i="51"/>
  <c r="Q65" i="51"/>
  <c r="O65" i="51"/>
  <c r="P65" i="51"/>
  <c r="R65" i="51"/>
  <c r="N65" i="51"/>
  <c r="O67" i="51"/>
  <c r="P67" i="51"/>
  <c r="Q67" i="51"/>
  <c r="R67" i="51"/>
  <c r="N67" i="51"/>
  <c r="Q69" i="51"/>
  <c r="P69" i="51"/>
  <c r="R69" i="51"/>
  <c r="N69" i="51"/>
  <c r="O69" i="51"/>
  <c r="N71" i="51"/>
  <c r="R71" i="51"/>
  <c r="P71" i="51"/>
  <c r="Q71" i="51"/>
  <c r="O71" i="51"/>
  <c r="O73" i="51"/>
  <c r="P73" i="51"/>
  <c r="Q73" i="51"/>
  <c r="N73" i="51"/>
  <c r="R73" i="51"/>
  <c r="Q75" i="51"/>
  <c r="N75" i="51"/>
  <c r="R75" i="51"/>
  <c r="O75" i="51"/>
  <c r="P75" i="51"/>
  <c r="O77" i="51"/>
  <c r="P77" i="51"/>
  <c r="Q77" i="51"/>
  <c r="R77" i="51"/>
  <c r="N77" i="51"/>
  <c r="Q79" i="51"/>
  <c r="N79" i="51"/>
  <c r="R79" i="51"/>
  <c r="O79" i="51"/>
  <c r="P79" i="51"/>
  <c r="O81" i="51"/>
  <c r="P81" i="51"/>
  <c r="Q81" i="51"/>
  <c r="R81" i="51"/>
  <c r="N81" i="51"/>
  <c r="Q83" i="51"/>
  <c r="N83" i="51"/>
  <c r="R83" i="51"/>
  <c r="O83" i="51"/>
  <c r="P83" i="51"/>
  <c r="O85" i="51"/>
  <c r="P85" i="51"/>
  <c r="Q85" i="51"/>
  <c r="N85" i="51"/>
  <c r="R85" i="51"/>
  <c r="Q87" i="51"/>
  <c r="N87" i="51"/>
  <c r="R87" i="51"/>
  <c r="O87" i="51"/>
  <c r="P87" i="51"/>
  <c r="N89" i="51"/>
  <c r="R89" i="51"/>
  <c r="O89" i="51"/>
  <c r="P89" i="51"/>
  <c r="Q89" i="51"/>
  <c r="P91" i="51"/>
  <c r="Q91" i="51"/>
  <c r="N91" i="51"/>
  <c r="R91" i="51"/>
  <c r="O91" i="51"/>
  <c r="N93" i="51"/>
  <c r="R93" i="51"/>
  <c r="O93" i="51"/>
  <c r="P93" i="51"/>
  <c r="Q93" i="51"/>
  <c r="Q95" i="51"/>
  <c r="N95" i="51"/>
  <c r="R95" i="51"/>
  <c r="P95" i="51"/>
  <c r="O95" i="51"/>
  <c r="O33" i="56"/>
  <c r="N48" i="56"/>
  <c r="R48" i="56"/>
  <c r="N16" i="56"/>
  <c r="O25" i="56"/>
  <c r="N24" i="56"/>
  <c r="N32" i="56"/>
  <c r="R10" i="56"/>
  <c r="R20" i="56"/>
  <c r="R42" i="56"/>
  <c r="O54" i="56"/>
  <c r="O9" i="56"/>
  <c r="N14" i="56"/>
  <c r="O17" i="56"/>
  <c r="N22" i="56"/>
  <c r="R26" i="56"/>
  <c r="R36" i="56"/>
  <c r="O41" i="56"/>
  <c r="N46" i="56"/>
  <c r="R8" i="56"/>
  <c r="N12" i="56"/>
  <c r="O13" i="56"/>
  <c r="R14" i="56"/>
  <c r="N18" i="56"/>
  <c r="R24" i="56"/>
  <c r="N28" i="56"/>
  <c r="O29" i="56"/>
  <c r="R30" i="56"/>
  <c r="N34" i="56"/>
  <c r="R40" i="56"/>
  <c r="N44" i="56"/>
  <c r="O45" i="56"/>
  <c r="R46" i="56"/>
  <c r="O56" i="56"/>
  <c r="N6" i="56"/>
  <c r="R12" i="56"/>
  <c r="R18" i="56"/>
  <c r="R28" i="56"/>
  <c r="R34" i="56"/>
  <c r="N38" i="56"/>
  <c r="R44" i="56"/>
  <c r="N50" i="56"/>
  <c r="O58" i="56"/>
  <c r="R6" i="56"/>
  <c r="N10" i="56"/>
  <c r="R16" i="56"/>
  <c r="N20" i="56"/>
  <c r="O21" i="56"/>
  <c r="N26" i="56"/>
  <c r="R32" i="56"/>
  <c r="N36" i="56"/>
  <c r="O37" i="56"/>
  <c r="R38" i="56"/>
  <c r="N42" i="56"/>
  <c r="O48" i="56"/>
  <c r="O49" i="56"/>
  <c r="O52" i="56"/>
  <c r="R51" i="56"/>
  <c r="R55" i="56"/>
  <c r="R57" i="56"/>
  <c r="O6" i="56"/>
  <c r="N7" i="56"/>
  <c r="R9" i="56"/>
  <c r="O10" i="56"/>
  <c r="N11" i="56"/>
  <c r="R13" i="56"/>
  <c r="O14" i="56"/>
  <c r="N15" i="56"/>
  <c r="R17" i="56"/>
  <c r="O18" i="56"/>
  <c r="N19" i="56"/>
  <c r="R21" i="56"/>
  <c r="O22" i="56"/>
  <c r="N23" i="56"/>
  <c r="R25" i="56"/>
  <c r="O26" i="56"/>
  <c r="N27" i="56"/>
  <c r="R29" i="56"/>
  <c r="O30" i="56"/>
  <c r="N31" i="56"/>
  <c r="R33" i="56"/>
  <c r="O34" i="56"/>
  <c r="N35" i="56"/>
  <c r="R37" i="56"/>
  <c r="O38" i="56"/>
  <c r="N39" i="56"/>
  <c r="R41" i="56"/>
  <c r="O42" i="56"/>
  <c r="N43" i="56"/>
  <c r="R45" i="56"/>
  <c r="O46" i="56"/>
  <c r="N47" i="56"/>
  <c r="R49" i="56"/>
  <c r="O50" i="56"/>
  <c r="N51" i="56"/>
  <c r="P52" i="56"/>
  <c r="N53" i="56"/>
  <c r="P54" i="56"/>
  <c r="N55" i="56"/>
  <c r="P56" i="56"/>
  <c r="N57" i="56"/>
  <c r="P58" i="56"/>
  <c r="R53" i="56"/>
  <c r="O7" i="56"/>
  <c r="O11" i="56"/>
  <c r="O15" i="56"/>
  <c r="O19" i="56"/>
  <c r="O23" i="56"/>
  <c r="O27" i="56"/>
  <c r="O31" i="56"/>
  <c r="O35" i="56"/>
  <c r="O39" i="56"/>
  <c r="O43" i="56"/>
  <c r="O47" i="56"/>
  <c r="R50" i="56"/>
  <c r="O51" i="56"/>
  <c r="R52" i="56"/>
  <c r="O53" i="56"/>
  <c r="R54" i="56"/>
  <c r="O55" i="56"/>
  <c r="R56" i="56"/>
  <c r="O57" i="56"/>
  <c r="R58" i="56"/>
  <c r="R7" i="56"/>
  <c r="O8" i="56"/>
  <c r="N9" i="56"/>
  <c r="R11" i="56"/>
  <c r="O12" i="56"/>
  <c r="N13" i="56"/>
  <c r="R15" i="56"/>
  <c r="O16" i="56"/>
  <c r="N17" i="56"/>
  <c r="R19" i="56"/>
  <c r="O20" i="56"/>
  <c r="N21" i="56"/>
  <c r="R23" i="56"/>
  <c r="O24" i="56"/>
  <c r="N25" i="56"/>
  <c r="R27" i="56"/>
  <c r="O28" i="56"/>
  <c r="N29" i="56"/>
  <c r="R31" i="56"/>
  <c r="O32" i="56"/>
  <c r="N33" i="56"/>
  <c r="R35" i="56"/>
  <c r="O36" i="56"/>
  <c r="N37" i="56"/>
  <c r="R39" i="56"/>
  <c r="O40" i="56"/>
  <c r="N41" i="56"/>
  <c r="R43" i="56"/>
  <c r="O44" i="56"/>
  <c r="N45" i="56"/>
  <c r="R47" i="56"/>
  <c r="N49" i="56"/>
  <c r="P51" i="56"/>
  <c r="N52" i="56"/>
  <c r="P53" i="56"/>
  <c r="N54" i="56"/>
  <c r="S54" i="56" s="1"/>
  <c r="P55" i="56"/>
  <c r="N56" i="56"/>
  <c r="P57" i="56"/>
  <c r="N58" i="56"/>
  <c r="Q59" i="56"/>
  <c r="F59" i="56" s="1"/>
  <c r="Q12" i="7"/>
  <c r="P12" i="7"/>
  <c r="O12" i="7"/>
  <c r="R12" i="7"/>
  <c r="Q7" i="50"/>
  <c r="N11" i="50"/>
  <c r="Q15" i="50"/>
  <c r="P7" i="50"/>
  <c r="O13" i="50"/>
  <c r="N13" i="50"/>
  <c r="Q13" i="50"/>
  <c r="P13" i="50"/>
  <c r="N9" i="50"/>
  <c r="P11" i="50"/>
  <c r="N7" i="50"/>
  <c r="P9" i="50"/>
  <c r="Q11" i="50"/>
  <c r="N15" i="50"/>
  <c r="Q9" i="50"/>
  <c r="P15" i="50"/>
  <c r="P7" i="52"/>
  <c r="P11" i="52" s="1"/>
  <c r="Q7" i="52"/>
  <c r="N7" i="52"/>
  <c r="N9" i="52"/>
  <c r="O7" i="52"/>
  <c r="O8" i="52"/>
  <c r="Q9" i="52"/>
  <c r="Q15" i="54"/>
  <c r="O6" i="55"/>
  <c r="O8" i="55" s="1"/>
  <c r="O6" i="57"/>
  <c r="S6" i="57" s="1"/>
  <c r="R6" i="57"/>
  <c r="P6" i="57"/>
  <c r="R8" i="57"/>
  <c r="G7" i="57" s="1"/>
  <c r="Q8" i="57"/>
  <c r="P6" i="56"/>
  <c r="P7" i="56"/>
  <c r="P8" i="56"/>
  <c r="P9" i="56"/>
  <c r="P10" i="56"/>
  <c r="P11" i="56"/>
  <c r="P12" i="56"/>
  <c r="P13" i="56"/>
  <c r="P14" i="56"/>
  <c r="P15" i="56"/>
  <c r="P16" i="56"/>
  <c r="P17" i="56"/>
  <c r="P18" i="56"/>
  <c r="P19" i="56"/>
  <c r="P20" i="56"/>
  <c r="P21" i="56"/>
  <c r="P22" i="56"/>
  <c r="P23" i="56"/>
  <c r="P24" i="56"/>
  <c r="P25" i="56"/>
  <c r="P26" i="56"/>
  <c r="P27" i="56"/>
  <c r="P28" i="56"/>
  <c r="P29" i="56"/>
  <c r="P30" i="56"/>
  <c r="P31" i="56"/>
  <c r="P32" i="56"/>
  <c r="P33" i="56"/>
  <c r="P34" i="56"/>
  <c r="P35" i="56"/>
  <c r="P36" i="56"/>
  <c r="P37" i="56"/>
  <c r="P38" i="56"/>
  <c r="P39" i="56"/>
  <c r="P40" i="56"/>
  <c r="P41" i="56"/>
  <c r="P42" i="56"/>
  <c r="P43" i="56"/>
  <c r="P44" i="56"/>
  <c r="P45" i="56"/>
  <c r="P46" i="56"/>
  <c r="P47" i="56"/>
  <c r="P48" i="56"/>
  <c r="P49" i="56"/>
  <c r="P50" i="56"/>
  <c r="P6" i="55"/>
  <c r="R8" i="55"/>
  <c r="G7" i="55" s="1"/>
  <c r="Q6" i="55"/>
  <c r="N6" i="55"/>
  <c r="P11" i="54"/>
  <c r="O11" i="54"/>
  <c r="R11" i="54"/>
  <c r="N11" i="54"/>
  <c r="P7" i="54"/>
  <c r="O7" i="54"/>
  <c r="R7" i="54"/>
  <c r="N7" i="54"/>
  <c r="Q11" i="54"/>
  <c r="P13" i="54"/>
  <c r="O13" i="54"/>
  <c r="R13" i="54"/>
  <c r="N13" i="54"/>
  <c r="P6" i="54"/>
  <c r="O6" i="54"/>
  <c r="R6" i="54"/>
  <c r="N6" i="54"/>
  <c r="Q7" i="54"/>
  <c r="P10" i="54"/>
  <c r="O10" i="54"/>
  <c r="R10" i="54"/>
  <c r="N10" i="54"/>
  <c r="Q13" i="54"/>
  <c r="P8" i="54"/>
  <c r="O8" i="54"/>
  <c r="R8" i="54"/>
  <c r="N8" i="54"/>
  <c r="P14" i="54"/>
  <c r="O14" i="54"/>
  <c r="Q14" i="54"/>
  <c r="R14" i="54"/>
  <c r="N14" i="54"/>
  <c r="P9" i="54"/>
  <c r="O9" i="54"/>
  <c r="R9" i="54"/>
  <c r="N9" i="54"/>
  <c r="P12" i="54"/>
  <c r="O12" i="54"/>
  <c r="R12" i="54"/>
  <c r="N12" i="54"/>
  <c r="N15" i="54"/>
  <c r="R15" i="54"/>
  <c r="N16" i="54"/>
  <c r="R16" i="54"/>
  <c r="O15" i="54"/>
  <c r="O16" i="54"/>
  <c r="Q16" i="54"/>
  <c r="R6" i="52"/>
  <c r="N6" i="52"/>
  <c r="Q8" i="52"/>
  <c r="R9" i="52"/>
  <c r="O6" i="52"/>
  <c r="R8" i="52"/>
  <c r="Q6" i="52"/>
  <c r="R7" i="52"/>
  <c r="N8" i="52"/>
  <c r="O9" i="52"/>
  <c r="Q6" i="51"/>
  <c r="N6" i="51"/>
  <c r="R6" i="51"/>
  <c r="O6" i="51"/>
  <c r="R8" i="50"/>
  <c r="R10" i="50"/>
  <c r="R12" i="50"/>
  <c r="R14" i="50"/>
  <c r="N6" i="50"/>
  <c r="N10" i="50"/>
  <c r="N14" i="50"/>
  <c r="P6" i="50"/>
  <c r="R7" i="50"/>
  <c r="P8" i="50"/>
  <c r="R9" i="50"/>
  <c r="P10" i="50"/>
  <c r="R11" i="50"/>
  <c r="P12" i="50"/>
  <c r="R13" i="50"/>
  <c r="P14" i="50"/>
  <c r="R15" i="50"/>
  <c r="R6" i="50"/>
  <c r="N8" i="50"/>
  <c r="N12" i="50"/>
  <c r="Q6" i="50"/>
  <c r="Q8" i="50"/>
  <c r="Q10" i="50"/>
  <c r="Q12" i="50"/>
  <c r="Q14" i="50"/>
  <c r="G56" i="14"/>
  <c r="G55" i="14"/>
  <c r="G54" i="14"/>
  <c r="G53" i="14"/>
  <c r="S109" i="13" l="1"/>
  <c r="S149" i="13"/>
  <c r="S101" i="13"/>
  <c r="S108" i="13"/>
  <c r="S73" i="13"/>
  <c r="S113" i="13"/>
  <c r="S51" i="13"/>
  <c r="S22" i="13"/>
  <c r="S55" i="13"/>
  <c r="S85" i="13"/>
  <c r="S52" i="13"/>
  <c r="S125" i="13"/>
  <c r="S126" i="13"/>
  <c r="S31" i="13"/>
  <c r="S169" i="13"/>
  <c r="S56" i="13"/>
  <c r="S98" i="13"/>
  <c r="S170" i="13"/>
  <c r="S177" i="13"/>
  <c r="S151" i="13"/>
  <c r="S65" i="13"/>
  <c r="S143" i="13"/>
  <c r="S90" i="13"/>
  <c r="S162" i="13"/>
  <c r="S41" i="56"/>
  <c r="S84" i="51"/>
  <c r="S69" i="13"/>
  <c r="S166" i="13"/>
  <c r="S165" i="13"/>
  <c r="S157" i="13"/>
  <c r="S11" i="13"/>
  <c r="S43" i="13"/>
  <c r="S132" i="13"/>
  <c r="S124" i="13"/>
  <c r="S178" i="13"/>
  <c r="S46" i="51"/>
  <c r="S64" i="13"/>
  <c r="S72" i="8"/>
  <c r="S90" i="51"/>
  <c r="S80" i="51"/>
  <c r="S70" i="51"/>
  <c r="S48" i="13"/>
  <c r="S53" i="13"/>
  <c r="S16" i="13"/>
  <c r="S150" i="13"/>
  <c r="S24" i="8"/>
  <c r="S38" i="8"/>
  <c r="S67" i="8"/>
  <c r="S105" i="13"/>
  <c r="S96" i="13"/>
  <c r="S168" i="13"/>
  <c r="S93" i="13"/>
  <c r="S87" i="13"/>
  <c r="S94" i="13"/>
  <c r="S119" i="13"/>
  <c r="S179" i="13"/>
  <c r="S54" i="13"/>
  <c r="S156" i="13"/>
  <c r="S111" i="13"/>
  <c r="S9" i="8"/>
  <c r="S46" i="8"/>
  <c r="S70" i="8"/>
  <c r="S104" i="8"/>
  <c r="S49" i="8"/>
  <c r="S77" i="8"/>
  <c r="S40" i="13"/>
  <c r="S148" i="13"/>
  <c r="S41" i="13"/>
  <c r="S137" i="13"/>
  <c r="S172" i="13"/>
  <c r="S23" i="13"/>
  <c r="S63" i="13"/>
  <c r="S12" i="13"/>
  <c r="S114" i="13"/>
  <c r="S123" i="13"/>
  <c r="S44" i="13"/>
  <c r="S86" i="13"/>
  <c r="S39" i="13"/>
  <c r="S141" i="13"/>
  <c r="S29" i="13"/>
  <c r="S28" i="13"/>
  <c r="S160" i="13"/>
  <c r="S59" i="13"/>
  <c r="S7" i="13"/>
  <c r="S103" i="13"/>
  <c r="S88" i="13"/>
  <c r="S42" i="13"/>
  <c r="S102" i="13"/>
  <c r="S144" i="13"/>
  <c r="S174" i="13"/>
  <c r="S146" i="13"/>
  <c r="S76" i="13"/>
  <c r="S112" i="13"/>
  <c r="S95" i="13"/>
  <c r="S61" i="13"/>
  <c r="S91" i="13"/>
  <c r="S127" i="13"/>
  <c r="S57" i="13"/>
  <c r="S18" i="13"/>
  <c r="S60" i="13"/>
  <c r="S72" i="13"/>
  <c r="S120" i="13"/>
  <c r="S19" i="13"/>
  <c r="S74" i="13"/>
  <c r="S92" i="13"/>
  <c r="S116" i="13"/>
  <c r="S117" i="13"/>
  <c r="S37" i="56"/>
  <c r="S25" i="56"/>
  <c r="S46" i="13"/>
  <c r="S100" i="13"/>
  <c r="S136" i="13"/>
  <c r="S167" i="13"/>
  <c r="S139" i="13"/>
  <c r="S129" i="13"/>
  <c r="S35" i="13"/>
  <c r="S89" i="13"/>
  <c r="S30" i="13"/>
  <c r="S15" i="13"/>
  <c r="S33" i="13"/>
  <c r="S147" i="13"/>
  <c r="S62" i="13"/>
  <c r="S104" i="13"/>
  <c r="S176" i="13"/>
  <c r="S62" i="8"/>
  <c r="S66" i="8"/>
  <c r="S86" i="8"/>
  <c r="S27" i="8"/>
  <c r="S99" i="8"/>
  <c r="S17" i="13"/>
  <c r="S161" i="13"/>
  <c r="S32" i="13"/>
  <c r="S27" i="13"/>
  <c r="S155" i="13"/>
  <c r="S158" i="13"/>
  <c r="S10" i="13"/>
  <c r="S173" i="13"/>
  <c r="S79" i="13"/>
  <c r="S175" i="13"/>
  <c r="S81" i="13"/>
  <c r="S37" i="13"/>
  <c r="S36" i="13"/>
  <c r="S75" i="13"/>
  <c r="S13" i="13"/>
  <c r="S20" i="13"/>
  <c r="S38" i="13"/>
  <c r="S50" i="13"/>
  <c r="S134" i="13"/>
  <c r="S164" i="13"/>
  <c r="S48" i="56"/>
  <c r="S82" i="13"/>
  <c r="S106" i="13"/>
  <c r="S154" i="13"/>
  <c r="S71" i="13"/>
  <c r="S107" i="13"/>
  <c r="S97" i="13"/>
  <c r="S130" i="13"/>
  <c r="S77" i="13"/>
  <c r="S49" i="13"/>
  <c r="S80" i="13"/>
  <c r="S122" i="13"/>
  <c r="S140" i="13"/>
  <c r="S99" i="13"/>
  <c r="S153" i="13"/>
  <c r="S131" i="13"/>
  <c r="S67" i="13"/>
  <c r="S133" i="13"/>
  <c r="S21" i="13"/>
  <c r="S24" i="13"/>
  <c r="S66" i="13"/>
  <c r="S78" i="13"/>
  <c r="S180" i="13"/>
  <c r="S110" i="13"/>
  <c r="S135" i="13"/>
  <c r="S58" i="13"/>
  <c r="S142" i="13"/>
  <c r="S121" i="13"/>
  <c r="S84" i="13"/>
  <c r="S14" i="13"/>
  <c r="S128" i="13"/>
  <c r="S9" i="56"/>
  <c r="S11" i="50"/>
  <c r="S32" i="56"/>
  <c r="S37" i="51"/>
  <c r="S88" i="51"/>
  <c r="S51" i="8"/>
  <c r="S54" i="8"/>
  <c r="S58" i="8"/>
  <c r="S88" i="8"/>
  <c r="S102" i="8"/>
  <c r="S65" i="8"/>
  <c r="S34" i="13"/>
  <c r="S70" i="13"/>
  <c r="S118" i="13"/>
  <c r="S83" i="13"/>
  <c r="S145" i="13"/>
  <c r="S163" i="13"/>
  <c r="S159" i="13"/>
  <c r="S45" i="13"/>
  <c r="S47" i="13"/>
  <c r="S25" i="13"/>
  <c r="S138" i="13"/>
  <c r="S115" i="13"/>
  <c r="S8" i="13"/>
  <c r="S26" i="13"/>
  <c r="S68" i="13"/>
  <c r="S152" i="13"/>
  <c r="S9" i="13"/>
  <c r="S171" i="13"/>
  <c r="S97" i="8"/>
  <c r="S47" i="8"/>
  <c r="S36" i="51"/>
  <c r="S20" i="51"/>
  <c r="O96" i="51"/>
  <c r="S85" i="51"/>
  <c r="S69" i="51"/>
  <c r="S67" i="51"/>
  <c r="S55" i="51"/>
  <c r="S35" i="51"/>
  <c r="S16" i="51"/>
  <c r="S63" i="8"/>
  <c r="S34" i="8"/>
  <c r="S79" i="8"/>
  <c r="S103" i="8"/>
  <c r="S42" i="8"/>
  <c r="S50" i="8"/>
  <c r="S87" i="8"/>
  <c r="S75" i="8"/>
  <c r="S36" i="8"/>
  <c r="S80" i="8"/>
  <c r="S92" i="8"/>
  <c r="S100" i="8"/>
  <c r="S10" i="8"/>
  <c r="S18" i="8"/>
  <c r="S37" i="8"/>
  <c r="S41" i="8"/>
  <c r="S61" i="8"/>
  <c r="S7" i="8"/>
  <c r="S11" i="8"/>
  <c r="S30" i="8"/>
  <c r="S35" i="8"/>
  <c r="S55" i="8"/>
  <c r="S59" i="8"/>
  <c r="S71" i="8"/>
  <c r="S83" i="8"/>
  <c r="S89" i="8"/>
  <c r="S93" i="8"/>
  <c r="S32" i="8"/>
  <c r="S40" i="8"/>
  <c r="S44" i="8"/>
  <c r="S48" i="8"/>
  <c r="S52" i="8"/>
  <c r="S56" i="8"/>
  <c r="S60" i="8"/>
  <c r="S64" i="8"/>
  <c r="S78" i="8"/>
  <c r="S94" i="8"/>
  <c r="S21" i="8"/>
  <c r="S25" i="8"/>
  <c r="S29" i="8"/>
  <c r="S33" i="8"/>
  <c r="S39" i="8"/>
  <c r="S57" i="8"/>
  <c r="S69" i="8"/>
  <c r="S81" i="8"/>
  <c r="S85" i="8"/>
  <c r="S95" i="8"/>
  <c r="S17" i="8"/>
  <c r="S26" i="8"/>
  <c r="S20" i="8"/>
  <c r="S68" i="8"/>
  <c r="S76" i="8"/>
  <c r="S84" i="8"/>
  <c r="S96" i="8"/>
  <c r="S14" i="8"/>
  <c r="S45" i="8"/>
  <c r="S15" i="8"/>
  <c r="S28" i="8"/>
  <c r="S74" i="8"/>
  <c r="S82" i="8"/>
  <c r="S90" i="8"/>
  <c r="S98" i="8"/>
  <c r="S8" i="8"/>
  <c r="S12" i="8"/>
  <c r="S16" i="8"/>
  <c r="S23" i="8"/>
  <c r="S31" i="8"/>
  <c r="S43" i="8"/>
  <c r="S53" i="8"/>
  <c r="S91" i="8"/>
  <c r="S101" i="8"/>
  <c r="S13" i="8"/>
  <c r="S22" i="8"/>
  <c r="P96" i="51"/>
  <c r="E96" i="51" s="1"/>
  <c r="S89" i="51"/>
  <c r="S81" i="51"/>
  <c r="S47" i="51"/>
  <c r="S17" i="51"/>
  <c r="S9" i="51"/>
  <c r="S92" i="51"/>
  <c r="S86" i="51"/>
  <c r="S82" i="51"/>
  <c r="S66" i="51"/>
  <c r="S58" i="51"/>
  <c r="S50" i="51"/>
  <c r="S38" i="51"/>
  <c r="S30" i="51"/>
  <c r="S22" i="51"/>
  <c r="S18" i="51"/>
  <c r="S10" i="51"/>
  <c r="S28" i="51"/>
  <c r="S95" i="51"/>
  <c r="S87" i="51"/>
  <c r="S57" i="51"/>
  <c r="S33" i="51"/>
  <c r="S25" i="51"/>
  <c r="N96" i="51"/>
  <c r="S91" i="51"/>
  <c r="S73" i="51"/>
  <c r="S71" i="51"/>
  <c r="S63" i="51"/>
  <c r="S31" i="51"/>
  <c r="S29" i="51"/>
  <c r="S27" i="51"/>
  <c r="S23" i="51"/>
  <c r="S21" i="51"/>
  <c r="S19" i="51"/>
  <c r="S11" i="51"/>
  <c r="S94" i="51"/>
  <c r="S76" i="51"/>
  <c r="S74" i="51"/>
  <c r="S68" i="51"/>
  <c r="S64" i="51"/>
  <c r="S56" i="51"/>
  <c r="S52" i="51"/>
  <c r="S44" i="51"/>
  <c r="S42" i="51"/>
  <c r="S34" i="51"/>
  <c r="S32" i="51"/>
  <c r="S26" i="51"/>
  <c r="S24" i="51"/>
  <c r="S14" i="51"/>
  <c r="S8" i="51"/>
  <c r="R96" i="51"/>
  <c r="G96" i="51" s="1"/>
  <c r="S79" i="51"/>
  <c r="S65" i="51"/>
  <c r="S51" i="51"/>
  <c r="S39" i="51"/>
  <c r="Q96" i="51"/>
  <c r="S93" i="51"/>
  <c r="S83" i="51"/>
  <c r="S77" i="51"/>
  <c r="S75" i="51"/>
  <c r="S61" i="51"/>
  <c r="S59" i="51"/>
  <c r="S53" i="51"/>
  <c r="S49" i="51"/>
  <c r="S45" i="51"/>
  <c r="S43" i="51"/>
  <c r="S41" i="51"/>
  <c r="S15" i="51"/>
  <c r="S13" i="51"/>
  <c r="S7" i="51"/>
  <c r="S78" i="51"/>
  <c r="S72" i="51"/>
  <c r="S62" i="51"/>
  <c r="S60" i="51"/>
  <c r="S54" i="51"/>
  <c r="S48" i="51"/>
  <c r="S40" i="51"/>
  <c r="S12" i="51"/>
  <c r="O8" i="57"/>
  <c r="S53" i="56"/>
  <c r="S58" i="56"/>
  <c r="S9" i="50"/>
  <c r="S15" i="50"/>
  <c r="S28" i="56"/>
  <c r="S16" i="56"/>
  <c r="S56" i="56"/>
  <c r="S52" i="56"/>
  <c r="S57" i="56"/>
  <c r="O59" i="56"/>
  <c r="D59" i="56" s="1"/>
  <c r="S36" i="56"/>
  <c r="S20" i="56"/>
  <c r="S44" i="56"/>
  <c r="S40" i="56"/>
  <c r="S24" i="56"/>
  <c r="S12" i="56"/>
  <c r="S8" i="56"/>
  <c r="S47" i="56"/>
  <c r="S39" i="56"/>
  <c r="S31" i="56"/>
  <c r="S23" i="56"/>
  <c r="S15" i="56"/>
  <c r="S7" i="56"/>
  <c r="S50" i="56"/>
  <c r="S46" i="56"/>
  <c r="S42" i="56"/>
  <c r="S34" i="56"/>
  <c r="S30" i="56"/>
  <c r="S26" i="56"/>
  <c r="S18" i="56"/>
  <c r="S14" i="56"/>
  <c r="S10" i="56"/>
  <c r="N59" i="56"/>
  <c r="C59" i="56" s="1"/>
  <c r="S43" i="56"/>
  <c r="S35" i="56"/>
  <c r="S27" i="56"/>
  <c r="S19" i="56"/>
  <c r="S11" i="56"/>
  <c r="R59" i="56"/>
  <c r="G59" i="56" s="1"/>
  <c r="S38" i="56"/>
  <c r="S22" i="56"/>
  <c r="S55" i="56"/>
  <c r="S51" i="56"/>
  <c r="S49" i="56"/>
  <c r="S45" i="56"/>
  <c r="S33" i="56"/>
  <c r="S29" i="56"/>
  <c r="S21" i="56"/>
  <c r="S17" i="56"/>
  <c r="S13" i="56"/>
  <c r="S13" i="50"/>
  <c r="S12" i="7"/>
  <c r="S7" i="50"/>
  <c r="S8" i="50"/>
  <c r="S14" i="50"/>
  <c r="Q11" i="52"/>
  <c r="S9" i="52"/>
  <c r="S7" i="52"/>
  <c r="S15" i="54"/>
  <c r="S8" i="54"/>
  <c r="S7" i="54"/>
  <c r="S11" i="54"/>
  <c r="Q18" i="54"/>
  <c r="S8" i="57"/>
  <c r="H7" i="57" s="1"/>
  <c r="N8" i="57"/>
  <c r="P8" i="57"/>
  <c r="P59" i="56"/>
  <c r="E59" i="56" s="1"/>
  <c r="S6" i="56"/>
  <c r="P8" i="55"/>
  <c r="N8" i="55"/>
  <c r="S6" i="55"/>
  <c r="Q8" i="55"/>
  <c r="O18" i="54"/>
  <c r="S16" i="54"/>
  <c r="S12" i="54"/>
  <c r="S9" i="54"/>
  <c r="S10" i="54"/>
  <c r="P18" i="54"/>
  <c r="R18" i="54"/>
  <c r="G17" i="54" s="1"/>
  <c r="S14" i="54"/>
  <c r="N18" i="54"/>
  <c r="S6" i="54"/>
  <c r="S13" i="54"/>
  <c r="O11" i="52"/>
  <c r="S8" i="52"/>
  <c r="N11" i="52"/>
  <c r="S6" i="52"/>
  <c r="R11" i="52"/>
  <c r="G10" i="52" s="1"/>
  <c r="S6" i="51"/>
  <c r="R17" i="50"/>
  <c r="G16" i="50" s="1"/>
  <c r="Q17" i="50"/>
  <c r="P17" i="50"/>
  <c r="S10" i="50"/>
  <c r="O17" i="50"/>
  <c r="S6" i="50"/>
  <c r="N17" i="50"/>
  <c r="S12" i="50"/>
  <c r="G102" i="42"/>
  <c r="I84" i="42"/>
  <c r="I85" i="42"/>
  <c r="I86" i="42"/>
  <c r="I87" i="42"/>
  <c r="I88" i="42"/>
  <c r="I89" i="42"/>
  <c r="O89" i="42" s="1"/>
  <c r="I90" i="42"/>
  <c r="O90" i="42" s="1"/>
  <c r="I91" i="42"/>
  <c r="N91" i="42" s="1"/>
  <c r="I92" i="42"/>
  <c r="Q92" i="42" s="1"/>
  <c r="I93" i="42"/>
  <c r="P93" i="42" s="1"/>
  <c r="I94" i="42"/>
  <c r="N94" i="42" s="1"/>
  <c r="I95" i="42"/>
  <c r="N95" i="42" s="1"/>
  <c r="I96" i="42"/>
  <c r="N96" i="42" s="1"/>
  <c r="H87" i="42"/>
  <c r="H88" i="42"/>
  <c r="H89" i="42"/>
  <c r="H90" i="42"/>
  <c r="H91" i="42"/>
  <c r="H92" i="42"/>
  <c r="H93" i="42"/>
  <c r="H94" i="42"/>
  <c r="H95" i="42"/>
  <c r="H96" i="42"/>
  <c r="H72" i="41"/>
  <c r="H73" i="41"/>
  <c r="H74" i="41"/>
  <c r="H98" i="41"/>
  <c r="H100" i="41"/>
  <c r="H77" i="41"/>
  <c r="G68" i="31"/>
  <c r="H14" i="31"/>
  <c r="I14" i="31"/>
  <c r="H15" i="31"/>
  <c r="I15" i="31"/>
  <c r="H16" i="31"/>
  <c r="I16" i="31"/>
  <c r="H17" i="31"/>
  <c r="I17" i="31"/>
  <c r="H18" i="31"/>
  <c r="I18" i="31"/>
  <c r="H19" i="31"/>
  <c r="I19" i="31"/>
  <c r="H20" i="31"/>
  <c r="I20" i="31"/>
  <c r="H21" i="31"/>
  <c r="I21" i="31"/>
  <c r="H22" i="31"/>
  <c r="I22" i="31"/>
  <c r="H23" i="31"/>
  <c r="H24" i="31"/>
  <c r="I24" i="31"/>
  <c r="H25" i="31"/>
  <c r="I25" i="31"/>
  <c r="H26" i="31"/>
  <c r="I26" i="31"/>
  <c r="H27" i="31"/>
  <c r="I27" i="31"/>
  <c r="H28" i="31"/>
  <c r="H29" i="31"/>
  <c r="I29" i="31"/>
  <c r="H30" i="31"/>
  <c r="H31" i="31"/>
  <c r="H32" i="31"/>
  <c r="H33" i="31"/>
  <c r="I33" i="31"/>
  <c r="H34" i="31"/>
  <c r="H35" i="31"/>
  <c r="I35" i="31"/>
  <c r="H36" i="31"/>
  <c r="I36" i="31"/>
  <c r="H37" i="31"/>
  <c r="I37" i="31"/>
  <c r="H38" i="31"/>
  <c r="I38" i="31"/>
  <c r="H39" i="31"/>
  <c r="I39" i="31"/>
  <c r="H40" i="31"/>
  <c r="I40" i="31"/>
  <c r="H41" i="31"/>
  <c r="I41" i="31"/>
  <c r="H42" i="31"/>
  <c r="I42" i="31"/>
  <c r="H43" i="31"/>
  <c r="I43" i="31"/>
  <c r="H44" i="31"/>
  <c r="I44" i="31"/>
  <c r="H45" i="31"/>
  <c r="I45" i="31"/>
  <c r="H46" i="31"/>
  <c r="I46" i="31"/>
  <c r="H47" i="31"/>
  <c r="I47" i="31"/>
  <c r="H48" i="31"/>
  <c r="I48" i="31"/>
  <c r="N48" i="31" s="1"/>
  <c r="H49" i="31"/>
  <c r="I49" i="31"/>
  <c r="H50" i="31"/>
  <c r="I50" i="31"/>
  <c r="O50" i="31" s="1"/>
  <c r="H51" i="31"/>
  <c r="I51" i="31"/>
  <c r="H52" i="31"/>
  <c r="I52" i="31"/>
  <c r="P52" i="31" s="1"/>
  <c r="H53" i="31"/>
  <c r="I53" i="31"/>
  <c r="H54" i="31"/>
  <c r="I54" i="31"/>
  <c r="Q54" i="31" s="1"/>
  <c r="H55" i="31"/>
  <c r="I55" i="31"/>
  <c r="H56" i="31"/>
  <c r="I56" i="31"/>
  <c r="O56" i="31" s="1"/>
  <c r="I12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P33" i="1" s="1"/>
  <c r="P34" i="1"/>
  <c r="I35" i="1"/>
  <c r="Q35" i="1" s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14" i="1"/>
  <c r="I13" i="1"/>
  <c r="I7" i="1"/>
  <c r="H43" i="20"/>
  <c r="I43" i="20"/>
  <c r="H12" i="20"/>
  <c r="I12" i="20"/>
  <c r="H50" i="20"/>
  <c r="I50" i="20"/>
  <c r="H32" i="20"/>
  <c r="I32" i="20"/>
  <c r="H11" i="20"/>
  <c r="I11" i="20"/>
  <c r="H61" i="20"/>
  <c r="I61" i="20"/>
  <c r="H65" i="20"/>
  <c r="I65" i="20"/>
  <c r="H33" i="20"/>
  <c r="I33" i="20"/>
  <c r="H36" i="20"/>
  <c r="I36" i="20"/>
  <c r="H45" i="20"/>
  <c r="I45" i="20"/>
  <c r="H54" i="20"/>
  <c r="I54" i="20"/>
  <c r="H17" i="20"/>
  <c r="I17" i="20"/>
  <c r="N17" i="20" s="1"/>
  <c r="H55" i="20"/>
  <c r="I55" i="20"/>
  <c r="H18" i="20"/>
  <c r="I18" i="20"/>
  <c r="H13" i="20"/>
  <c r="I13" i="20"/>
  <c r="O13" i="20" s="1"/>
  <c r="H51" i="20"/>
  <c r="I51" i="20"/>
  <c r="H57" i="20"/>
  <c r="I57" i="20"/>
  <c r="H58" i="20"/>
  <c r="I58" i="20"/>
  <c r="H62" i="20"/>
  <c r="I62" i="20"/>
  <c r="H64" i="20"/>
  <c r="I64" i="20"/>
  <c r="H41" i="20"/>
  <c r="I41" i="20"/>
  <c r="H26" i="20"/>
  <c r="I26" i="20"/>
  <c r="H28" i="20"/>
  <c r="I28" i="20"/>
  <c r="H16" i="20"/>
  <c r="I16" i="20"/>
  <c r="H19" i="20"/>
  <c r="I19" i="20"/>
  <c r="H21" i="20"/>
  <c r="I21" i="20"/>
  <c r="P21" i="20" s="1"/>
  <c r="H20" i="20"/>
  <c r="I20" i="20"/>
  <c r="N20" i="20" s="1"/>
  <c r="H22" i="20"/>
  <c r="I22" i="20"/>
  <c r="O22" i="20" s="1"/>
  <c r="H23" i="20"/>
  <c r="I23" i="20"/>
  <c r="Q23" i="20" s="1"/>
  <c r="H24" i="20"/>
  <c r="I24" i="20"/>
  <c r="P24" i="20" s="1"/>
  <c r="H40" i="20"/>
  <c r="I40" i="20"/>
  <c r="H42" i="20"/>
  <c r="I42" i="20"/>
  <c r="H60" i="20"/>
  <c r="I60" i="20"/>
  <c r="H8" i="20"/>
  <c r="I8" i="20"/>
  <c r="H48" i="20"/>
  <c r="I48" i="20"/>
  <c r="H67" i="20"/>
  <c r="I67" i="20"/>
  <c r="H7" i="20"/>
  <c r="I7" i="20"/>
  <c r="H37" i="20"/>
  <c r="I37" i="20"/>
  <c r="H30" i="20"/>
  <c r="I30" i="20"/>
  <c r="H10" i="20"/>
  <c r="I10" i="20"/>
  <c r="H15" i="20"/>
  <c r="I15" i="20"/>
  <c r="P15" i="20" s="1"/>
  <c r="H59" i="20"/>
  <c r="I59" i="20"/>
  <c r="H63" i="20"/>
  <c r="I63" i="20"/>
  <c r="H29" i="20"/>
  <c r="I29" i="20"/>
  <c r="H31" i="20"/>
  <c r="I31" i="20"/>
  <c r="H35" i="20"/>
  <c r="I35" i="20"/>
  <c r="H44" i="20"/>
  <c r="I44" i="20"/>
  <c r="H52" i="20"/>
  <c r="I52" i="20"/>
  <c r="H14" i="20"/>
  <c r="I14" i="20"/>
  <c r="H53" i="20"/>
  <c r="I53" i="20"/>
  <c r="P53" i="20" s="1"/>
  <c r="H39" i="20"/>
  <c r="I39" i="20"/>
  <c r="O39" i="20" s="1"/>
  <c r="H47" i="20"/>
  <c r="I47" i="20"/>
  <c r="H9" i="20"/>
  <c r="I9" i="20"/>
  <c r="H49" i="20"/>
  <c r="I49" i="20"/>
  <c r="H34" i="20"/>
  <c r="I34" i="20"/>
  <c r="H38" i="20"/>
  <c r="I38" i="20"/>
  <c r="H25" i="20"/>
  <c r="I25" i="20"/>
  <c r="H66" i="20"/>
  <c r="I66" i="20"/>
  <c r="H6" i="20"/>
  <c r="I6" i="20"/>
  <c r="H27" i="20"/>
  <c r="I27" i="20"/>
  <c r="H46" i="20"/>
  <c r="I46" i="20"/>
  <c r="H103" i="16"/>
  <c r="I103" i="16"/>
  <c r="H104" i="16"/>
  <c r="I104" i="16"/>
  <c r="H105" i="16"/>
  <c r="I105" i="16"/>
  <c r="H106" i="16"/>
  <c r="I106" i="16"/>
  <c r="H107" i="16"/>
  <c r="I107" i="16"/>
  <c r="H118" i="16"/>
  <c r="I118" i="16"/>
  <c r="Q18" i="20" l="1"/>
  <c r="O62" i="20"/>
  <c r="N11" i="20"/>
  <c r="P36" i="20"/>
  <c r="Q94" i="42"/>
  <c r="R93" i="42"/>
  <c r="Q93" i="42"/>
  <c r="O93" i="42"/>
  <c r="N93" i="42"/>
  <c r="N89" i="42"/>
  <c r="P50" i="20"/>
  <c r="Q118" i="16"/>
  <c r="R118" i="16"/>
  <c r="N118" i="16"/>
  <c r="O118" i="16"/>
  <c r="P118" i="16"/>
  <c r="N107" i="16"/>
  <c r="O107" i="16"/>
  <c r="P107" i="16"/>
  <c r="Q107" i="16"/>
  <c r="R107" i="16"/>
  <c r="R89" i="42"/>
  <c r="P90" i="42"/>
  <c r="Q89" i="42"/>
  <c r="P89" i="42"/>
  <c r="Q105" i="16"/>
  <c r="R105" i="16"/>
  <c r="O105" i="16"/>
  <c r="P105" i="16"/>
  <c r="N105" i="16"/>
  <c r="Q106" i="16"/>
  <c r="R106" i="16"/>
  <c r="P106" i="16"/>
  <c r="O106" i="16"/>
  <c r="N106" i="16"/>
  <c r="Q43" i="20"/>
  <c r="O104" i="16"/>
  <c r="P104" i="16"/>
  <c r="Q104" i="16"/>
  <c r="R104" i="16"/>
  <c r="N104" i="16"/>
  <c r="N57" i="20"/>
  <c r="O103" i="16"/>
  <c r="P103" i="16"/>
  <c r="N103" i="16"/>
  <c r="Q103" i="16"/>
  <c r="R103" i="16"/>
  <c r="Q63" i="20"/>
  <c r="N40" i="20"/>
  <c r="O54" i="20"/>
  <c r="O16" i="20"/>
  <c r="N45" i="20"/>
  <c r="N26" i="20"/>
  <c r="P10" i="20"/>
  <c r="O8" i="20"/>
  <c r="N32" i="20"/>
  <c r="O96" i="42"/>
  <c r="P33" i="20"/>
  <c r="O37" i="20"/>
  <c r="Q27" i="20"/>
  <c r="O25" i="20"/>
  <c r="N14" i="20"/>
  <c r="O42" i="20"/>
  <c r="R96" i="42"/>
  <c r="S96" i="51"/>
  <c r="H96" i="51" s="1"/>
  <c r="S59" i="56"/>
  <c r="H59" i="56" s="1"/>
  <c r="N60" i="20"/>
  <c r="N29" i="20"/>
  <c r="Q58" i="20"/>
  <c r="Q30" i="20"/>
  <c r="Q66" i="20"/>
  <c r="N48" i="20"/>
  <c r="O67" i="20"/>
  <c r="P61" i="20"/>
  <c r="O51" i="20"/>
  <c r="P64" i="20"/>
  <c r="P41" i="20"/>
  <c r="O19" i="20"/>
  <c r="O59" i="20"/>
  <c r="Q55" i="20"/>
  <c r="O47" i="20"/>
  <c r="N52" i="20"/>
  <c r="Q9" i="20"/>
  <c r="O31" i="20"/>
  <c r="P7" i="20"/>
  <c r="P44" i="20"/>
  <c r="N67" i="20"/>
  <c r="Q49" i="20"/>
  <c r="Q46" i="20"/>
  <c r="N35" i="20"/>
  <c r="N38" i="20"/>
  <c r="O34" i="20"/>
  <c r="P28" i="20"/>
  <c r="N65" i="20"/>
  <c r="Q60" i="20"/>
  <c r="P54" i="20"/>
  <c r="Q65" i="20"/>
  <c r="N59" i="20"/>
  <c r="Q52" i="20"/>
  <c r="R63" i="20"/>
  <c r="Q57" i="20"/>
  <c r="N51" i="20"/>
  <c r="P62" i="20"/>
  <c r="R55" i="20"/>
  <c r="P49" i="20"/>
  <c r="N43" i="20"/>
  <c r="P23" i="20"/>
  <c r="R47" i="20"/>
  <c r="Q41" i="20"/>
  <c r="R18" i="20"/>
  <c r="P46" i="20"/>
  <c r="N30" i="20"/>
  <c r="O11" i="20"/>
  <c r="Q44" i="20"/>
  <c r="N25" i="20"/>
  <c r="O28" i="20"/>
  <c r="N22" i="20"/>
  <c r="Q15" i="20"/>
  <c r="N8" i="20"/>
  <c r="P31" i="20"/>
  <c r="O17" i="20"/>
  <c r="P9" i="20"/>
  <c r="Q26" i="20"/>
  <c r="O20" i="20"/>
  <c r="R13" i="20"/>
  <c r="S18" i="54"/>
  <c r="H17" i="54" s="1"/>
  <c r="S8" i="55"/>
  <c r="H7" i="55" s="1"/>
  <c r="S11" i="52"/>
  <c r="H10" i="52" s="1"/>
  <c r="S17" i="50"/>
  <c r="H16" i="50" s="1"/>
  <c r="P34" i="20"/>
  <c r="R66" i="20"/>
  <c r="O65" i="20"/>
  <c r="P63" i="20"/>
  <c r="N62" i="20"/>
  <c r="O60" i="20"/>
  <c r="R58" i="20"/>
  <c r="O57" i="20"/>
  <c r="P55" i="20"/>
  <c r="N54" i="20"/>
  <c r="O52" i="20"/>
  <c r="Q50" i="20"/>
  <c r="N49" i="20"/>
  <c r="P47" i="20"/>
  <c r="N46" i="20"/>
  <c r="O44" i="20"/>
  <c r="R42" i="20"/>
  <c r="O41" i="20"/>
  <c r="Q33" i="20"/>
  <c r="N31" i="20"/>
  <c r="Q29" i="20"/>
  <c r="R27" i="20"/>
  <c r="O26" i="20"/>
  <c r="Q24" i="20"/>
  <c r="N23" i="20"/>
  <c r="Q21" i="20"/>
  <c r="R19" i="20"/>
  <c r="P18" i="20"/>
  <c r="R16" i="20"/>
  <c r="O15" i="20"/>
  <c r="P13" i="20"/>
  <c r="Q10" i="20"/>
  <c r="N9" i="20"/>
  <c r="Q7" i="20"/>
  <c r="R67" i="20"/>
  <c r="P66" i="20"/>
  <c r="Q64" i="20"/>
  <c r="N63" i="20"/>
  <c r="Q61" i="20"/>
  <c r="R59" i="20"/>
  <c r="P58" i="20"/>
  <c r="N55" i="20"/>
  <c r="Q53" i="20"/>
  <c r="R51" i="20"/>
  <c r="O50" i="20"/>
  <c r="Q48" i="20"/>
  <c r="N47" i="20"/>
  <c r="Q45" i="20"/>
  <c r="R43" i="20"/>
  <c r="P42" i="20"/>
  <c r="O40" i="20"/>
  <c r="Q36" i="20"/>
  <c r="O32" i="20"/>
  <c r="R30" i="20"/>
  <c r="O29" i="20"/>
  <c r="P27" i="20"/>
  <c r="R25" i="20"/>
  <c r="O24" i="20"/>
  <c r="R22" i="20"/>
  <c r="O21" i="20"/>
  <c r="P19" i="20"/>
  <c r="N18" i="20"/>
  <c r="P16" i="20"/>
  <c r="Q14" i="20"/>
  <c r="N13" i="20"/>
  <c r="O10" i="20"/>
  <c r="R8" i="20"/>
  <c r="O7" i="20"/>
  <c r="P67" i="20"/>
  <c r="N66" i="20"/>
  <c r="O64" i="20"/>
  <c r="R62" i="20"/>
  <c r="O61" i="20"/>
  <c r="P59" i="20"/>
  <c r="N58" i="20"/>
  <c r="R54" i="20"/>
  <c r="O53" i="20"/>
  <c r="P51" i="20"/>
  <c r="R49" i="20"/>
  <c r="O48" i="20"/>
  <c r="R46" i="20"/>
  <c r="O45" i="20"/>
  <c r="P43" i="20"/>
  <c r="N42" i="20"/>
  <c r="P39" i="20"/>
  <c r="R31" i="20"/>
  <c r="P30" i="20"/>
  <c r="Q28" i="20"/>
  <c r="N27" i="20"/>
  <c r="P25" i="20"/>
  <c r="R23" i="20"/>
  <c r="P22" i="20"/>
  <c r="Q20" i="20"/>
  <c r="N19" i="20"/>
  <c r="Q17" i="20"/>
  <c r="N16" i="20"/>
  <c r="O14" i="20"/>
  <c r="Q11" i="20"/>
  <c r="R9" i="20"/>
  <c r="P8" i="20"/>
  <c r="Q91" i="42"/>
  <c r="P95" i="42"/>
  <c r="P91" i="42"/>
  <c r="Q95" i="42"/>
  <c r="O95" i="42"/>
  <c r="O91" i="42"/>
  <c r="R95" i="42"/>
  <c r="R91" i="42"/>
  <c r="P92" i="42"/>
  <c r="Q96" i="42"/>
  <c r="P94" i="42"/>
  <c r="O92" i="42"/>
  <c r="R90" i="42"/>
  <c r="N90" i="42"/>
  <c r="P96" i="42"/>
  <c r="O94" i="42"/>
  <c r="R92" i="42"/>
  <c r="N92" i="42"/>
  <c r="Q90" i="42"/>
  <c r="R94" i="42"/>
  <c r="Q35" i="20"/>
  <c r="O35" i="20"/>
  <c r="P35" i="20"/>
  <c r="N37" i="20"/>
  <c r="R37" i="20"/>
  <c r="P37" i="20"/>
  <c r="Q37" i="20"/>
  <c r="Q38" i="20"/>
  <c r="O38" i="20"/>
  <c r="P38" i="20"/>
  <c r="R38" i="20"/>
  <c r="R35" i="20"/>
  <c r="Q40" i="20"/>
  <c r="R39" i="20"/>
  <c r="N39" i="20"/>
  <c r="O36" i="20"/>
  <c r="R34" i="20"/>
  <c r="N34" i="20"/>
  <c r="O33" i="20"/>
  <c r="Q32" i="20"/>
  <c r="Q67" i="20"/>
  <c r="O66" i="20"/>
  <c r="P65" i="20"/>
  <c r="R64" i="20"/>
  <c r="N64" i="20"/>
  <c r="O63" i="20"/>
  <c r="Q62" i="20"/>
  <c r="R61" i="20"/>
  <c r="N61" i="20"/>
  <c r="P60" i="20"/>
  <c r="Q59" i="20"/>
  <c r="O58" i="20"/>
  <c r="P57" i="20"/>
  <c r="O55" i="20"/>
  <c r="Q54" i="20"/>
  <c r="R53" i="20"/>
  <c r="N53" i="20"/>
  <c r="P52" i="20"/>
  <c r="Q51" i="20"/>
  <c r="R50" i="20"/>
  <c r="N50" i="20"/>
  <c r="O49" i="20"/>
  <c r="P48" i="20"/>
  <c r="Q47" i="20"/>
  <c r="O46" i="20"/>
  <c r="P45" i="20"/>
  <c r="R44" i="20"/>
  <c r="N44" i="20"/>
  <c r="O43" i="20"/>
  <c r="Q42" i="20"/>
  <c r="R41" i="20"/>
  <c r="N41" i="20"/>
  <c r="P40" i="20"/>
  <c r="Q39" i="20"/>
  <c r="R36" i="20"/>
  <c r="N36" i="20"/>
  <c r="Q34" i="20"/>
  <c r="R33" i="20"/>
  <c r="N33" i="20"/>
  <c r="P32" i="20"/>
  <c r="Q31" i="20"/>
  <c r="O30" i="20"/>
  <c r="P29" i="20"/>
  <c r="R28" i="20"/>
  <c r="N28" i="20"/>
  <c r="O27" i="20"/>
  <c r="P26" i="20"/>
  <c r="Q25" i="20"/>
  <c r="R24" i="20"/>
  <c r="N24" i="20"/>
  <c r="O23" i="20"/>
  <c r="Q22" i="20"/>
  <c r="R21" i="20"/>
  <c r="N21" i="20"/>
  <c r="P20" i="20"/>
  <c r="Q19" i="20"/>
  <c r="O18" i="20"/>
  <c r="P17" i="20"/>
  <c r="Q16" i="20"/>
  <c r="R15" i="20"/>
  <c r="N15" i="20"/>
  <c r="P14" i="20"/>
  <c r="Q13" i="20"/>
  <c r="P11" i="20"/>
  <c r="R10" i="20"/>
  <c r="N10" i="20"/>
  <c r="O9" i="20"/>
  <c r="Q8" i="20"/>
  <c r="R7" i="20"/>
  <c r="N7" i="20"/>
  <c r="P55" i="31"/>
  <c r="Q55" i="31"/>
  <c r="N55" i="31"/>
  <c r="R55" i="31"/>
  <c r="O55" i="31"/>
  <c r="N53" i="31"/>
  <c r="R53" i="31"/>
  <c r="O53" i="31"/>
  <c r="P53" i="31"/>
  <c r="Q53" i="31"/>
  <c r="Q51" i="31"/>
  <c r="N51" i="31"/>
  <c r="R51" i="31"/>
  <c r="O51" i="31"/>
  <c r="P51" i="31"/>
  <c r="P49" i="31"/>
  <c r="Q49" i="31"/>
  <c r="N49" i="31"/>
  <c r="R49" i="31"/>
  <c r="O49" i="31"/>
  <c r="O47" i="31"/>
  <c r="N47" i="31"/>
  <c r="P47" i="31"/>
  <c r="Q47" i="31"/>
  <c r="R47" i="31"/>
  <c r="O45" i="31"/>
  <c r="N45" i="31"/>
  <c r="R45" i="31"/>
  <c r="Q45" i="31"/>
  <c r="P45" i="31"/>
  <c r="N43" i="31"/>
  <c r="R43" i="31"/>
  <c r="Q43" i="31"/>
  <c r="O43" i="31"/>
  <c r="P43" i="31"/>
  <c r="Q41" i="31"/>
  <c r="P41" i="31"/>
  <c r="O41" i="31"/>
  <c r="R41" i="31"/>
  <c r="N41" i="31"/>
  <c r="P39" i="31"/>
  <c r="O39" i="31"/>
  <c r="R39" i="31"/>
  <c r="N39" i="31"/>
  <c r="Q39" i="31"/>
  <c r="O37" i="31"/>
  <c r="N37" i="31"/>
  <c r="R37" i="31"/>
  <c r="P37" i="31"/>
  <c r="Q37" i="31"/>
  <c r="N35" i="31"/>
  <c r="R35" i="31"/>
  <c r="Q35" i="31"/>
  <c r="P35" i="31"/>
  <c r="O35" i="31"/>
  <c r="P33" i="31"/>
  <c r="O33" i="31"/>
  <c r="R33" i="31"/>
  <c r="N33" i="31"/>
  <c r="Q33" i="31"/>
  <c r="O31" i="31"/>
  <c r="N31" i="31"/>
  <c r="R31" i="31"/>
  <c r="P31" i="31"/>
  <c r="Q31" i="31"/>
  <c r="N29" i="31"/>
  <c r="R29" i="31"/>
  <c r="O29" i="31"/>
  <c r="Q29" i="31"/>
  <c r="P29" i="31"/>
  <c r="Q27" i="31"/>
  <c r="N27" i="31"/>
  <c r="R27" i="31"/>
  <c r="P27" i="31"/>
  <c r="O27" i="31"/>
  <c r="P25" i="31"/>
  <c r="Q25" i="31"/>
  <c r="O25" i="31"/>
  <c r="R25" i="31"/>
  <c r="N25" i="31"/>
  <c r="O23" i="31"/>
  <c r="P23" i="31"/>
  <c r="N23" i="31"/>
  <c r="R23" i="31"/>
  <c r="Q23" i="31"/>
  <c r="N21" i="31"/>
  <c r="R21" i="31"/>
  <c r="O21" i="31"/>
  <c r="Q21" i="31"/>
  <c r="P21" i="31"/>
  <c r="Q19" i="31"/>
  <c r="N19" i="31"/>
  <c r="R19" i="31"/>
  <c r="P19" i="31"/>
  <c r="O19" i="31"/>
  <c r="P17" i="31"/>
  <c r="Q17" i="31"/>
  <c r="O17" i="31"/>
  <c r="N17" i="31"/>
  <c r="R17" i="31"/>
  <c r="O15" i="31"/>
  <c r="P15" i="31"/>
  <c r="N15" i="31"/>
  <c r="R15" i="31"/>
  <c r="Q15" i="31"/>
  <c r="R65" i="20"/>
  <c r="R60" i="20"/>
  <c r="R57" i="20"/>
  <c r="R52" i="20"/>
  <c r="R48" i="20"/>
  <c r="R45" i="20"/>
  <c r="R40" i="20"/>
  <c r="R32" i="20"/>
  <c r="R29" i="20"/>
  <c r="R26" i="20"/>
  <c r="R20" i="20"/>
  <c r="R17" i="20"/>
  <c r="R14" i="20"/>
  <c r="R11" i="20"/>
  <c r="N46" i="31"/>
  <c r="R46" i="31"/>
  <c r="Q46" i="31"/>
  <c r="Q44" i="31"/>
  <c r="P44" i="31"/>
  <c r="P42" i="31"/>
  <c r="O42" i="31"/>
  <c r="O40" i="31"/>
  <c r="N40" i="31"/>
  <c r="R40" i="31"/>
  <c r="N38" i="31"/>
  <c r="R38" i="31"/>
  <c r="Q38" i="31"/>
  <c r="Q36" i="31"/>
  <c r="P36" i="31"/>
  <c r="O34" i="31"/>
  <c r="N34" i="31"/>
  <c r="R34" i="31"/>
  <c r="N32" i="31"/>
  <c r="R32" i="31"/>
  <c r="Q32" i="31"/>
  <c r="Q30" i="31"/>
  <c r="N30" i="31"/>
  <c r="P30" i="31"/>
  <c r="P28" i="31"/>
  <c r="Q28" i="31"/>
  <c r="O28" i="31"/>
  <c r="O26" i="31"/>
  <c r="P26" i="31"/>
  <c r="N26" i="31"/>
  <c r="R26" i="31"/>
  <c r="N24" i="31"/>
  <c r="R24" i="31"/>
  <c r="O24" i="31"/>
  <c r="Q24" i="31"/>
  <c r="Q22" i="31"/>
  <c r="N22" i="31"/>
  <c r="R22" i="31"/>
  <c r="P22" i="31"/>
  <c r="P20" i="31"/>
  <c r="Q20" i="31"/>
  <c r="O20" i="31"/>
  <c r="O18" i="31"/>
  <c r="P18" i="31"/>
  <c r="N18" i="31"/>
  <c r="R18" i="31"/>
  <c r="N16" i="31"/>
  <c r="R16" i="31"/>
  <c r="O16" i="31"/>
  <c r="Q16" i="31"/>
  <c r="Q14" i="31"/>
  <c r="N14" i="31"/>
  <c r="R14" i="31"/>
  <c r="P14" i="31"/>
  <c r="R56" i="31"/>
  <c r="N56" i="31"/>
  <c r="P54" i="31"/>
  <c r="O52" i="31"/>
  <c r="R50" i="31"/>
  <c r="N50" i="31"/>
  <c r="Q48" i="31"/>
  <c r="N44" i="31"/>
  <c r="Q42" i="31"/>
  <c r="O38" i="31"/>
  <c r="R36" i="31"/>
  <c r="O32" i="31"/>
  <c r="R30" i="31"/>
  <c r="N28" i="31"/>
  <c r="O22" i="31"/>
  <c r="P16" i="31"/>
  <c r="Q56" i="31"/>
  <c r="O54" i="31"/>
  <c r="R52" i="31"/>
  <c r="N52" i="31"/>
  <c r="Q50" i="31"/>
  <c r="P48" i="31"/>
  <c r="P46" i="31"/>
  <c r="N42" i="31"/>
  <c r="Q40" i="31"/>
  <c r="O36" i="31"/>
  <c r="Q34" i="31"/>
  <c r="O30" i="31"/>
  <c r="P24" i="31"/>
  <c r="Q18" i="31"/>
  <c r="P56" i="31"/>
  <c r="R54" i="31"/>
  <c r="N54" i="31"/>
  <c r="Q52" i="31"/>
  <c r="P50" i="31"/>
  <c r="O48" i="31"/>
  <c r="O46" i="31"/>
  <c r="R44" i="31"/>
  <c r="P40" i="31"/>
  <c r="N36" i="31"/>
  <c r="P34" i="31"/>
  <c r="Q26" i="31"/>
  <c r="R20" i="31"/>
  <c r="R48" i="31"/>
  <c r="O44" i="31"/>
  <c r="R42" i="31"/>
  <c r="P38" i="31"/>
  <c r="P32" i="31"/>
  <c r="R28" i="31"/>
  <c r="N20" i="31"/>
  <c r="O14" i="31"/>
  <c r="Q33" i="1"/>
  <c r="S33" i="1"/>
  <c r="R33" i="1"/>
  <c r="O33" i="1"/>
  <c r="S35" i="1"/>
  <c r="P35" i="1"/>
  <c r="O35" i="1"/>
  <c r="R34" i="1"/>
  <c r="Q34" i="1"/>
  <c r="O34" i="1"/>
  <c r="R35" i="1"/>
  <c r="S34" i="1"/>
  <c r="S118" i="16" l="1"/>
  <c r="S93" i="42"/>
  <c r="S89" i="42"/>
  <c r="S105" i="16"/>
  <c r="S107" i="16"/>
  <c r="S104" i="16"/>
  <c r="S106" i="16"/>
  <c r="S103" i="16"/>
  <c r="S94" i="42"/>
  <c r="S50" i="31"/>
  <c r="S19" i="31"/>
  <c r="S27" i="31"/>
  <c r="S48" i="31"/>
  <c r="S25" i="31"/>
  <c r="S39" i="31"/>
  <c r="S28" i="31"/>
  <c r="S56" i="31"/>
  <c r="S24" i="31"/>
  <c r="S58" i="20"/>
  <c r="S51" i="20"/>
  <c r="S54" i="20"/>
  <c r="S61" i="20"/>
  <c r="S18" i="20"/>
  <c r="S31" i="20"/>
  <c r="S16" i="20"/>
  <c r="S48" i="20"/>
  <c r="S19" i="20"/>
  <c r="S25" i="20"/>
  <c r="S26" i="20"/>
  <c r="S30" i="20"/>
  <c r="S14" i="20"/>
  <c r="S27" i="20"/>
  <c r="S45" i="20"/>
  <c r="S49" i="20"/>
  <c r="S59" i="20"/>
  <c r="S8" i="20"/>
  <c r="S11" i="20"/>
  <c r="S41" i="20"/>
  <c r="S44" i="20"/>
  <c r="S47" i="20"/>
  <c r="S60" i="20"/>
  <c r="S66" i="20"/>
  <c r="S34" i="31"/>
  <c r="S51" i="31"/>
  <c r="S52" i="31"/>
  <c r="S91" i="42"/>
  <c r="S20" i="31"/>
  <c r="S17" i="20"/>
  <c r="S22" i="20"/>
  <c r="S67" i="20"/>
  <c r="S36" i="31"/>
  <c r="S14" i="31"/>
  <c r="S41" i="31"/>
  <c r="S63" i="20"/>
  <c r="S42" i="20"/>
  <c r="S55" i="20"/>
  <c r="S38" i="20"/>
  <c r="S35" i="20"/>
  <c r="S9" i="20"/>
  <c r="S13" i="20"/>
  <c r="S20" i="20"/>
  <c r="S23" i="20"/>
  <c r="S29" i="20"/>
  <c r="S57" i="20"/>
  <c r="S33" i="20"/>
  <c r="S32" i="20"/>
  <c r="S21" i="20"/>
  <c r="S24" i="20"/>
  <c r="S7" i="20"/>
  <c r="S15" i="20"/>
  <c r="S28" i="20"/>
  <c r="S40" i="20"/>
  <c r="S43" i="20"/>
  <c r="S46" i="20"/>
  <c r="S50" i="20"/>
  <c r="S53" i="20"/>
  <c r="S62" i="20"/>
  <c r="S65" i="20"/>
  <c r="S92" i="42"/>
  <c r="S96" i="42"/>
  <c r="S95" i="42"/>
  <c r="S90" i="42"/>
  <c r="S42" i="31"/>
  <c r="S32" i="31"/>
  <c r="S15" i="31"/>
  <c r="S35" i="31"/>
  <c r="S43" i="31"/>
  <c r="S55" i="31"/>
  <c r="S36" i="20"/>
  <c r="T33" i="1"/>
  <c r="S54" i="31"/>
  <c r="S44" i="31"/>
  <c r="S26" i="31"/>
  <c r="S21" i="31"/>
  <c r="S29" i="31"/>
  <c r="S31" i="31"/>
  <c r="S47" i="31"/>
  <c r="S49" i="31"/>
  <c r="S53" i="31"/>
  <c r="S64" i="20"/>
  <c r="S34" i="20"/>
  <c r="S37" i="20"/>
  <c r="S16" i="31"/>
  <c r="S30" i="31"/>
  <c r="S38" i="31"/>
  <c r="S17" i="31"/>
  <c r="S23" i="31"/>
  <c r="S33" i="31"/>
  <c r="S37" i="31"/>
  <c r="S45" i="31"/>
  <c r="S18" i="31"/>
  <c r="S22" i="31"/>
  <c r="S40" i="31"/>
  <c r="S46" i="31"/>
  <c r="S10" i="20"/>
  <c r="S39" i="20"/>
  <c r="S52" i="20"/>
  <c r="T35" i="1"/>
  <c r="T34" i="1"/>
  <c r="I7" i="4"/>
  <c r="I9" i="4"/>
  <c r="Q73" i="4"/>
  <c r="O74" i="4"/>
  <c r="P73" i="4" l="1"/>
  <c r="S73" i="4"/>
  <c r="O73" i="4"/>
  <c r="R73" i="4"/>
  <c r="R74" i="4"/>
  <c r="Q74" i="4"/>
  <c r="P74" i="4"/>
  <c r="S74" i="4"/>
  <c r="H56" i="11"/>
  <c r="H57" i="11"/>
  <c r="H58" i="11"/>
  <c r="H59" i="11"/>
  <c r="H60" i="11"/>
  <c r="H61" i="11"/>
  <c r="H62" i="11"/>
  <c r="H63" i="11"/>
  <c r="H64" i="11"/>
  <c r="H66" i="11"/>
  <c r="H67" i="11"/>
  <c r="H68" i="11"/>
  <c r="H69" i="11"/>
  <c r="H70" i="11"/>
  <c r="H71" i="11"/>
  <c r="H72" i="11"/>
  <c r="H73" i="11"/>
  <c r="H76" i="11"/>
  <c r="H75" i="11"/>
  <c r="H74" i="11"/>
  <c r="H77" i="11"/>
  <c r="H78" i="11"/>
  <c r="H79" i="11"/>
  <c r="H80" i="11"/>
  <c r="H81" i="11"/>
  <c r="H87" i="11"/>
  <c r="H65" i="11"/>
  <c r="T73" i="4" l="1"/>
  <c r="T74" i="4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I23" i="3"/>
  <c r="I24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93" i="3"/>
  <c r="I93" i="3"/>
  <c r="H94" i="3"/>
  <c r="I94" i="3"/>
  <c r="H95" i="3"/>
  <c r="I95" i="3"/>
  <c r="H96" i="3"/>
  <c r="I96" i="3"/>
  <c r="H97" i="3"/>
  <c r="I97" i="3"/>
  <c r="H98" i="3"/>
  <c r="I98" i="3"/>
  <c r="R37" i="3" l="1"/>
  <c r="S37" i="3"/>
  <c r="P37" i="3"/>
  <c r="Q37" i="3"/>
  <c r="O37" i="3"/>
  <c r="R9" i="3"/>
  <c r="S9" i="3"/>
  <c r="P9" i="3"/>
  <c r="Q9" i="3"/>
  <c r="O9" i="3"/>
  <c r="T9" i="3" s="1"/>
  <c r="R11" i="3"/>
  <c r="O11" i="3"/>
  <c r="Q11" i="3"/>
  <c r="S11" i="3"/>
  <c r="P11" i="3"/>
  <c r="P98" i="3"/>
  <c r="O98" i="3"/>
  <c r="Q98" i="3"/>
  <c r="R98" i="3"/>
  <c r="S98" i="3"/>
  <c r="O61" i="3"/>
  <c r="P61" i="3"/>
  <c r="Q61" i="3"/>
  <c r="R61" i="3"/>
  <c r="S61" i="3"/>
  <c r="R23" i="3"/>
  <c r="S23" i="3"/>
  <c r="P23" i="3"/>
  <c r="Q23" i="3"/>
  <c r="O23" i="3"/>
  <c r="S16" i="3"/>
  <c r="Q16" i="3"/>
  <c r="R16" i="3"/>
  <c r="O16" i="3"/>
  <c r="P16" i="3"/>
  <c r="T16" i="3" s="1"/>
  <c r="S97" i="3"/>
  <c r="O97" i="3"/>
  <c r="P97" i="3"/>
  <c r="Q97" i="3"/>
  <c r="R97" i="3"/>
  <c r="O66" i="3"/>
  <c r="P66" i="3"/>
  <c r="Q66" i="3"/>
  <c r="R66" i="3"/>
  <c r="S66" i="3"/>
  <c r="R48" i="3"/>
  <c r="S48" i="3"/>
  <c r="O48" i="3"/>
  <c r="P48" i="3"/>
  <c r="Q48" i="3"/>
  <c r="O36" i="3"/>
  <c r="P36" i="3"/>
  <c r="Q36" i="3"/>
  <c r="R36" i="3"/>
  <c r="S36" i="3"/>
  <c r="Q21" i="3"/>
  <c r="R21" i="3"/>
  <c r="S21" i="3"/>
  <c r="P21" i="3"/>
  <c r="O21" i="3"/>
  <c r="O15" i="3"/>
  <c r="P15" i="3"/>
  <c r="Q15" i="3"/>
  <c r="R15" i="3"/>
  <c r="S15" i="3"/>
  <c r="O96" i="3"/>
  <c r="P96" i="3"/>
  <c r="Q96" i="3"/>
  <c r="R96" i="3"/>
  <c r="S96" i="3"/>
  <c r="P77" i="3"/>
  <c r="Q77" i="3"/>
  <c r="R77" i="3"/>
  <c r="S77" i="3"/>
  <c r="O77" i="3"/>
  <c r="R71" i="3"/>
  <c r="O71" i="3"/>
  <c r="P71" i="3"/>
  <c r="Q71" i="3"/>
  <c r="S71" i="3"/>
  <c r="R65" i="3"/>
  <c r="S65" i="3"/>
  <c r="P65" i="3"/>
  <c r="Q65" i="3"/>
  <c r="T65" i="3" s="1"/>
  <c r="O65" i="3"/>
  <c r="O59" i="3"/>
  <c r="P59" i="3"/>
  <c r="Q59" i="3"/>
  <c r="R59" i="3"/>
  <c r="S59" i="3"/>
  <c r="S53" i="3"/>
  <c r="Q53" i="3"/>
  <c r="R53" i="3"/>
  <c r="O53" i="3"/>
  <c r="P53" i="3"/>
  <c r="O47" i="3"/>
  <c r="P47" i="3"/>
  <c r="Q47" i="3"/>
  <c r="R47" i="3"/>
  <c r="S47" i="3"/>
  <c r="O41" i="3"/>
  <c r="P41" i="3"/>
  <c r="Q41" i="3"/>
  <c r="R41" i="3"/>
  <c r="S41" i="3"/>
  <c r="P35" i="3"/>
  <c r="Q35" i="3"/>
  <c r="O35" i="3"/>
  <c r="R35" i="3"/>
  <c r="S35" i="3"/>
  <c r="O29" i="3"/>
  <c r="P29" i="3"/>
  <c r="Q29" i="3"/>
  <c r="R29" i="3"/>
  <c r="S29" i="3"/>
  <c r="O55" i="3"/>
  <c r="P55" i="3"/>
  <c r="Q55" i="3"/>
  <c r="R55" i="3"/>
  <c r="S55" i="3"/>
  <c r="O10" i="3"/>
  <c r="P10" i="3"/>
  <c r="Q10" i="3"/>
  <c r="R10" i="3"/>
  <c r="S10" i="3"/>
  <c r="O20" i="3"/>
  <c r="P20" i="3"/>
  <c r="Q20" i="3"/>
  <c r="R20" i="3"/>
  <c r="S20" i="3"/>
  <c r="Q14" i="3"/>
  <c r="R14" i="3"/>
  <c r="S14" i="3"/>
  <c r="P14" i="3"/>
  <c r="O14" i="3"/>
  <c r="O8" i="3"/>
  <c r="P8" i="3"/>
  <c r="Q8" i="3"/>
  <c r="R8" i="3"/>
  <c r="S8" i="3"/>
  <c r="O31" i="3"/>
  <c r="P31" i="3"/>
  <c r="Q31" i="3"/>
  <c r="R31" i="3"/>
  <c r="S31" i="3"/>
  <c r="O78" i="3"/>
  <c r="P78" i="3"/>
  <c r="Q78" i="3"/>
  <c r="R78" i="3"/>
  <c r="S78" i="3"/>
  <c r="Q30" i="3"/>
  <c r="R30" i="3"/>
  <c r="S30" i="3"/>
  <c r="P30" i="3"/>
  <c r="O30" i="3"/>
  <c r="T30" i="3" s="1"/>
  <c r="S95" i="3"/>
  <c r="R95" i="3"/>
  <c r="Q95" i="3"/>
  <c r="O95" i="3"/>
  <c r="P95" i="3"/>
  <c r="O40" i="3"/>
  <c r="P40" i="3"/>
  <c r="Q40" i="3"/>
  <c r="R40" i="3"/>
  <c r="S40" i="3"/>
  <c r="P28" i="3"/>
  <c r="Q28" i="3"/>
  <c r="R28" i="3"/>
  <c r="S28" i="3"/>
  <c r="O28" i="3"/>
  <c r="O17" i="3"/>
  <c r="P17" i="3"/>
  <c r="Q17" i="3"/>
  <c r="R17" i="3"/>
  <c r="S17" i="3"/>
  <c r="Q79" i="3"/>
  <c r="R79" i="3"/>
  <c r="O79" i="3"/>
  <c r="S79" i="3"/>
  <c r="P79" i="3"/>
  <c r="O43" i="3"/>
  <c r="P43" i="3"/>
  <c r="Q43" i="3"/>
  <c r="R43" i="3"/>
  <c r="S43" i="3"/>
  <c r="O22" i="3"/>
  <c r="P22" i="3"/>
  <c r="Q22" i="3"/>
  <c r="R22" i="3"/>
  <c r="S22" i="3"/>
  <c r="S60" i="3"/>
  <c r="R60" i="3"/>
  <c r="Q60" i="3"/>
  <c r="O60" i="3"/>
  <c r="P60" i="3"/>
  <c r="Q70" i="3"/>
  <c r="R70" i="3"/>
  <c r="S70" i="3"/>
  <c r="O70" i="3"/>
  <c r="P70" i="3"/>
  <c r="O52" i="3"/>
  <c r="P52" i="3"/>
  <c r="Q52" i="3"/>
  <c r="R52" i="3"/>
  <c r="S52" i="3"/>
  <c r="P19" i="3"/>
  <c r="Q19" i="3"/>
  <c r="R19" i="3"/>
  <c r="S19" i="3"/>
  <c r="O19" i="3"/>
  <c r="O13" i="3"/>
  <c r="P13" i="3"/>
  <c r="Q13" i="3"/>
  <c r="R13" i="3"/>
  <c r="S13" i="3"/>
  <c r="Q7" i="3"/>
  <c r="P7" i="3"/>
  <c r="R7" i="3"/>
  <c r="S7" i="3"/>
  <c r="O7" i="3"/>
  <c r="O49" i="3"/>
  <c r="P49" i="3"/>
  <c r="Q49" i="3"/>
  <c r="R49" i="3"/>
  <c r="S49" i="3"/>
  <c r="S72" i="3"/>
  <c r="Q72" i="3"/>
  <c r="R72" i="3"/>
  <c r="O72" i="3"/>
  <c r="P72" i="3"/>
  <c r="P42" i="3"/>
  <c r="Q42" i="3"/>
  <c r="R42" i="3"/>
  <c r="S42" i="3"/>
  <c r="O42" i="3"/>
  <c r="P76" i="3"/>
  <c r="O76" i="3"/>
  <c r="Q76" i="3"/>
  <c r="R76" i="3"/>
  <c r="S76" i="3"/>
  <c r="P69" i="3"/>
  <c r="O69" i="3"/>
  <c r="Q69" i="3"/>
  <c r="R69" i="3"/>
  <c r="S69" i="3"/>
  <c r="O45" i="3"/>
  <c r="P45" i="3"/>
  <c r="Q45" i="3"/>
  <c r="R45" i="3"/>
  <c r="S45" i="3"/>
  <c r="S39" i="3"/>
  <c r="R39" i="3"/>
  <c r="O39" i="3"/>
  <c r="P39" i="3"/>
  <c r="Q39" i="3"/>
  <c r="O33" i="3"/>
  <c r="P33" i="3"/>
  <c r="Q33" i="3"/>
  <c r="R33" i="3"/>
  <c r="S33" i="3"/>
  <c r="S27" i="3"/>
  <c r="O27" i="3"/>
  <c r="P27" i="3"/>
  <c r="Q27" i="3"/>
  <c r="T27" i="3" s="1"/>
  <c r="R27" i="3"/>
  <c r="O24" i="3"/>
  <c r="P24" i="3"/>
  <c r="Q24" i="3"/>
  <c r="R24" i="3"/>
  <c r="S24" i="3"/>
  <c r="O73" i="3"/>
  <c r="P73" i="3"/>
  <c r="Q73" i="3"/>
  <c r="R73" i="3"/>
  <c r="S73" i="3"/>
  <c r="O54" i="3"/>
  <c r="T54" i="3" s="1"/>
  <c r="P54" i="3"/>
  <c r="Q54" i="3"/>
  <c r="R54" i="3"/>
  <c r="S54" i="3"/>
  <c r="Q58" i="3"/>
  <c r="R58" i="3"/>
  <c r="S58" i="3"/>
  <c r="O58" i="3"/>
  <c r="P58" i="3"/>
  <c r="S34" i="3"/>
  <c r="O34" i="3"/>
  <c r="P34" i="3"/>
  <c r="Q34" i="3"/>
  <c r="R34" i="3"/>
  <c r="O75" i="3"/>
  <c r="P75" i="3"/>
  <c r="Q75" i="3"/>
  <c r="R75" i="3"/>
  <c r="S75" i="3"/>
  <c r="Q51" i="3"/>
  <c r="R51" i="3"/>
  <c r="S51" i="3"/>
  <c r="O51" i="3"/>
  <c r="P51" i="3"/>
  <c r="O18" i="3"/>
  <c r="P18" i="3"/>
  <c r="S18" i="3"/>
  <c r="Q18" i="3"/>
  <c r="R18" i="3"/>
  <c r="O12" i="3"/>
  <c r="P12" i="3"/>
  <c r="Q12" i="3"/>
  <c r="R12" i="3"/>
  <c r="S12" i="3"/>
  <c r="S67" i="3"/>
  <c r="O67" i="3"/>
  <c r="T67" i="3" s="1"/>
  <c r="P67" i="3"/>
  <c r="Q67" i="3"/>
  <c r="R67" i="3"/>
  <c r="O64" i="3"/>
  <c r="Q64" i="3"/>
  <c r="P64" i="3"/>
  <c r="R64" i="3"/>
  <c r="S64" i="3"/>
  <c r="R46" i="3"/>
  <c r="S46" i="3"/>
  <c r="Q46" i="3"/>
  <c r="P46" i="3"/>
  <c r="O46" i="3"/>
  <c r="O94" i="3"/>
  <c r="P94" i="3"/>
  <c r="Q94" i="3"/>
  <c r="R94" i="3"/>
  <c r="S94" i="3"/>
  <c r="P63" i="3"/>
  <c r="Q63" i="3"/>
  <c r="R63" i="3"/>
  <c r="O63" i="3"/>
  <c r="S63" i="3"/>
  <c r="O57" i="3"/>
  <c r="T57" i="3" s="1"/>
  <c r="P57" i="3"/>
  <c r="Q57" i="3"/>
  <c r="R57" i="3"/>
  <c r="S57" i="3"/>
  <c r="Q93" i="3"/>
  <c r="R93" i="3"/>
  <c r="S93" i="3"/>
  <c r="O93" i="3"/>
  <c r="P93" i="3"/>
  <c r="S74" i="3"/>
  <c r="O74" i="3"/>
  <c r="R74" i="3"/>
  <c r="P74" i="3"/>
  <c r="Q74" i="3"/>
  <c r="O68" i="3"/>
  <c r="P68" i="3"/>
  <c r="Q68" i="3"/>
  <c r="R68" i="3"/>
  <c r="S68" i="3"/>
  <c r="O62" i="3"/>
  <c r="S62" i="3"/>
  <c r="P62" i="3"/>
  <c r="Q62" i="3"/>
  <c r="R62" i="3"/>
  <c r="O56" i="3"/>
  <c r="P56" i="3"/>
  <c r="Q56" i="3"/>
  <c r="R56" i="3"/>
  <c r="S56" i="3"/>
  <c r="O50" i="3"/>
  <c r="P50" i="3"/>
  <c r="Q50" i="3"/>
  <c r="R50" i="3"/>
  <c r="S50" i="3"/>
  <c r="Q44" i="3"/>
  <c r="R44" i="3"/>
  <c r="S44" i="3"/>
  <c r="O44" i="3"/>
  <c r="P44" i="3"/>
  <c r="O38" i="3"/>
  <c r="P38" i="3"/>
  <c r="Q38" i="3"/>
  <c r="R38" i="3"/>
  <c r="S38" i="3"/>
  <c r="S32" i="3"/>
  <c r="R32" i="3"/>
  <c r="Q32" i="3"/>
  <c r="O32" i="3"/>
  <c r="P32" i="3"/>
  <c r="O26" i="3"/>
  <c r="P26" i="3"/>
  <c r="Q26" i="3"/>
  <c r="R26" i="3"/>
  <c r="S26" i="3"/>
  <c r="H30" i="23"/>
  <c r="H32" i="23"/>
  <c r="H28" i="23"/>
  <c r="H26" i="23"/>
  <c r="H24" i="23"/>
  <c r="H62" i="23"/>
  <c r="H64" i="23"/>
  <c r="H60" i="23"/>
  <c r="H41" i="23"/>
  <c r="H34" i="23"/>
  <c r="H45" i="23"/>
  <c r="H47" i="23"/>
  <c r="H43" i="23"/>
  <c r="H56" i="23"/>
  <c r="H58" i="23"/>
  <c r="Q30" i="23"/>
  <c r="H10" i="23"/>
  <c r="H9" i="23"/>
  <c r="H7" i="23"/>
  <c r="H38" i="23"/>
  <c r="H40" i="23"/>
  <c r="H37" i="23"/>
  <c r="H12" i="23"/>
  <c r="H13" i="23"/>
  <c r="H31" i="23"/>
  <c r="H33" i="23"/>
  <c r="H29" i="23"/>
  <c r="H27" i="23"/>
  <c r="H25" i="23"/>
  <c r="H63" i="23"/>
  <c r="H61" i="23"/>
  <c r="H42" i="23"/>
  <c r="H35" i="23"/>
  <c r="H49" i="23"/>
  <c r="H46" i="23"/>
  <c r="H48" i="23"/>
  <c r="H44" i="23"/>
  <c r="H57" i="23"/>
  <c r="H59" i="23"/>
  <c r="N59" i="23"/>
  <c r="H23" i="23"/>
  <c r="H50" i="23"/>
  <c r="R61" i="23"/>
  <c r="Q62" i="23"/>
  <c r="H51" i="23"/>
  <c r="H54" i="23"/>
  <c r="H55" i="23"/>
  <c r="H52" i="23"/>
  <c r="H53" i="23"/>
  <c r="H17" i="23"/>
  <c r="H14" i="23"/>
  <c r="H18" i="23"/>
  <c r="T21" i="3" l="1"/>
  <c r="T58" i="3"/>
  <c r="T37" i="3"/>
  <c r="T32" i="3"/>
  <c r="T34" i="3"/>
  <c r="T23" i="3"/>
  <c r="T38" i="3"/>
  <c r="T79" i="3"/>
  <c r="T51" i="3"/>
  <c r="T55" i="3"/>
  <c r="T76" i="3"/>
  <c r="T62" i="3"/>
  <c r="T50" i="3"/>
  <c r="T73" i="3"/>
  <c r="T42" i="3"/>
  <c r="T13" i="3"/>
  <c r="T70" i="3"/>
  <c r="T52" i="3"/>
  <c r="T12" i="3"/>
  <c r="T45" i="3"/>
  <c r="T22" i="3"/>
  <c r="T20" i="3"/>
  <c r="T96" i="3"/>
  <c r="T31" i="3"/>
  <c r="T93" i="3"/>
  <c r="T49" i="3"/>
  <c r="T40" i="3"/>
  <c r="T41" i="3"/>
  <c r="T71" i="3"/>
  <c r="T66" i="3"/>
  <c r="T98" i="3"/>
  <c r="T74" i="3"/>
  <c r="T64" i="3"/>
  <c r="T33" i="3"/>
  <c r="T7" i="3"/>
  <c r="T8" i="3"/>
  <c r="T35" i="3"/>
  <c r="T61" i="3"/>
  <c r="T53" i="3"/>
  <c r="T68" i="3"/>
  <c r="T75" i="3"/>
  <c r="T69" i="3"/>
  <c r="T19" i="3"/>
  <c r="T60" i="3"/>
  <c r="T17" i="3"/>
  <c r="T95" i="3"/>
  <c r="T14" i="3"/>
  <c r="T29" i="3"/>
  <c r="T77" i="3"/>
  <c r="T15" i="3"/>
  <c r="T36" i="3"/>
  <c r="T97" i="3"/>
  <c r="T63" i="3"/>
  <c r="T26" i="3"/>
  <c r="T44" i="3"/>
  <c r="T94" i="3"/>
  <c r="T18" i="3"/>
  <c r="T24" i="3"/>
  <c r="T28" i="3"/>
  <c r="T78" i="3"/>
  <c r="T47" i="3"/>
  <c r="T59" i="3"/>
  <c r="T56" i="3"/>
  <c r="T46" i="3"/>
  <c r="T39" i="3"/>
  <c r="T72" i="3"/>
  <c r="T43" i="3"/>
  <c r="T10" i="3"/>
  <c r="T48" i="3"/>
  <c r="T11" i="3"/>
  <c r="P63" i="23"/>
  <c r="N34" i="23"/>
  <c r="R29" i="23"/>
  <c r="Q57" i="23"/>
  <c r="P44" i="23"/>
  <c r="R40" i="23"/>
  <c r="O58" i="23"/>
  <c r="P52" i="23"/>
  <c r="N48" i="23"/>
  <c r="Q35" i="23"/>
  <c r="P31" i="23"/>
  <c r="N16" i="23"/>
  <c r="N53" i="23"/>
  <c r="R51" i="23"/>
  <c r="O47" i="23"/>
  <c r="R45" i="23"/>
  <c r="N43" i="23"/>
  <c r="P57" i="23"/>
  <c r="O53" i="23"/>
  <c r="O63" i="23"/>
  <c r="Q51" i="23"/>
  <c r="O31" i="23"/>
  <c r="R35" i="23"/>
  <c r="P47" i="23"/>
  <c r="P37" i="23"/>
  <c r="Q37" i="23"/>
  <c r="R37" i="23"/>
  <c r="N37" i="23"/>
  <c r="O37" i="23"/>
  <c r="P26" i="23"/>
  <c r="Q26" i="23"/>
  <c r="N26" i="23"/>
  <c r="R26" i="23"/>
  <c r="O26" i="23"/>
  <c r="N38" i="23"/>
  <c r="R38" i="23"/>
  <c r="O38" i="23"/>
  <c r="P38" i="23"/>
  <c r="Q38" i="23"/>
  <c r="N41" i="23"/>
  <c r="R41" i="23"/>
  <c r="O41" i="23"/>
  <c r="P41" i="23"/>
  <c r="Q41" i="23"/>
  <c r="O27" i="23"/>
  <c r="P27" i="23"/>
  <c r="Q27" i="23"/>
  <c r="R27" i="23"/>
  <c r="N27" i="23"/>
  <c r="N25" i="23"/>
  <c r="R25" i="23"/>
  <c r="O25" i="23"/>
  <c r="Q25" i="23"/>
  <c r="P25" i="23"/>
  <c r="Q23" i="23"/>
  <c r="N23" i="23"/>
  <c r="R23" i="23"/>
  <c r="O23" i="23"/>
  <c r="P23" i="23"/>
  <c r="O56" i="23"/>
  <c r="P56" i="23"/>
  <c r="O64" i="23"/>
  <c r="P64" i="23"/>
  <c r="Q60" i="23"/>
  <c r="N60" i="23"/>
  <c r="R60" i="23"/>
  <c r="N54" i="23"/>
  <c r="R54" i="23"/>
  <c r="O54" i="23"/>
  <c r="P50" i="23"/>
  <c r="Q50" i="23"/>
  <c r="N46" i="23"/>
  <c r="R46" i="23"/>
  <c r="O46" i="23"/>
  <c r="P42" i="23"/>
  <c r="Q42" i="23"/>
  <c r="O32" i="23"/>
  <c r="P32" i="23"/>
  <c r="Q28" i="23"/>
  <c r="N28" i="23"/>
  <c r="R28" i="23"/>
  <c r="O24" i="23"/>
  <c r="P24" i="23"/>
  <c r="P18" i="23"/>
  <c r="Q18" i="23"/>
  <c r="N56" i="23"/>
  <c r="O50" i="23"/>
  <c r="O34" i="23"/>
  <c r="R32" i="23"/>
  <c r="N24" i="23"/>
  <c r="O18" i="23"/>
  <c r="Q64" i="23"/>
  <c r="O60" i="23"/>
  <c r="P54" i="23"/>
  <c r="Q48" i="23"/>
  <c r="R42" i="23"/>
  <c r="O28" i="23"/>
  <c r="N18" i="23"/>
  <c r="Q16" i="23"/>
  <c r="Q63" i="23"/>
  <c r="N63" i="23"/>
  <c r="R63" i="23"/>
  <c r="P61" i="23"/>
  <c r="Q61" i="23"/>
  <c r="O59" i="23"/>
  <c r="P59" i="23"/>
  <c r="N57" i="23"/>
  <c r="R57" i="23"/>
  <c r="O57" i="23"/>
  <c r="Q55" i="23"/>
  <c r="N55" i="23"/>
  <c r="R55" i="23"/>
  <c r="P53" i="23"/>
  <c r="Q53" i="23"/>
  <c r="O51" i="23"/>
  <c r="P51" i="23"/>
  <c r="N49" i="23"/>
  <c r="R49" i="23"/>
  <c r="O49" i="23"/>
  <c r="Q47" i="23"/>
  <c r="N47" i="23"/>
  <c r="R47" i="23"/>
  <c r="P45" i="23"/>
  <c r="Q45" i="23"/>
  <c r="O43" i="23"/>
  <c r="P43" i="23"/>
  <c r="O35" i="23"/>
  <c r="P35" i="23"/>
  <c r="N33" i="23"/>
  <c r="R33" i="23"/>
  <c r="O33" i="23"/>
  <c r="Q31" i="23"/>
  <c r="N31" i="23"/>
  <c r="R31" i="23"/>
  <c r="P29" i="23"/>
  <c r="Q29" i="23"/>
  <c r="Q17" i="23"/>
  <c r="N17" i="23"/>
  <c r="R17" i="23"/>
  <c r="N64" i="23"/>
  <c r="O61" i="23"/>
  <c r="R59" i="23"/>
  <c r="R56" i="23"/>
  <c r="P55" i="23"/>
  <c r="N51" i="23"/>
  <c r="Q49" i="23"/>
  <c r="Q46" i="23"/>
  <c r="O45" i="23"/>
  <c r="R43" i="23"/>
  <c r="O42" i="23"/>
  <c r="N35" i="23"/>
  <c r="Q33" i="23"/>
  <c r="N32" i="23"/>
  <c r="O29" i="23"/>
  <c r="R24" i="23"/>
  <c r="P17" i="23"/>
  <c r="N62" i="23"/>
  <c r="R62" i="23"/>
  <c r="O62" i="23"/>
  <c r="P58" i="23"/>
  <c r="Q58" i="23"/>
  <c r="Q52" i="23"/>
  <c r="N52" i="23"/>
  <c r="R52" i="23"/>
  <c r="O48" i="23"/>
  <c r="P48" i="23"/>
  <c r="Q44" i="23"/>
  <c r="N44" i="23"/>
  <c r="R44" i="23"/>
  <c r="O40" i="23"/>
  <c r="P40" i="23"/>
  <c r="P34" i="23"/>
  <c r="Q34" i="23"/>
  <c r="N30" i="23"/>
  <c r="R30" i="23"/>
  <c r="O30" i="23"/>
  <c r="O16" i="23"/>
  <c r="P16" i="23"/>
  <c r="R64" i="23"/>
  <c r="P60" i="23"/>
  <c r="Q54" i="23"/>
  <c r="R48" i="23"/>
  <c r="N40" i="23"/>
  <c r="P28" i="23"/>
  <c r="R16" i="23"/>
  <c r="R58" i="23"/>
  <c r="N50" i="23"/>
  <c r="O44" i="23"/>
  <c r="Q32" i="23"/>
  <c r="P62" i="23"/>
  <c r="N61" i="23"/>
  <c r="Q59" i="23"/>
  <c r="N58" i="23"/>
  <c r="Q56" i="23"/>
  <c r="O55" i="23"/>
  <c r="R53" i="23"/>
  <c r="O52" i="23"/>
  <c r="R50" i="23"/>
  <c r="P49" i="23"/>
  <c r="P46" i="23"/>
  <c r="N45" i="23"/>
  <c r="Q43" i="23"/>
  <c r="N42" i="23"/>
  <c r="Q40" i="23"/>
  <c r="R34" i="23"/>
  <c r="P33" i="23"/>
  <c r="P30" i="23"/>
  <c r="N29" i="23"/>
  <c r="Q24" i="23"/>
  <c r="R18" i="23"/>
  <c r="O17" i="23"/>
  <c r="H83" i="42"/>
  <c r="I83" i="42"/>
  <c r="H84" i="42"/>
  <c r="P84" i="42"/>
  <c r="H85" i="42"/>
  <c r="H86" i="42"/>
  <c r="Q86" i="42"/>
  <c r="I8" i="1"/>
  <c r="I9" i="1"/>
  <c r="I10" i="1"/>
  <c r="I11" i="1"/>
  <c r="H19" i="34"/>
  <c r="H20" i="34"/>
  <c r="I20" i="34"/>
  <c r="H21" i="34"/>
  <c r="I21" i="34"/>
  <c r="H25" i="34"/>
  <c r="I25" i="34"/>
  <c r="H26" i="34"/>
  <c r="I26" i="34"/>
  <c r="H28" i="34"/>
  <c r="I28" i="34"/>
  <c r="H30" i="34"/>
  <c r="I30" i="34"/>
  <c r="R30" i="34" s="1"/>
  <c r="H31" i="34"/>
  <c r="I31" i="34"/>
  <c r="S31" i="34" s="1"/>
  <c r="H32" i="34"/>
  <c r="I32" i="34"/>
  <c r="S32" i="34" s="1"/>
  <c r="H14" i="34"/>
  <c r="I14" i="34"/>
  <c r="H13" i="34"/>
  <c r="I13" i="34"/>
  <c r="H27" i="34"/>
  <c r="I27" i="34"/>
  <c r="H43" i="34"/>
  <c r="S43" i="34"/>
  <c r="H44" i="34"/>
  <c r="I44" i="34"/>
  <c r="H22" i="34"/>
  <c r="I22" i="34"/>
  <c r="H23" i="34"/>
  <c r="I23" i="34"/>
  <c r="H24" i="34"/>
  <c r="I24" i="34"/>
  <c r="H16" i="34"/>
  <c r="I16" i="34"/>
  <c r="H29" i="34"/>
  <c r="I29" i="34"/>
  <c r="S35" i="34"/>
  <c r="H48" i="34"/>
  <c r="I48" i="34"/>
  <c r="P48" i="34" s="1"/>
  <c r="H49" i="34"/>
  <c r="I49" i="34"/>
  <c r="H63" i="34"/>
  <c r="Q63" i="34"/>
  <c r="H64" i="34"/>
  <c r="Q64" i="34"/>
  <c r="H65" i="34"/>
  <c r="I65" i="34"/>
  <c r="Q65" i="34" s="1"/>
  <c r="G502" i="49"/>
  <c r="G501" i="49"/>
  <c r="G500" i="49"/>
  <c r="G499" i="49"/>
  <c r="G498" i="49"/>
  <c r="G497" i="49"/>
  <c r="G496" i="49"/>
  <c r="G495" i="49"/>
  <c r="G494" i="49"/>
  <c r="G493" i="49"/>
  <c r="G492" i="49"/>
  <c r="G491" i="49"/>
  <c r="G490" i="49"/>
  <c r="G489" i="49"/>
  <c r="G488" i="49"/>
  <c r="G487" i="49"/>
  <c r="G486" i="49"/>
  <c r="G485" i="49"/>
  <c r="G484" i="49"/>
  <c r="G483" i="49"/>
  <c r="G482" i="49"/>
  <c r="G481" i="49"/>
  <c r="G480" i="49"/>
  <c r="G479" i="49"/>
  <c r="G478" i="49"/>
  <c r="G477" i="49"/>
  <c r="G476" i="49"/>
  <c r="G475" i="49"/>
  <c r="G474" i="49"/>
  <c r="G473" i="49"/>
  <c r="G472" i="49"/>
  <c r="G471" i="49"/>
  <c r="G470" i="49"/>
  <c r="G469" i="49"/>
  <c r="G468" i="49"/>
  <c r="G467" i="49"/>
  <c r="G466" i="49"/>
  <c r="G465" i="49"/>
  <c r="G464" i="49"/>
  <c r="G463" i="49"/>
  <c r="G462" i="49"/>
  <c r="G461" i="49"/>
  <c r="G460" i="49"/>
  <c r="G459" i="49"/>
  <c r="G458" i="49"/>
  <c r="G457" i="49"/>
  <c r="G456" i="49"/>
  <c r="G455" i="49"/>
  <c r="G454" i="49"/>
  <c r="G453" i="49"/>
  <c r="G452" i="49"/>
  <c r="G451" i="49"/>
  <c r="G450" i="49"/>
  <c r="G449" i="49"/>
  <c r="G448" i="49"/>
  <c r="G447" i="49"/>
  <c r="G446" i="49"/>
  <c r="G445" i="49"/>
  <c r="G444" i="49"/>
  <c r="G443" i="49"/>
  <c r="G442" i="49"/>
  <c r="G441" i="49"/>
  <c r="G440" i="49"/>
  <c r="G439" i="49"/>
  <c r="G438" i="49"/>
  <c r="G437" i="49"/>
  <c r="G436" i="49"/>
  <c r="G435" i="49"/>
  <c r="G434" i="49"/>
  <c r="G433" i="49"/>
  <c r="G432" i="49"/>
  <c r="G431" i="49"/>
  <c r="G430" i="49"/>
  <c r="G429" i="49"/>
  <c r="G428" i="49"/>
  <c r="G427" i="49"/>
  <c r="G426" i="49"/>
  <c r="G425" i="49"/>
  <c r="G424" i="49"/>
  <c r="G423" i="49"/>
  <c r="G422" i="49"/>
  <c r="G421" i="49"/>
  <c r="G420" i="49"/>
  <c r="G419" i="49"/>
  <c r="G418" i="49"/>
  <c r="G417" i="49"/>
  <c r="G416" i="49"/>
  <c r="G415" i="49"/>
  <c r="G414" i="49"/>
  <c r="G413" i="49"/>
  <c r="G412" i="49"/>
  <c r="G411" i="49"/>
  <c r="G410" i="49"/>
  <c r="G409" i="49"/>
  <c r="G408" i="49"/>
  <c r="G407" i="49"/>
  <c r="G406" i="49"/>
  <c r="G405" i="49"/>
  <c r="G404" i="49"/>
  <c r="G403" i="49"/>
  <c r="G402" i="49"/>
  <c r="G401" i="49"/>
  <c r="G400" i="49"/>
  <c r="G399" i="49"/>
  <c r="G398" i="49"/>
  <c r="G397" i="49"/>
  <c r="G396" i="49"/>
  <c r="G395" i="49"/>
  <c r="G394" i="49"/>
  <c r="G393" i="49"/>
  <c r="G392" i="49"/>
  <c r="G391" i="49"/>
  <c r="G390" i="49"/>
  <c r="G389" i="49"/>
  <c r="G388" i="49"/>
  <c r="G387" i="49"/>
  <c r="G386" i="49"/>
  <c r="G385" i="49"/>
  <c r="G384" i="49"/>
  <c r="G383" i="49"/>
  <c r="G382" i="49"/>
  <c r="G381" i="49"/>
  <c r="G380" i="49"/>
  <c r="G379" i="49"/>
  <c r="G378" i="49"/>
  <c r="G377" i="49"/>
  <c r="G376" i="49"/>
  <c r="G375" i="49"/>
  <c r="G374" i="49"/>
  <c r="G373" i="49"/>
  <c r="G372" i="49"/>
  <c r="G371" i="49"/>
  <c r="G370" i="49"/>
  <c r="G369" i="49"/>
  <c r="G368" i="49"/>
  <c r="G367" i="49"/>
  <c r="G366" i="49"/>
  <c r="G365" i="49"/>
  <c r="G364" i="49"/>
  <c r="G363" i="49"/>
  <c r="G362" i="49"/>
  <c r="G361" i="49"/>
  <c r="G360" i="49"/>
  <c r="G359" i="49"/>
  <c r="G358" i="49"/>
  <c r="G357" i="49"/>
  <c r="G356" i="49"/>
  <c r="G355" i="49"/>
  <c r="G354" i="49"/>
  <c r="G353" i="49"/>
  <c r="G352" i="49"/>
  <c r="G351" i="49"/>
  <c r="G350" i="49"/>
  <c r="G349" i="49"/>
  <c r="G348" i="49"/>
  <c r="G347" i="49"/>
  <c r="G346" i="49"/>
  <c r="G345" i="49"/>
  <c r="G344" i="49"/>
  <c r="G343" i="49"/>
  <c r="G342" i="49"/>
  <c r="G341" i="49"/>
  <c r="G340" i="49"/>
  <c r="G339" i="49"/>
  <c r="G338" i="49"/>
  <c r="G337" i="49"/>
  <c r="G336" i="49"/>
  <c r="G335" i="49"/>
  <c r="G334" i="49"/>
  <c r="G333" i="49"/>
  <c r="G332" i="49"/>
  <c r="G331" i="49"/>
  <c r="G330" i="49"/>
  <c r="G329" i="49"/>
  <c r="G328" i="49"/>
  <c r="G327" i="49"/>
  <c r="G326" i="49"/>
  <c r="G325" i="49"/>
  <c r="G324" i="49"/>
  <c r="G323" i="49"/>
  <c r="G322" i="49"/>
  <c r="G321" i="49"/>
  <c r="G320" i="49"/>
  <c r="G319" i="49"/>
  <c r="G318" i="49"/>
  <c r="G317" i="49"/>
  <c r="G316" i="49"/>
  <c r="G315" i="49"/>
  <c r="G314" i="49"/>
  <c r="G313" i="49"/>
  <c r="G312" i="49"/>
  <c r="G311" i="49"/>
  <c r="G310" i="49"/>
  <c r="G309" i="49"/>
  <c r="G308" i="49"/>
  <c r="G307" i="49"/>
  <c r="G306" i="49"/>
  <c r="G305" i="49"/>
  <c r="G304" i="49"/>
  <c r="G303" i="49"/>
  <c r="G302" i="49"/>
  <c r="G301" i="49"/>
  <c r="G300" i="49"/>
  <c r="G299" i="49"/>
  <c r="G298" i="49"/>
  <c r="G297" i="49"/>
  <c r="G296" i="49"/>
  <c r="G295" i="49"/>
  <c r="G294" i="49"/>
  <c r="G293" i="49"/>
  <c r="G292" i="49"/>
  <c r="G291" i="49"/>
  <c r="G290" i="49"/>
  <c r="G289" i="49"/>
  <c r="G288" i="49"/>
  <c r="G287" i="49"/>
  <c r="G286" i="49"/>
  <c r="G285" i="49"/>
  <c r="G284" i="49"/>
  <c r="G283" i="49"/>
  <c r="G282" i="49"/>
  <c r="G281" i="49"/>
  <c r="G280" i="49"/>
  <c r="G279" i="49"/>
  <c r="G278" i="49"/>
  <c r="G277" i="49"/>
  <c r="G276" i="49"/>
  <c r="G275" i="49"/>
  <c r="G274" i="49"/>
  <c r="G273" i="49"/>
  <c r="G272" i="49"/>
  <c r="G271" i="49"/>
  <c r="G270" i="49"/>
  <c r="G269" i="49"/>
  <c r="G268" i="49"/>
  <c r="G267" i="49"/>
  <c r="G266" i="49"/>
  <c r="G265" i="49"/>
  <c r="G264" i="49"/>
  <c r="G263" i="49"/>
  <c r="G262" i="49"/>
  <c r="G261" i="49"/>
  <c r="G260" i="49"/>
  <c r="G259" i="49"/>
  <c r="G258" i="49"/>
  <c r="G257" i="49"/>
  <c r="G256" i="49"/>
  <c r="G255" i="49"/>
  <c r="G254" i="49"/>
  <c r="G253" i="49"/>
  <c r="G252" i="49"/>
  <c r="G251" i="49"/>
  <c r="G250" i="49"/>
  <c r="G249" i="49"/>
  <c r="G248" i="49"/>
  <c r="G247" i="49"/>
  <c r="G246" i="49"/>
  <c r="G245" i="49"/>
  <c r="G244" i="49"/>
  <c r="G243" i="49"/>
  <c r="G242" i="49"/>
  <c r="G241" i="49"/>
  <c r="G240" i="49"/>
  <c r="G239" i="49"/>
  <c r="G238" i="49"/>
  <c r="G237" i="49"/>
  <c r="G236" i="49"/>
  <c r="G235" i="49"/>
  <c r="G234" i="49"/>
  <c r="G233" i="49"/>
  <c r="G232" i="49"/>
  <c r="G231" i="49"/>
  <c r="G230" i="49"/>
  <c r="G229" i="49"/>
  <c r="G228" i="49"/>
  <c r="G227" i="49"/>
  <c r="G226" i="49"/>
  <c r="G225" i="49"/>
  <c r="G224" i="49"/>
  <c r="G223" i="49"/>
  <c r="G222" i="49"/>
  <c r="G221" i="49"/>
  <c r="G220" i="49"/>
  <c r="G219" i="49"/>
  <c r="G218" i="49"/>
  <c r="G217" i="49"/>
  <c r="G216" i="49"/>
  <c r="G215" i="49"/>
  <c r="G214" i="49"/>
  <c r="G213" i="49"/>
  <c r="G212" i="49"/>
  <c r="G211" i="49"/>
  <c r="G210" i="49"/>
  <c r="G209" i="49"/>
  <c r="G208" i="49"/>
  <c r="G207" i="49"/>
  <c r="G206" i="49"/>
  <c r="G205" i="49"/>
  <c r="G204" i="49"/>
  <c r="G203" i="49"/>
  <c r="G202" i="49"/>
  <c r="G201" i="49"/>
  <c r="G200" i="49"/>
  <c r="G199" i="49"/>
  <c r="G198" i="49"/>
  <c r="G197" i="49"/>
  <c r="G196" i="49"/>
  <c r="G195" i="49"/>
  <c r="G194" i="49"/>
  <c r="G193" i="49"/>
  <c r="G192" i="49"/>
  <c r="G191" i="49"/>
  <c r="G190" i="49"/>
  <c r="G189" i="49"/>
  <c r="G188" i="49"/>
  <c r="G187" i="49"/>
  <c r="G186" i="49"/>
  <c r="G185" i="49"/>
  <c r="G184" i="49"/>
  <c r="G183" i="49"/>
  <c r="G182" i="49"/>
  <c r="G181" i="49"/>
  <c r="G180" i="49"/>
  <c r="G179" i="49"/>
  <c r="G178" i="49"/>
  <c r="G177" i="49"/>
  <c r="G176" i="49"/>
  <c r="G175" i="49"/>
  <c r="G174" i="49"/>
  <c r="G173" i="49"/>
  <c r="G172" i="49"/>
  <c r="G171" i="49"/>
  <c r="G170" i="49"/>
  <c r="G169" i="49"/>
  <c r="G168" i="49"/>
  <c r="G167" i="49"/>
  <c r="G166" i="49"/>
  <c r="G165" i="49"/>
  <c r="G164" i="49"/>
  <c r="G163" i="49"/>
  <c r="G162" i="49"/>
  <c r="G161" i="49"/>
  <c r="G160" i="49"/>
  <c r="G159" i="49"/>
  <c r="G158" i="49"/>
  <c r="G157" i="49"/>
  <c r="G156" i="49"/>
  <c r="G155" i="49"/>
  <c r="G154" i="49"/>
  <c r="G153" i="49"/>
  <c r="G152" i="49"/>
  <c r="G151" i="49"/>
  <c r="G150" i="49"/>
  <c r="G149" i="49"/>
  <c r="G148" i="49"/>
  <c r="G147" i="49"/>
  <c r="G146" i="49"/>
  <c r="G145" i="49"/>
  <c r="G144" i="49"/>
  <c r="G143" i="49"/>
  <c r="G142" i="49"/>
  <c r="G141" i="49"/>
  <c r="G140" i="49"/>
  <c r="G139" i="49"/>
  <c r="G138" i="49"/>
  <c r="G137" i="49"/>
  <c r="G136" i="49"/>
  <c r="G135" i="49"/>
  <c r="G134" i="49"/>
  <c r="G133" i="49"/>
  <c r="G132" i="49"/>
  <c r="G131" i="49"/>
  <c r="G130" i="49"/>
  <c r="G129" i="49"/>
  <c r="G128" i="49"/>
  <c r="G127" i="49"/>
  <c r="G126" i="49"/>
  <c r="G125" i="49"/>
  <c r="G124" i="49"/>
  <c r="G123" i="49"/>
  <c r="G122" i="49"/>
  <c r="G121" i="49"/>
  <c r="G120" i="49"/>
  <c r="G119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87" i="49"/>
  <c r="I85" i="49"/>
  <c r="S85" i="49" s="1"/>
  <c r="H85" i="49"/>
  <c r="I84" i="49"/>
  <c r="S84" i="49" s="1"/>
  <c r="H84" i="49"/>
  <c r="I83" i="49"/>
  <c r="S83" i="49" s="1"/>
  <c r="H83" i="49"/>
  <c r="I82" i="49"/>
  <c r="S82" i="49" s="1"/>
  <c r="H82" i="49"/>
  <c r="I81" i="49"/>
  <c r="S81" i="49" s="1"/>
  <c r="H81" i="49"/>
  <c r="I80" i="49"/>
  <c r="S80" i="49" s="1"/>
  <c r="H80" i="49"/>
  <c r="I79" i="49"/>
  <c r="S79" i="49" s="1"/>
  <c r="H79" i="49"/>
  <c r="I78" i="49"/>
  <c r="S78" i="49" s="1"/>
  <c r="H78" i="49"/>
  <c r="I77" i="49"/>
  <c r="S77" i="49" s="1"/>
  <c r="I76" i="49"/>
  <c r="S76" i="49" s="1"/>
  <c r="H76" i="49"/>
  <c r="I75" i="49"/>
  <c r="S75" i="49" s="1"/>
  <c r="I74" i="49"/>
  <c r="S74" i="49" s="1"/>
  <c r="H74" i="49"/>
  <c r="I73" i="49"/>
  <c r="S73" i="49" s="1"/>
  <c r="I72" i="49"/>
  <c r="S72" i="49" s="1"/>
  <c r="H72" i="49"/>
  <c r="I71" i="49"/>
  <c r="S71" i="49" s="1"/>
  <c r="H71" i="49"/>
  <c r="I70" i="49"/>
  <c r="S70" i="49" s="1"/>
  <c r="H70" i="49"/>
  <c r="I69" i="49"/>
  <c r="S69" i="49" s="1"/>
  <c r="I68" i="49"/>
  <c r="S68" i="49" s="1"/>
  <c r="I67" i="49"/>
  <c r="S67" i="49" s="1"/>
  <c r="H67" i="49"/>
  <c r="I66" i="49"/>
  <c r="S66" i="49" s="1"/>
  <c r="H66" i="49"/>
  <c r="I65" i="49"/>
  <c r="S65" i="49" s="1"/>
  <c r="H65" i="49"/>
  <c r="I64" i="49"/>
  <c r="S64" i="49" s="1"/>
  <c r="I63" i="49"/>
  <c r="S63" i="49" s="1"/>
  <c r="H63" i="49"/>
  <c r="I62" i="49"/>
  <c r="S62" i="49" s="1"/>
  <c r="H62" i="49"/>
  <c r="I61" i="49"/>
  <c r="S61" i="49" s="1"/>
  <c r="H61" i="49"/>
  <c r="I60" i="49"/>
  <c r="S60" i="49" s="1"/>
  <c r="H60" i="49"/>
  <c r="I59" i="49"/>
  <c r="H59" i="49"/>
  <c r="I58" i="49"/>
  <c r="R58" i="49" s="1"/>
  <c r="H58" i="49"/>
  <c r="I57" i="49"/>
  <c r="R57" i="49" s="1"/>
  <c r="H57" i="49"/>
  <c r="I56" i="49"/>
  <c r="R56" i="49" s="1"/>
  <c r="H56" i="49"/>
  <c r="I55" i="49"/>
  <c r="R55" i="49" s="1"/>
  <c r="H55" i="49"/>
  <c r="I54" i="49"/>
  <c r="R54" i="49" s="1"/>
  <c r="H54" i="49"/>
  <c r="I53" i="49"/>
  <c r="R53" i="49" s="1"/>
  <c r="H53" i="49"/>
  <c r="I52" i="49"/>
  <c r="R52" i="49" s="1"/>
  <c r="H52" i="49"/>
  <c r="I51" i="49"/>
  <c r="R51" i="49" s="1"/>
  <c r="I49" i="49"/>
  <c r="R49" i="49" s="1"/>
  <c r="H49" i="49"/>
  <c r="I48" i="49"/>
  <c r="R48" i="49" s="1"/>
  <c r="H48" i="49"/>
  <c r="I47" i="49"/>
  <c r="R47" i="49" s="1"/>
  <c r="H47" i="49"/>
  <c r="I46" i="49"/>
  <c r="R46" i="49" s="1"/>
  <c r="H46" i="49"/>
  <c r="I45" i="49"/>
  <c r="R45" i="49" s="1"/>
  <c r="I44" i="49"/>
  <c r="R44" i="49" s="1"/>
  <c r="H44" i="49"/>
  <c r="I43" i="49"/>
  <c r="R43" i="49" s="1"/>
  <c r="H43" i="49"/>
  <c r="I42" i="49"/>
  <c r="R42" i="49" s="1"/>
  <c r="H42" i="49"/>
  <c r="I41" i="49"/>
  <c r="R41" i="49" s="1"/>
  <c r="I40" i="49"/>
  <c r="R40" i="49" s="1"/>
  <c r="H40" i="49"/>
  <c r="I39" i="49"/>
  <c r="R39" i="49" s="1"/>
  <c r="H39" i="49"/>
  <c r="I38" i="49"/>
  <c r="R38" i="49" s="1"/>
  <c r="H38" i="49"/>
  <c r="I37" i="49"/>
  <c r="R37" i="49" s="1"/>
  <c r="H37" i="49"/>
  <c r="I36" i="49"/>
  <c r="R36" i="49" s="1"/>
  <c r="I35" i="49"/>
  <c r="R35" i="49" s="1"/>
  <c r="H35" i="49"/>
  <c r="I34" i="49"/>
  <c r="R34" i="49" s="1"/>
  <c r="H34" i="49"/>
  <c r="I33" i="49"/>
  <c r="R33" i="49" s="1"/>
  <c r="H33" i="49"/>
  <c r="I32" i="49"/>
  <c r="R32" i="49" s="1"/>
  <c r="H32" i="49"/>
  <c r="I31" i="49"/>
  <c r="R31" i="49" s="1"/>
  <c r="H31" i="49"/>
  <c r="I30" i="49"/>
  <c r="R30" i="49" s="1"/>
  <c r="H30" i="49"/>
  <c r="I29" i="49"/>
  <c r="S29" i="49" s="1"/>
  <c r="H29" i="49"/>
  <c r="I28" i="49"/>
  <c r="S28" i="49" s="1"/>
  <c r="H28" i="49"/>
  <c r="I27" i="49"/>
  <c r="S27" i="49" s="1"/>
  <c r="H27" i="49"/>
  <c r="I26" i="49"/>
  <c r="S26" i="49" s="1"/>
  <c r="H26" i="49"/>
  <c r="I25" i="49"/>
  <c r="S25" i="49" s="1"/>
  <c r="H25" i="49"/>
  <c r="I24" i="49"/>
  <c r="S24" i="49" s="1"/>
  <c r="H24" i="49"/>
  <c r="I23" i="49"/>
  <c r="S23" i="49" s="1"/>
  <c r="H23" i="49"/>
  <c r="I22" i="49"/>
  <c r="S22" i="49" s="1"/>
  <c r="H22" i="49"/>
  <c r="I21" i="49"/>
  <c r="S21" i="49" s="1"/>
  <c r="H21" i="49"/>
  <c r="I20" i="49"/>
  <c r="S20" i="49" s="1"/>
  <c r="H20" i="49"/>
  <c r="I19" i="49"/>
  <c r="S19" i="49" s="1"/>
  <c r="H19" i="49"/>
  <c r="I18" i="49"/>
  <c r="S18" i="49" s="1"/>
  <c r="H18" i="49"/>
  <c r="I17" i="49"/>
  <c r="S17" i="49" s="1"/>
  <c r="H17" i="49"/>
  <c r="I16" i="49"/>
  <c r="S16" i="49" s="1"/>
  <c r="H16" i="49"/>
  <c r="I15" i="49"/>
  <c r="S15" i="49" s="1"/>
  <c r="H15" i="49"/>
  <c r="I14" i="49"/>
  <c r="S14" i="49" s="1"/>
  <c r="H14" i="49"/>
  <c r="I13" i="49"/>
  <c r="S13" i="49" s="1"/>
  <c r="H13" i="49"/>
  <c r="I12" i="49"/>
  <c r="S12" i="49" s="1"/>
  <c r="H12" i="49"/>
  <c r="I11" i="49"/>
  <c r="S11" i="49" s="1"/>
  <c r="H11" i="49"/>
  <c r="I10" i="49"/>
  <c r="S10" i="49" s="1"/>
  <c r="H10" i="49"/>
  <c r="I9" i="49"/>
  <c r="S9" i="49" s="1"/>
  <c r="H9" i="49"/>
  <c r="I8" i="49"/>
  <c r="S8" i="49" s="1"/>
  <c r="H8" i="49"/>
  <c r="I7" i="49"/>
  <c r="S7" i="49" s="1"/>
  <c r="H7" i="49"/>
  <c r="I6" i="49"/>
  <c r="S6" i="49" s="1"/>
  <c r="H6" i="49"/>
  <c r="G486" i="48"/>
  <c r="G485" i="48"/>
  <c r="G484" i="48"/>
  <c r="G483" i="48"/>
  <c r="G482" i="48"/>
  <c r="G481" i="48"/>
  <c r="G480" i="48"/>
  <c r="G479" i="48"/>
  <c r="G478" i="48"/>
  <c r="G477" i="48"/>
  <c r="G476" i="48"/>
  <c r="G475" i="48"/>
  <c r="G474" i="48"/>
  <c r="G473" i="48"/>
  <c r="G472" i="48"/>
  <c r="G471" i="48"/>
  <c r="G470" i="48"/>
  <c r="G469" i="48"/>
  <c r="G468" i="48"/>
  <c r="G467" i="48"/>
  <c r="G466" i="48"/>
  <c r="G465" i="48"/>
  <c r="G464" i="48"/>
  <c r="G463" i="48"/>
  <c r="G462" i="48"/>
  <c r="G461" i="48"/>
  <c r="G460" i="48"/>
  <c r="G459" i="48"/>
  <c r="G458" i="48"/>
  <c r="G457" i="48"/>
  <c r="G456" i="48"/>
  <c r="G455" i="48"/>
  <c r="G454" i="48"/>
  <c r="G453" i="48"/>
  <c r="G452" i="48"/>
  <c r="G451" i="48"/>
  <c r="G450" i="48"/>
  <c r="G449" i="48"/>
  <c r="G448" i="48"/>
  <c r="G447" i="48"/>
  <c r="G446" i="48"/>
  <c r="G445" i="48"/>
  <c r="G444" i="48"/>
  <c r="G443" i="48"/>
  <c r="G442" i="48"/>
  <c r="G441" i="48"/>
  <c r="G440" i="48"/>
  <c r="G439" i="48"/>
  <c r="G438" i="48"/>
  <c r="G437" i="48"/>
  <c r="G436" i="48"/>
  <c r="G435" i="48"/>
  <c r="G434" i="48"/>
  <c r="G433" i="48"/>
  <c r="G432" i="48"/>
  <c r="G431" i="48"/>
  <c r="G430" i="48"/>
  <c r="G429" i="48"/>
  <c r="G428" i="48"/>
  <c r="G427" i="48"/>
  <c r="G426" i="48"/>
  <c r="G425" i="48"/>
  <c r="G424" i="48"/>
  <c r="G423" i="48"/>
  <c r="G422" i="48"/>
  <c r="G421" i="48"/>
  <c r="G420" i="48"/>
  <c r="G419" i="48"/>
  <c r="G418" i="48"/>
  <c r="G417" i="48"/>
  <c r="G416" i="48"/>
  <c r="G415" i="48"/>
  <c r="G414" i="48"/>
  <c r="G413" i="48"/>
  <c r="G412" i="48"/>
  <c r="G411" i="48"/>
  <c r="G410" i="48"/>
  <c r="G409" i="48"/>
  <c r="G408" i="48"/>
  <c r="G407" i="48"/>
  <c r="G406" i="48"/>
  <c r="G405" i="48"/>
  <c r="G404" i="48"/>
  <c r="G403" i="48"/>
  <c r="G402" i="48"/>
  <c r="G401" i="48"/>
  <c r="G400" i="48"/>
  <c r="G399" i="48"/>
  <c r="G398" i="48"/>
  <c r="G397" i="48"/>
  <c r="G396" i="48"/>
  <c r="G395" i="48"/>
  <c r="G394" i="48"/>
  <c r="G393" i="48"/>
  <c r="G392" i="48"/>
  <c r="G391" i="48"/>
  <c r="G390" i="48"/>
  <c r="G389" i="48"/>
  <c r="G388" i="48"/>
  <c r="G387" i="48"/>
  <c r="G386" i="48"/>
  <c r="G385" i="48"/>
  <c r="G384" i="48"/>
  <c r="G383" i="48"/>
  <c r="G382" i="48"/>
  <c r="G381" i="48"/>
  <c r="G380" i="48"/>
  <c r="G379" i="48"/>
  <c r="G378" i="48"/>
  <c r="G377" i="48"/>
  <c r="G376" i="48"/>
  <c r="G375" i="48"/>
  <c r="G374" i="48"/>
  <c r="G373" i="48"/>
  <c r="G372" i="48"/>
  <c r="G371" i="48"/>
  <c r="G370" i="48"/>
  <c r="G369" i="48"/>
  <c r="G368" i="48"/>
  <c r="G367" i="48"/>
  <c r="G366" i="48"/>
  <c r="G365" i="48"/>
  <c r="G364" i="48"/>
  <c r="G363" i="48"/>
  <c r="G362" i="48"/>
  <c r="G361" i="48"/>
  <c r="G360" i="48"/>
  <c r="G359" i="48"/>
  <c r="G358" i="48"/>
  <c r="G357" i="48"/>
  <c r="G356" i="48"/>
  <c r="G355" i="48"/>
  <c r="G354" i="48"/>
  <c r="G353" i="48"/>
  <c r="G352" i="48"/>
  <c r="G351" i="48"/>
  <c r="G350" i="48"/>
  <c r="G349" i="48"/>
  <c r="G348" i="48"/>
  <c r="G347" i="48"/>
  <c r="G346" i="48"/>
  <c r="G345" i="48"/>
  <c r="G344" i="48"/>
  <c r="G343" i="48"/>
  <c r="G342" i="48"/>
  <c r="G341" i="48"/>
  <c r="G340" i="48"/>
  <c r="G339" i="48"/>
  <c r="G338" i="48"/>
  <c r="G337" i="48"/>
  <c r="G336" i="48"/>
  <c r="G335" i="48"/>
  <c r="G334" i="48"/>
  <c r="G333" i="48"/>
  <c r="G332" i="48"/>
  <c r="G331" i="48"/>
  <c r="G330" i="48"/>
  <c r="G329" i="48"/>
  <c r="G328" i="48"/>
  <c r="G327" i="48"/>
  <c r="G326" i="48"/>
  <c r="G325" i="48"/>
  <c r="G324" i="48"/>
  <c r="G323" i="48"/>
  <c r="G322" i="48"/>
  <c r="G321" i="48"/>
  <c r="G320" i="48"/>
  <c r="G319" i="48"/>
  <c r="G318" i="48"/>
  <c r="G317" i="48"/>
  <c r="G316" i="48"/>
  <c r="G315" i="48"/>
  <c r="G314" i="48"/>
  <c r="G313" i="48"/>
  <c r="G312" i="48"/>
  <c r="G311" i="48"/>
  <c r="G310" i="48"/>
  <c r="G309" i="48"/>
  <c r="G308" i="48"/>
  <c r="G307" i="48"/>
  <c r="G306" i="48"/>
  <c r="G305" i="48"/>
  <c r="G304" i="48"/>
  <c r="G303" i="48"/>
  <c r="G302" i="48"/>
  <c r="G301" i="48"/>
  <c r="G300" i="48"/>
  <c r="G299" i="48"/>
  <c r="G298" i="48"/>
  <c r="G297" i="48"/>
  <c r="G296" i="48"/>
  <c r="G295" i="48"/>
  <c r="G294" i="48"/>
  <c r="G293" i="48"/>
  <c r="G292" i="48"/>
  <c r="G291" i="48"/>
  <c r="G290" i="48"/>
  <c r="G289" i="48"/>
  <c r="G288" i="48"/>
  <c r="G287" i="48"/>
  <c r="G286" i="48"/>
  <c r="G285" i="48"/>
  <c r="G284" i="48"/>
  <c r="G283" i="48"/>
  <c r="G282" i="48"/>
  <c r="G281" i="48"/>
  <c r="G280" i="48"/>
  <c r="G279" i="48"/>
  <c r="G278" i="48"/>
  <c r="G277" i="48"/>
  <c r="G276" i="48"/>
  <c r="G275" i="48"/>
  <c r="G274" i="48"/>
  <c r="G273" i="48"/>
  <c r="G272" i="48"/>
  <c r="G271" i="48"/>
  <c r="G270" i="48"/>
  <c r="G269" i="48"/>
  <c r="G268" i="48"/>
  <c r="G267" i="48"/>
  <c r="G266" i="48"/>
  <c r="G265" i="48"/>
  <c r="G264" i="48"/>
  <c r="G263" i="48"/>
  <c r="G262" i="48"/>
  <c r="G261" i="48"/>
  <c r="G260" i="48"/>
  <c r="G259" i="48"/>
  <c r="G258" i="48"/>
  <c r="G257" i="48"/>
  <c r="G256" i="48"/>
  <c r="G255" i="48"/>
  <c r="G254" i="48"/>
  <c r="G253" i="48"/>
  <c r="G252" i="48"/>
  <c r="G251" i="48"/>
  <c r="G250" i="48"/>
  <c r="G249" i="48"/>
  <c r="G248" i="48"/>
  <c r="G247" i="48"/>
  <c r="G246" i="48"/>
  <c r="G245" i="48"/>
  <c r="G244" i="48"/>
  <c r="G243" i="48"/>
  <c r="G242" i="48"/>
  <c r="G241" i="48"/>
  <c r="G240" i="48"/>
  <c r="G239" i="48"/>
  <c r="G238" i="48"/>
  <c r="G237" i="48"/>
  <c r="G236" i="48"/>
  <c r="G235" i="48"/>
  <c r="G234" i="48"/>
  <c r="G233" i="48"/>
  <c r="G232" i="48"/>
  <c r="G231" i="48"/>
  <c r="G230" i="48"/>
  <c r="G229" i="48"/>
  <c r="G228" i="48"/>
  <c r="G227" i="48"/>
  <c r="G226" i="48"/>
  <c r="G225" i="48"/>
  <c r="G224" i="48"/>
  <c r="G223" i="48"/>
  <c r="G222" i="48"/>
  <c r="G221" i="48"/>
  <c r="G220" i="48"/>
  <c r="G219" i="48"/>
  <c r="G218" i="48"/>
  <c r="G217" i="48"/>
  <c r="G216" i="48"/>
  <c r="G215" i="48"/>
  <c r="G214" i="48"/>
  <c r="G213" i="48"/>
  <c r="G212" i="48"/>
  <c r="G211" i="48"/>
  <c r="G210" i="48"/>
  <c r="G209" i="48"/>
  <c r="G208" i="48"/>
  <c r="G207" i="48"/>
  <c r="G206" i="48"/>
  <c r="G205" i="48"/>
  <c r="G204" i="48"/>
  <c r="G203" i="48"/>
  <c r="G202" i="48"/>
  <c r="G201" i="48"/>
  <c r="G200" i="48"/>
  <c r="G199" i="48"/>
  <c r="G198" i="48"/>
  <c r="G197" i="48"/>
  <c r="G196" i="48"/>
  <c r="G195" i="48"/>
  <c r="G194" i="48"/>
  <c r="G193" i="48"/>
  <c r="G192" i="48"/>
  <c r="G191" i="48"/>
  <c r="G190" i="48"/>
  <c r="G189" i="48"/>
  <c r="G188" i="48"/>
  <c r="G187" i="48"/>
  <c r="G186" i="48"/>
  <c r="G185" i="48"/>
  <c r="G184" i="48"/>
  <c r="G183" i="48"/>
  <c r="G182" i="48"/>
  <c r="G181" i="48"/>
  <c r="G180" i="48"/>
  <c r="G179" i="48"/>
  <c r="G178" i="48"/>
  <c r="G177" i="48"/>
  <c r="G176" i="48"/>
  <c r="G175" i="48"/>
  <c r="G174" i="48"/>
  <c r="G173" i="48"/>
  <c r="G172" i="48"/>
  <c r="G171" i="48"/>
  <c r="G170" i="48"/>
  <c r="G169" i="48"/>
  <c r="G168" i="48"/>
  <c r="G167" i="48"/>
  <c r="G166" i="48"/>
  <c r="G165" i="48"/>
  <c r="G164" i="48"/>
  <c r="G163" i="48"/>
  <c r="G162" i="48"/>
  <c r="G161" i="48"/>
  <c r="G160" i="48"/>
  <c r="G159" i="48"/>
  <c r="G158" i="48"/>
  <c r="G157" i="48"/>
  <c r="G156" i="48"/>
  <c r="G155" i="48"/>
  <c r="G154" i="48"/>
  <c r="G153" i="48"/>
  <c r="G152" i="48"/>
  <c r="G151" i="48"/>
  <c r="G150" i="48"/>
  <c r="G149" i="48"/>
  <c r="G148" i="48"/>
  <c r="G147" i="48"/>
  <c r="G146" i="48"/>
  <c r="G145" i="48"/>
  <c r="G144" i="48"/>
  <c r="G143" i="48"/>
  <c r="G142" i="48"/>
  <c r="G141" i="48"/>
  <c r="G140" i="48"/>
  <c r="G139" i="48"/>
  <c r="G138" i="48"/>
  <c r="G137" i="48"/>
  <c r="G136" i="48"/>
  <c r="G135" i="48"/>
  <c r="G134" i="48"/>
  <c r="G133" i="48"/>
  <c r="G132" i="48"/>
  <c r="G131" i="48"/>
  <c r="G130" i="48"/>
  <c r="G129" i="48"/>
  <c r="G128" i="48"/>
  <c r="G127" i="48"/>
  <c r="G126" i="48"/>
  <c r="G125" i="48"/>
  <c r="G124" i="48"/>
  <c r="G123" i="48"/>
  <c r="G122" i="48"/>
  <c r="G121" i="48"/>
  <c r="G120" i="48"/>
  <c r="G119" i="48"/>
  <c r="G118" i="48"/>
  <c r="G117" i="48"/>
  <c r="G116" i="48"/>
  <c r="G115" i="48"/>
  <c r="G114" i="48"/>
  <c r="G113" i="48"/>
  <c r="G112" i="48"/>
  <c r="G111" i="48"/>
  <c r="G110" i="48"/>
  <c r="G109" i="48"/>
  <c r="G108" i="48"/>
  <c r="G107" i="48"/>
  <c r="G106" i="48"/>
  <c r="G105" i="48"/>
  <c r="G104" i="48"/>
  <c r="G103" i="48"/>
  <c r="G102" i="48"/>
  <c r="G101" i="48"/>
  <c r="G100" i="48"/>
  <c r="G99" i="48"/>
  <c r="G98" i="48"/>
  <c r="G97" i="48"/>
  <c r="G96" i="48"/>
  <c r="G95" i="48"/>
  <c r="G94" i="48"/>
  <c r="G93" i="48"/>
  <c r="G92" i="48"/>
  <c r="G91" i="48"/>
  <c r="G90" i="48"/>
  <c r="G89" i="48"/>
  <c r="G88" i="48"/>
  <c r="G87" i="48"/>
  <c r="G86" i="48"/>
  <c r="G85" i="48"/>
  <c r="G84" i="48"/>
  <c r="G83" i="48"/>
  <c r="G82" i="48"/>
  <c r="G81" i="48"/>
  <c r="G80" i="48"/>
  <c r="G79" i="48"/>
  <c r="G78" i="48"/>
  <c r="G77" i="48"/>
  <c r="G76" i="48"/>
  <c r="G75" i="48"/>
  <c r="G74" i="48"/>
  <c r="G73" i="48"/>
  <c r="H60" i="48"/>
  <c r="H59" i="48"/>
  <c r="H58" i="48"/>
  <c r="H56" i="48"/>
  <c r="H57" i="48"/>
  <c r="H55" i="48"/>
  <c r="H52" i="48"/>
  <c r="H47" i="48"/>
  <c r="H44" i="48"/>
  <c r="H43" i="48"/>
  <c r="H41" i="48"/>
  <c r="H42" i="48"/>
  <c r="H38" i="48"/>
  <c r="H31" i="48"/>
  <c r="H30" i="48"/>
  <c r="H29" i="48"/>
  <c r="H28" i="48"/>
  <c r="H27" i="48"/>
  <c r="H7" i="48"/>
  <c r="H6" i="48"/>
  <c r="H61" i="48"/>
  <c r="H54" i="48"/>
  <c r="H53" i="48"/>
  <c r="H51" i="48"/>
  <c r="H50" i="48"/>
  <c r="H49" i="48"/>
  <c r="H48" i="48"/>
  <c r="H46" i="48"/>
  <c r="H45" i="48"/>
  <c r="H39" i="48"/>
  <c r="H40" i="48"/>
  <c r="H37" i="48"/>
  <c r="H36" i="48"/>
  <c r="H32" i="48"/>
  <c r="H35" i="48"/>
  <c r="H34" i="48"/>
  <c r="H33" i="48"/>
  <c r="H23" i="48"/>
  <c r="H24" i="48"/>
  <c r="H22" i="48"/>
  <c r="H21" i="48"/>
  <c r="H18" i="48"/>
  <c r="H17" i="48"/>
  <c r="H19" i="48"/>
  <c r="H15" i="48"/>
  <c r="H14" i="48"/>
  <c r="H13" i="48"/>
  <c r="H12" i="48"/>
  <c r="H11" i="48"/>
  <c r="H6" i="24"/>
  <c r="H7" i="24"/>
  <c r="H8" i="24"/>
  <c r="H9" i="24"/>
  <c r="H10" i="24"/>
  <c r="P60" i="49" l="1"/>
  <c r="O64" i="34"/>
  <c r="P64" i="34"/>
  <c r="S63" i="34"/>
  <c r="O35" i="34"/>
  <c r="P31" i="34"/>
  <c r="S65" i="34"/>
  <c r="Q32" i="34"/>
  <c r="P68" i="49"/>
  <c r="P76" i="49"/>
  <c r="S30" i="34"/>
  <c r="P84" i="49"/>
  <c r="S64" i="34"/>
  <c r="O31" i="34"/>
  <c r="S61" i="23"/>
  <c r="S35" i="23"/>
  <c r="S16" i="23"/>
  <c r="S42" i="23"/>
  <c r="S24" i="23"/>
  <c r="S44" i="23"/>
  <c r="S46" i="23"/>
  <c r="S31" i="23"/>
  <c r="S33" i="23"/>
  <c r="S43" i="23"/>
  <c r="S47" i="23"/>
  <c r="S49" i="23"/>
  <c r="S53" i="23"/>
  <c r="S59" i="23"/>
  <c r="S63" i="23"/>
  <c r="S29" i="23"/>
  <c r="S45" i="23"/>
  <c r="S30" i="23"/>
  <c r="S23" i="23"/>
  <c r="S41" i="23"/>
  <c r="S62" i="23"/>
  <c r="S51" i="23"/>
  <c r="S25" i="23"/>
  <c r="S40" i="23"/>
  <c r="S52" i="23"/>
  <c r="S64" i="23"/>
  <c r="S50" i="23"/>
  <c r="S27" i="23"/>
  <c r="S18" i="23"/>
  <c r="S60" i="23"/>
  <c r="S32" i="23"/>
  <c r="S34" i="23"/>
  <c r="S58" i="23"/>
  <c r="S17" i="23"/>
  <c r="S55" i="23"/>
  <c r="S57" i="23"/>
  <c r="S48" i="23"/>
  <c r="S28" i="23"/>
  <c r="S38" i="23"/>
  <c r="S26" i="23"/>
  <c r="S56" i="23"/>
  <c r="S54" i="23"/>
  <c r="S37" i="23"/>
  <c r="P86" i="42"/>
  <c r="O84" i="42"/>
  <c r="O87" i="42"/>
  <c r="P87" i="42"/>
  <c r="Q87" i="42"/>
  <c r="Q83" i="42"/>
  <c r="N83" i="42"/>
  <c r="R83" i="42"/>
  <c r="O83" i="42"/>
  <c r="R87" i="42"/>
  <c r="N85" i="42"/>
  <c r="R85" i="42"/>
  <c r="O85" i="42"/>
  <c r="P85" i="42"/>
  <c r="P83" i="42"/>
  <c r="Q85" i="42"/>
  <c r="N87" i="42"/>
  <c r="O86" i="42"/>
  <c r="R84" i="42"/>
  <c r="N84" i="42"/>
  <c r="R86" i="42"/>
  <c r="N86" i="42"/>
  <c r="Q84" i="42"/>
  <c r="S48" i="34"/>
  <c r="O44" i="34"/>
  <c r="Q43" i="34"/>
  <c r="Q35" i="34"/>
  <c r="P32" i="34"/>
  <c r="Q31" i="34"/>
  <c r="P30" i="34"/>
  <c r="P44" i="34"/>
  <c r="Q49" i="34"/>
  <c r="O48" i="34"/>
  <c r="Q44" i="34"/>
  <c r="O32" i="34"/>
  <c r="R31" i="34"/>
  <c r="Q30" i="34"/>
  <c r="Q48" i="34"/>
  <c r="S44" i="34"/>
  <c r="P35" i="34"/>
  <c r="R65" i="34"/>
  <c r="R63" i="34"/>
  <c r="R49" i="34"/>
  <c r="R43" i="34"/>
  <c r="O30" i="34"/>
  <c r="S49" i="34"/>
  <c r="P65" i="34"/>
  <c r="P63" i="34"/>
  <c r="P49" i="34"/>
  <c r="P43" i="34"/>
  <c r="O65" i="34"/>
  <c r="R64" i="34"/>
  <c r="O63" i="34"/>
  <c r="O49" i="34"/>
  <c r="R48" i="34"/>
  <c r="R44" i="34"/>
  <c r="O43" i="34"/>
  <c r="R35" i="34"/>
  <c r="R32" i="34"/>
  <c r="P65" i="49"/>
  <c r="P73" i="49"/>
  <c r="P81" i="49"/>
  <c r="P64" i="49"/>
  <c r="P72" i="49"/>
  <c r="P80" i="49"/>
  <c r="P61" i="49"/>
  <c r="P69" i="49"/>
  <c r="P77" i="49"/>
  <c r="P85" i="49"/>
  <c r="P63" i="49"/>
  <c r="P67" i="49"/>
  <c r="P71" i="49"/>
  <c r="P75" i="49"/>
  <c r="P79" i="49"/>
  <c r="P83" i="49"/>
  <c r="P62" i="49"/>
  <c r="P66" i="49"/>
  <c r="P70" i="49"/>
  <c r="P74" i="49"/>
  <c r="P78" i="49"/>
  <c r="P82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P31" i="49"/>
  <c r="P35" i="49"/>
  <c r="P37" i="49"/>
  <c r="P43" i="49"/>
  <c r="P49" i="49"/>
  <c r="P52" i="49"/>
  <c r="P54" i="49"/>
  <c r="P56" i="49"/>
  <c r="P58" i="49"/>
  <c r="P6" i="49"/>
  <c r="P7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Q31" i="49"/>
  <c r="Q33" i="49"/>
  <c r="Q35" i="49"/>
  <c r="Q37" i="49"/>
  <c r="Q39" i="49"/>
  <c r="Q41" i="49"/>
  <c r="Q43" i="49"/>
  <c r="Q45" i="49"/>
  <c r="Q47" i="49"/>
  <c r="Q49" i="49"/>
  <c r="Q52" i="49"/>
  <c r="Q54" i="49"/>
  <c r="Q56" i="49"/>
  <c r="Q58" i="49"/>
  <c r="P33" i="49"/>
  <c r="P39" i="49"/>
  <c r="P41" i="49"/>
  <c r="P45" i="49"/>
  <c r="P47" i="49"/>
  <c r="Q6" i="49"/>
  <c r="Q7" i="49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S30" i="49"/>
  <c r="O30" i="49"/>
  <c r="S32" i="49"/>
  <c r="O32" i="49"/>
  <c r="S34" i="49"/>
  <c r="O34" i="49"/>
  <c r="S36" i="49"/>
  <c r="O36" i="49"/>
  <c r="S38" i="49"/>
  <c r="O38" i="49"/>
  <c r="S40" i="49"/>
  <c r="O40" i="49"/>
  <c r="S42" i="49"/>
  <c r="O42" i="49"/>
  <c r="S44" i="49"/>
  <c r="O44" i="49"/>
  <c r="S46" i="49"/>
  <c r="O46" i="49"/>
  <c r="S48" i="49"/>
  <c r="O48" i="49"/>
  <c r="S51" i="49"/>
  <c r="O51" i="49"/>
  <c r="S53" i="49"/>
  <c r="O53" i="49"/>
  <c r="S55" i="49"/>
  <c r="O55" i="49"/>
  <c r="S57" i="49"/>
  <c r="O57" i="49"/>
  <c r="S59" i="49"/>
  <c r="O59" i="49"/>
  <c r="R59" i="49"/>
  <c r="R6" i="49"/>
  <c r="R7" i="49"/>
  <c r="R8" i="49"/>
  <c r="R9" i="49"/>
  <c r="R10" i="49"/>
  <c r="R11" i="49"/>
  <c r="R12" i="49"/>
  <c r="R13" i="49"/>
  <c r="R14" i="49"/>
  <c r="R15" i="49"/>
  <c r="R16" i="49"/>
  <c r="R17" i="49"/>
  <c r="R18" i="49"/>
  <c r="R19" i="49"/>
  <c r="R20" i="49"/>
  <c r="R21" i="49"/>
  <c r="R22" i="49"/>
  <c r="R23" i="49"/>
  <c r="R24" i="49"/>
  <c r="R25" i="49"/>
  <c r="R26" i="49"/>
  <c r="R27" i="49"/>
  <c r="R28" i="49"/>
  <c r="R29" i="49"/>
  <c r="P30" i="49"/>
  <c r="P32" i="49"/>
  <c r="P34" i="49"/>
  <c r="P36" i="49"/>
  <c r="P38" i="49"/>
  <c r="P40" i="49"/>
  <c r="P42" i="49"/>
  <c r="P44" i="49"/>
  <c r="P46" i="49"/>
  <c r="P48" i="49"/>
  <c r="P51" i="49"/>
  <c r="P53" i="49"/>
  <c r="P55" i="49"/>
  <c r="P57" i="49"/>
  <c r="P59" i="49"/>
  <c r="O6" i="49"/>
  <c r="O7" i="49"/>
  <c r="O8" i="49"/>
  <c r="O9" i="49"/>
  <c r="O10" i="49"/>
  <c r="O11" i="49"/>
  <c r="O12" i="49"/>
  <c r="O13" i="49"/>
  <c r="O14" i="49"/>
  <c r="O15" i="49"/>
  <c r="O16" i="49"/>
  <c r="O17" i="49"/>
  <c r="O18" i="49"/>
  <c r="O19" i="49"/>
  <c r="O20" i="49"/>
  <c r="O21" i="49"/>
  <c r="O22" i="49"/>
  <c r="O23" i="49"/>
  <c r="O24" i="49"/>
  <c r="O25" i="49"/>
  <c r="O26" i="49"/>
  <c r="O27" i="49"/>
  <c r="O28" i="49"/>
  <c r="O29" i="49"/>
  <c r="Q30" i="49"/>
  <c r="S31" i="49"/>
  <c r="O31" i="49"/>
  <c r="Q32" i="49"/>
  <c r="S33" i="49"/>
  <c r="O33" i="49"/>
  <c r="Q34" i="49"/>
  <c r="S35" i="49"/>
  <c r="O35" i="49"/>
  <c r="Q36" i="49"/>
  <c r="S37" i="49"/>
  <c r="O37" i="49"/>
  <c r="Q38" i="49"/>
  <c r="S39" i="49"/>
  <c r="O39" i="49"/>
  <c r="Q40" i="49"/>
  <c r="S41" i="49"/>
  <c r="O41" i="49"/>
  <c r="Q42" i="49"/>
  <c r="S43" i="49"/>
  <c r="O43" i="49"/>
  <c r="Q44" i="49"/>
  <c r="S45" i="49"/>
  <c r="O45" i="49"/>
  <c r="Q46" i="49"/>
  <c r="S47" i="49"/>
  <c r="O47" i="49"/>
  <c r="Q48" i="49"/>
  <c r="S49" i="49"/>
  <c r="O49" i="49"/>
  <c r="Q51" i="49"/>
  <c r="S52" i="49"/>
  <c r="O52" i="49"/>
  <c r="Q53" i="49"/>
  <c r="S54" i="49"/>
  <c r="O54" i="49"/>
  <c r="Q55" i="49"/>
  <c r="S56" i="49"/>
  <c r="O56" i="49"/>
  <c r="Q57" i="49"/>
  <c r="S58" i="49"/>
  <c r="O58" i="49"/>
  <c r="Q59" i="49"/>
  <c r="R60" i="49"/>
  <c r="R61" i="49"/>
  <c r="R62" i="49"/>
  <c r="R63" i="49"/>
  <c r="R64" i="49"/>
  <c r="R65" i="49"/>
  <c r="R66" i="49"/>
  <c r="R67" i="49"/>
  <c r="R68" i="49"/>
  <c r="R69" i="49"/>
  <c r="R70" i="49"/>
  <c r="R71" i="49"/>
  <c r="R72" i="49"/>
  <c r="R73" i="49"/>
  <c r="R74" i="49"/>
  <c r="R75" i="49"/>
  <c r="R76" i="49"/>
  <c r="R77" i="49"/>
  <c r="R78" i="49"/>
  <c r="R79" i="49"/>
  <c r="R80" i="49"/>
  <c r="R81" i="49"/>
  <c r="R82" i="49"/>
  <c r="R83" i="49"/>
  <c r="R84" i="49"/>
  <c r="R85" i="49"/>
  <c r="O60" i="49"/>
  <c r="O61" i="49"/>
  <c r="O62" i="49"/>
  <c r="O63" i="49"/>
  <c r="O64" i="49"/>
  <c r="O65" i="49"/>
  <c r="O66" i="49"/>
  <c r="O67" i="49"/>
  <c r="O68" i="49"/>
  <c r="O69" i="49"/>
  <c r="O70" i="49"/>
  <c r="O71" i="49"/>
  <c r="O72" i="49"/>
  <c r="O73" i="49"/>
  <c r="O74" i="49"/>
  <c r="O75" i="49"/>
  <c r="O76" i="49"/>
  <c r="O77" i="49"/>
  <c r="O78" i="49"/>
  <c r="O79" i="49"/>
  <c r="O80" i="49"/>
  <c r="O81" i="49"/>
  <c r="O82" i="49"/>
  <c r="O83" i="49"/>
  <c r="O84" i="49"/>
  <c r="O85" i="49"/>
  <c r="H65" i="22"/>
  <c r="I65" i="22"/>
  <c r="H66" i="22"/>
  <c r="I66" i="22"/>
  <c r="H67" i="22"/>
  <c r="I67" i="22"/>
  <c r="H68" i="22"/>
  <c r="H69" i="22"/>
  <c r="H70" i="22"/>
  <c r="I70" i="22"/>
  <c r="H71" i="22"/>
  <c r="H72" i="22"/>
  <c r="I72" i="22"/>
  <c r="H73" i="22"/>
  <c r="H74" i="22"/>
  <c r="I74" i="22"/>
  <c r="H75" i="22"/>
  <c r="H76" i="22"/>
  <c r="I76" i="22"/>
  <c r="H77" i="22"/>
  <c r="H78" i="22"/>
  <c r="H79" i="22"/>
  <c r="H80" i="22"/>
  <c r="H81" i="22"/>
  <c r="I81" i="22"/>
  <c r="H82" i="22"/>
  <c r="I82" i="22"/>
  <c r="H83" i="22"/>
  <c r="I83" i="22"/>
  <c r="H84" i="22"/>
  <c r="I84" i="22"/>
  <c r="H85" i="22"/>
  <c r="I85" i="22"/>
  <c r="H86" i="22"/>
  <c r="H87" i="22"/>
  <c r="I87" i="22"/>
  <c r="H88" i="22"/>
  <c r="H89" i="22"/>
  <c r="I89" i="22"/>
  <c r="H90" i="22"/>
  <c r="I90" i="22"/>
  <c r="H91" i="22"/>
  <c r="H92" i="22"/>
  <c r="I92" i="22"/>
  <c r="H93" i="22"/>
  <c r="I93" i="22"/>
  <c r="H94" i="22"/>
  <c r="I94" i="22"/>
  <c r="H95" i="22"/>
  <c r="I95" i="22"/>
  <c r="H96" i="22"/>
  <c r="I96" i="22"/>
  <c r="H97" i="22"/>
  <c r="I97" i="22"/>
  <c r="H98" i="22"/>
  <c r="I98" i="22"/>
  <c r="H99" i="22"/>
  <c r="I99" i="22"/>
  <c r="H100" i="22"/>
  <c r="H101" i="22"/>
  <c r="I101" i="22"/>
  <c r="H102" i="22"/>
  <c r="I102" i="22"/>
  <c r="H103" i="22"/>
  <c r="I103" i="22"/>
  <c r="H104" i="22"/>
  <c r="I104" i="22"/>
  <c r="H105" i="22"/>
  <c r="I105" i="22"/>
  <c r="H106" i="22"/>
  <c r="I106" i="22"/>
  <c r="H107" i="22"/>
  <c r="I107" i="22"/>
  <c r="H108" i="22"/>
  <c r="H109" i="22"/>
  <c r="I109" i="22"/>
  <c r="H110" i="22"/>
  <c r="I110" i="22"/>
  <c r="H111" i="22"/>
  <c r="I111" i="22"/>
  <c r="H112" i="22"/>
  <c r="I112" i="22"/>
  <c r="H113" i="22"/>
  <c r="I113" i="22"/>
  <c r="H114" i="22"/>
  <c r="I114" i="22"/>
  <c r="H115" i="22"/>
  <c r="I115" i="22"/>
  <c r="H116" i="22"/>
  <c r="I116" i="22"/>
  <c r="H117" i="22"/>
  <c r="I117" i="22"/>
  <c r="H118" i="22"/>
  <c r="I118" i="22"/>
  <c r="H119" i="22"/>
  <c r="I119" i="22"/>
  <c r="H120" i="22"/>
  <c r="I120" i="22"/>
  <c r="H121" i="22"/>
  <c r="I121" i="22"/>
  <c r="H122" i="22"/>
  <c r="I122" i="22"/>
  <c r="H123" i="22"/>
  <c r="I123" i="22"/>
  <c r="H124" i="22"/>
  <c r="I124" i="22"/>
  <c r="H125" i="22"/>
  <c r="I125" i="22"/>
  <c r="H126" i="22"/>
  <c r="I126" i="22"/>
  <c r="H128" i="22"/>
  <c r="I128" i="22"/>
  <c r="H129" i="22"/>
  <c r="I129" i="22"/>
  <c r="H130" i="22"/>
  <c r="I130" i="22"/>
  <c r="H131" i="22"/>
  <c r="I131" i="22"/>
  <c r="H132" i="22"/>
  <c r="I132" i="22"/>
  <c r="H133" i="22"/>
  <c r="I133" i="22"/>
  <c r="H134" i="22"/>
  <c r="I134" i="22"/>
  <c r="H135" i="22"/>
  <c r="I135" i="22"/>
  <c r="H136" i="22"/>
  <c r="I136" i="22"/>
  <c r="H137" i="22"/>
  <c r="I137" i="22"/>
  <c r="H138" i="22"/>
  <c r="I138" i="22"/>
  <c r="H139" i="22"/>
  <c r="I139" i="22"/>
  <c r="H140" i="22"/>
  <c r="H141" i="22"/>
  <c r="I141" i="22"/>
  <c r="H142" i="22"/>
  <c r="I142" i="22"/>
  <c r="H143" i="22"/>
  <c r="I143" i="22"/>
  <c r="H145" i="22"/>
  <c r="I145" i="22"/>
  <c r="H146" i="22"/>
  <c r="I146" i="22"/>
  <c r="H147" i="22"/>
  <c r="I147" i="22"/>
  <c r="H148" i="22"/>
  <c r="I148" i="22"/>
  <c r="H149" i="22"/>
  <c r="I149" i="22"/>
  <c r="H150" i="22"/>
  <c r="I150" i="22"/>
  <c r="H151" i="22"/>
  <c r="I151" i="22"/>
  <c r="H152" i="22"/>
  <c r="I152" i="22"/>
  <c r="H153" i="22"/>
  <c r="I153" i="22"/>
  <c r="H154" i="22"/>
  <c r="I154" i="22"/>
  <c r="H155" i="22"/>
  <c r="I155" i="22"/>
  <c r="H156" i="22"/>
  <c r="I156" i="22"/>
  <c r="H157" i="22"/>
  <c r="I157" i="22"/>
  <c r="H158" i="22"/>
  <c r="I158" i="22"/>
  <c r="H159" i="22"/>
  <c r="I159" i="22"/>
  <c r="H160" i="22"/>
  <c r="H161" i="22"/>
  <c r="I161" i="22"/>
  <c r="H162" i="22"/>
  <c r="I162" i="22"/>
  <c r="H163" i="22"/>
  <c r="I163" i="22"/>
  <c r="H164" i="22"/>
  <c r="I164" i="22"/>
  <c r="H165" i="22"/>
  <c r="I165" i="22"/>
  <c r="H166" i="22"/>
  <c r="I166" i="22"/>
  <c r="H167" i="22"/>
  <c r="I167" i="22"/>
  <c r="H168" i="22"/>
  <c r="I168" i="22"/>
  <c r="H169" i="22"/>
  <c r="I169" i="22"/>
  <c r="H170" i="22"/>
  <c r="I170" i="22"/>
  <c r="H171" i="22"/>
  <c r="I171" i="22"/>
  <c r="H172" i="22"/>
  <c r="I172" i="22"/>
  <c r="H173" i="22"/>
  <c r="I173" i="22"/>
  <c r="H174" i="22"/>
  <c r="I174" i="22"/>
  <c r="H175" i="22"/>
  <c r="I175" i="22"/>
  <c r="H176" i="22"/>
  <c r="I176" i="22"/>
  <c r="H177" i="22"/>
  <c r="I177" i="22"/>
  <c r="H178" i="22"/>
  <c r="I178" i="22"/>
  <c r="H179" i="22"/>
  <c r="I179" i="22"/>
  <c r="H180" i="22"/>
  <c r="I180" i="22"/>
  <c r="H181" i="22"/>
  <c r="I181" i="22"/>
  <c r="H182" i="22"/>
  <c r="I182" i="22"/>
  <c r="H183" i="22"/>
  <c r="I183" i="22"/>
  <c r="H184" i="22"/>
  <c r="I184" i="22"/>
  <c r="H185" i="22"/>
  <c r="I185" i="22"/>
  <c r="H186" i="22"/>
  <c r="I186" i="22"/>
  <c r="H187" i="22"/>
  <c r="I187" i="22"/>
  <c r="H188" i="22"/>
  <c r="I188" i="22"/>
  <c r="H189" i="22"/>
  <c r="I189" i="22"/>
  <c r="H190" i="22"/>
  <c r="H191" i="22"/>
  <c r="I191" i="22"/>
  <c r="H192" i="22"/>
  <c r="I192" i="22"/>
  <c r="H193" i="22"/>
  <c r="I193" i="22"/>
  <c r="H194" i="22"/>
  <c r="I194" i="22"/>
  <c r="H195" i="22"/>
  <c r="I195" i="22"/>
  <c r="H196" i="22"/>
  <c r="I196" i="22"/>
  <c r="H197" i="22"/>
  <c r="I197" i="22"/>
  <c r="H198" i="22"/>
  <c r="H199" i="22"/>
  <c r="I199" i="22"/>
  <c r="H200" i="22"/>
  <c r="I200" i="22"/>
  <c r="H201" i="22"/>
  <c r="I201" i="22"/>
  <c r="H202" i="22"/>
  <c r="H203" i="22"/>
  <c r="I203" i="22"/>
  <c r="H204" i="22"/>
  <c r="I204" i="22"/>
  <c r="H205" i="22"/>
  <c r="I205" i="22"/>
  <c r="H206" i="22"/>
  <c r="I206" i="22"/>
  <c r="H207" i="22"/>
  <c r="H208" i="22"/>
  <c r="I208" i="22"/>
  <c r="Q202" i="22" l="1"/>
  <c r="N202" i="22"/>
  <c r="R202" i="22"/>
  <c r="O202" i="22"/>
  <c r="P202" i="22"/>
  <c r="N195" i="22"/>
  <c r="R195" i="22"/>
  <c r="O195" i="22"/>
  <c r="P195" i="22"/>
  <c r="Q195" i="22"/>
  <c r="N187" i="22"/>
  <c r="R187" i="22"/>
  <c r="O187" i="22"/>
  <c r="P187" i="22"/>
  <c r="Q187" i="22"/>
  <c r="N179" i="22"/>
  <c r="R179" i="22"/>
  <c r="O179" i="22"/>
  <c r="P179" i="22"/>
  <c r="Q179" i="22"/>
  <c r="O169" i="22"/>
  <c r="P169" i="22"/>
  <c r="Q169" i="22"/>
  <c r="N169" i="22"/>
  <c r="R169" i="22"/>
  <c r="O164" i="22"/>
  <c r="P164" i="22"/>
  <c r="Q164" i="22"/>
  <c r="N164" i="22"/>
  <c r="R164" i="22"/>
  <c r="Q160" i="22"/>
  <c r="N160" i="22"/>
  <c r="R160" i="22"/>
  <c r="O160" i="22"/>
  <c r="P160" i="22"/>
  <c r="Q155" i="22"/>
  <c r="N155" i="22"/>
  <c r="R155" i="22"/>
  <c r="O155" i="22"/>
  <c r="P155" i="22"/>
  <c r="O151" i="22"/>
  <c r="P151" i="22"/>
  <c r="Q151" i="22"/>
  <c r="N151" i="22"/>
  <c r="R151" i="22"/>
  <c r="Q149" i="22"/>
  <c r="N149" i="22"/>
  <c r="R149" i="22"/>
  <c r="O149" i="22"/>
  <c r="P149" i="22"/>
  <c r="O145" i="22"/>
  <c r="P145" i="22"/>
  <c r="Q145" i="22"/>
  <c r="N145" i="22"/>
  <c r="R145" i="22"/>
  <c r="N139" i="22"/>
  <c r="R139" i="22"/>
  <c r="O139" i="22"/>
  <c r="P139" i="22"/>
  <c r="Q139" i="22"/>
  <c r="Q137" i="22"/>
  <c r="N137" i="22"/>
  <c r="R137" i="22"/>
  <c r="O137" i="22"/>
  <c r="P137" i="22"/>
  <c r="O135" i="22"/>
  <c r="P135" i="22"/>
  <c r="Q135" i="22"/>
  <c r="N135" i="22"/>
  <c r="R135" i="22"/>
  <c r="Q133" i="22"/>
  <c r="N133" i="22"/>
  <c r="R133" i="22"/>
  <c r="O133" i="22"/>
  <c r="P133" i="22"/>
  <c r="P131" i="22"/>
  <c r="Q131" i="22"/>
  <c r="N131" i="22"/>
  <c r="R131" i="22"/>
  <c r="O131" i="22"/>
  <c r="O129" i="22"/>
  <c r="P129" i="22"/>
  <c r="Q129" i="22"/>
  <c r="N129" i="22"/>
  <c r="R129" i="22"/>
  <c r="P125" i="22"/>
  <c r="Q125" i="22"/>
  <c r="N125" i="22"/>
  <c r="R125" i="22"/>
  <c r="O125" i="22"/>
  <c r="O123" i="22"/>
  <c r="P123" i="22"/>
  <c r="Q123" i="22"/>
  <c r="N123" i="22"/>
  <c r="R123" i="22"/>
  <c r="N121" i="22"/>
  <c r="R121" i="22"/>
  <c r="O121" i="22"/>
  <c r="P121" i="22"/>
  <c r="Q121" i="22"/>
  <c r="Q119" i="22"/>
  <c r="N119" i="22"/>
  <c r="R119" i="22"/>
  <c r="O119" i="22"/>
  <c r="P119" i="22"/>
  <c r="O117" i="22"/>
  <c r="P117" i="22"/>
  <c r="Q117" i="22"/>
  <c r="N117" i="22"/>
  <c r="R117" i="22"/>
  <c r="N115" i="22"/>
  <c r="R115" i="22"/>
  <c r="O115" i="22"/>
  <c r="P115" i="22"/>
  <c r="Q115" i="22"/>
  <c r="Q113" i="22"/>
  <c r="N113" i="22"/>
  <c r="R113" i="22"/>
  <c r="O113" i="22"/>
  <c r="P113" i="22"/>
  <c r="P111" i="22"/>
  <c r="Q111" i="22"/>
  <c r="N111" i="22"/>
  <c r="R111" i="22"/>
  <c r="O111" i="22"/>
  <c r="N109" i="22"/>
  <c r="R109" i="22"/>
  <c r="O109" i="22"/>
  <c r="P109" i="22"/>
  <c r="Q109" i="22"/>
  <c r="Q107" i="22"/>
  <c r="N107" i="22"/>
  <c r="R107" i="22"/>
  <c r="O107" i="22"/>
  <c r="P107" i="22"/>
  <c r="N105" i="22"/>
  <c r="R105" i="22"/>
  <c r="O105" i="22"/>
  <c r="P105" i="22"/>
  <c r="Q105" i="22"/>
  <c r="P103" i="22"/>
  <c r="Q103" i="22"/>
  <c r="N103" i="22"/>
  <c r="R103" i="22"/>
  <c r="O103" i="22"/>
  <c r="N101" i="22"/>
  <c r="R101" i="22"/>
  <c r="O101" i="22"/>
  <c r="P101" i="22"/>
  <c r="Q101" i="22"/>
  <c r="Q99" i="22"/>
  <c r="N99" i="22"/>
  <c r="R99" i="22"/>
  <c r="O99" i="22"/>
  <c r="P99" i="22"/>
  <c r="P97" i="22"/>
  <c r="Q97" i="22"/>
  <c r="N97" i="22"/>
  <c r="R97" i="22"/>
  <c r="O97" i="22"/>
  <c r="O95" i="22"/>
  <c r="P95" i="22"/>
  <c r="Q95" i="22"/>
  <c r="N95" i="22"/>
  <c r="R95" i="22"/>
  <c r="Q93" i="22"/>
  <c r="N93" i="22"/>
  <c r="R93" i="22"/>
  <c r="O93" i="22"/>
  <c r="P93" i="22"/>
  <c r="P91" i="22"/>
  <c r="Q91" i="22"/>
  <c r="N91" i="22"/>
  <c r="R91" i="22"/>
  <c r="O91" i="22"/>
  <c r="O89" i="22"/>
  <c r="P89" i="22"/>
  <c r="Q89" i="22"/>
  <c r="N89" i="22"/>
  <c r="R89" i="22"/>
  <c r="N87" i="22"/>
  <c r="R87" i="22"/>
  <c r="O87" i="22"/>
  <c r="P87" i="22"/>
  <c r="Q87" i="22"/>
  <c r="P85" i="22"/>
  <c r="Q85" i="22"/>
  <c r="N85" i="22"/>
  <c r="R85" i="22"/>
  <c r="O85" i="22"/>
  <c r="O83" i="22"/>
  <c r="P83" i="22"/>
  <c r="Q83" i="22"/>
  <c r="N83" i="22"/>
  <c r="R83" i="22"/>
  <c r="N81" i="22"/>
  <c r="R81" i="22"/>
  <c r="O81" i="22"/>
  <c r="P81" i="22"/>
  <c r="Q81" i="22"/>
  <c r="P79" i="22"/>
  <c r="Q79" i="22"/>
  <c r="N79" i="22"/>
  <c r="R79" i="22"/>
  <c r="O79" i="22"/>
  <c r="N77" i="22"/>
  <c r="R77" i="22"/>
  <c r="O77" i="22"/>
  <c r="P77" i="22"/>
  <c r="Q77" i="22"/>
  <c r="Q75" i="22"/>
  <c r="N75" i="22"/>
  <c r="R75" i="22"/>
  <c r="O75" i="22"/>
  <c r="P75" i="22"/>
  <c r="P73" i="22"/>
  <c r="Q73" i="22"/>
  <c r="N73" i="22"/>
  <c r="R73" i="22"/>
  <c r="O73" i="22"/>
  <c r="O71" i="22"/>
  <c r="P71" i="22"/>
  <c r="Q71" i="22"/>
  <c r="N71" i="22"/>
  <c r="R71" i="22"/>
  <c r="N69" i="22"/>
  <c r="R69" i="22"/>
  <c r="O69" i="22"/>
  <c r="P69" i="22"/>
  <c r="Q69" i="22"/>
  <c r="P68" i="22"/>
  <c r="Q68" i="22"/>
  <c r="N68" i="22"/>
  <c r="R68" i="22"/>
  <c r="O68" i="22"/>
  <c r="O204" i="22"/>
  <c r="P204" i="22"/>
  <c r="Q204" i="22"/>
  <c r="R204" i="22"/>
  <c r="N204" i="22"/>
  <c r="Q198" i="22"/>
  <c r="N198" i="22"/>
  <c r="R198" i="22"/>
  <c r="O198" i="22"/>
  <c r="P198" i="22"/>
  <c r="N191" i="22"/>
  <c r="R191" i="22"/>
  <c r="O191" i="22"/>
  <c r="P191" i="22"/>
  <c r="Q191" i="22"/>
  <c r="N183" i="22"/>
  <c r="R183" i="22"/>
  <c r="O183" i="22"/>
  <c r="P183" i="22"/>
  <c r="Q183" i="22"/>
  <c r="Q177" i="22"/>
  <c r="N177" i="22"/>
  <c r="R177" i="22"/>
  <c r="O177" i="22"/>
  <c r="P177" i="22"/>
  <c r="P153" i="22"/>
  <c r="Q153" i="22"/>
  <c r="N153" i="22"/>
  <c r="R153" i="22"/>
  <c r="O153" i="22"/>
  <c r="P147" i="22"/>
  <c r="Q147" i="22"/>
  <c r="N147" i="22"/>
  <c r="R147" i="22"/>
  <c r="O147" i="22"/>
  <c r="O208" i="22"/>
  <c r="P208" i="22"/>
  <c r="Q208" i="22"/>
  <c r="N208" i="22"/>
  <c r="R208" i="22"/>
  <c r="O200" i="22"/>
  <c r="P200" i="22"/>
  <c r="Q200" i="22"/>
  <c r="N200" i="22"/>
  <c r="R200" i="22"/>
  <c r="P193" i="22"/>
  <c r="Q193" i="22"/>
  <c r="N193" i="22"/>
  <c r="R193" i="22"/>
  <c r="O193" i="22"/>
  <c r="P185" i="22"/>
  <c r="Q185" i="22"/>
  <c r="N185" i="22"/>
  <c r="R185" i="22"/>
  <c r="O185" i="22"/>
  <c r="O175" i="22"/>
  <c r="P175" i="22"/>
  <c r="Q175" i="22"/>
  <c r="N175" i="22"/>
  <c r="R175" i="22"/>
  <c r="P171" i="22"/>
  <c r="Q171" i="22"/>
  <c r="N171" i="22"/>
  <c r="R171" i="22"/>
  <c r="O171" i="22"/>
  <c r="Q166" i="22"/>
  <c r="N166" i="22"/>
  <c r="R166" i="22"/>
  <c r="O166" i="22"/>
  <c r="P166" i="22"/>
  <c r="P158" i="22"/>
  <c r="Q158" i="22"/>
  <c r="N158" i="22"/>
  <c r="R158" i="22"/>
  <c r="O158" i="22"/>
  <c r="O141" i="22"/>
  <c r="P141" i="22"/>
  <c r="Q141" i="22"/>
  <c r="N141" i="22"/>
  <c r="R141" i="22"/>
  <c r="P207" i="22"/>
  <c r="Q207" i="22"/>
  <c r="N207" i="22"/>
  <c r="R207" i="22"/>
  <c r="O207" i="22"/>
  <c r="N205" i="22"/>
  <c r="R205" i="22"/>
  <c r="O205" i="22"/>
  <c r="P205" i="22"/>
  <c r="Q205" i="22"/>
  <c r="P203" i="22"/>
  <c r="Q203" i="22"/>
  <c r="N203" i="22"/>
  <c r="R203" i="22"/>
  <c r="O203" i="22"/>
  <c r="N201" i="22"/>
  <c r="R201" i="22"/>
  <c r="O201" i="22"/>
  <c r="P201" i="22"/>
  <c r="Q201" i="22"/>
  <c r="P199" i="22"/>
  <c r="Q199" i="22"/>
  <c r="N199" i="22"/>
  <c r="R199" i="22"/>
  <c r="O199" i="22"/>
  <c r="N197" i="22"/>
  <c r="R197" i="22"/>
  <c r="O197" i="22"/>
  <c r="P197" i="22"/>
  <c r="Q197" i="22"/>
  <c r="Q196" i="22"/>
  <c r="N196" i="22"/>
  <c r="R196" i="22"/>
  <c r="O196" i="22"/>
  <c r="P196" i="22"/>
  <c r="O194" i="22"/>
  <c r="P194" i="22"/>
  <c r="Q194" i="22"/>
  <c r="N194" i="22"/>
  <c r="R194" i="22"/>
  <c r="Q192" i="22"/>
  <c r="N192" i="22"/>
  <c r="R192" i="22"/>
  <c r="O192" i="22"/>
  <c r="P192" i="22"/>
  <c r="O190" i="22"/>
  <c r="P190" i="22"/>
  <c r="Q190" i="22"/>
  <c r="N190" i="22"/>
  <c r="R190" i="22"/>
  <c r="Q188" i="22"/>
  <c r="N188" i="22"/>
  <c r="R188" i="22"/>
  <c r="O188" i="22"/>
  <c r="P188" i="22"/>
  <c r="O186" i="22"/>
  <c r="P186" i="22"/>
  <c r="Q186" i="22"/>
  <c r="R186" i="22"/>
  <c r="N186" i="22"/>
  <c r="Q184" i="22"/>
  <c r="N184" i="22"/>
  <c r="R184" i="22"/>
  <c r="O184" i="22"/>
  <c r="P184" i="22"/>
  <c r="O182" i="22"/>
  <c r="P182" i="22"/>
  <c r="Q182" i="22"/>
  <c r="N182" i="22"/>
  <c r="R182" i="22"/>
  <c r="Q180" i="22"/>
  <c r="N180" i="22"/>
  <c r="R180" i="22"/>
  <c r="O180" i="22"/>
  <c r="P180" i="22"/>
  <c r="O178" i="22"/>
  <c r="P178" i="22"/>
  <c r="Q178" i="22"/>
  <c r="N178" i="22"/>
  <c r="R178" i="22"/>
  <c r="N176" i="22"/>
  <c r="R176" i="22"/>
  <c r="O176" i="22"/>
  <c r="P176" i="22"/>
  <c r="Q176" i="22"/>
  <c r="P174" i="22"/>
  <c r="Q174" i="22"/>
  <c r="N174" i="22"/>
  <c r="R174" i="22"/>
  <c r="O174" i="22"/>
  <c r="N172" i="22"/>
  <c r="R172" i="22"/>
  <c r="O172" i="22"/>
  <c r="P172" i="22"/>
  <c r="Q172" i="22"/>
  <c r="Q170" i="22"/>
  <c r="N170" i="22"/>
  <c r="R170" i="22"/>
  <c r="O170" i="22"/>
  <c r="P170" i="22"/>
  <c r="P168" i="22"/>
  <c r="Q168" i="22"/>
  <c r="N168" i="22"/>
  <c r="R168" i="22"/>
  <c r="O168" i="22"/>
  <c r="N165" i="22"/>
  <c r="R165" i="22"/>
  <c r="O165" i="22"/>
  <c r="P165" i="22"/>
  <c r="Q165" i="22"/>
  <c r="P163" i="22"/>
  <c r="Q163" i="22"/>
  <c r="N163" i="22"/>
  <c r="R163" i="22"/>
  <c r="O163" i="22"/>
  <c r="O161" i="22"/>
  <c r="P161" i="22"/>
  <c r="Q161" i="22"/>
  <c r="N161" i="22"/>
  <c r="R161" i="22"/>
  <c r="N159" i="22"/>
  <c r="R159" i="22"/>
  <c r="O159" i="22"/>
  <c r="P159" i="22"/>
  <c r="Q159" i="22"/>
  <c r="Q157" i="22"/>
  <c r="N157" i="22"/>
  <c r="R157" i="22"/>
  <c r="O157" i="22"/>
  <c r="P157" i="22"/>
  <c r="O156" i="22"/>
  <c r="P156" i="22"/>
  <c r="Q156" i="22"/>
  <c r="N156" i="22"/>
  <c r="R156" i="22"/>
  <c r="N154" i="22"/>
  <c r="R154" i="22"/>
  <c r="O154" i="22"/>
  <c r="P154" i="22"/>
  <c r="Q154" i="22"/>
  <c r="Q152" i="22"/>
  <c r="N152" i="22"/>
  <c r="R152" i="22"/>
  <c r="O152" i="22"/>
  <c r="P152" i="22"/>
  <c r="P150" i="22"/>
  <c r="Q150" i="22"/>
  <c r="N150" i="22"/>
  <c r="R150" i="22"/>
  <c r="O150" i="22"/>
  <c r="N148" i="22"/>
  <c r="R148" i="22"/>
  <c r="O148" i="22"/>
  <c r="P148" i="22"/>
  <c r="Q148" i="22"/>
  <c r="Q146" i="22"/>
  <c r="N146" i="22"/>
  <c r="R146" i="22"/>
  <c r="O146" i="22"/>
  <c r="P146" i="22"/>
  <c r="N142" i="22"/>
  <c r="R142" i="22"/>
  <c r="O142" i="22"/>
  <c r="P142" i="22"/>
  <c r="Q142" i="22"/>
  <c r="P140" i="22"/>
  <c r="Q140" i="22"/>
  <c r="N140" i="22"/>
  <c r="R140" i="22"/>
  <c r="O140" i="22"/>
  <c r="O138" i="22"/>
  <c r="P138" i="22"/>
  <c r="Q138" i="22"/>
  <c r="N138" i="22"/>
  <c r="R138" i="22"/>
  <c r="N136" i="22"/>
  <c r="R136" i="22"/>
  <c r="O136" i="22"/>
  <c r="P136" i="22"/>
  <c r="Q136" i="22"/>
  <c r="P134" i="22"/>
  <c r="Q134" i="22"/>
  <c r="N134" i="22"/>
  <c r="R134" i="22"/>
  <c r="O134" i="22"/>
  <c r="N132" i="22"/>
  <c r="R132" i="22"/>
  <c r="O132" i="22"/>
  <c r="P132" i="22"/>
  <c r="Q132" i="22"/>
  <c r="Q130" i="22"/>
  <c r="N130" i="22"/>
  <c r="R130" i="22"/>
  <c r="O130" i="22"/>
  <c r="P130" i="22"/>
  <c r="P128" i="22"/>
  <c r="Q128" i="22"/>
  <c r="N128" i="22"/>
  <c r="R128" i="22"/>
  <c r="O128" i="22"/>
  <c r="O126" i="22"/>
  <c r="P126" i="22"/>
  <c r="Q126" i="22"/>
  <c r="N126" i="22"/>
  <c r="R126" i="22"/>
  <c r="Q124" i="22"/>
  <c r="N124" i="22"/>
  <c r="R124" i="22"/>
  <c r="O124" i="22"/>
  <c r="P124" i="22"/>
  <c r="P122" i="22"/>
  <c r="Q122" i="22"/>
  <c r="N122" i="22"/>
  <c r="R122" i="22"/>
  <c r="O122" i="22"/>
  <c r="O120" i="22"/>
  <c r="P120" i="22"/>
  <c r="Q120" i="22"/>
  <c r="N120" i="22"/>
  <c r="R120" i="22"/>
  <c r="N118" i="22"/>
  <c r="R118" i="22"/>
  <c r="O118" i="22"/>
  <c r="P118" i="22"/>
  <c r="Q118" i="22"/>
  <c r="P116" i="22"/>
  <c r="Q116" i="22"/>
  <c r="N116" i="22"/>
  <c r="R116" i="22"/>
  <c r="O116" i="22"/>
  <c r="O114" i="22"/>
  <c r="P114" i="22"/>
  <c r="Q114" i="22"/>
  <c r="N114" i="22"/>
  <c r="R114" i="22"/>
  <c r="N112" i="22"/>
  <c r="R112" i="22"/>
  <c r="O112" i="22"/>
  <c r="P112" i="22"/>
  <c r="Q112" i="22"/>
  <c r="Q110" i="22"/>
  <c r="N110" i="22"/>
  <c r="R110" i="22"/>
  <c r="O110" i="22"/>
  <c r="P110" i="22"/>
  <c r="O108" i="22"/>
  <c r="P108" i="22"/>
  <c r="Q108" i="22"/>
  <c r="N108" i="22"/>
  <c r="R108" i="22"/>
  <c r="N106" i="22"/>
  <c r="R106" i="22"/>
  <c r="O106" i="22"/>
  <c r="P106" i="22"/>
  <c r="Q106" i="22"/>
  <c r="O104" i="22"/>
  <c r="P104" i="22"/>
  <c r="Q104" i="22"/>
  <c r="N104" i="22"/>
  <c r="R104" i="22"/>
  <c r="Q102" i="22"/>
  <c r="N102" i="22"/>
  <c r="R102" i="22"/>
  <c r="O102" i="22"/>
  <c r="P102" i="22"/>
  <c r="O100" i="22"/>
  <c r="P100" i="22"/>
  <c r="Q100" i="22"/>
  <c r="N100" i="22"/>
  <c r="R100" i="22"/>
  <c r="N98" i="22"/>
  <c r="R98" i="22"/>
  <c r="O98" i="22"/>
  <c r="P98" i="22"/>
  <c r="Q98" i="22"/>
  <c r="Q96" i="22"/>
  <c r="N96" i="22"/>
  <c r="R96" i="22"/>
  <c r="O96" i="22"/>
  <c r="P96" i="22"/>
  <c r="P94" i="22"/>
  <c r="Q94" i="22"/>
  <c r="N94" i="22"/>
  <c r="R94" i="22"/>
  <c r="O94" i="22"/>
  <c r="N92" i="22"/>
  <c r="R92" i="22"/>
  <c r="O92" i="22"/>
  <c r="P92" i="22"/>
  <c r="Q92" i="22"/>
  <c r="Q90" i="22"/>
  <c r="N90" i="22"/>
  <c r="R90" i="22"/>
  <c r="O90" i="22"/>
  <c r="P90" i="22"/>
  <c r="P88" i="22"/>
  <c r="Q88" i="22"/>
  <c r="N88" i="22"/>
  <c r="R88" i="22"/>
  <c r="O88" i="22"/>
  <c r="O86" i="22"/>
  <c r="P86" i="22"/>
  <c r="Q86" i="22"/>
  <c r="N86" i="22"/>
  <c r="R86" i="22"/>
  <c r="Q84" i="22"/>
  <c r="N84" i="22"/>
  <c r="R84" i="22"/>
  <c r="O84" i="22"/>
  <c r="P84" i="22"/>
  <c r="P82" i="22"/>
  <c r="Q82" i="22"/>
  <c r="N82" i="22"/>
  <c r="R82" i="22"/>
  <c r="O82" i="22"/>
  <c r="O80" i="22"/>
  <c r="P80" i="22"/>
  <c r="Q80" i="22"/>
  <c r="N80" i="22"/>
  <c r="R80" i="22"/>
  <c r="Q78" i="22"/>
  <c r="N78" i="22"/>
  <c r="R78" i="22"/>
  <c r="O78" i="22"/>
  <c r="P78" i="22"/>
  <c r="O76" i="22"/>
  <c r="P76" i="22"/>
  <c r="Q76" i="22"/>
  <c r="N76" i="22"/>
  <c r="R76" i="22"/>
  <c r="N74" i="22"/>
  <c r="R74" i="22"/>
  <c r="O74" i="22"/>
  <c r="P74" i="22"/>
  <c r="Q74" i="22"/>
  <c r="Q72" i="22"/>
  <c r="N72" i="22"/>
  <c r="R72" i="22"/>
  <c r="O72" i="22"/>
  <c r="P72" i="22"/>
  <c r="Q70" i="22"/>
  <c r="N70" i="22"/>
  <c r="R70" i="22"/>
  <c r="O70" i="22"/>
  <c r="P70" i="22"/>
  <c r="Q67" i="22"/>
  <c r="N67" i="22"/>
  <c r="R67" i="22"/>
  <c r="O67" i="22"/>
  <c r="P67" i="22"/>
  <c r="Q206" i="22"/>
  <c r="N206" i="22"/>
  <c r="R206" i="22"/>
  <c r="O206" i="22"/>
  <c r="P206" i="22"/>
  <c r="P189" i="22"/>
  <c r="Q189" i="22"/>
  <c r="N189" i="22"/>
  <c r="R189" i="22"/>
  <c r="O189" i="22"/>
  <c r="P181" i="22"/>
  <c r="Q181" i="22"/>
  <c r="N181" i="22"/>
  <c r="R181" i="22"/>
  <c r="O181" i="22"/>
  <c r="Q173" i="22"/>
  <c r="N173" i="22"/>
  <c r="R173" i="22"/>
  <c r="O173" i="22"/>
  <c r="P173" i="22"/>
  <c r="N167" i="22"/>
  <c r="R167" i="22"/>
  <c r="O167" i="22"/>
  <c r="P167" i="22"/>
  <c r="Q167" i="22"/>
  <c r="N162" i="22"/>
  <c r="R162" i="22"/>
  <c r="O162" i="22"/>
  <c r="P162" i="22"/>
  <c r="Q162" i="22"/>
  <c r="Q143" i="22"/>
  <c r="N143" i="22"/>
  <c r="R143" i="22"/>
  <c r="O143" i="22"/>
  <c r="P143" i="22"/>
  <c r="S86" i="42"/>
  <c r="T43" i="34"/>
  <c r="T35" i="34"/>
  <c r="T64" i="34"/>
  <c r="T44" i="34"/>
  <c r="T48" i="34"/>
  <c r="T31" i="34"/>
  <c r="S84" i="42"/>
  <c r="T26" i="49"/>
  <c r="T22" i="49"/>
  <c r="T18" i="49"/>
  <c r="T14" i="49"/>
  <c r="T10" i="49"/>
  <c r="T32" i="34"/>
  <c r="S85" i="42"/>
  <c r="S87" i="42"/>
  <c r="S83" i="42"/>
  <c r="T30" i="34"/>
  <c r="T49" i="34"/>
  <c r="T63" i="34"/>
  <c r="T65" i="34"/>
  <c r="T84" i="49"/>
  <c r="T80" i="49"/>
  <c r="T76" i="49"/>
  <c r="T72" i="49"/>
  <c r="T68" i="49"/>
  <c r="T64" i="49"/>
  <c r="T60" i="49"/>
  <c r="T41" i="49"/>
  <c r="T33" i="49"/>
  <c r="T27" i="49"/>
  <c r="T23" i="49"/>
  <c r="T19" i="49"/>
  <c r="T15" i="49"/>
  <c r="T11" i="49"/>
  <c r="T7" i="49"/>
  <c r="T83" i="49"/>
  <c r="T75" i="49"/>
  <c r="T67" i="49"/>
  <c r="T49" i="49"/>
  <c r="T79" i="49"/>
  <c r="T71" i="49"/>
  <c r="T63" i="49"/>
  <c r="T58" i="49"/>
  <c r="Q86" i="49"/>
  <c r="E86" i="49" s="1"/>
  <c r="T82" i="49"/>
  <c r="T70" i="49"/>
  <c r="T62" i="49"/>
  <c r="T85" i="49"/>
  <c r="T81" i="49"/>
  <c r="T77" i="49"/>
  <c r="T73" i="49"/>
  <c r="T69" i="49"/>
  <c r="T65" i="49"/>
  <c r="T61" i="49"/>
  <c r="T54" i="49"/>
  <c r="T45" i="49"/>
  <c r="T37" i="49"/>
  <c r="P86" i="49"/>
  <c r="T57" i="49"/>
  <c r="T48" i="49"/>
  <c r="T40" i="49"/>
  <c r="T32" i="49"/>
  <c r="T78" i="49"/>
  <c r="T74" i="49"/>
  <c r="T66" i="49"/>
  <c r="S86" i="49"/>
  <c r="G86" i="49" s="1"/>
  <c r="T28" i="49"/>
  <c r="T24" i="49"/>
  <c r="T20" i="49"/>
  <c r="T16" i="49"/>
  <c r="T12" i="49"/>
  <c r="T8" i="49"/>
  <c r="T53" i="49"/>
  <c r="T44" i="49"/>
  <c r="T36" i="49"/>
  <c r="T52" i="49"/>
  <c r="T43" i="49"/>
  <c r="T35" i="49"/>
  <c r="O86" i="49"/>
  <c r="T6" i="49"/>
  <c r="T29" i="49"/>
  <c r="T25" i="49"/>
  <c r="T21" i="49"/>
  <c r="T17" i="49"/>
  <c r="T13" i="49"/>
  <c r="T9" i="49"/>
  <c r="T59" i="49"/>
  <c r="T55" i="49"/>
  <c r="T51" i="49"/>
  <c r="T46" i="49"/>
  <c r="T42" i="49"/>
  <c r="T38" i="49"/>
  <c r="T34" i="49"/>
  <c r="T30" i="49"/>
  <c r="T56" i="49"/>
  <c r="T47" i="49"/>
  <c r="T39" i="49"/>
  <c r="T31" i="49"/>
  <c r="R86" i="49"/>
  <c r="H71" i="16"/>
  <c r="H72" i="16"/>
  <c r="H73" i="16"/>
  <c r="H74" i="16"/>
  <c r="H75" i="16"/>
  <c r="H15" i="16"/>
  <c r="H16" i="16"/>
  <c r="H17" i="16"/>
  <c r="H25" i="16"/>
  <c r="H26" i="16"/>
  <c r="H32" i="16"/>
  <c r="H46" i="16"/>
  <c r="H48" i="16"/>
  <c r="H49" i="16"/>
  <c r="H51" i="16"/>
  <c r="H52" i="16"/>
  <c r="H53" i="16"/>
  <c r="H54" i="16"/>
  <c r="H55" i="16"/>
  <c r="H56" i="16"/>
  <c r="H60" i="16"/>
  <c r="H61" i="16"/>
  <c r="H64" i="16"/>
  <c r="H91" i="16"/>
  <c r="H92" i="16"/>
  <c r="I71" i="16"/>
  <c r="I72" i="16"/>
  <c r="I73" i="16"/>
  <c r="I74" i="16"/>
  <c r="I75" i="16"/>
  <c r="I15" i="16"/>
  <c r="I16" i="16"/>
  <c r="I17" i="16"/>
  <c r="I25" i="16"/>
  <c r="I26" i="16"/>
  <c r="I32" i="16"/>
  <c r="I46" i="16"/>
  <c r="I48" i="16"/>
  <c r="I49" i="16"/>
  <c r="I51" i="16"/>
  <c r="I52" i="16"/>
  <c r="I53" i="16"/>
  <c r="I54" i="16"/>
  <c r="I55" i="16"/>
  <c r="I56" i="16"/>
  <c r="I60" i="16"/>
  <c r="I61" i="16"/>
  <c r="I64" i="16"/>
  <c r="I91" i="16"/>
  <c r="I92" i="16"/>
  <c r="N49" i="16" l="1"/>
  <c r="O49" i="16"/>
  <c r="P49" i="16"/>
  <c r="R49" i="16"/>
  <c r="Q49" i="16"/>
  <c r="N72" i="16"/>
  <c r="O72" i="16"/>
  <c r="P72" i="16"/>
  <c r="Q72" i="16"/>
  <c r="R72" i="16"/>
  <c r="O92" i="16"/>
  <c r="P92" i="16"/>
  <c r="Q92" i="16"/>
  <c r="N92" i="16"/>
  <c r="R92" i="16"/>
  <c r="N71" i="16"/>
  <c r="P71" i="16"/>
  <c r="Q71" i="16"/>
  <c r="O71" i="16"/>
  <c r="R71" i="16"/>
  <c r="R64" i="16"/>
  <c r="O64" i="16"/>
  <c r="P64" i="16"/>
  <c r="N64" i="16"/>
  <c r="Q64" i="16"/>
  <c r="O32" i="16"/>
  <c r="P32" i="16"/>
  <c r="Q32" i="16"/>
  <c r="R32" i="16"/>
  <c r="N32" i="16"/>
  <c r="N61" i="16"/>
  <c r="O61" i="16"/>
  <c r="P61" i="16"/>
  <c r="Q61" i="16"/>
  <c r="R61" i="16"/>
  <c r="P26" i="16"/>
  <c r="S26" i="16" s="1"/>
  <c r="Q26" i="16"/>
  <c r="N26" i="16"/>
  <c r="O26" i="16"/>
  <c r="R26" i="16"/>
  <c r="P51" i="16"/>
  <c r="Q51" i="16"/>
  <c r="R51" i="16"/>
  <c r="N51" i="16"/>
  <c r="O51" i="16"/>
  <c r="Q46" i="16"/>
  <c r="R46" i="16"/>
  <c r="N46" i="16"/>
  <c r="O46" i="16"/>
  <c r="P46" i="16"/>
  <c r="N60" i="16"/>
  <c r="O60" i="16"/>
  <c r="P60" i="16"/>
  <c r="Q60" i="16"/>
  <c r="R60" i="16"/>
  <c r="R17" i="16"/>
  <c r="N17" i="16"/>
  <c r="O17" i="16"/>
  <c r="P17" i="16"/>
  <c r="Q17" i="16"/>
  <c r="O55" i="16"/>
  <c r="P55" i="16"/>
  <c r="R55" i="16"/>
  <c r="N55" i="16"/>
  <c r="Q55" i="16"/>
  <c r="R16" i="16"/>
  <c r="O16" i="16"/>
  <c r="P16" i="16"/>
  <c r="Q16" i="16"/>
  <c r="N16" i="16"/>
  <c r="O91" i="16"/>
  <c r="P91" i="16"/>
  <c r="R91" i="16"/>
  <c r="N91" i="16"/>
  <c r="Q91" i="16"/>
  <c r="O56" i="16"/>
  <c r="P56" i="16"/>
  <c r="Q56" i="16"/>
  <c r="N56" i="16"/>
  <c r="R56" i="16"/>
  <c r="N54" i="16"/>
  <c r="O54" i="16"/>
  <c r="R54" i="16"/>
  <c r="P54" i="16"/>
  <c r="Q54" i="16"/>
  <c r="N73" i="16"/>
  <c r="O73" i="16"/>
  <c r="P73" i="16"/>
  <c r="R73" i="16"/>
  <c r="Q73" i="16"/>
  <c r="N48" i="16"/>
  <c r="O48" i="16"/>
  <c r="R48" i="16"/>
  <c r="P48" i="16"/>
  <c r="Q48" i="16"/>
  <c r="P15" i="16"/>
  <c r="Q15" i="16"/>
  <c r="R15" i="16"/>
  <c r="N15" i="16"/>
  <c r="O15" i="16"/>
  <c r="R53" i="16"/>
  <c r="N53" i="16"/>
  <c r="O53" i="16"/>
  <c r="P53" i="16"/>
  <c r="Q53" i="16"/>
  <c r="P75" i="16"/>
  <c r="Q75" i="16"/>
  <c r="R75" i="16"/>
  <c r="N75" i="16"/>
  <c r="O75" i="16"/>
  <c r="N25" i="16"/>
  <c r="O25" i="16"/>
  <c r="P25" i="16"/>
  <c r="Q25" i="16"/>
  <c r="R25" i="16"/>
  <c r="R52" i="16"/>
  <c r="N52" i="16"/>
  <c r="O52" i="16"/>
  <c r="Q52" i="16"/>
  <c r="P52" i="16"/>
  <c r="S52" i="16" s="1"/>
  <c r="P74" i="16"/>
  <c r="Q74" i="16"/>
  <c r="R74" i="16"/>
  <c r="O74" i="16"/>
  <c r="N74" i="16"/>
  <c r="S202" i="22"/>
  <c r="S80" i="22"/>
  <c r="S104" i="22"/>
  <c r="S120" i="22"/>
  <c r="S170" i="22"/>
  <c r="S182" i="22"/>
  <c r="S190" i="22"/>
  <c r="S203" i="22"/>
  <c r="S158" i="22"/>
  <c r="S166" i="22"/>
  <c r="S208" i="22"/>
  <c r="S147" i="22"/>
  <c r="S177" i="22"/>
  <c r="S183" i="22"/>
  <c r="S191" i="22"/>
  <c r="S79" i="22"/>
  <c r="S91" i="22"/>
  <c r="S103" i="22"/>
  <c r="S113" i="22"/>
  <c r="S117" i="22"/>
  <c r="S131" i="22"/>
  <c r="S137" i="22"/>
  <c r="S145" i="22"/>
  <c r="S70" i="22"/>
  <c r="S86" i="22"/>
  <c r="S114" i="22"/>
  <c r="S126" i="22"/>
  <c r="S128" i="22"/>
  <c r="S138" i="22"/>
  <c r="S161" i="22"/>
  <c r="S69" i="22"/>
  <c r="S71" i="22"/>
  <c r="S75" i="22"/>
  <c r="S95" i="22"/>
  <c r="S155" i="22"/>
  <c r="S164" i="22"/>
  <c r="S162" i="22"/>
  <c r="S167" i="22"/>
  <c r="S173" i="22"/>
  <c r="S72" i="22"/>
  <c r="S76" i="22"/>
  <c r="S78" i="22"/>
  <c r="S82" i="22"/>
  <c r="S94" i="22"/>
  <c r="S96" i="22"/>
  <c r="S100" i="22"/>
  <c r="S102" i="22"/>
  <c r="S108" i="22"/>
  <c r="S110" i="22"/>
  <c r="S122" i="22"/>
  <c r="S134" i="22"/>
  <c r="S150" i="22"/>
  <c r="S152" i="22"/>
  <c r="S156" i="22"/>
  <c r="S157" i="22"/>
  <c r="S168" i="22"/>
  <c r="S172" i="22"/>
  <c r="S194" i="22"/>
  <c r="S199" i="22"/>
  <c r="S207" i="22"/>
  <c r="S141" i="22"/>
  <c r="S171" i="22"/>
  <c r="S185" i="22"/>
  <c r="S89" i="22"/>
  <c r="S93" i="22"/>
  <c r="S111" i="22"/>
  <c r="S115" i="22"/>
  <c r="S129" i="22"/>
  <c r="S133" i="22"/>
  <c r="S139" i="22"/>
  <c r="S151" i="22"/>
  <c r="S160" i="22"/>
  <c r="S169" i="22"/>
  <c r="S189" i="22"/>
  <c r="S206" i="22"/>
  <c r="S67" i="22"/>
  <c r="S90" i="22"/>
  <c r="S112" i="22"/>
  <c r="S116" i="22"/>
  <c r="S118" i="22"/>
  <c r="S130" i="22"/>
  <c r="S136" i="22"/>
  <c r="S140" i="22"/>
  <c r="S142" i="22"/>
  <c r="S146" i="22"/>
  <c r="S159" i="22"/>
  <c r="S163" i="22"/>
  <c r="S165" i="22"/>
  <c r="S174" i="22"/>
  <c r="S178" i="22"/>
  <c r="S184" i="22"/>
  <c r="S192" i="22"/>
  <c r="S197" i="22"/>
  <c r="S205" i="22"/>
  <c r="S193" i="22"/>
  <c r="S73" i="22"/>
  <c r="S77" i="22"/>
  <c r="S83" i="22"/>
  <c r="S97" i="22"/>
  <c r="S101" i="22"/>
  <c r="S109" i="22"/>
  <c r="S119" i="22"/>
  <c r="S123" i="22"/>
  <c r="S149" i="22"/>
  <c r="S181" i="22"/>
  <c r="S74" i="22"/>
  <c r="S84" i="22"/>
  <c r="S98" i="22"/>
  <c r="S106" i="22"/>
  <c r="S124" i="22"/>
  <c r="S154" i="22"/>
  <c r="S176" i="22"/>
  <c r="S200" i="22"/>
  <c r="S198" i="22"/>
  <c r="S68" i="22"/>
  <c r="S87" i="22"/>
  <c r="S135" i="22"/>
  <c r="S179" i="22"/>
  <c r="S187" i="22"/>
  <c r="S143" i="22"/>
  <c r="S88" i="22"/>
  <c r="S92" i="22"/>
  <c r="S132" i="22"/>
  <c r="S148" i="22"/>
  <c r="S180" i="22"/>
  <c r="S186" i="22"/>
  <c r="S188" i="22"/>
  <c r="S196" i="22"/>
  <c r="S201" i="22"/>
  <c r="S175" i="22"/>
  <c r="S153" i="22"/>
  <c r="S204" i="22"/>
  <c r="S81" i="22"/>
  <c r="S85" i="22"/>
  <c r="S99" i="22"/>
  <c r="S105" i="22"/>
  <c r="S107" i="22"/>
  <c r="S121" i="22"/>
  <c r="S125" i="22"/>
  <c r="S195" i="22"/>
  <c r="T86" i="49"/>
  <c r="H86" i="49" s="1"/>
  <c r="H27" i="15"/>
  <c r="I27" i="15"/>
  <c r="H29" i="15"/>
  <c r="I29" i="15"/>
  <c r="H31" i="15"/>
  <c r="I31" i="15"/>
  <c r="H33" i="15"/>
  <c r="I33" i="15"/>
  <c r="H40" i="15"/>
  <c r="I40" i="15"/>
  <c r="I12" i="42"/>
  <c r="H11" i="42"/>
  <c r="I11" i="42"/>
  <c r="H12" i="42"/>
  <c r="H13" i="42"/>
  <c r="I13" i="42"/>
  <c r="H14" i="42"/>
  <c r="I14" i="42"/>
  <c r="H15" i="42"/>
  <c r="I15" i="42"/>
  <c r="I10" i="21"/>
  <c r="S54" i="16" l="1"/>
  <c r="S92" i="16"/>
  <c r="S55" i="16"/>
  <c r="S16" i="16"/>
  <c r="S51" i="16"/>
  <c r="S72" i="16"/>
  <c r="S61" i="16"/>
  <c r="S53" i="16"/>
  <c r="S17" i="16"/>
  <c r="S56" i="16"/>
  <c r="S60" i="16"/>
  <c r="S71" i="16"/>
  <c r="S25" i="16"/>
  <c r="S15" i="16"/>
  <c r="S32" i="16"/>
  <c r="S64" i="16"/>
  <c r="S48" i="16"/>
  <c r="S73" i="16"/>
  <c r="S91" i="16"/>
  <c r="S46" i="16"/>
  <c r="S74" i="16"/>
  <c r="S75" i="16"/>
  <c r="S49" i="16"/>
  <c r="O40" i="15"/>
  <c r="R40" i="15"/>
  <c r="N40" i="15"/>
  <c r="Q40" i="15"/>
  <c r="P40" i="15"/>
  <c r="P31" i="15"/>
  <c r="O31" i="15"/>
  <c r="R31" i="15"/>
  <c r="N31" i="15"/>
  <c r="Q31" i="15"/>
  <c r="R29" i="15"/>
  <c r="N29" i="15"/>
  <c r="Q29" i="15"/>
  <c r="P29" i="15"/>
  <c r="O29" i="15"/>
  <c r="O11" i="42"/>
  <c r="P11" i="42"/>
  <c r="N11" i="42"/>
  <c r="Q11" i="42"/>
  <c r="R11" i="42"/>
  <c r="P13" i="42"/>
  <c r="Q13" i="42"/>
  <c r="N13" i="42"/>
  <c r="O13" i="42"/>
  <c r="R13" i="42"/>
  <c r="N12" i="42"/>
  <c r="R12" i="42"/>
  <c r="O12" i="42"/>
  <c r="Q12" i="42"/>
  <c r="P12" i="42"/>
  <c r="Q15" i="42"/>
  <c r="N15" i="42"/>
  <c r="R15" i="42"/>
  <c r="P15" i="42"/>
  <c r="O15" i="42"/>
  <c r="O14" i="42"/>
  <c r="P14" i="42"/>
  <c r="N14" i="42"/>
  <c r="Q14" i="42"/>
  <c r="R14" i="42"/>
  <c r="S40" i="15" l="1"/>
  <c r="S31" i="15"/>
  <c r="S29" i="15"/>
  <c r="S14" i="42"/>
  <c r="S12" i="42"/>
  <c r="S13" i="42"/>
  <c r="S11" i="42"/>
  <c r="S15" i="42"/>
  <c r="H38" i="16" l="1"/>
  <c r="I38" i="16"/>
  <c r="H39" i="16"/>
  <c r="I39" i="16"/>
  <c r="H40" i="16"/>
  <c r="I40" i="16"/>
  <c r="H41" i="16"/>
  <c r="I41" i="16"/>
  <c r="H42" i="16"/>
  <c r="I42" i="16"/>
  <c r="H43" i="16"/>
  <c r="I43" i="16"/>
  <c r="H44" i="16"/>
  <c r="I44" i="16"/>
  <c r="H45" i="16"/>
  <c r="I45" i="16"/>
  <c r="H68" i="16"/>
  <c r="I68" i="16"/>
  <c r="H69" i="16"/>
  <c r="I69" i="16"/>
  <c r="H70" i="16"/>
  <c r="I70" i="16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I6" i="3"/>
  <c r="H6" i="3"/>
  <c r="H93" i="4"/>
  <c r="H94" i="4"/>
  <c r="H95" i="4"/>
  <c r="H96" i="4"/>
  <c r="H97" i="4"/>
  <c r="H101" i="4"/>
  <c r="H102" i="4"/>
  <c r="H103" i="4"/>
  <c r="H104" i="4"/>
  <c r="H105" i="4"/>
  <c r="H110" i="4"/>
  <c r="H111" i="4"/>
  <c r="H64" i="4"/>
  <c r="H65" i="4"/>
  <c r="H69" i="4"/>
  <c r="H70" i="4"/>
  <c r="H71" i="4"/>
  <c r="H79" i="4"/>
  <c r="H80" i="4"/>
  <c r="H84" i="4"/>
  <c r="H98" i="4"/>
  <c r="H99" i="4"/>
  <c r="H100" i="4"/>
  <c r="H106" i="4"/>
  <c r="H107" i="4"/>
  <c r="H66" i="4"/>
  <c r="H67" i="4"/>
  <c r="H68" i="4"/>
  <c r="H78" i="4"/>
  <c r="H83" i="4"/>
  <c r="H108" i="4"/>
  <c r="H109" i="4"/>
  <c r="Q70" i="16" l="1"/>
  <c r="R70" i="16"/>
  <c r="N70" i="16"/>
  <c r="O70" i="16"/>
  <c r="P70" i="16"/>
  <c r="S70" i="16" s="1"/>
  <c r="Q69" i="16"/>
  <c r="R69" i="16"/>
  <c r="P69" i="16"/>
  <c r="O69" i="16"/>
  <c r="N69" i="16"/>
  <c r="S69" i="16" s="1"/>
  <c r="R41" i="16"/>
  <c r="N41" i="16"/>
  <c r="Q41" i="16"/>
  <c r="O41" i="16"/>
  <c r="P41" i="16"/>
  <c r="O43" i="16"/>
  <c r="P43" i="16"/>
  <c r="Q43" i="16"/>
  <c r="R43" i="16"/>
  <c r="N43" i="16"/>
  <c r="S43" i="16" s="1"/>
  <c r="N42" i="16"/>
  <c r="O42" i="16"/>
  <c r="P42" i="16"/>
  <c r="Q42" i="16"/>
  <c r="R42" i="16"/>
  <c r="O68" i="16"/>
  <c r="P68" i="16"/>
  <c r="Q68" i="16"/>
  <c r="N68" i="16"/>
  <c r="R68" i="16"/>
  <c r="R40" i="16"/>
  <c r="Q40" i="16"/>
  <c r="N40" i="16"/>
  <c r="O40" i="16"/>
  <c r="P40" i="16"/>
  <c r="Q45" i="16"/>
  <c r="R45" i="16"/>
  <c r="N45" i="16"/>
  <c r="P45" i="16"/>
  <c r="O45" i="16"/>
  <c r="P39" i="16"/>
  <c r="Q39" i="16"/>
  <c r="R39" i="16"/>
  <c r="O39" i="16"/>
  <c r="N39" i="16"/>
  <c r="S39" i="16" s="1"/>
  <c r="O44" i="16"/>
  <c r="P44" i="16"/>
  <c r="Q44" i="16"/>
  <c r="N44" i="16"/>
  <c r="R44" i="16"/>
  <c r="P38" i="16"/>
  <c r="Q38" i="16"/>
  <c r="O38" i="16"/>
  <c r="R38" i="16"/>
  <c r="N38" i="16"/>
  <c r="P109" i="4"/>
  <c r="O109" i="4"/>
  <c r="Q109" i="4"/>
  <c r="R109" i="4"/>
  <c r="S109" i="4"/>
  <c r="Q83" i="4"/>
  <c r="P83" i="4"/>
  <c r="O83" i="4"/>
  <c r="R83" i="4"/>
  <c r="S83" i="4"/>
  <c r="O68" i="4"/>
  <c r="S68" i="4"/>
  <c r="R68" i="4"/>
  <c r="P68" i="4"/>
  <c r="Q68" i="4"/>
  <c r="R66" i="4"/>
  <c r="S66" i="4"/>
  <c r="O66" i="4"/>
  <c r="P66" i="4"/>
  <c r="Q66" i="4"/>
  <c r="P106" i="4"/>
  <c r="O106" i="4"/>
  <c r="Q106" i="4"/>
  <c r="R106" i="4"/>
  <c r="S106" i="4"/>
  <c r="R99" i="4"/>
  <c r="P99" i="4"/>
  <c r="Q99" i="4"/>
  <c r="S99" i="4"/>
  <c r="O99" i="4"/>
  <c r="P84" i="4"/>
  <c r="Q84" i="4"/>
  <c r="O84" i="4"/>
  <c r="R84" i="4"/>
  <c r="S84" i="4"/>
  <c r="O79" i="4"/>
  <c r="S79" i="4"/>
  <c r="Q79" i="4"/>
  <c r="P79" i="4"/>
  <c r="R79" i="4"/>
  <c r="Q70" i="4"/>
  <c r="R70" i="4"/>
  <c r="P70" i="4"/>
  <c r="S70" i="4"/>
  <c r="O70" i="4"/>
  <c r="O65" i="4"/>
  <c r="S65" i="4"/>
  <c r="R65" i="4"/>
  <c r="Q65" i="4"/>
  <c r="P65" i="4"/>
  <c r="O110" i="4"/>
  <c r="S110" i="4"/>
  <c r="P110" i="4"/>
  <c r="Q110" i="4"/>
  <c r="R110" i="4"/>
  <c r="O104" i="4"/>
  <c r="S104" i="4"/>
  <c r="P104" i="4"/>
  <c r="Q104" i="4"/>
  <c r="R104" i="4"/>
  <c r="R102" i="4"/>
  <c r="P102" i="4"/>
  <c r="Q102" i="4"/>
  <c r="S102" i="4"/>
  <c r="O102" i="4"/>
  <c r="Q97" i="4"/>
  <c r="P97" i="4"/>
  <c r="R97" i="4"/>
  <c r="S97" i="4"/>
  <c r="O97" i="4"/>
  <c r="O95" i="4"/>
  <c r="S95" i="4"/>
  <c r="P95" i="4"/>
  <c r="Q95" i="4"/>
  <c r="R95" i="4"/>
  <c r="R93" i="4"/>
  <c r="P93" i="4"/>
  <c r="Q93" i="4"/>
  <c r="S93" i="4"/>
  <c r="O93" i="4"/>
  <c r="R108" i="4"/>
  <c r="P108" i="4"/>
  <c r="Q108" i="4"/>
  <c r="S108" i="4"/>
  <c r="O108" i="4"/>
  <c r="Q78" i="4"/>
  <c r="R78" i="4"/>
  <c r="O78" i="4"/>
  <c r="P78" i="4"/>
  <c r="S78" i="4"/>
  <c r="P67" i="4"/>
  <c r="R67" i="4"/>
  <c r="O67" i="4"/>
  <c r="Q67" i="4"/>
  <c r="S67" i="4"/>
  <c r="O107" i="4"/>
  <c r="S107" i="4"/>
  <c r="P107" i="4"/>
  <c r="Q107" i="4"/>
  <c r="R107" i="4"/>
  <c r="Q100" i="4"/>
  <c r="P100" i="4"/>
  <c r="R100" i="4"/>
  <c r="S100" i="4"/>
  <c r="O100" i="4"/>
  <c r="P98" i="4"/>
  <c r="Q98" i="4"/>
  <c r="R98" i="4"/>
  <c r="S98" i="4"/>
  <c r="O98" i="4"/>
  <c r="R80" i="4"/>
  <c r="Q80" i="4"/>
  <c r="P80" i="4"/>
  <c r="S80" i="4"/>
  <c r="O80" i="4"/>
  <c r="O71" i="4"/>
  <c r="S71" i="4"/>
  <c r="Q71" i="4"/>
  <c r="R71" i="4"/>
  <c r="P71" i="4"/>
  <c r="Q69" i="4"/>
  <c r="R69" i="4"/>
  <c r="P69" i="4"/>
  <c r="O69" i="4"/>
  <c r="S69" i="4"/>
  <c r="P64" i="4"/>
  <c r="R64" i="4"/>
  <c r="O64" i="4"/>
  <c r="Q64" i="4"/>
  <c r="S64" i="4"/>
  <c r="R111" i="4"/>
  <c r="P111" i="4"/>
  <c r="Q111" i="4"/>
  <c r="S111" i="4"/>
  <c r="O111" i="4"/>
  <c r="Q105" i="4"/>
  <c r="O105" i="4"/>
  <c r="P105" i="4"/>
  <c r="R105" i="4"/>
  <c r="S105" i="4"/>
  <c r="P103" i="4"/>
  <c r="O103" i="4"/>
  <c r="Q103" i="4"/>
  <c r="R103" i="4"/>
  <c r="S103" i="4"/>
  <c r="O101" i="4"/>
  <c r="S101" i="4"/>
  <c r="P101" i="4"/>
  <c r="Q101" i="4"/>
  <c r="R101" i="4"/>
  <c r="R96" i="4"/>
  <c r="P96" i="4"/>
  <c r="Q96" i="4"/>
  <c r="S96" i="4"/>
  <c r="O96" i="4"/>
  <c r="Q94" i="4"/>
  <c r="P94" i="4"/>
  <c r="R94" i="4"/>
  <c r="S94" i="4"/>
  <c r="O94" i="4"/>
  <c r="Q6" i="3"/>
  <c r="O6" i="3"/>
  <c r="P6" i="3"/>
  <c r="R6" i="3"/>
  <c r="S6" i="3"/>
  <c r="S41" i="16" l="1"/>
  <c r="S40" i="16"/>
  <c r="S38" i="16"/>
  <c r="S44" i="16"/>
  <c r="S42" i="16"/>
  <c r="S68" i="16"/>
  <c r="S45" i="16"/>
  <c r="T101" i="4"/>
  <c r="T111" i="4"/>
  <c r="T71" i="4"/>
  <c r="T98" i="4"/>
  <c r="T78" i="4"/>
  <c r="T93" i="4"/>
  <c r="T102" i="4"/>
  <c r="T110" i="4"/>
  <c r="T99" i="4"/>
  <c r="T64" i="4"/>
  <c r="T94" i="4"/>
  <c r="T96" i="4"/>
  <c r="T105" i="4"/>
  <c r="T100" i="4"/>
  <c r="T67" i="4"/>
  <c r="T104" i="4"/>
  <c r="T79" i="4"/>
  <c r="T103" i="4"/>
  <c r="T65" i="4"/>
  <c r="T70" i="4"/>
  <c r="T106" i="4"/>
  <c r="T68" i="4"/>
  <c r="T109" i="4"/>
  <c r="T84" i="4"/>
  <c r="T69" i="4"/>
  <c r="T80" i="4"/>
  <c r="T107" i="4"/>
  <c r="T108" i="4"/>
  <c r="T95" i="4"/>
  <c r="T97" i="4"/>
  <c r="T66" i="4"/>
  <c r="T83" i="4"/>
  <c r="R99" i="3"/>
  <c r="F99" i="3" s="1"/>
  <c r="P99" i="3"/>
  <c r="D99" i="3" s="1"/>
  <c r="Q99" i="3"/>
  <c r="E99" i="3" s="1"/>
  <c r="S99" i="3"/>
  <c r="G99" i="3" s="1"/>
  <c r="O99" i="3"/>
  <c r="C99" i="3" s="1"/>
  <c r="T6" i="3"/>
  <c r="T99" i="3" l="1"/>
  <c r="H99" i="3" s="1"/>
  <c r="G487" i="44" l="1"/>
  <c r="G486" i="44"/>
  <c r="G485" i="44"/>
  <c r="G484" i="44"/>
  <c r="G483" i="44"/>
  <c r="G482" i="44"/>
  <c r="G481" i="44"/>
  <c r="G480" i="44"/>
  <c r="G479" i="44"/>
  <c r="G478" i="44"/>
  <c r="G477" i="44"/>
  <c r="G476" i="44"/>
  <c r="G475" i="44"/>
  <c r="G474" i="44"/>
  <c r="G473" i="44"/>
  <c r="G472" i="44"/>
  <c r="G471" i="44"/>
  <c r="G470" i="44"/>
  <c r="G469" i="44"/>
  <c r="G468" i="44"/>
  <c r="G467" i="44"/>
  <c r="G466" i="44"/>
  <c r="G465" i="44"/>
  <c r="G464" i="44"/>
  <c r="G463" i="44"/>
  <c r="G462" i="44"/>
  <c r="G461" i="44"/>
  <c r="G460" i="44"/>
  <c r="G459" i="44"/>
  <c r="G458" i="44"/>
  <c r="G457" i="44"/>
  <c r="G456" i="44"/>
  <c r="G455" i="44"/>
  <c r="G454" i="44"/>
  <c r="G453" i="44"/>
  <c r="G452" i="44"/>
  <c r="G451" i="44"/>
  <c r="G450" i="44"/>
  <c r="G449" i="44"/>
  <c r="G448" i="44"/>
  <c r="G447" i="44"/>
  <c r="G446" i="44"/>
  <c r="G445" i="44"/>
  <c r="G444" i="44"/>
  <c r="G443" i="44"/>
  <c r="G442" i="44"/>
  <c r="G441" i="44"/>
  <c r="G440" i="44"/>
  <c r="G439" i="44"/>
  <c r="G438" i="44"/>
  <c r="G437" i="44"/>
  <c r="G436" i="44"/>
  <c r="G435" i="44"/>
  <c r="G434" i="44"/>
  <c r="G433" i="44"/>
  <c r="G432" i="44"/>
  <c r="G431" i="44"/>
  <c r="G430" i="44"/>
  <c r="G429" i="44"/>
  <c r="G428" i="44"/>
  <c r="G427" i="44"/>
  <c r="G426" i="44"/>
  <c r="G425" i="44"/>
  <c r="G424" i="44"/>
  <c r="G423" i="44"/>
  <c r="G422" i="44"/>
  <c r="G421" i="44"/>
  <c r="G420" i="44"/>
  <c r="G419" i="44"/>
  <c r="G418" i="44"/>
  <c r="G417" i="44"/>
  <c r="G416" i="44"/>
  <c r="G415" i="44"/>
  <c r="G414" i="44"/>
  <c r="G413" i="44"/>
  <c r="G412" i="44"/>
  <c r="G411" i="44"/>
  <c r="G410" i="44"/>
  <c r="G409" i="44"/>
  <c r="G408" i="44"/>
  <c r="G407" i="44"/>
  <c r="G406" i="44"/>
  <c r="G405" i="44"/>
  <c r="G404" i="44"/>
  <c r="G403" i="44"/>
  <c r="G402" i="44"/>
  <c r="G401" i="44"/>
  <c r="G400" i="44"/>
  <c r="G399" i="44"/>
  <c r="G398" i="44"/>
  <c r="G397" i="44"/>
  <c r="G396" i="44"/>
  <c r="G395" i="44"/>
  <c r="G394" i="44"/>
  <c r="G393" i="44"/>
  <c r="G392" i="44"/>
  <c r="G391" i="44"/>
  <c r="G390" i="44"/>
  <c r="G389" i="44"/>
  <c r="G388" i="44"/>
  <c r="G387" i="44"/>
  <c r="G386" i="44"/>
  <c r="G385" i="44"/>
  <c r="G384" i="44"/>
  <c r="G383" i="44"/>
  <c r="G382" i="44"/>
  <c r="G381" i="44"/>
  <c r="G380" i="44"/>
  <c r="G379" i="44"/>
  <c r="G378" i="44"/>
  <c r="G377" i="44"/>
  <c r="G376" i="44"/>
  <c r="G375" i="44"/>
  <c r="G374" i="44"/>
  <c r="G373" i="44"/>
  <c r="G372" i="44"/>
  <c r="G371" i="44"/>
  <c r="G370" i="44"/>
  <c r="G369" i="44"/>
  <c r="G368" i="44"/>
  <c r="G367" i="44"/>
  <c r="G366" i="44"/>
  <c r="G365" i="44"/>
  <c r="G364" i="44"/>
  <c r="G363" i="44"/>
  <c r="G362" i="44"/>
  <c r="G361" i="44"/>
  <c r="G360" i="44"/>
  <c r="G359" i="44"/>
  <c r="G358" i="44"/>
  <c r="G357" i="44"/>
  <c r="G356" i="44"/>
  <c r="G355" i="44"/>
  <c r="G354" i="44"/>
  <c r="G353" i="44"/>
  <c r="G352" i="44"/>
  <c r="G351" i="44"/>
  <c r="G350" i="44"/>
  <c r="G349" i="44"/>
  <c r="G348" i="44"/>
  <c r="G347" i="44"/>
  <c r="G346" i="44"/>
  <c r="G345" i="44"/>
  <c r="G344" i="44"/>
  <c r="G343" i="44"/>
  <c r="G342" i="44"/>
  <c r="G341" i="44"/>
  <c r="G340" i="44"/>
  <c r="G339" i="44"/>
  <c r="G338" i="44"/>
  <c r="G337" i="44"/>
  <c r="G336" i="44"/>
  <c r="G335" i="44"/>
  <c r="G334" i="44"/>
  <c r="G333" i="44"/>
  <c r="G332" i="44"/>
  <c r="G331" i="44"/>
  <c r="G330" i="44"/>
  <c r="G329" i="44"/>
  <c r="G328" i="44"/>
  <c r="G327" i="44"/>
  <c r="G326" i="44"/>
  <c r="G325" i="44"/>
  <c r="G324" i="44"/>
  <c r="G323" i="44"/>
  <c r="G322" i="44"/>
  <c r="G321" i="44"/>
  <c r="G320" i="44"/>
  <c r="G319" i="44"/>
  <c r="G318" i="44"/>
  <c r="G317" i="44"/>
  <c r="G316" i="44"/>
  <c r="G315" i="44"/>
  <c r="G314" i="44"/>
  <c r="G313" i="44"/>
  <c r="G312" i="44"/>
  <c r="G311" i="44"/>
  <c r="G310" i="44"/>
  <c r="G309" i="44"/>
  <c r="G308" i="44"/>
  <c r="G307" i="44"/>
  <c r="G306" i="44"/>
  <c r="G305" i="44"/>
  <c r="G304" i="44"/>
  <c r="G303" i="44"/>
  <c r="G302" i="44"/>
  <c r="G301" i="44"/>
  <c r="G300" i="44"/>
  <c r="G299" i="44"/>
  <c r="G298" i="44"/>
  <c r="G297" i="44"/>
  <c r="G296" i="44"/>
  <c r="G295" i="44"/>
  <c r="G294" i="44"/>
  <c r="G293" i="44"/>
  <c r="G292" i="44"/>
  <c r="G291" i="44"/>
  <c r="G290" i="44"/>
  <c r="G289" i="44"/>
  <c r="G288" i="44"/>
  <c r="G287" i="44"/>
  <c r="G286" i="44"/>
  <c r="G285" i="44"/>
  <c r="G284" i="44"/>
  <c r="G283" i="44"/>
  <c r="G282" i="44"/>
  <c r="G281" i="44"/>
  <c r="G280" i="44"/>
  <c r="G279" i="44"/>
  <c r="G278" i="44"/>
  <c r="G277" i="44"/>
  <c r="G276" i="44"/>
  <c r="G275" i="44"/>
  <c r="G274" i="44"/>
  <c r="G273" i="44"/>
  <c r="G272" i="44"/>
  <c r="G271" i="44"/>
  <c r="G270" i="44"/>
  <c r="G269" i="44"/>
  <c r="G268" i="44"/>
  <c r="G267" i="44"/>
  <c r="G266" i="44"/>
  <c r="G265" i="44"/>
  <c r="G264" i="44"/>
  <c r="G263" i="44"/>
  <c r="G262" i="44"/>
  <c r="G261" i="44"/>
  <c r="G260" i="44"/>
  <c r="G259" i="44"/>
  <c r="G258" i="44"/>
  <c r="G257" i="44"/>
  <c r="G256" i="44"/>
  <c r="G255" i="44"/>
  <c r="G254" i="44"/>
  <c r="G253" i="44"/>
  <c r="G252" i="44"/>
  <c r="G251" i="44"/>
  <c r="G250" i="44"/>
  <c r="G249" i="44"/>
  <c r="G248" i="44"/>
  <c r="G247" i="44"/>
  <c r="G246" i="44"/>
  <c r="G245" i="44"/>
  <c r="G244" i="44"/>
  <c r="G243" i="44"/>
  <c r="G242" i="44"/>
  <c r="G241" i="44"/>
  <c r="G240" i="44"/>
  <c r="G239" i="44"/>
  <c r="G238" i="44"/>
  <c r="G237" i="44"/>
  <c r="G236" i="44"/>
  <c r="G235" i="44"/>
  <c r="G234" i="44"/>
  <c r="G233" i="44"/>
  <c r="G232" i="44"/>
  <c r="G231" i="44"/>
  <c r="G230" i="44"/>
  <c r="G229" i="44"/>
  <c r="G228" i="44"/>
  <c r="G227" i="44"/>
  <c r="G226" i="44"/>
  <c r="G225" i="44"/>
  <c r="G224" i="44"/>
  <c r="G223" i="44"/>
  <c r="G222" i="44"/>
  <c r="G221" i="44"/>
  <c r="G220" i="44"/>
  <c r="G219" i="44"/>
  <c r="G218" i="44"/>
  <c r="G217" i="44"/>
  <c r="G216" i="44"/>
  <c r="G215" i="44"/>
  <c r="G214" i="44"/>
  <c r="G213" i="44"/>
  <c r="G212" i="44"/>
  <c r="G211" i="44"/>
  <c r="G210" i="44"/>
  <c r="G209" i="44"/>
  <c r="G208" i="44"/>
  <c r="G207" i="44"/>
  <c r="G206" i="44"/>
  <c r="G205" i="44"/>
  <c r="G204" i="44"/>
  <c r="G203" i="44"/>
  <c r="G202" i="44"/>
  <c r="G201" i="44"/>
  <c r="G200" i="44"/>
  <c r="G199" i="44"/>
  <c r="G198" i="44"/>
  <c r="G197" i="44"/>
  <c r="G196" i="44"/>
  <c r="G195" i="44"/>
  <c r="G194" i="44"/>
  <c r="G193" i="44"/>
  <c r="G192" i="44"/>
  <c r="G191" i="44"/>
  <c r="G190" i="44"/>
  <c r="G189" i="44"/>
  <c r="G188" i="44"/>
  <c r="G187" i="44"/>
  <c r="G186" i="44"/>
  <c r="G185" i="44"/>
  <c r="G184" i="44"/>
  <c r="G183" i="44"/>
  <c r="G182" i="44"/>
  <c r="G181" i="44"/>
  <c r="G180" i="44"/>
  <c r="G179" i="44"/>
  <c r="G178" i="44"/>
  <c r="G177" i="44"/>
  <c r="G176" i="44"/>
  <c r="G175" i="44"/>
  <c r="G174" i="44"/>
  <c r="G173" i="44"/>
  <c r="G172" i="44"/>
  <c r="G171" i="44"/>
  <c r="G170" i="44"/>
  <c r="G169" i="44"/>
  <c r="G168" i="44"/>
  <c r="G167" i="44"/>
  <c r="G166" i="44"/>
  <c r="G165" i="44"/>
  <c r="G164" i="44"/>
  <c r="G163" i="44"/>
  <c r="G162" i="44"/>
  <c r="G161" i="44"/>
  <c r="G160" i="44"/>
  <c r="G159" i="44"/>
  <c r="G158" i="44"/>
  <c r="G157" i="44"/>
  <c r="G156" i="44"/>
  <c r="G155" i="44"/>
  <c r="G154" i="44"/>
  <c r="G153" i="44"/>
  <c r="G152" i="44"/>
  <c r="G151" i="44"/>
  <c r="G150" i="44"/>
  <c r="G149" i="44"/>
  <c r="G148" i="44"/>
  <c r="G147" i="44"/>
  <c r="G146" i="44"/>
  <c r="G145" i="44"/>
  <c r="G144" i="44"/>
  <c r="G143" i="44"/>
  <c r="G142" i="44"/>
  <c r="G141" i="44"/>
  <c r="G140" i="44"/>
  <c r="G139" i="44"/>
  <c r="G138" i="44"/>
  <c r="G137" i="44"/>
  <c r="G136" i="44"/>
  <c r="G135" i="44"/>
  <c r="G134" i="44"/>
  <c r="G133" i="44"/>
  <c r="G132" i="44"/>
  <c r="G131" i="44"/>
  <c r="G130" i="44"/>
  <c r="G129" i="44"/>
  <c r="G128" i="44"/>
  <c r="G127" i="44"/>
  <c r="G126" i="44"/>
  <c r="G125" i="44"/>
  <c r="G124" i="44"/>
  <c r="G123" i="44"/>
  <c r="G122" i="44"/>
  <c r="G121" i="44"/>
  <c r="G120" i="44"/>
  <c r="G119" i="44"/>
  <c r="G118" i="44"/>
  <c r="G117" i="44"/>
  <c r="G116" i="44"/>
  <c r="G115" i="44"/>
  <c r="G114" i="44"/>
  <c r="G113" i="44"/>
  <c r="G112" i="44"/>
  <c r="G111" i="44"/>
  <c r="G110" i="44"/>
  <c r="G109" i="44"/>
  <c r="G108" i="44"/>
  <c r="G107" i="44"/>
  <c r="G106" i="44"/>
  <c r="G105" i="44"/>
  <c r="G104" i="44"/>
  <c r="G103" i="44"/>
  <c r="G102" i="44"/>
  <c r="G101" i="44"/>
  <c r="G100" i="44"/>
  <c r="G99" i="44"/>
  <c r="G98" i="44"/>
  <c r="G97" i="44"/>
  <c r="G96" i="44"/>
  <c r="G95" i="44"/>
  <c r="G94" i="44"/>
  <c r="G93" i="44"/>
  <c r="G92" i="44"/>
  <c r="G91" i="44"/>
  <c r="G90" i="44"/>
  <c r="G89" i="44"/>
  <c r="G88" i="44"/>
  <c r="G87" i="44"/>
  <c r="G86" i="44"/>
  <c r="G85" i="44"/>
  <c r="G84" i="44"/>
  <c r="G83" i="44"/>
  <c r="G82" i="44"/>
  <c r="G81" i="44"/>
  <c r="G80" i="44"/>
  <c r="G79" i="44"/>
  <c r="G78" i="44"/>
  <c r="G77" i="44"/>
  <c r="G76" i="44"/>
  <c r="G75" i="44"/>
  <c r="G74" i="44"/>
  <c r="G73" i="44"/>
  <c r="G72" i="44"/>
  <c r="G71" i="44"/>
  <c r="I59" i="44"/>
  <c r="P59" i="44" s="1"/>
  <c r="H59" i="44"/>
  <c r="I58" i="44"/>
  <c r="Q58" i="44" s="1"/>
  <c r="H58" i="44"/>
  <c r="I57" i="44"/>
  <c r="P57" i="44" s="1"/>
  <c r="H57" i="44"/>
  <c r="I56" i="44"/>
  <c r="Q56" i="44" s="1"/>
  <c r="H56" i="44"/>
  <c r="I55" i="44"/>
  <c r="P55" i="44" s="1"/>
  <c r="H55" i="44"/>
  <c r="I54" i="44"/>
  <c r="Q54" i="44" s="1"/>
  <c r="H54" i="44"/>
  <c r="I53" i="44"/>
  <c r="P53" i="44" s="1"/>
  <c r="H53" i="44"/>
  <c r="I52" i="44"/>
  <c r="Q52" i="44" s="1"/>
  <c r="H52" i="44"/>
  <c r="I51" i="44"/>
  <c r="P51" i="44" s="1"/>
  <c r="H51" i="44"/>
  <c r="I50" i="44"/>
  <c r="Q50" i="44" s="1"/>
  <c r="H50" i="44"/>
  <c r="I49" i="44"/>
  <c r="P49" i="44" s="1"/>
  <c r="H49" i="44"/>
  <c r="I48" i="44"/>
  <c r="Q48" i="44" s="1"/>
  <c r="H48" i="44"/>
  <c r="I47" i="44"/>
  <c r="P47" i="44" s="1"/>
  <c r="H47" i="44"/>
  <c r="I46" i="44"/>
  <c r="Q46" i="44" s="1"/>
  <c r="H46" i="44"/>
  <c r="I45" i="44"/>
  <c r="P45" i="44" s="1"/>
  <c r="H45" i="44"/>
  <c r="I44" i="44"/>
  <c r="Q44" i="44" s="1"/>
  <c r="H44" i="44"/>
  <c r="I43" i="44"/>
  <c r="P43" i="44" s="1"/>
  <c r="H43" i="44"/>
  <c r="I42" i="44"/>
  <c r="Q42" i="44" s="1"/>
  <c r="H42" i="44"/>
  <c r="I41" i="44"/>
  <c r="P41" i="44" s="1"/>
  <c r="H41" i="44"/>
  <c r="I40" i="44"/>
  <c r="Q40" i="44" s="1"/>
  <c r="H40" i="44"/>
  <c r="I39" i="44"/>
  <c r="P39" i="44" s="1"/>
  <c r="H39" i="44"/>
  <c r="I38" i="44"/>
  <c r="Q38" i="44" s="1"/>
  <c r="H38" i="44"/>
  <c r="I37" i="44"/>
  <c r="Q37" i="44" s="1"/>
  <c r="H37" i="44"/>
  <c r="I36" i="44"/>
  <c r="Q36" i="44" s="1"/>
  <c r="H36" i="44"/>
  <c r="I35" i="44"/>
  <c r="Q35" i="44" s="1"/>
  <c r="H35" i="44"/>
  <c r="I34" i="44"/>
  <c r="Q34" i="44" s="1"/>
  <c r="H34" i="44"/>
  <c r="I33" i="44"/>
  <c r="Q33" i="44" s="1"/>
  <c r="H33" i="44"/>
  <c r="I32" i="44"/>
  <c r="Q32" i="44" s="1"/>
  <c r="H32" i="44"/>
  <c r="I31" i="44"/>
  <c r="Q31" i="44" s="1"/>
  <c r="H31" i="44"/>
  <c r="I30" i="44"/>
  <c r="Q30" i="44" s="1"/>
  <c r="H30" i="44"/>
  <c r="I29" i="44"/>
  <c r="Q29" i="44" s="1"/>
  <c r="H29" i="44"/>
  <c r="I28" i="44"/>
  <c r="Q28" i="44" s="1"/>
  <c r="H28" i="44"/>
  <c r="I27" i="44"/>
  <c r="Q27" i="44" s="1"/>
  <c r="H27" i="44"/>
  <c r="I26" i="44"/>
  <c r="Q26" i="44" s="1"/>
  <c r="H26" i="44"/>
  <c r="I25" i="44"/>
  <c r="O25" i="44" s="1"/>
  <c r="H25" i="44"/>
  <c r="I24" i="44"/>
  <c r="O24" i="44" s="1"/>
  <c r="H24" i="44"/>
  <c r="I23" i="44"/>
  <c r="O23" i="44" s="1"/>
  <c r="H23" i="44"/>
  <c r="I22" i="44"/>
  <c r="O22" i="44" s="1"/>
  <c r="H22" i="44"/>
  <c r="I21" i="44"/>
  <c r="O21" i="44" s="1"/>
  <c r="H21" i="44"/>
  <c r="I20" i="44"/>
  <c r="O20" i="44" s="1"/>
  <c r="H20" i="44"/>
  <c r="I19" i="44"/>
  <c r="O19" i="44" s="1"/>
  <c r="H19" i="44"/>
  <c r="I18" i="44"/>
  <c r="O18" i="44" s="1"/>
  <c r="H18" i="44"/>
  <c r="I17" i="44"/>
  <c r="O17" i="44" s="1"/>
  <c r="H17" i="44"/>
  <c r="I16" i="44"/>
  <c r="O16" i="44" s="1"/>
  <c r="H16" i="44"/>
  <c r="I15" i="44"/>
  <c r="O15" i="44" s="1"/>
  <c r="H15" i="44"/>
  <c r="I14" i="44"/>
  <c r="O14" i="44" s="1"/>
  <c r="H14" i="44"/>
  <c r="I13" i="44"/>
  <c r="O13" i="44" s="1"/>
  <c r="H13" i="44"/>
  <c r="I12" i="44"/>
  <c r="O12" i="44" s="1"/>
  <c r="H12" i="44"/>
  <c r="I11" i="44"/>
  <c r="O11" i="44" s="1"/>
  <c r="H11" i="44"/>
  <c r="I10" i="44"/>
  <c r="O10" i="44" s="1"/>
  <c r="H10" i="44"/>
  <c r="I9" i="44"/>
  <c r="O9" i="44" s="1"/>
  <c r="H9" i="44"/>
  <c r="I8" i="44"/>
  <c r="O8" i="44" s="1"/>
  <c r="H8" i="44"/>
  <c r="I7" i="44"/>
  <c r="O7" i="44" s="1"/>
  <c r="H7" i="44"/>
  <c r="I6" i="44"/>
  <c r="O6" i="44" s="1"/>
  <c r="H6" i="44"/>
  <c r="G505" i="43"/>
  <c r="G504" i="43"/>
  <c r="G503" i="43"/>
  <c r="G502" i="43"/>
  <c r="G501" i="43"/>
  <c r="G500" i="43"/>
  <c r="G499" i="43"/>
  <c r="G498" i="43"/>
  <c r="G497" i="43"/>
  <c r="G496" i="43"/>
  <c r="G495" i="43"/>
  <c r="G494" i="43"/>
  <c r="G493" i="43"/>
  <c r="G492" i="43"/>
  <c r="G491" i="43"/>
  <c r="G490" i="43"/>
  <c r="G489" i="43"/>
  <c r="G488" i="43"/>
  <c r="G487" i="43"/>
  <c r="G486" i="43"/>
  <c r="G485" i="43"/>
  <c r="G484" i="43"/>
  <c r="G483" i="43"/>
  <c r="G482" i="43"/>
  <c r="G481" i="43"/>
  <c r="G480" i="43"/>
  <c r="G479" i="43"/>
  <c r="G478" i="43"/>
  <c r="G477" i="43"/>
  <c r="G476" i="43"/>
  <c r="G475" i="43"/>
  <c r="G474" i="43"/>
  <c r="G473" i="43"/>
  <c r="G472" i="43"/>
  <c r="G471" i="43"/>
  <c r="G470" i="43"/>
  <c r="G469" i="43"/>
  <c r="G468" i="43"/>
  <c r="G467" i="43"/>
  <c r="G466" i="43"/>
  <c r="G465" i="43"/>
  <c r="G464" i="43"/>
  <c r="G463" i="43"/>
  <c r="G462" i="43"/>
  <c r="G461" i="43"/>
  <c r="G460" i="43"/>
  <c r="G459" i="43"/>
  <c r="G458" i="43"/>
  <c r="G457" i="43"/>
  <c r="G456" i="43"/>
  <c r="G455" i="43"/>
  <c r="G454" i="43"/>
  <c r="G453" i="43"/>
  <c r="G452" i="43"/>
  <c r="G451" i="43"/>
  <c r="G450" i="43"/>
  <c r="G449" i="43"/>
  <c r="G448" i="43"/>
  <c r="G447" i="43"/>
  <c r="G446" i="43"/>
  <c r="G445" i="43"/>
  <c r="G444" i="43"/>
  <c r="G443" i="43"/>
  <c r="G442" i="43"/>
  <c r="G441" i="43"/>
  <c r="G440" i="43"/>
  <c r="G439" i="43"/>
  <c r="G438" i="43"/>
  <c r="G437" i="43"/>
  <c r="G436" i="43"/>
  <c r="G435" i="43"/>
  <c r="G434" i="43"/>
  <c r="G433" i="43"/>
  <c r="G432" i="43"/>
  <c r="G431" i="43"/>
  <c r="G430" i="43"/>
  <c r="G429" i="43"/>
  <c r="G428" i="43"/>
  <c r="G427" i="43"/>
  <c r="G426" i="43"/>
  <c r="G425" i="43"/>
  <c r="G424" i="43"/>
  <c r="G423" i="43"/>
  <c r="G422" i="43"/>
  <c r="G421" i="43"/>
  <c r="G420" i="43"/>
  <c r="G419" i="43"/>
  <c r="G418" i="43"/>
  <c r="G417" i="43"/>
  <c r="G416" i="43"/>
  <c r="G415" i="43"/>
  <c r="G414" i="43"/>
  <c r="G413" i="43"/>
  <c r="G412" i="43"/>
  <c r="G411" i="43"/>
  <c r="G410" i="43"/>
  <c r="G409" i="43"/>
  <c r="G408" i="43"/>
  <c r="G407" i="43"/>
  <c r="G406" i="43"/>
  <c r="G405" i="43"/>
  <c r="G404" i="43"/>
  <c r="G403" i="43"/>
  <c r="G402" i="43"/>
  <c r="G401" i="43"/>
  <c r="G400" i="43"/>
  <c r="G399" i="43"/>
  <c r="G398" i="43"/>
  <c r="G397" i="43"/>
  <c r="G396" i="43"/>
  <c r="G395" i="43"/>
  <c r="G394" i="43"/>
  <c r="G393" i="43"/>
  <c r="G392" i="43"/>
  <c r="G391" i="43"/>
  <c r="G390" i="43"/>
  <c r="G389" i="43"/>
  <c r="G388" i="43"/>
  <c r="G387" i="43"/>
  <c r="G386" i="43"/>
  <c r="G385" i="43"/>
  <c r="G384" i="43"/>
  <c r="G383" i="43"/>
  <c r="G382" i="43"/>
  <c r="G381" i="43"/>
  <c r="G380" i="43"/>
  <c r="G379" i="43"/>
  <c r="G378" i="43"/>
  <c r="G377" i="43"/>
  <c r="G376" i="43"/>
  <c r="G375" i="43"/>
  <c r="G374" i="43"/>
  <c r="G373" i="43"/>
  <c r="G372" i="43"/>
  <c r="G371" i="43"/>
  <c r="G370" i="43"/>
  <c r="G369" i="43"/>
  <c r="G368" i="43"/>
  <c r="G367" i="43"/>
  <c r="G366" i="43"/>
  <c r="G365" i="43"/>
  <c r="G364" i="43"/>
  <c r="G363" i="43"/>
  <c r="G362" i="43"/>
  <c r="G361" i="43"/>
  <c r="G360" i="43"/>
  <c r="G359" i="43"/>
  <c r="G358" i="43"/>
  <c r="G357" i="43"/>
  <c r="G356" i="43"/>
  <c r="G355" i="43"/>
  <c r="G354" i="43"/>
  <c r="G353" i="43"/>
  <c r="G352" i="43"/>
  <c r="G351" i="43"/>
  <c r="G350" i="43"/>
  <c r="G349" i="43"/>
  <c r="G348" i="43"/>
  <c r="G347" i="43"/>
  <c r="G346" i="43"/>
  <c r="G345" i="43"/>
  <c r="G344" i="43"/>
  <c r="G343" i="43"/>
  <c r="G342" i="43"/>
  <c r="G341" i="43"/>
  <c r="G340" i="43"/>
  <c r="G339" i="43"/>
  <c r="G338" i="43"/>
  <c r="G337" i="43"/>
  <c r="G336" i="43"/>
  <c r="G335" i="43"/>
  <c r="G334" i="43"/>
  <c r="G333" i="43"/>
  <c r="G332" i="43"/>
  <c r="G331" i="43"/>
  <c r="G330" i="43"/>
  <c r="G329" i="43"/>
  <c r="G328" i="43"/>
  <c r="G327" i="43"/>
  <c r="G326" i="43"/>
  <c r="G325" i="43"/>
  <c r="G324" i="43"/>
  <c r="G323" i="43"/>
  <c r="G322" i="43"/>
  <c r="G321" i="43"/>
  <c r="G320" i="43"/>
  <c r="G319" i="43"/>
  <c r="G318" i="43"/>
  <c r="G317" i="43"/>
  <c r="G316" i="43"/>
  <c r="G315" i="43"/>
  <c r="G314" i="43"/>
  <c r="G313" i="43"/>
  <c r="G312" i="43"/>
  <c r="G311" i="43"/>
  <c r="G310" i="43"/>
  <c r="G309" i="43"/>
  <c r="G308" i="43"/>
  <c r="G307" i="43"/>
  <c r="G306" i="43"/>
  <c r="G305" i="43"/>
  <c r="G304" i="43"/>
  <c r="G303" i="43"/>
  <c r="G302" i="43"/>
  <c r="G301" i="43"/>
  <c r="G300" i="43"/>
  <c r="G299" i="43"/>
  <c r="G298" i="43"/>
  <c r="G297" i="43"/>
  <c r="G296" i="43"/>
  <c r="G295" i="43"/>
  <c r="G294" i="43"/>
  <c r="G293" i="43"/>
  <c r="G292" i="43"/>
  <c r="G291" i="43"/>
  <c r="G290" i="43"/>
  <c r="G289" i="43"/>
  <c r="G288" i="43"/>
  <c r="G287" i="43"/>
  <c r="G286" i="43"/>
  <c r="G285" i="43"/>
  <c r="G284" i="43"/>
  <c r="G283" i="43"/>
  <c r="G282" i="43"/>
  <c r="G281" i="43"/>
  <c r="G280" i="43"/>
  <c r="G279" i="43"/>
  <c r="G278" i="43"/>
  <c r="G277" i="43"/>
  <c r="G276" i="43"/>
  <c r="G275" i="43"/>
  <c r="G274" i="43"/>
  <c r="G273" i="43"/>
  <c r="G272" i="43"/>
  <c r="G271" i="43"/>
  <c r="G270" i="43"/>
  <c r="G269" i="43"/>
  <c r="G268" i="43"/>
  <c r="G267" i="43"/>
  <c r="G266" i="43"/>
  <c r="G265" i="43"/>
  <c r="G264" i="43"/>
  <c r="G263" i="43"/>
  <c r="G262" i="43"/>
  <c r="G261" i="43"/>
  <c r="G260" i="43"/>
  <c r="G259" i="43"/>
  <c r="G258" i="43"/>
  <c r="G257" i="43"/>
  <c r="G256" i="43"/>
  <c r="G255" i="43"/>
  <c r="G254" i="43"/>
  <c r="G253" i="43"/>
  <c r="G252" i="43"/>
  <c r="G251" i="43"/>
  <c r="G250" i="43"/>
  <c r="G249" i="43"/>
  <c r="G248" i="43"/>
  <c r="G247" i="43"/>
  <c r="G246" i="43"/>
  <c r="G245" i="43"/>
  <c r="G244" i="43"/>
  <c r="G243" i="43"/>
  <c r="G242" i="43"/>
  <c r="G241" i="43"/>
  <c r="G240" i="43"/>
  <c r="G239" i="43"/>
  <c r="G238" i="43"/>
  <c r="G237" i="43"/>
  <c r="G236" i="43"/>
  <c r="G235" i="43"/>
  <c r="G234" i="43"/>
  <c r="G233" i="43"/>
  <c r="G232" i="43"/>
  <c r="G231" i="43"/>
  <c r="G230" i="43"/>
  <c r="G229" i="43"/>
  <c r="G228" i="43"/>
  <c r="G227" i="43"/>
  <c r="G226" i="43"/>
  <c r="G225" i="43"/>
  <c r="G224" i="43"/>
  <c r="G223" i="43"/>
  <c r="G222" i="43"/>
  <c r="G221" i="43"/>
  <c r="G220" i="43"/>
  <c r="G219" i="43"/>
  <c r="G218" i="43"/>
  <c r="G217" i="43"/>
  <c r="G216" i="43"/>
  <c r="G215" i="43"/>
  <c r="G214" i="43"/>
  <c r="G213" i="43"/>
  <c r="G212" i="43"/>
  <c r="G211" i="43"/>
  <c r="G210" i="43"/>
  <c r="G209" i="43"/>
  <c r="G208" i="43"/>
  <c r="G207" i="43"/>
  <c r="G206" i="43"/>
  <c r="G205" i="43"/>
  <c r="G204" i="43"/>
  <c r="G203" i="43"/>
  <c r="G202" i="43"/>
  <c r="G201" i="43"/>
  <c r="G200" i="43"/>
  <c r="G199" i="43"/>
  <c r="G198" i="43"/>
  <c r="G197" i="43"/>
  <c r="G196" i="43"/>
  <c r="G195" i="43"/>
  <c r="G194" i="43"/>
  <c r="G193" i="43"/>
  <c r="G192" i="43"/>
  <c r="G191" i="43"/>
  <c r="G190" i="43"/>
  <c r="G189" i="43"/>
  <c r="G188" i="43"/>
  <c r="G187" i="43"/>
  <c r="G186" i="43"/>
  <c r="G185" i="43"/>
  <c r="G184" i="43"/>
  <c r="G183" i="43"/>
  <c r="G182" i="43"/>
  <c r="G181" i="43"/>
  <c r="G180" i="43"/>
  <c r="G179" i="43"/>
  <c r="G178" i="43"/>
  <c r="G177" i="43"/>
  <c r="G176" i="43"/>
  <c r="G175" i="43"/>
  <c r="G174" i="43"/>
  <c r="G173" i="43"/>
  <c r="G172" i="43"/>
  <c r="G171" i="43"/>
  <c r="G170" i="43"/>
  <c r="G169" i="43"/>
  <c r="G168" i="43"/>
  <c r="G167" i="43"/>
  <c r="G166" i="43"/>
  <c r="G165" i="43"/>
  <c r="G164" i="43"/>
  <c r="G163" i="43"/>
  <c r="G162" i="43"/>
  <c r="G161" i="43"/>
  <c r="G160" i="43"/>
  <c r="G159" i="43"/>
  <c r="G158" i="43"/>
  <c r="G157" i="43"/>
  <c r="G156" i="43"/>
  <c r="G155" i="43"/>
  <c r="G154" i="43"/>
  <c r="G153" i="43"/>
  <c r="G152" i="43"/>
  <c r="G151" i="43"/>
  <c r="G150" i="43"/>
  <c r="G149" i="43"/>
  <c r="G148" i="43"/>
  <c r="G147" i="43"/>
  <c r="G146" i="43"/>
  <c r="G145" i="43"/>
  <c r="G144" i="43"/>
  <c r="G143" i="43"/>
  <c r="G142" i="43"/>
  <c r="G141" i="43"/>
  <c r="G140" i="43"/>
  <c r="G139" i="43"/>
  <c r="G138" i="43"/>
  <c r="G137" i="43"/>
  <c r="G136" i="43"/>
  <c r="G135" i="43"/>
  <c r="G134" i="43"/>
  <c r="G133" i="43"/>
  <c r="G132" i="43"/>
  <c r="G131" i="43"/>
  <c r="G130" i="43"/>
  <c r="G129" i="43"/>
  <c r="G128" i="43"/>
  <c r="G127" i="43"/>
  <c r="G126" i="43"/>
  <c r="G125" i="43"/>
  <c r="G124" i="43"/>
  <c r="G123" i="43"/>
  <c r="G122" i="43"/>
  <c r="G121" i="43"/>
  <c r="G120" i="43"/>
  <c r="G119" i="43"/>
  <c r="G118" i="43"/>
  <c r="G117" i="43"/>
  <c r="G116" i="43"/>
  <c r="G115" i="43"/>
  <c r="G114" i="43"/>
  <c r="G113" i="43"/>
  <c r="G112" i="43"/>
  <c r="G111" i="43"/>
  <c r="G110" i="43"/>
  <c r="G109" i="43"/>
  <c r="G108" i="43"/>
  <c r="G107" i="43"/>
  <c r="G106" i="43"/>
  <c r="G105" i="43"/>
  <c r="G104" i="43"/>
  <c r="G103" i="43"/>
  <c r="G102" i="43"/>
  <c r="G101" i="43"/>
  <c r="G100" i="43"/>
  <c r="G99" i="43"/>
  <c r="G98" i="43"/>
  <c r="G97" i="43"/>
  <c r="G96" i="43"/>
  <c r="G95" i="43"/>
  <c r="G94" i="43"/>
  <c r="G93" i="43"/>
  <c r="G92" i="43"/>
  <c r="G91" i="43"/>
  <c r="G90" i="43"/>
  <c r="G89" i="43"/>
  <c r="I77" i="43"/>
  <c r="P77" i="43" s="1"/>
  <c r="H77" i="43"/>
  <c r="I76" i="43"/>
  <c r="P76" i="43" s="1"/>
  <c r="H76" i="43"/>
  <c r="I75" i="43"/>
  <c r="P75" i="43" s="1"/>
  <c r="H75" i="43"/>
  <c r="I74" i="43"/>
  <c r="P74" i="43" s="1"/>
  <c r="H74" i="43"/>
  <c r="I73" i="43"/>
  <c r="P73" i="43" s="1"/>
  <c r="H73" i="43"/>
  <c r="I72" i="43"/>
  <c r="P72" i="43" s="1"/>
  <c r="H72" i="43"/>
  <c r="I71" i="43"/>
  <c r="P71" i="43" s="1"/>
  <c r="H71" i="43"/>
  <c r="O70" i="43"/>
  <c r="N70" i="43"/>
  <c r="I70" i="43"/>
  <c r="P70" i="43" s="1"/>
  <c r="H70" i="43"/>
  <c r="R69" i="43"/>
  <c r="I69" i="43"/>
  <c r="P69" i="43" s="1"/>
  <c r="H69" i="43"/>
  <c r="I68" i="43"/>
  <c r="P68" i="43" s="1"/>
  <c r="H68" i="43"/>
  <c r="I67" i="43"/>
  <c r="P67" i="43" s="1"/>
  <c r="H67" i="43"/>
  <c r="I66" i="43"/>
  <c r="P66" i="43" s="1"/>
  <c r="H66" i="43"/>
  <c r="I65" i="43"/>
  <c r="P65" i="43" s="1"/>
  <c r="H65" i="43"/>
  <c r="I64" i="43"/>
  <c r="P64" i="43" s="1"/>
  <c r="H64" i="43"/>
  <c r="I63" i="43"/>
  <c r="P63" i="43" s="1"/>
  <c r="H63" i="43"/>
  <c r="I62" i="43"/>
  <c r="P62" i="43" s="1"/>
  <c r="H62" i="43"/>
  <c r="I61" i="43"/>
  <c r="P61" i="43" s="1"/>
  <c r="H61" i="43"/>
  <c r="I60" i="43"/>
  <c r="P60" i="43" s="1"/>
  <c r="H60" i="43"/>
  <c r="I59" i="43"/>
  <c r="P59" i="43" s="1"/>
  <c r="H59" i="43"/>
  <c r="I58" i="43"/>
  <c r="P58" i="43" s="1"/>
  <c r="H58" i="43"/>
  <c r="I57" i="43"/>
  <c r="P57" i="43" s="1"/>
  <c r="H57" i="43"/>
  <c r="I56" i="43"/>
  <c r="P56" i="43" s="1"/>
  <c r="H56" i="43"/>
  <c r="I55" i="43"/>
  <c r="P55" i="43" s="1"/>
  <c r="H55" i="43"/>
  <c r="I54" i="43"/>
  <c r="P54" i="43" s="1"/>
  <c r="H54" i="43"/>
  <c r="I53" i="43"/>
  <c r="P53" i="43" s="1"/>
  <c r="H53" i="43"/>
  <c r="I52" i="43"/>
  <c r="P52" i="43" s="1"/>
  <c r="H52" i="43"/>
  <c r="I51" i="43"/>
  <c r="P51" i="43" s="1"/>
  <c r="H51" i="43"/>
  <c r="I50" i="43"/>
  <c r="P50" i="43" s="1"/>
  <c r="H50" i="43"/>
  <c r="I49" i="43"/>
  <c r="P49" i="43" s="1"/>
  <c r="H49" i="43"/>
  <c r="I48" i="43"/>
  <c r="Q48" i="43" s="1"/>
  <c r="H48" i="43"/>
  <c r="I47" i="43"/>
  <c r="Q47" i="43" s="1"/>
  <c r="H47" i="43"/>
  <c r="I46" i="43"/>
  <c r="Q46" i="43" s="1"/>
  <c r="H46" i="43"/>
  <c r="I45" i="43"/>
  <c r="Q45" i="43" s="1"/>
  <c r="H45" i="43"/>
  <c r="I44" i="43"/>
  <c r="Q44" i="43" s="1"/>
  <c r="H44" i="43"/>
  <c r="I43" i="43"/>
  <c r="Q43" i="43" s="1"/>
  <c r="H43" i="43"/>
  <c r="I42" i="43"/>
  <c r="Q42" i="43" s="1"/>
  <c r="H42" i="43"/>
  <c r="I41" i="43"/>
  <c r="Q41" i="43" s="1"/>
  <c r="H41" i="43"/>
  <c r="I40" i="43"/>
  <c r="Q40" i="43" s="1"/>
  <c r="H40" i="43"/>
  <c r="I39" i="43"/>
  <c r="Q39" i="43" s="1"/>
  <c r="H39" i="43"/>
  <c r="I38" i="43"/>
  <c r="Q38" i="43" s="1"/>
  <c r="H38" i="43"/>
  <c r="I37" i="43"/>
  <c r="Q37" i="43" s="1"/>
  <c r="H37" i="43"/>
  <c r="I36" i="43"/>
  <c r="Q36" i="43" s="1"/>
  <c r="H36" i="43"/>
  <c r="I35" i="43"/>
  <c r="R35" i="43" s="1"/>
  <c r="H35" i="43"/>
  <c r="I34" i="43"/>
  <c r="R34" i="43" s="1"/>
  <c r="H34" i="43"/>
  <c r="I33" i="43"/>
  <c r="H33" i="43"/>
  <c r="I32" i="43"/>
  <c r="R32" i="43" s="1"/>
  <c r="H32" i="43"/>
  <c r="I31" i="43"/>
  <c r="R31" i="43" s="1"/>
  <c r="H31" i="43"/>
  <c r="I30" i="43"/>
  <c r="R30" i="43" s="1"/>
  <c r="H30" i="43"/>
  <c r="I29" i="43"/>
  <c r="H29" i="43"/>
  <c r="I28" i="43"/>
  <c r="R28" i="43" s="1"/>
  <c r="H28" i="43"/>
  <c r="I27" i="43"/>
  <c r="Q27" i="43" s="1"/>
  <c r="H27" i="43"/>
  <c r="I26" i="43"/>
  <c r="R26" i="43" s="1"/>
  <c r="H26" i="43"/>
  <c r="I25" i="43"/>
  <c r="H25" i="43"/>
  <c r="I24" i="43"/>
  <c r="R24" i="43" s="1"/>
  <c r="H24" i="43"/>
  <c r="I23" i="43"/>
  <c r="Q23" i="43" s="1"/>
  <c r="H23" i="43"/>
  <c r="I22" i="43"/>
  <c r="R22" i="43" s="1"/>
  <c r="H22" i="43"/>
  <c r="I21" i="43"/>
  <c r="H21" i="43"/>
  <c r="I20" i="43"/>
  <c r="R20" i="43" s="1"/>
  <c r="H20" i="43"/>
  <c r="I19" i="43"/>
  <c r="R19" i="43" s="1"/>
  <c r="H19" i="43"/>
  <c r="I18" i="43"/>
  <c r="R18" i="43" s="1"/>
  <c r="H18" i="43"/>
  <c r="I17" i="43"/>
  <c r="H17" i="43"/>
  <c r="I16" i="43"/>
  <c r="R16" i="43" s="1"/>
  <c r="H16" i="43"/>
  <c r="I15" i="43"/>
  <c r="P15" i="43" s="1"/>
  <c r="H15" i="43"/>
  <c r="I14" i="43"/>
  <c r="P14" i="43" s="1"/>
  <c r="H14" i="43"/>
  <c r="I13" i="43"/>
  <c r="P13" i="43" s="1"/>
  <c r="H13" i="43"/>
  <c r="I12" i="43"/>
  <c r="P12" i="43" s="1"/>
  <c r="H12" i="43"/>
  <c r="I11" i="43"/>
  <c r="P11" i="43" s="1"/>
  <c r="H11" i="43"/>
  <c r="I10" i="43"/>
  <c r="P10" i="43" s="1"/>
  <c r="H10" i="43"/>
  <c r="I9" i="43"/>
  <c r="P9" i="43" s="1"/>
  <c r="H9" i="43"/>
  <c r="I8" i="43"/>
  <c r="P8" i="43" s="1"/>
  <c r="H8" i="43"/>
  <c r="I7" i="43"/>
  <c r="P7" i="43" s="1"/>
  <c r="H7" i="43"/>
  <c r="I6" i="43"/>
  <c r="P6" i="43" s="1"/>
  <c r="H6" i="43"/>
  <c r="G484" i="42"/>
  <c r="G483" i="42"/>
  <c r="G482" i="42"/>
  <c r="G481" i="42"/>
  <c r="G480" i="42"/>
  <c r="G479" i="42"/>
  <c r="G478" i="42"/>
  <c r="G477" i="42"/>
  <c r="G476" i="42"/>
  <c r="G475" i="42"/>
  <c r="G474" i="42"/>
  <c r="G473" i="42"/>
  <c r="G472" i="42"/>
  <c r="G471" i="42"/>
  <c r="G470" i="42"/>
  <c r="G469" i="42"/>
  <c r="G468" i="42"/>
  <c r="G467" i="42"/>
  <c r="G466" i="42"/>
  <c r="G465" i="42"/>
  <c r="G464" i="42"/>
  <c r="G463" i="42"/>
  <c r="G462" i="42"/>
  <c r="G461" i="42"/>
  <c r="G460" i="42"/>
  <c r="G459" i="42"/>
  <c r="G458" i="42"/>
  <c r="G457" i="42"/>
  <c r="G456" i="42"/>
  <c r="G455" i="42"/>
  <c r="G454" i="42"/>
  <c r="G453" i="42"/>
  <c r="G452" i="42"/>
  <c r="G451" i="42"/>
  <c r="G450" i="42"/>
  <c r="G449" i="42"/>
  <c r="G448" i="42"/>
  <c r="G447" i="42"/>
  <c r="G446" i="42"/>
  <c r="G445" i="42"/>
  <c r="G444" i="42"/>
  <c r="G443" i="42"/>
  <c r="G442" i="42"/>
  <c r="G441" i="42"/>
  <c r="G440" i="42"/>
  <c r="G439" i="42"/>
  <c r="G438" i="42"/>
  <c r="G437" i="42"/>
  <c r="G436" i="42"/>
  <c r="G435" i="42"/>
  <c r="G434" i="42"/>
  <c r="G433" i="42"/>
  <c r="G432" i="42"/>
  <c r="G431" i="42"/>
  <c r="G430" i="42"/>
  <c r="G429" i="42"/>
  <c r="G428" i="42"/>
  <c r="G427" i="42"/>
  <c r="G426" i="42"/>
  <c r="G425" i="42"/>
  <c r="G424" i="42"/>
  <c r="G423" i="42"/>
  <c r="G422" i="42"/>
  <c r="G421" i="42"/>
  <c r="G420" i="42"/>
  <c r="G419" i="42"/>
  <c r="G418" i="42"/>
  <c r="G417" i="42"/>
  <c r="G416" i="42"/>
  <c r="G415" i="42"/>
  <c r="G414" i="42"/>
  <c r="G413" i="42"/>
  <c r="G412" i="42"/>
  <c r="G411" i="42"/>
  <c r="G410" i="42"/>
  <c r="G409" i="42"/>
  <c r="G408" i="42"/>
  <c r="G407" i="42"/>
  <c r="G406" i="42"/>
  <c r="G405" i="42"/>
  <c r="G404" i="42"/>
  <c r="G403" i="42"/>
  <c r="G402" i="42"/>
  <c r="G401" i="42"/>
  <c r="G400" i="42"/>
  <c r="G399" i="42"/>
  <c r="G398" i="42"/>
  <c r="G397" i="42"/>
  <c r="G396" i="42"/>
  <c r="G395" i="42"/>
  <c r="G394" i="42"/>
  <c r="G393" i="42"/>
  <c r="G392" i="42"/>
  <c r="G391" i="42"/>
  <c r="G390" i="42"/>
  <c r="G389" i="42"/>
  <c r="G388" i="42"/>
  <c r="G387" i="42"/>
  <c r="G386" i="42"/>
  <c r="G385" i="42"/>
  <c r="G384" i="42"/>
  <c r="G383" i="42"/>
  <c r="G382" i="42"/>
  <c r="G381" i="42"/>
  <c r="G380" i="42"/>
  <c r="G379" i="42"/>
  <c r="G378" i="42"/>
  <c r="G377" i="42"/>
  <c r="G376" i="42"/>
  <c r="G375" i="42"/>
  <c r="G374" i="42"/>
  <c r="G373" i="42"/>
  <c r="G372" i="42"/>
  <c r="G371" i="42"/>
  <c r="G370" i="42"/>
  <c r="G369" i="42"/>
  <c r="G368" i="42"/>
  <c r="G367" i="42"/>
  <c r="G366" i="42"/>
  <c r="G365" i="42"/>
  <c r="G364" i="42"/>
  <c r="G363" i="42"/>
  <c r="G362" i="42"/>
  <c r="G361" i="42"/>
  <c r="G360" i="42"/>
  <c r="G359" i="42"/>
  <c r="G358" i="42"/>
  <c r="G357" i="42"/>
  <c r="G356" i="42"/>
  <c r="G355" i="42"/>
  <c r="G354" i="42"/>
  <c r="G353" i="42"/>
  <c r="G352" i="42"/>
  <c r="G351" i="42"/>
  <c r="G350" i="42"/>
  <c r="G349" i="42"/>
  <c r="G348" i="42"/>
  <c r="G347" i="42"/>
  <c r="G346" i="42"/>
  <c r="G345" i="42"/>
  <c r="G344" i="42"/>
  <c r="G343" i="42"/>
  <c r="G342" i="42"/>
  <c r="G341" i="42"/>
  <c r="G340" i="42"/>
  <c r="G339" i="42"/>
  <c r="G338" i="42"/>
  <c r="G337" i="42"/>
  <c r="G336" i="42"/>
  <c r="G335" i="42"/>
  <c r="G334" i="42"/>
  <c r="G333" i="42"/>
  <c r="G332" i="42"/>
  <c r="G331" i="42"/>
  <c r="G330" i="42"/>
  <c r="G329" i="42"/>
  <c r="G328" i="42"/>
  <c r="G327" i="42"/>
  <c r="G326" i="42"/>
  <c r="G325" i="42"/>
  <c r="G324" i="42"/>
  <c r="G323" i="42"/>
  <c r="G322" i="42"/>
  <c r="G321" i="42"/>
  <c r="G320" i="42"/>
  <c r="G319" i="42"/>
  <c r="G318" i="42"/>
  <c r="G317" i="42"/>
  <c r="G316" i="42"/>
  <c r="G315" i="42"/>
  <c r="G314" i="42"/>
  <c r="G313" i="42"/>
  <c r="G312" i="42"/>
  <c r="G311" i="42"/>
  <c r="G310" i="42"/>
  <c r="G309" i="42"/>
  <c r="G308" i="42"/>
  <c r="G307" i="42"/>
  <c r="G306" i="42"/>
  <c r="G305" i="42"/>
  <c r="G304" i="42"/>
  <c r="G303" i="42"/>
  <c r="G302" i="42"/>
  <c r="G301" i="42"/>
  <c r="G300" i="42"/>
  <c r="G299" i="42"/>
  <c r="G298" i="42"/>
  <c r="G297" i="42"/>
  <c r="G296" i="42"/>
  <c r="G295" i="42"/>
  <c r="G294" i="42"/>
  <c r="G293" i="42"/>
  <c r="G292" i="42"/>
  <c r="G291" i="42"/>
  <c r="G290" i="42"/>
  <c r="G289" i="42"/>
  <c r="G288" i="42"/>
  <c r="G287" i="42"/>
  <c r="G286" i="42"/>
  <c r="G285" i="42"/>
  <c r="G284" i="42"/>
  <c r="G283" i="42"/>
  <c r="G282" i="42"/>
  <c r="G281" i="42"/>
  <c r="G280" i="42"/>
  <c r="G279" i="42"/>
  <c r="G278" i="42"/>
  <c r="G277" i="42"/>
  <c r="G276" i="42"/>
  <c r="G275" i="42"/>
  <c r="G274" i="42"/>
  <c r="G273" i="42"/>
  <c r="G272" i="42"/>
  <c r="G271" i="42"/>
  <c r="G270" i="42"/>
  <c r="G269" i="42"/>
  <c r="G268" i="42"/>
  <c r="G267" i="42"/>
  <c r="G266" i="42"/>
  <c r="G265" i="42"/>
  <c r="G264" i="42"/>
  <c r="G263" i="42"/>
  <c r="G262" i="42"/>
  <c r="G261" i="42"/>
  <c r="G260" i="42"/>
  <c r="G259" i="42"/>
  <c r="G258" i="42"/>
  <c r="G257" i="42"/>
  <c r="G256" i="42"/>
  <c r="G255" i="42"/>
  <c r="G254" i="42"/>
  <c r="G253" i="42"/>
  <c r="G252" i="42"/>
  <c r="G251" i="42"/>
  <c r="G250" i="42"/>
  <c r="G249" i="42"/>
  <c r="G248" i="42"/>
  <c r="G247" i="42"/>
  <c r="G246" i="42"/>
  <c r="G245" i="42"/>
  <c r="G244" i="42"/>
  <c r="G243" i="42"/>
  <c r="G242" i="42"/>
  <c r="G241" i="42"/>
  <c r="G240" i="42"/>
  <c r="G239" i="42"/>
  <c r="G238" i="42"/>
  <c r="G237" i="42"/>
  <c r="G236" i="42"/>
  <c r="G235" i="42"/>
  <c r="G234" i="42"/>
  <c r="G233" i="42"/>
  <c r="G232" i="42"/>
  <c r="G231" i="42"/>
  <c r="G230" i="42"/>
  <c r="G229" i="42"/>
  <c r="G228" i="42"/>
  <c r="G227" i="42"/>
  <c r="G226" i="42"/>
  <c r="G225" i="42"/>
  <c r="G224" i="42"/>
  <c r="G223" i="42"/>
  <c r="G222" i="42"/>
  <c r="G221" i="42"/>
  <c r="G220" i="42"/>
  <c r="G219" i="42"/>
  <c r="G218" i="42"/>
  <c r="G217" i="42"/>
  <c r="G216" i="42"/>
  <c r="G215" i="42"/>
  <c r="G214" i="42"/>
  <c r="G213" i="42"/>
  <c r="G212" i="42"/>
  <c r="G211" i="42"/>
  <c r="G210" i="42"/>
  <c r="G209" i="42"/>
  <c r="G208" i="42"/>
  <c r="G207" i="42"/>
  <c r="G206" i="42"/>
  <c r="G205" i="42"/>
  <c r="G204" i="42"/>
  <c r="G203" i="42"/>
  <c r="G202" i="42"/>
  <c r="G201" i="42"/>
  <c r="G200" i="42"/>
  <c r="G199" i="42"/>
  <c r="G198" i="42"/>
  <c r="G197" i="42"/>
  <c r="G196" i="42"/>
  <c r="G195" i="42"/>
  <c r="G194" i="42"/>
  <c r="G193" i="42"/>
  <c r="G192" i="42"/>
  <c r="G191" i="42"/>
  <c r="G190" i="42"/>
  <c r="G189" i="42"/>
  <c r="G188" i="42"/>
  <c r="G187" i="42"/>
  <c r="G186" i="42"/>
  <c r="G185" i="42"/>
  <c r="G184" i="42"/>
  <c r="G183" i="42"/>
  <c r="G182" i="42"/>
  <c r="G181" i="42"/>
  <c r="G180" i="42"/>
  <c r="G179" i="42"/>
  <c r="G178" i="42"/>
  <c r="G177" i="42"/>
  <c r="G176" i="42"/>
  <c r="G175" i="42"/>
  <c r="G174" i="42"/>
  <c r="G173" i="42"/>
  <c r="G172" i="42"/>
  <c r="G171" i="42"/>
  <c r="G170" i="42"/>
  <c r="G169" i="42"/>
  <c r="G168" i="42"/>
  <c r="G167" i="42"/>
  <c r="G166" i="42"/>
  <c r="G165" i="42"/>
  <c r="G164" i="42"/>
  <c r="G163" i="42"/>
  <c r="G162" i="42"/>
  <c r="G161" i="42"/>
  <c r="G160" i="42"/>
  <c r="G159" i="42"/>
  <c r="G158" i="42"/>
  <c r="G157" i="42"/>
  <c r="G156" i="42"/>
  <c r="G155" i="42"/>
  <c r="G154" i="42"/>
  <c r="G153" i="42"/>
  <c r="G152" i="42"/>
  <c r="G151" i="42"/>
  <c r="G150" i="42"/>
  <c r="G149" i="42"/>
  <c r="G148" i="42"/>
  <c r="G147" i="42"/>
  <c r="G146" i="42"/>
  <c r="G145" i="42"/>
  <c r="G144" i="42"/>
  <c r="G143" i="42"/>
  <c r="G142" i="42"/>
  <c r="G141" i="42"/>
  <c r="G140" i="42"/>
  <c r="G139" i="42"/>
  <c r="G138" i="42"/>
  <c r="G137" i="42"/>
  <c r="G136" i="42"/>
  <c r="G135" i="42"/>
  <c r="G134" i="42"/>
  <c r="G133" i="42"/>
  <c r="G132" i="42"/>
  <c r="G131" i="42"/>
  <c r="G130" i="42"/>
  <c r="G129" i="42"/>
  <c r="G128" i="42"/>
  <c r="G127" i="42"/>
  <c r="G126" i="42"/>
  <c r="G125" i="42"/>
  <c r="G124" i="42"/>
  <c r="G123" i="42"/>
  <c r="G122" i="42"/>
  <c r="G121" i="42"/>
  <c r="G120" i="42"/>
  <c r="G119" i="42"/>
  <c r="G118" i="42"/>
  <c r="G117" i="42"/>
  <c r="G116" i="42"/>
  <c r="G115" i="42"/>
  <c r="G114" i="42"/>
  <c r="G113" i="42"/>
  <c r="G112" i="42"/>
  <c r="G111" i="42"/>
  <c r="G110" i="42"/>
  <c r="G109" i="42"/>
  <c r="G108" i="42"/>
  <c r="G107" i="42"/>
  <c r="G106" i="42"/>
  <c r="G105" i="42"/>
  <c r="G104" i="42"/>
  <c r="G103" i="42"/>
  <c r="I82" i="42"/>
  <c r="H82" i="42"/>
  <c r="I81" i="42"/>
  <c r="H81" i="42"/>
  <c r="I80" i="42"/>
  <c r="H80" i="42"/>
  <c r="I79" i="42"/>
  <c r="H79" i="42"/>
  <c r="I78" i="42"/>
  <c r="H78" i="42"/>
  <c r="I77" i="42"/>
  <c r="H77" i="42"/>
  <c r="I76" i="42"/>
  <c r="H76" i="42"/>
  <c r="I75" i="42"/>
  <c r="H75" i="42"/>
  <c r="I74" i="42"/>
  <c r="H74" i="42"/>
  <c r="I73" i="42"/>
  <c r="H73" i="42"/>
  <c r="I72" i="42"/>
  <c r="H72" i="42"/>
  <c r="I71" i="42"/>
  <c r="H71" i="42"/>
  <c r="I70" i="42"/>
  <c r="H70" i="42"/>
  <c r="I69" i="42"/>
  <c r="H69" i="42"/>
  <c r="I68" i="42"/>
  <c r="H68" i="42"/>
  <c r="I67" i="42"/>
  <c r="H67" i="42"/>
  <c r="I66" i="42"/>
  <c r="H66" i="42"/>
  <c r="I65" i="42"/>
  <c r="H65" i="42"/>
  <c r="I64" i="42"/>
  <c r="H64" i="42"/>
  <c r="I63" i="42"/>
  <c r="H63" i="42"/>
  <c r="I62" i="42"/>
  <c r="H62" i="42"/>
  <c r="I61" i="42"/>
  <c r="H61" i="42"/>
  <c r="I60" i="42"/>
  <c r="H60" i="42"/>
  <c r="I59" i="42"/>
  <c r="H59" i="42"/>
  <c r="I58" i="42"/>
  <c r="H58" i="42"/>
  <c r="I57" i="42"/>
  <c r="H57" i="42"/>
  <c r="I56" i="42"/>
  <c r="H56" i="42"/>
  <c r="I55" i="42"/>
  <c r="H55" i="42"/>
  <c r="I54" i="42"/>
  <c r="H54" i="42"/>
  <c r="I53" i="42"/>
  <c r="H53" i="42"/>
  <c r="I52" i="42"/>
  <c r="H52" i="42"/>
  <c r="I51" i="42"/>
  <c r="H51" i="42"/>
  <c r="I50" i="42"/>
  <c r="H50" i="42"/>
  <c r="I49" i="42"/>
  <c r="H49" i="42"/>
  <c r="I48" i="42"/>
  <c r="H48" i="42"/>
  <c r="I47" i="42"/>
  <c r="H47" i="42"/>
  <c r="I46" i="42"/>
  <c r="H46" i="42"/>
  <c r="I45" i="42"/>
  <c r="H45" i="42"/>
  <c r="I44" i="42"/>
  <c r="H44" i="42"/>
  <c r="I43" i="42"/>
  <c r="H43" i="42"/>
  <c r="I42" i="42"/>
  <c r="H42" i="42"/>
  <c r="I41" i="42"/>
  <c r="H41" i="42"/>
  <c r="I40" i="42"/>
  <c r="H40" i="42"/>
  <c r="I39" i="42"/>
  <c r="H39" i="42"/>
  <c r="I38" i="42"/>
  <c r="H38" i="42"/>
  <c r="I37" i="42"/>
  <c r="H37" i="42"/>
  <c r="I36" i="42"/>
  <c r="H36" i="42"/>
  <c r="I35" i="42"/>
  <c r="H35" i="42"/>
  <c r="I34" i="42"/>
  <c r="H34" i="42"/>
  <c r="I33" i="42"/>
  <c r="H33" i="42"/>
  <c r="I32" i="42"/>
  <c r="H32" i="42"/>
  <c r="I31" i="42"/>
  <c r="H31" i="42"/>
  <c r="I30" i="42"/>
  <c r="H30" i="42"/>
  <c r="I29" i="42"/>
  <c r="H29" i="42"/>
  <c r="I28" i="42"/>
  <c r="H28" i="42"/>
  <c r="I27" i="42"/>
  <c r="H27" i="42"/>
  <c r="I26" i="42"/>
  <c r="H26" i="42"/>
  <c r="I25" i="42"/>
  <c r="H25" i="42"/>
  <c r="I24" i="42"/>
  <c r="H24" i="42"/>
  <c r="I23" i="42"/>
  <c r="H23" i="42"/>
  <c r="I22" i="42"/>
  <c r="H22" i="42"/>
  <c r="I21" i="42"/>
  <c r="H21" i="42"/>
  <c r="I20" i="42"/>
  <c r="H20" i="42"/>
  <c r="I19" i="42"/>
  <c r="H19" i="42"/>
  <c r="I18" i="42"/>
  <c r="H18" i="42"/>
  <c r="I17" i="42"/>
  <c r="H17" i="42"/>
  <c r="I16" i="42"/>
  <c r="H16" i="42"/>
  <c r="I10" i="42"/>
  <c r="H10" i="42"/>
  <c r="I9" i="42"/>
  <c r="H9" i="42"/>
  <c r="I8" i="42"/>
  <c r="H8" i="42"/>
  <c r="I7" i="42"/>
  <c r="H7" i="42"/>
  <c r="I6" i="42"/>
  <c r="R6" i="42" s="1"/>
  <c r="H6" i="42"/>
  <c r="G350" i="41"/>
  <c r="G349" i="41"/>
  <c r="G348" i="41"/>
  <c r="G347" i="41"/>
  <c r="G346" i="41"/>
  <c r="G345" i="41"/>
  <c r="G344" i="41"/>
  <c r="G343" i="41"/>
  <c r="G342" i="41"/>
  <c r="G341" i="41"/>
  <c r="G340" i="41"/>
  <c r="G339" i="41"/>
  <c r="G338" i="41"/>
  <c r="G337" i="41"/>
  <c r="G336" i="41"/>
  <c r="G335" i="41"/>
  <c r="G334" i="41"/>
  <c r="G333" i="41"/>
  <c r="G332" i="41"/>
  <c r="G331" i="41"/>
  <c r="G330" i="41"/>
  <c r="G329" i="41"/>
  <c r="G328" i="41"/>
  <c r="G327" i="41"/>
  <c r="G326" i="41"/>
  <c r="G325" i="41"/>
  <c r="G324" i="41"/>
  <c r="G323" i="41"/>
  <c r="G322" i="41"/>
  <c r="G321" i="41"/>
  <c r="G320" i="41"/>
  <c r="G319" i="41"/>
  <c r="G318" i="41"/>
  <c r="G317" i="41"/>
  <c r="G316" i="41"/>
  <c r="G315" i="41"/>
  <c r="G314" i="41"/>
  <c r="G313" i="41"/>
  <c r="G312" i="41"/>
  <c r="G311" i="41"/>
  <c r="G310" i="41"/>
  <c r="G309" i="41"/>
  <c r="G308" i="41"/>
  <c r="G307" i="41"/>
  <c r="G306" i="41"/>
  <c r="G305" i="41"/>
  <c r="G304" i="41"/>
  <c r="G303" i="41"/>
  <c r="G302" i="41"/>
  <c r="G301" i="41"/>
  <c r="G300" i="41"/>
  <c r="G299" i="41"/>
  <c r="G298" i="41"/>
  <c r="G297" i="41"/>
  <c r="G296" i="41"/>
  <c r="G295" i="41"/>
  <c r="G294" i="41"/>
  <c r="G293" i="41"/>
  <c r="G292" i="41"/>
  <c r="G291" i="41"/>
  <c r="G290" i="41"/>
  <c r="G289" i="41"/>
  <c r="G288" i="41"/>
  <c r="G287" i="41"/>
  <c r="G286" i="41"/>
  <c r="G285" i="41"/>
  <c r="G284" i="41"/>
  <c r="G283" i="41"/>
  <c r="G282" i="41"/>
  <c r="G281" i="41"/>
  <c r="G280" i="41"/>
  <c r="G279" i="41"/>
  <c r="G278" i="41"/>
  <c r="G277" i="41"/>
  <c r="G276" i="41"/>
  <c r="G275" i="41"/>
  <c r="G274" i="41"/>
  <c r="G273" i="41"/>
  <c r="G272" i="41"/>
  <c r="G271" i="41"/>
  <c r="G270" i="41"/>
  <c r="G269" i="41"/>
  <c r="G268" i="41"/>
  <c r="G267" i="41"/>
  <c r="G266" i="41"/>
  <c r="G265" i="41"/>
  <c r="G264" i="41"/>
  <c r="G263" i="41"/>
  <c r="G262" i="41"/>
  <c r="G261" i="41"/>
  <c r="G260" i="41"/>
  <c r="G259" i="41"/>
  <c r="G258" i="41"/>
  <c r="G257" i="41"/>
  <c r="G256" i="41"/>
  <c r="G255" i="41"/>
  <c r="G254" i="41"/>
  <c r="G253" i="41"/>
  <c r="G252" i="41"/>
  <c r="G251" i="41"/>
  <c r="G250" i="41"/>
  <c r="G249" i="41"/>
  <c r="G248" i="41"/>
  <c r="G247" i="41"/>
  <c r="G246" i="41"/>
  <c r="G245" i="41"/>
  <c r="G244" i="41"/>
  <c r="G243" i="41"/>
  <c r="G242" i="41"/>
  <c r="G241" i="41"/>
  <c r="G240" i="41"/>
  <c r="G239" i="41"/>
  <c r="G238" i="41"/>
  <c r="G237" i="41"/>
  <c r="G236" i="41"/>
  <c r="G235" i="41"/>
  <c r="G234" i="41"/>
  <c r="G233" i="41"/>
  <c r="G232" i="41"/>
  <c r="G231" i="41"/>
  <c r="G230" i="41"/>
  <c r="G229" i="41"/>
  <c r="G228" i="41"/>
  <c r="G227" i="41"/>
  <c r="G226" i="41"/>
  <c r="G225" i="41"/>
  <c r="G224" i="41"/>
  <c r="G223" i="41"/>
  <c r="G222" i="41"/>
  <c r="G221" i="41"/>
  <c r="G220" i="41"/>
  <c r="G219" i="41"/>
  <c r="G218" i="41"/>
  <c r="G217" i="41"/>
  <c r="G216" i="41"/>
  <c r="G215" i="41"/>
  <c r="G214" i="41"/>
  <c r="G213" i="41"/>
  <c r="G212" i="41"/>
  <c r="G211" i="41"/>
  <c r="G210" i="41"/>
  <c r="G209" i="41"/>
  <c r="G208" i="41"/>
  <c r="G207" i="41"/>
  <c r="G206" i="41"/>
  <c r="G205" i="41"/>
  <c r="G204" i="41"/>
  <c r="G203" i="41"/>
  <c r="G202" i="41"/>
  <c r="G201" i="41"/>
  <c r="G200" i="41"/>
  <c r="G199" i="41"/>
  <c r="G198" i="41"/>
  <c r="G197" i="41"/>
  <c r="G196" i="41"/>
  <c r="G195" i="41"/>
  <c r="G194" i="41"/>
  <c r="G193" i="41"/>
  <c r="G192" i="41"/>
  <c r="G191" i="41"/>
  <c r="G190" i="41"/>
  <c r="G189" i="41"/>
  <c r="G188" i="41"/>
  <c r="G187" i="41"/>
  <c r="G186" i="41"/>
  <c r="G185" i="41"/>
  <c r="G184" i="41"/>
  <c r="G183" i="41"/>
  <c r="G182" i="41"/>
  <c r="G181" i="41"/>
  <c r="G180" i="41"/>
  <c r="G179" i="41"/>
  <c r="G178" i="41"/>
  <c r="G177" i="41"/>
  <c r="G176" i="41"/>
  <c r="G175" i="41"/>
  <c r="G174" i="41"/>
  <c r="G173" i="41"/>
  <c r="G172" i="41"/>
  <c r="G171" i="41"/>
  <c r="G170" i="41"/>
  <c r="G169" i="41"/>
  <c r="G168" i="41"/>
  <c r="G167" i="41"/>
  <c r="G166" i="41"/>
  <c r="G165" i="41"/>
  <c r="G164" i="41"/>
  <c r="G163" i="41"/>
  <c r="G162" i="41"/>
  <c r="G161" i="41"/>
  <c r="G160" i="41"/>
  <c r="G159" i="41"/>
  <c r="G158" i="41"/>
  <c r="G157" i="41"/>
  <c r="G156" i="41"/>
  <c r="G155" i="41"/>
  <c r="G154" i="41"/>
  <c r="G153" i="41"/>
  <c r="G152" i="41"/>
  <c r="G151" i="41"/>
  <c r="G150" i="41"/>
  <c r="G149" i="41"/>
  <c r="G148" i="41"/>
  <c r="G147" i="41"/>
  <c r="G146" i="41"/>
  <c r="G145" i="41"/>
  <c r="G144" i="41"/>
  <c r="G143" i="41"/>
  <c r="G142" i="41"/>
  <c r="G141" i="41"/>
  <c r="G140" i="41"/>
  <c r="G139" i="41"/>
  <c r="G138" i="41"/>
  <c r="G137" i="41"/>
  <c r="G136" i="41"/>
  <c r="G135" i="41"/>
  <c r="G134" i="41"/>
  <c r="G133" i="41"/>
  <c r="G132" i="41"/>
  <c r="G131" i="41"/>
  <c r="G130" i="41"/>
  <c r="G129" i="41"/>
  <c r="G128" i="41"/>
  <c r="G127" i="41"/>
  <c r="G126" i="41"/>
  <c r="G125" i="41"/>
  <c r="G124" i="41"/>
  <c r="G123" i="41"/>
  <c r="G122" i="41"/>
  <c r="G121" i="41"/>
  <c r="G120" i="41"/>
  <c r="G119" i="41"/>
  <c r="G118" i="41"/>
  <c r="G117" i="41"/>
  <c r="G116" i="41"/>
  <c r="G115" i="41"/>
  <c r="G114" i="41"/>
  <c r="G113" i="41"/>
  <c r="G112" i="41"/>
  <c r="G111" i="41"/>
  <c r="G110" i="41"/>
  <c r="G109" i="41"/>
  <c r="G108" i="41"/>
  <c r="G107" i="41"/>
  <c r="G106" i="41"/>
  <c r="H71" i="41"/>
  <c r="H70" i="41"/>
  <c r="H69" i="41"/>
  <c r="H68" i="41"/>
  <c r="H96" i="41"/>
  <c r="H66" i="41"/>
  <c r="H65" i="41"/>
  <c r="H95" i="41"/>
  <c r="H94" i="41"/>
  <c r="H62" i="41"/>
  <c r="H61" i="41"/>
  <c r="H60" i="41"/>
  <c r="H59" i="41"/>
  <c r="H58" i="41"/>
  <c r="H57" i="41"/>
  <c r="H56" i="41"/>
  <c r="H55" i="41"/>
  <c r="H54" i="41"/>
  <c r="H53" i="41"/>
  <c r="H52" i="41"/>
  <c r="H51" i="41"/>
  <c r="H50" i="41"/>
  <c r="H49" i="41"/>
  <c r="H48" i="41"/>
  <c r="H47" i="41"/>
  <c r="H46" i="41"/>
  <c r="H45" i="41"/>
  <c r="H44" i="41"/>
  <c r="H43" i="41"/>
  <c r="H42" i="41"/>
  <c r="H41" i="41"/>
  <c r="H40" i="41"/>
  <c r="H39" i="41"/>
  <c r="H38" i="41"/>
  <c r="H37" i="41"/>
  <c r="H36" i="41"/>
  <c r="H35" i="41"/>
  <c r="H34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H17" i="41"/>
  <c r="H16" i="41"/>
  <c r="H15" i="41"/>
  <c r="H14" i="41"/>
  <c r="H13" i="41"/>
  <c r="H12" i="41"/>
  <c r="H11" i="41"/>
  <c r="H10" i="41"/>
  <c r="H9" i="41"/>
  <c r="H8" i="41"/>
  <c r="H7" i="41"/>
  <c r="H6" i="41"/>
  <c r="G493" i="40"/>
  <c r="G492" i="40"/>
  <c r="G491" i="40"/>
  <c r="G490" i="40"/>
  <c r="G489" i="40"/>
  <c r="G488" i="40"/>
  <c r="G487" i="40"/>
  <c r="G486" i="40"/>
  <c r="G485" i="40"/>
  <c r="G484" i="40"/>
  <c r="G483" i="40"/>
  <c r="G482" i="40"/>
  <c r="G481" i="40"/>
  <c r="G480" i="40"/>
  <c r="G479" i="40"/>
  <c r="G478" i="40"/>
  <c r="G477" i="40"/>
  <c r="G476" i="40"/>
  <c r="G475" i="40"/>
  <c r="G474" i="40"/>
  <c r="G473" i="40"/>
  <c r="G472" i="40"/>
  <c r="G471" i="40"/>
  <c r="G470" i="40"/>
  <c r="G469" i="40"/>
  <c r="G468" i="40"/>
  <c r="G467" i="40"/>
  <c r="G466" i="40"/>
  <c r="G465" i="40"/>
  <c r="G464" i="40"/>
  <c r="G463" i="40"/>
  <c r="G462" i="40"/>
  <c r="G461" i="40"/>
  <c r="G460" i="40"/>
  <c r="G459" i="40"/>
  <c r="G458" i="40"/>
  <c r="G457" i="40"/>
  <c r="G456" i="40"/>
  <c r="G455" i="40"/>
  <c r="G454" i="40"/>
  <c r="G453" i="40"/>
  <c r="G452" i="40"/>
  <c r="G451" i="40"/>
  <c r="G450" i="40"/>
  <c r="G449" i="40"/>
  <c r="G448" i="40"/>
  <c r="G447" i="40"/>
  <c r="G446" i="40"/>
  <c r="G445" i="40"/>
  <c r="G444" i="40"/>
  <c r="G443" i="40"/>
  <c r="G442" i="40"/>
  <c r="G441" i="40"/>
  <c r="G440" i="40"/>
  <c r="G439" i="40"/>
  <c r="G438" i="40"/>
  <c r="G437" i="40"/>
  <c r="G436" i="40"/>
  <c r="G435" i="40"/>
  <c r="G434" i="40"/>
  <c r="G433" i="40"/>
  <c r="G432" i="40"/>
  <c r="G431" i="40"/>
  <c r="G430" i="40"/>
  <c r="G429" i="40"/>
  <c r="G428" i="40"/>
  <c r="G427" i="40"/>
  <c r="G426" i="40"/>
  <c r="G425" i="40"/>
  <c r="G424" i="40"/>
  <c r="G423" i="40"/>
  <c r="G422" i="40"/>
  <c r="G421" i="40"/>
  <c r="G420" i="40"/>
  <c r="G419" i="40"/>
  <c r="G418" i="40"/>
  <c r="G417" i="40"/>
  <c r="G416" i="40"/>
  <c r="G415" i="40"/>
  <c r="G414" i="40"/>
  <c r="G413" i="40"/>
  <c r="G412" i="40"/>
  <c r="G411" i="40"/>
  <c r="G410" i="40"/>
  <c r="G409" i="40"/>
  <c r="G408" i="40"/>
  <c r="G407" i="40"/>
  <c r="G406" i="40"/>
  <c r="G405" i="40"/>
  <c r="G404" i="40"/>
  <c r="G403" i="40"/>
  <c r="G402" i="40"/>
  <c r="G401" i="40"/>
  <c r="G400" i="40"/>
  <c r="G399" i="40"/>
  <c r="G398" i="40"/>
  <c r="G397" i="40"/>
  <c r="G396" i="40"/>
  <c r="G395" i="40"/>
  <c r="G394" i="40"/>
  <c r="G393" i="40"/>
  <c r="G392" i="40"/>
  <c r="G391" i="40"/>
  <c r="G390" i="40"/>
  <c r="G389" i="40"/>
  <c r="G388" i="40"/>
  <c r="G387" i="40"/>
  <c r="G386" i="40"/>
  <c r="G385" i="40"/>
  <c r="G384" i="40"/>
  <c r="G383" i="40"/>
  <c r="G382" i="40"/>
  <c r="G381" i="40"/>
  <c r="G380" i="40"/>
  <c r="G379" i="40"/>
  <c r="G378" i="40"/>
  <c r="G377" i="40"/>
  <c r="G376" i="40"/>
  <c r="G375" i="40"/>
  <c r="G374" i="40"/>
  <c r="G373" i="40"/>
  <c r="G372" i="40"/>
  <c r="G371" i="40"/>
  <c r="G370" i="40"/>
  <c r="G369" i="40"/>
  <c r="G368" i="40"/>
  <c r="G367" i="40"/>
  <c r="G366" i="40"/>
  <c r="G365" i="40"/>
  <c r="G364" i="40"/>
  <c r="G363" i="40"/>
  <c r="G362" i="40"/>
  <c r="G361" i="40"/>
  <c r="G360" i="40"/>
  <c r="G359" i="40"/>
  <c r="G358" i="40"/>
  <c r="G357" i="40"/>
  <c r="G356" i="40"/>
  <c r="G355" i="40"/>
  <c r="G354" i="40"/>
  <c r="G353" i="40"/>
  <c r="G352" i="40"/>
  <c r="G351" i="40"/>
  <c r="G350" i="40"/>
  <c r="G349" i="40"/>
  <c r="G348" i="40"/>
  <c r="G347" i="40"/>
  <c r="G346" i="40"/>
  <c r="G345" i="40"/>
  <c r="G344" i="40"/>
  <c r="G343" i="40"/>
  <c r="G342" i="40"/>
  <c r="G341" i="40"/>
  <c r="G340" i="40"/>
  <c r="G339" i="40"/>
  <c r="G338" i="40"/>
  <c r="G337" i="40"/>
  <c r="G336" i="40"/>
  <c r="G335" i="40"/>
  <c r="G334" i="40"/>
  <c r="G333" i="40"/>
  <c r="G332" i="40"/>
  <c r="G331" i="40"/>
  <c r="G330" i="40"/>
  <c r="G329" i="40"/>
  <c r="G328" i="40"/>
  <c r="G327" i="40"/>
  <c r="G326" i="40"/>
  <c r="G325" i="40"/>
  <c r="G324" i="40"/>
  <c r="G323" i="40"/>
  <c r="G322" i="40"/>
  <c r="G321" i="40"/>
  <c r="G320" i="40"/>
  <c r="G319" i="40"/>
  <c r="G318" i="40"/>
  <c r="G317" i="40"/>
  <c r="G316" i="40"/>
  <c r="G315" i="40"/>
  <c r="G314" i="40"/>
  <c r="G313" i="40"/>
  <c r="G312" i="40"/>
  <c r="G311" i="40"/>
  <c r="G310" i="40"/>
  <c r="G309" i="40"/>
  <c r="G308" i="40"/>
  <c r="G307" i="40"/>
  <c r="G306" i="40"/>
  <c r="G305" i="40"/>
  <c r="G304" i="40"/>
  <c r="G303" i="40"/>
  <c r="G302" i="40"/>
  <c r="G301" i="40"/>
  <c r="G300" i="40"/>
  <c r="G299" i="40"/>
  <c r="G298" i="40"/>
  <c r="G297" i="40"/>
  <c r="G296" i="40"/>
  <c r="G295" i="40"/>
  <c r="G294" i="40"/>
  <c r="G293" i="40"/>
  <c r="G292" i="40"/>
  <c r="G291" i="40"/>
  <c r="G290" i="40"/>
  <c r="G289" i="40"/>
  <c r="G288" i="40"/>
  <c r="G287" i="40"/>
  <c r="G286" i="40"/>
  <c r="G285" i="40"/>
  <c r="G284" i="40"/>
  <c r="G283" i="40"/>
  <c r="G282" i="40"/>
  <c r="G281" i="40"/>
  <c r="G280" i="40"/>
  <c r="G279" i="40"/>
  <c r="G278" i="40"/>
  <c r="G277" i="40"/>
  <c r="G276" i="40"/>
  <c r="G275" i="40"/>
  <c r="G274" i="40"/>
  <c r="G273" i="40"/>
  <c r="G272" i="40"/>
  <c r="G271" i="40"/>
  <c r="G270" i="40"/>
  <c r="G269" i="40"/>
  <c r="G268" i="40"/>
  <c r="G267" i="40"/>
  <c r="G266" i="40"/>
  <c r="G265" i="40"/>
  <c r="G264" i="40"/>
  <c r="G263" i="40"/>
  <c r="G262" i="40"/>
  <c r="G261" i="40"/>
  <c r="G260" i="40"/>
  <c r="G259" i="40"/>
  <c r="G258" i="40"/>
  <c r="G257" i="40"/>
  <c r="G256" i="40"/>
  <c r="G255" i="40"/>
  <c r="G254" i="40"/>
  <c r="G253" i="40"/>
  <c r="G252" i="40"/>
  <c r="G251" i="40"/>
  <c r="G250" i="40"/>
  <c r="G249" i="40"/>
  <c r="G248" i="40"/>
  <c r="G247" i="40"/>
  <c r="G246" i="40"/>
  <c r="G245" i="40"/>
  <c r="G244" i="40"/>
  <c r="G243" i="40"/>
  <c r="G242" i="40"/>
  <c r="G241" i="40"/>
  <c r="G240" i="40"/>
  <c r="G239" i="40"/>
  <c r="G238" i="40"/>
  <c r="G237" i="40"/>
  <c r="G236" i="40"/>
  <c r="G235" i="40"/>
  <c r="G234" i="40"/>
  <c r="G233" i="40"/>
  <c r="G232" i="40"/>
  <c r="G231" i="40"/>
  <c r="G230" i="40"/>
  <c r="G229" i="40"/>
  <c r="G228" i="40"/>
  <c r="G227" i="40"/>
  <c r="G226" i="40"/>
  <c r="G225" i="40"/>
  <c r="G224" i="40"/>
  <c r="G223" i="40"/>
  <c r="G222" i="40"/>
  <c r="G221" i="40"/>
  <c r="G220" i="40"/>
  <c r="G219" i="40"/>
  <c r="G218" i="40"/>
  <c r="G217" i="40"/>
  <c r="G216" i="40"/>
  <c r="G215" i="40"/>
  <c r="G214" i="40"/>
  <c r="G213" i="40"/>
  <c r="G212" i="40"/>
  <c r="G211" i="40"/>
  <c r="G210" i="40"/>
  <c r="G209" i="40"/>
  <c r="G208" i="40"/>
  <c r="G207" i="40"/>
  <c r="G206" i="40"/>
  <c r="G205" i="40"/>
  <c r="G204" i="40"/>
  <c r="G203" i="40"/>
  <c r="G202" i="40"/>
  <c r="G201" i="40"/>
  <c r="G200" i="40"/>
  <c r="G199" i="40"/>
  <c r="G198" i="40"/>
  <c r="G197" i="40"/>
  <c r="G196" i="40"/>
  <c r="G195" i="40"/>
  <c r="G194" i="40"/>
  <c r="G193" i="40"/>
  <c r="G192" i="40"/>
  <c r="G191" i="40"/>
  <c r="G190" i="40"/>
  <c r="G189" i="40"/>
  <c r="G188" i="40"/>
  <c r="G187" i="40"/>
  <c r="G186" i="40"/>
  <c r="G185" i="40"/>
  <c r="G184" i="40"/>
  <c r="G183" i="40"/>
  <c r="G182" i="40"/>
  <c r="G181" i="40"/>
  <c r="G180" i="40"/>
  <c r="G179" i="40"/>
  <c r="G178" i="40"/>
  <c r="G177" i="40"/>
  <c r="G176" i="40"/>
  <c r="G175" i="40"/>
  <c r="G174" i="40"/>
  <c r="G173" i="40"/>
  <c r="G172" i="40"/>
  <c r="G171" i="40"/>
  <c r="G170" i="40"/>
  <c r="G169" i="40"/>
  <c r="G168" i="40"/>
  <c r="G167" i="40"/>
  <c r="G166" i="40"/>
  <c r="G165" i="40"/>
  <c r="G164" i="40"/>
  <c r="G163" i="40"/>
  <c r="G162" i="40"/>
  <c r="G161" i="40"/>
  <c r="G160" i="40"/>
  <c r="G159" i="40"/>
  <c r="G158" i="40"/>
  <c r="G157" i="40"/>
  <c r="G156" i="40"/>
  <c r="G155" i="40"/>
  <c r="G154" i="40"/>
  <c r="G153" i="40"/>
  <c r="G152" i="40"/>
  <c r="G151" i="40"/>
  <c r="G150" i="40"/>
  <c r="G149" i="40"/>
  <c r="G148" i="40"/>
  <c r="G147" i="40"/>
  <c r="G146" i="40"/>
  <c r="G145" i="40"/>
  <c r="G144" i="40"/>
  <c r="G143" i="40"/>
  <c r="G142" i="40"/>
  <c r="G141" i="40"/>
  <c r="G140" i="40"/>
  <c r="G139" i="40"/>
  <c r="G138" i="40"/>
  <c r="G137" i="40"/>
  <c r="G136" i="40"/>
  <c r="G135" i="40"/>
  <c r="G134" i="40"/>
  <c r="G133" i="40"/>
  <c r="G132" i="40"/>
  <c r="G131" i="40"/>
  <c r="G130" i="40"/>
  <c r="G129" i="40"/>
  <c r="G128" i="40"/>
  <c r="G127" i="40"/>
  <c r="G126" i="40"/>
  <c r="G125" i="40"/>
  <c r="G124" i="40"/>
  <c r="G123" i="40"/>
  <c r="G122" i="40"/>
  <c r="G121" i="40"/>
  <c r="G120" i="40"/>
  <c r="G119" i="40"/>
  <c r="G118" i="40"/>
  <c r="G117" i="40"/>
  <c r="G116" i="40"/>
  <c r="G115" i="40"/>
  <c r="G114" i="40"/>
  <c r="G113" i="40"/>
  <c r="G112" i="40"/>
  <c r="G111" i="40"/>
  <c r="G110" i="40"/>
  <c r="G109" i="40"/>
  <c r="G108" i="40"/>
  <c r="G107" i="40"/>
  <c r="G106" i="40"/>
  <c r="G105" i="40"/>
  <c r="G104" i="40"/>
  <c r="G103" i="40"/>
  <c r="G102" i="40"/>
  <c r="G101" i="40"/>
  <c r="G100" i="40"/>
  <c r="G99" i="40"/>
  <c r="G98" i="40"/>
  <c r="G97" i="40"/>
  <c r="G96" i="40"/>
  <c r="G95" i="40"/>
  <c r="G94" i="40"/>
  <c r="G93" i="40"/>
  <c r="G92" i="40"/>
  <c r="G91" i="40"/>
  <c r="G90" i="40"/>
  <c r="G89" i="40"/>
  <c r="G88" i="40"/>
  <c r="G87" i="40"/>
  <c r="G86" i="40"/>
  <c r="G85" i="40"/>
  <c r="G84" i="40"/>
  <c r="G83" i="40"/>
  <c r="G82" i="40"/>
  <c r="G81" i="40"/>
  <c r="G80" i="40"/>
  <c r="G79" i="40"/>
  <c r="G78" i="40"/>
  <c r="G77" i="40"/>
  <c r="I65" i="40"/>
  <c r="N65" i="40" s="1"/>
  <c r="H65" i="40"/>
  <c r="I64" i="40"/>
  <c r="Q64" i="40" s="1"/>
  <c r="H64" i="40"/>
  <c r="I63" i="40"/>
  <c r="R63" i="40" s="1"/>
  <c r="H63" i="40"/>
  <c r="I62" i="40"/>
  <c r="Q62" i="40" s="1"/>
  <c r="H62" i="40"/>
  <c r="I61" i="40"/>
  <c r="R61" i="40" s="1"/>
  <c r="H61" i="40"/>
  <c r="I60" i="40"/>
  <c r="H60" i="40"/>
  <c r="I59" i="40"/>
  <c r="R59" i="40" s="1"/>
  <c r="H59" i="40"/>
  <c r="I58" i="40"/>
  <c r="Q58" i="40" s="1"/>
  <c r="H58" i="40"/>
  <c r="I57" i="40"/>
  <c r="R57" i="40" s="1"/>
  <c r="H57" i="40"/>
  <c r="I56" i="40"/>
  <c r="H56" i="40"/>
  <c r="I55" i="40"/>
  <c r="R55" i="40" s="1"/>
  <c r="H55" i="40"/>
  <c r="I54" i="40"/>
  <c r="Q54" i="40" s="1"/>
  <c r="H54" i="40"/>
  <c r="I53" i="40"/>
  <c r="R53" i="40" s="1"/>
  <c r="H53" i="40"/>
  <c r="I52" i="40"/>
  <c r="H52" i="40"/>
  <c r="I51" i="40"/>
  <c r="R51" i="40" s="1"/>
  <c r="H51" i="40"/>
  <c r="I50" i="40"/>
  <c r="Q50" i="40" s="1"/>
  <c r="H50" i="40"/>
  <c r="I49" i="40"/>
  <c r="R49" i="40" s="1"/>
  <c r="H49" i="40"/>
  <c r="I48" i="40"/>
  <c r="Q48" i="40" s="1"/>
  <c r="H48" i="40"/>
  <c r="I47" i="40"/>
  <c r="R47" i="40" s="1"/>
  <c r="H47" i="40"/>
  <c r="I46" i="40"/>
  <c r="R46" i="40" s="1"/>
  <c r="H46" i="40"/>
  <c r="I45" i="40"/>
  <c r="R45" i="40" s="1"/>
  <c r="H45" i="40"/>
  <c r="I44" i="40"/>
  <c r="H44" i="40"/>
  <c r="I43" i="40"/>
  <c r="R43" i="40" s="1"/>
  <c r="H43" i="40"/>
  <c r="I42" i="40"/>
  <c r="N42" i="40" s="1"/>
  <c r="H42" i="40"/>
  <c r="I41" i="40"/>
  <c r="R41" i="40" s="1"/>
  <c r="H41" i="40"/>
  <c r="P40" i="40"/>
  <c r="H40" i="40"/>
  <c r="I39" i="40"/>
  <c r="Q39" i="40" s="1"/>
  <c r="H39" i="40"/>
  <c r="I38" i="40"/>
  <c r="Q38" i="40" s="1"/>
  <c r="H38" i="40"/>
  <c r="I37" i="40"/>
  <c r="Q37" i="40" s="1"/>
  <c r="H37" i="40"/>
  <c r="I36" i="40"/>
  <c r="Q36" i="40" s="1"/>
  <c r="H36" i="40"/>
  <c r="I35" i="40"/>
  <c r="Q35" i="40" s="1"/>
  <c r="H35" i="40"/>
  <c r="I34" i="40"/>
  <c r="Q34" i="40" s="1"/>
  <c r="H34" i="40"/>
  <c r="I33" i="40"/>
  <c r="Q33" i="40" s="1"/>
  <c r="H33" i="40"/>
  <c r="I32" i="40"/>
  <c r="Q32" i="40" s="1"/>
  <c r="H32" i="40"/>
  <c r="I31" i="40"/>
  <c r="Q31" i="40" s="1"/>
  <c r="H31" i="40"/>
  <c r="I30" i="40"/>
  <c r="Q30" i="40" s="1"/>
  <c r="H30" i="40"/>
  <c r="I29" i="40"/>
  <c r="Q29" i="40" s="1"/>
  <c r="H29" i="40"/>
  <c r="I28" i="40"/>
  <c r="Q28" i="40" s="1"/>
  <c r="H28" i="40"/>
  <c r="I27" i="40"/>
  <c r="Q27" i="40" s="1"/>
  <c r="H27" i="40"/>
  <c r="I26" i="40"/>
  <c r="H26" i="40"/>
  <c r="I20" i="40"/>
  <c r="H20" i="40"/>
  <c r="I19" i="40"/>
  <c r="H19" i="40"/>
  <c r="I18" i="40"/>
  <c r="H18" i="40"/>
  <c r="I17" i="40"/>
  <c r="H17" i="40"/>
  <c r="I16" i="40"/>
  <c r="H16" i="40"/>
  <c r="I15" i="40"/>
  <c r="H15" i="40"/>
  <c r="I14" i="40"/>
  <c r="H14" i="40"/>
  <c r="I13" i="40"/>
  <c r="H13" i="40"/>
  <c r="I12" i="40"/>
  <c r="H12" i="40"/>
  <c r="I11" i="40"/>
  <c r="H11" i="40"/>
  <c r="I10" i="40"/>
  <c r="H10" i="40"/>
  <c r="I9" i="40"/>
  <c r="H9" i="40"/>
  <c r="I8" i="40"/>
  <c r="H8" i="40"/>
  <c r="I7" i="40"/>
  <c r="H7" i="40"/>
  <c r="I6" i="40"/>
  <c r="Q6" i="40" s="1"/>
  <c r="H6" i="40"/>
  <c r="G446" i="39"/>
  <c r="G445" i="39"/>
  <c r="G444" i="39"/>
  <c r="G443" i="39"/>
  <c r="G442" i="39"/>
  <c r="G441" i="39"/>
  <c r="G440" i="39"/>
  <c r="G439" i="39"/>
  <c r="G438" i="39"/>
  <c r="G437" i="39"/>
  <c r="G436" i="39"/>
  <c r="G435" i="39"/>
  <c r="G434" i="39"/>
  <c r="G433" i="39"/>
  <c r="G432" i="39"/>
  <c r="G431" i="39"/>
  <c r="G430" i="39"/>
  <c r="G429" i="39"/>
  <c r="G428" i="39"/>
  <c r="G427" i="39"/>
  <c r="G426" i="39"/>
  <c r="G425" i="39"/>
  <c r="G424" i="39"/>
  <c r="G423" i="39"/>
  <c r="G422" i="39"/>
  <c r="G421" i="39"/>
  <c r="G420" i="39"/>
  <c r="G419" i="39"/>
  <c r="G418" i="39"/>
  <c r="G417" i="39"/>
  <c r="G416" i="39"/>
  <c r="G415" i="39"/>
  <c r="G414" i="39"/>
  <c r="G413" i="39"/>
  <c r="G412" i="39"/>
  <c r="G411" i="39"/>
  <c r="G410" i="39"/>
  <c r="G409" i="39"/>
  <c r="G408" i="39"/>
  <c r="G407" i="39"/>
  <c r="G406" i="39"/>
  <c r="G405" i="39"/>
  <c r="G404" i="39"/>
  <c r="G403" i="39"/>
  <c r="G402" i="39"/>
  <c r="G401" i="39"/>
  <c r="G400" i="39"/>
  <c r="G399" i="39"/>
  <c r="G398" i="39"/>
  <c r="G397" i="39"/>
  <c r="G396" i="39"/>
  <c r="G395" i="39"/>
  <c r="G394" i="39"/>
  <c r="G393" i="39"/>
  <c r="G392" i="39"/>
  <c r="G391" i="39"/>
  <c r="G390" i="39"/>
  <c r="G389" i="39"/>
  <c r="G388" i="39"/>
  <c r="G387" i="39"/>
  <c r="G386" i="39"/>
  <c r="G385" i="39"/>
  <c r="G384" i="39"/>
  <c r="G383" i="39"/>
  <c r="G382" i="39"/>
  <c r="G381" i="39"/>
  <c r="G380" i="39"/>
  <c r="G379" i="39"/>
  <c r="G378" i="39"/>
  <c r="G377" i="39"/>
  <c r="G376" i="39"/>
  <c r="G375" i="39"/>
  <c r="G374" i="39"/>
  <c r="G373" i="39"/>
  <c r="G372" i="39"/>
  <c r="G371" i="39"/>
  <c r="G370" i="39"/>
  <c r="G369" i="39"/>
  <c r="G368" i="39"/>
  <c r="G367" i="39"/>
  <c r="G366" i="39"/>
  <c r="G365" i="39"/>
  <c r="G364" i="39"/>
  <c r="G363" i="39"/>
  <c r="G362" i="39"/>
  <c r="G361" i="39"/>
  <c r="G360" i="39"/>
  <c r="G359" i="39"/>
  <c r="G358" i="39"/>
  <c r="G357" i="39"/>
  <c r="G356" i="39"/>
  <c r="G355" i="39"/>
  <c r="G354" i="39"/>
  <c r="G353" i="39"/>
  <c r="G352" i="39"/>
  <c r="G351" i="39"/>
  <c r="G350" i="39"/>
  <c r="G349" i="39"/>
  <c r="G348" i="39"/>
  <c r="G347" i="39"/>
  <c r="G346" i="39"/>
  <c r="G345" i="39"/>
  <c r="G344" i="39"/>
  <c r="G343" i="39"/>
  <c r="G342" i="39"/>
  <c r="G341" i="39"/>
  <c r="G340" i="39"/>
  <c r="G339" i="39"/>
  <c r="G338" i="39"/>
  <c r="G337" i="39"/>
  <c r="G336" i="39"/>
  <c r="G335" i="39"/>
  <c r="G334" i="39"/>
  <c r="G333" i="39"/>
  <c r="G332" i="39"/>
  <c r="G331" i="39"/>
  <c r="G330" i="39"/>
  <c r="G329" i="39"/>
  <c r="G328" i="39"/>
  <c r="G327" i="39"/>
  <c r="G326" i="39"/>
  <c r="G325" i="39"/>
  <c r="G324" i="39"/>
  <c r="G323" i="39"/>
  <c r="G322" i="39"/>
  <c r="G321" i="39"/>
  <c r="G320" i="39"/>
  <c r="G319" i="39"/>
  <c r="G318" i="39"/>
  <c r="G317" i="39"/>
  <c r="G316" i="39"/>
  <c r="G315" i="39"/>
  <c r="G314" i="39"/>
  <c r="G313" i="39"/>
  <c r="G312" i="39"/>
  <c r="G311" i="39"/>
  <c r="G310" i="39"/>
  <c r="G309" i="39"/>
  <c r="G308" i="39"/>
  <c r="G307" i="39"/>
  <c r="G306" i="39"/>
  <c r="G305" i="39"/>
  <c r="G304" i="39"/>
  <c r="G303" i="39"/>
  <c r="G302" i="39"/>
  <c r="G301" i="39"/>
  <c r="G300" i="39"/>
  <c r="G299" i="39"/>
  <c r="G298" i="39"/>
  <c r="G297" i="39"/>
  <c r="G296" i="39"/>
  <c r="G295" i="39"/>
  <c r="G294" i="39"/>
  <c r="G293" i="39"/>
  <c r="G292" i="39"/>
  <c r="G291" i="39"/>
  <c r="G290" i="39"/>
  <c r="G289" i="39"/>
  <c r="G288" i="39"/>
  <c r="G287" i="39"/>
  <c r="G286" i="39"/>
  <c r="G285" i="39"/>
  <c r="G284" i="39"/>
  <c r="G283" i="39"/>
  <c r="G282" i="39"/>
  <c r="G281" i="39"/>
  <c r="G280" i="39"/>
  <c r="G279" i="39"/>
  <c r="G278" i="39"/>
  <c r="G277" i="39"/>
  <c r="G276" i="39"/>
  <c r="G275" i="39"/>
  <c r="G274" i="39"/>
  <c r="G273" i="39"/>
  <c r="G272" i="39"/>
  <c r="G271" i="39"/>
  <c r="G270" i="39"/>
  <c r="G269" i="39"/>
  <c r="G268" i="39"/>
  <c r="G267" i="39"/>
  <c r="G266" i="39"/>
  <c r="G265" i="39"/>
  <c r="G264" i="39"/>
  <c r="G263" i="39"/>
  <c r="G262" i="39"/>
  <c r="G261" i="39"/>
  <c r="G260" i="39"/>
  <c r="G259" i="39"/>
  <c r="G258" i="39"/>
  <c r="G257" i="39"/>
  <c r="G256" i="39"/>
  <c r="G255" i="39"/>
  <c r="G254" i="39"/>
  <c r="G253" i="39"/>
  <c r="G252" i="39"/>
  <c r="G251" i="39"/>
  <c r="G250" i="39"/>
  <c r="G249" i="39"/>
  <c r="G248" i="39"/>
  <c r="G247" i="39"/>
  <c r="G246" i="39"/>
  <c r="G245" i="39"/>
  <c r="G244" i="39"/>
  <c r="G243" i="39"/>
  <c r="G242" i="39"/>
  <c r="G241" i="39"/>
  <c r="G240" i="39"/>
  <c r="G239" i="39"/>
  <c r="G238" i="39"/>
  <c r="G237" i="39"/>
  <c r="G236" i="39"/>
  <c r="G235" i="39"/>
  <c r="G234" i="39"/>
  <c r="G233" i="39"/>
  <c r="G232" i="39"/>
  <c r="G231" i="39"/>
  <c r="G230" i="39"/>
  <c r="G229" i="39"/>
  <c r="G228" i="39"/>
  <c r="G227" i="39"/>
  <c r="G226" i="39"/>
  <c r="G225" i="39"/>
  <c r="G224" i="39"/>
  <c r="G223" i="39"/>
  <c r="G222" i="39"/>
  <c r="G221" i="39"/>
  <c r="G220" i="39"/>
  <c r="G219" i="39"/>
  <c r="G218" i="39"/>
  <c r="G217" i="39"/>
  <c r="G216" i="39"/>
  <c r="G215" i="39"/>
  <c r="G214" i="39"/>
  <c r="G213" i="39"/>
  <c r="G212" i="39"/>
  <c r="G211" i="39"/>
  <c r="G210" i="39"/>
  <c r="G209" i="39"/>
  <c r="G208" i="39"/>
  <c r="G207" i="39"/>
  <c r="G206" i="39"/>
  <c r="G205" i="39"/>
  <c r="G204" i="39"/>
  <c r="G203" i="39"/>
  <c r="G202" i="39"/>
  <c r="G201" i="39"/>
  <c r="G200" i="39"/>
  <c r="G199" i="39"/>
  <c r="G198" i="39"/>
  <c r="G197" i="39"/>
  <c r="G196" i="39"/>
  <c r="G195" i="39"/>
  <c r="G194" i="39"/>
  <c r="G193" i="39"/>
  <c r="G192" i="39"/>
  <c r="G191" i="39"/>
  <c r="G190" i="39"/>
  <c r="G189" i="39"/>
  <c r="G188" i="39"/>
  <c r="G187" i="39"/>
  <c r="G186" i="39"/>
  <c r="G185" i="39"/>
  <c r="G184" i="39"/>
  <c r="G183" i="39"/>
  <c r="G182" i="39"/>
  <c r="G181" i="39"/>
  <c r="G180" i="39"/>
  <c r="G179" i="39"/>
  <c r="G178" i="39"/>
  <c r="G177" i="39"/>
  <c r="G176" i="39"/>
  <c r="G175" i="39"/>
  <c r="G174" i="39"/>
  <c r="G173" i="39"/>
  <c r="G172" i="39"/>
  <c r="G171" i="39"/>
  <c r="G170" i="39"/>
  <c r="G169" i="39"/>
  <c r="G168" i="39"/>
  <c r="G167" i="39"/>
  <c r="G166" i="39"/>
  <c r="G165" i="39"/>
  <c r="G164" i="39"/>
  <c r="G163" i="39"/>
  <c r="G162" i="39"/>
  <c r="G161" i="39"/>
  <c r="G160" i="39"/>
  <c r="G159" i="39"/>
  <c r="G158" i="39"/>
  <c r="G157" i="39"/>
  <c r="G156" i="39"/>
  <c r="G155" i="39"/>
  <c r="G154" i="39"/>
  <c r="G153" i="39"/>
  <c r="G152" i="39"/>
  <c r="G151" i="39"/>
  <c r="G150" i="39"/>
  <c r="G149" i="39"/>
  <c r="G148" i="39"/>
  <c r="G147" i="39"/>
  <c r="G146" i="39"/>
  <c r="G145" i="39"/>
  <c r="G144" i="39"/>
  <c r="G143" i="39"/>
  <c r="G142" i="39"/>
  <c r="G141" i="39"/>
  <c r="G140" i="39"/>
  <c r="G139" i="39"/>
  <c r="G138" i="39"/>
  <c r="G137" i="39"/>
  <c r="G136" i="39"/>
  <c r="G135" i="39"/>
  <c r="G134" i="39"/>
  <c r="G133" i="39"/>
  <c r="G132" i="39"/>
  <c r="G131" i="39"/>
  <c r="G130" i="39"/>
  <c r="G129" i="39"/>
  <c r="G128" i="39"/>
  <c r="G127" i="39"/>
  <c r="G126" i="39"/>
  <c r="G125" i="39"/>
  <c r="G124" i="39"/>
  <c r="G123" i="39"/>
  <c r="G122" i="39"/>
  <c r="G121" i="39"/>
  <c r="G120" i="39"/>
  <c r="G119" i="39"/>
  <c r="G118" i="39"/>
  <c r="G117" i="39"/>
  <c r="G116" i="39"/>
  <c r="G115" i="39"/>
  <c r="G114" i="39"/>
  <c r="G113" i="39"/>
  <c r="G112" i="39"/>
  <c r="G111" i="39"/>
  <c r="G110" i="39"/>
  <c r="G109" i="39"/>
  <c r="G108" i="39"/>
  <c r="G107" i="39"/>
  <c r="G106" i="39"/>
  <c r="G105" i="39"/>
  <c r="G104" i="39"/>
  <c r="G103" i="39"/>
  <c r="G102" i="39"/>
  <c r="G101" i="39"/>
  <c r="G100" i="39"/>
  <c r="G99" i="39"/>
  <c r="G98" i="39"/>
  <c r="G97" i="39"/>
  <c r="G96" i="39"/>
  <c r="G95" i="39"/>
  <c r="G94" i="39"/>
  <c r="G93" i="39"/>
  <c r="G92" i="39"/>
  <c r="G91" i="39"/>
  <c r="G90" i="39"/>
  <c r="G89" i="39"/>
  <c r="G88" i="39"/>
  <c r="G87" i="39"/>
  <c r="G86" i="39"/>
  <c r="G85" i="39"/>
  <c r="G84" i="39"/>
  <c r="G83" i="39"/>
  <c r="G82" i="39"/>
  <c r="G81" i="39"/>
  <c r="G80" i="39"/>
  <c r="G79" i="39"/>
  <c r="G78" i="39"/>
  <c r="G77" i="39"/>
  <c r="G76" i="39"/>
  <c r="G75" i="39"/>
  <c r="G74" i="39"/>
  <c r="G73" i="39"/>
  <c r="G72" i="39"/>
  <c r="G71" i="39"/>
  <c r="G70" i="39"/>
  <c r="G69" i="39"/>
  <c r="G68" i="39"/>
  <c r="G67" i="39"/>
  <c r="G66" i="39"/>
  <c r="G65" i="39"/>
  <c r="G64" i="39"/>
  <c r="G63" i="39"/>
  <c r="G62" i="39"/>
  <c r="G61" i="39"/>
  <c r="G60" i="39"/>
  <c r="G59" i="39"/>
  <c r="G58" i="39"/>
  <c r="G57" i="39"/>
  <c r="G56" i="39"/>
  <c r="G55" i="39"/>
  <c r="G54" i="39"/>
  <c r="G53" i="39"/>
  <c r="G52" i="39"/>
  <c r="G51" i="39"/>
  <c r="G50" i="39"/>
  <c r="G49" i="39"/>
  <c r="G48" i="39"/>
  <c r="G47" i="39"/>
  <c r="G46" i="39"/>
  <c r="G45" i="39"/>
  <c r="G44" i="39"/>
  <c r="G43" i="39"/>
  <c r="G42" i="39"/>
  <c r="G41" i="39"/>
  <c r="G40" i="39"/>
  <c r="G39" i="39"/>
  <c r="G38" i="39"/>
  <c r="G37" i="39"/>
  <c r="G36" i="39"/>
  <c r="G35" i="39"/>
  <c r="G34" i="39"/>
  <c r="G33" i="39"/>
  <c r="G32" i="39"/>
  <c r="G31" i="39"/>
  <c r="G30" i="39"/>
  <c r="I18" i="39"/>
  <c r="P18" i="39" s="1"/>
  <c r="H18" i="39"/>
  <c r="I17" i="39"/>
  <c r="P17" i="39" s="1"/>
  <c r="H17" i="39"/>
  <c r="I16" i="39"/>
  <c r="R16" i="39" s="1"/>
  <c r="H16" i="39"/>
  <c r="I15" i="39"/>
  <c r="H15" i="39"/>
  <c r="I14" i="39"/>
  <c r="P14" i="39" s="1"/>
  <c r="H14" i="39"/>
  <c r="I13" i="39"/>
  <c r="P13" i="39" s="1"/>
  <c r="H13" i="39"/>
  <c r="I12" i="39"/>
  <c r="H12" i="39"/>
  <c r="I11" i="39"/>
  <c r="H11" i="39"/>
  <c r="I10" i="39"/>
  <c r="P10" i="39" s="1"/>
  <c r="H10" i="39"/>
  <c r="I9" i="39"/>
  <c r="P9" i="39" s="1"/>
  <c r="H9" i="39"/>
  <c r="I8" i="39"/>
  <c r="R8" i="39" s="1"/>
  <c r="H8" i="39"/>
  <c r="I7" i="39"/>
  <c r="R7" i="39" s="1"/>
  <c r="H7" i="39"/>
  <c r="I6" i="39"/>
  <c r="P6" i="39" s="1"/>
  <c r="H6" i="39"/>
  <c r="G434" i="38"/>
  <c r="G433" i="38"/>
  <c r="G432" i="38"/>
  <c r="G431" i="38"/>
  <c r="G430" i="38"/>
  <c r="G429" i="38"/>
  <c r="G428" i="38"/>
  <c r="G427" i="38"/>
  <c r="G426" i="38"/>
  <c r="G425" i="38"/>
  <c r="G424" i="38"/>
  <c r="G423" i="38"/>
  <c r="G422" i="38"/>
  <c r="G421" i="38"/>
  <c r="G420" i="38"/>
  <c r="G419" i="38"/>
  <c r="G418" i="38"/>
  <c r="G417" i="38"/>
  <c r="G416" i="38"/>
  <c r="G415" i="38"/>
  <c r="G414" i="38"/>
  <c r="G413" i="38"/>
  <c r="G412" i="38"/>
  <c r="G411" i="38"/>
  <c r="G410" i="38"/>
  <c r="G409" i="38"/>
  <c r="G408" i="38"/>
  <c r="G407" i="38"/>
  <c r="G406" i="38"/>
  <c r="G405" i="38"/>
  <c r="G404" i="38"/>
  <c r="G403" i="38"/>
  <c r="G402" i="38"/>
  <c r="G401" i="38"/>
  <c r="G400" i="38"/>
  <c r="G399" i="38"/>
  <c r="G398" i="38"/>
  <c r="G397" i="38"/>
  <c r="G396" i="38"/>
  <c r="G395" i="38"/>
  <c r="G394" i="38"/>
  <c r="G393" i="38"/>
  <c r="G392" i="38"/>
  <c r="G391" i="38"/>
  <c r="G390" i="38"/>
  <c r="G389" i="38"/>
  <c r="G388" i="38"/>
  <c r="G387" i="38"/>
  <c r="G386" i="38"/>
  <c r="G385" i="38"/>
  <c r="G384" i="38"/>
  <c r="G383" i="38"/>
  <c r="G382" i="38"/>
  <c r="G381" i="38"/>
  <c r="G380" i="38"/>
  <c r="G379" i="38"/>
  <c r="G378" i="38"/>
  <c r="G377" i="38"/>
  <c r="G376" i="38"/>
  <c r="G375" i="38"/>
  <c r="G374" i="38"/>
  <c r="G373" i="38"/>
  <c r="G372" i="38"/>
  <c r="G371" i="38"/>
  <c r="G370" i="38"/>
  <c r="G369" i="38"/>
  <c r="G368" i="38"/>
  <c r="G367" i="38"/>
  <c r="G366" i="38"/>
  <c r="G365" i="38"/>
  <c r="G364" i="38"/>
  <c r="G363" i="38"/>
  <c r="G362" i="38"/>
  <c r="G361" i="38"/>
  <c r="G360" i="38"/>
  <c r="G359" i="38"/>
  <c r="G358" i="38"/>
  <c r="G357" i="38"/>
  <c r="G356" i="38"/>
  <c r="G355" i="38"/>
  <c r="G354" i="38"/>
  <c r="G353" i="38"/>
  <c r="G352" i="38"/>
  <c r="G351" i="38"/>
  <c r="G350" i="38"/>
  <c r="G349" i="38"/>
  <c r="G348" i="38"/>
  <c r="G347" i="38"/>
  <c r="G346" i="38"/>
  <c r="G345" i="38"/>
  <c r="G344" i="38"/>
  <c r="G343" i="38"/>
  <c r="G342" i="38"/>
  <c r="G341" i="38"/>
  <c r="G340" i="38"/>
  <c r="G339" i="38"/>
  <c r="G338" i="38"/>
  <c r="G337" i="38"/>
  <c r="G336" i="38"/>
  <c r="G335" i="38"/>
  <c r="G334" i="38"/>
  <c r="G333" i="38"/>
  <c r="G332" i="38"/>
  <c r="G331" i="38"/>
  <c r="G330" i="38"/>
  <c r="G329" i="38"/>
  <c r="G328" i="38"/>
  <c r="G327" i="38"/>
  <c r="G326" i="38"/>
  <c r="G325" i="38"/>
  <c r="G324" i="38"/>
  <c r="G323" i="38"/>
  <c r="G322" i="38"/>
  <c r="G321" i="38"/>
  <c r="G320" i="38"/>
  <c r="G319" i="38"/>
  <c r="G318" i="38"/>
  <c r="G317" i="38"/>
  <c r="G316" i="38"/>
  <c r="G315" i="38"/>
  <c r="G314" i="38"/>
  <c r="G313" i="38"/>
  <c r="G312" i="38"/>
  <c r="G311" i="38"/>
  <c r="G310" i="38"/>
  <c r="G309" i="38"/>
  <c r="G308" i="38"/>
  <c r="G307" i="38"/>
  <c r="G306" i="38"/>
  <c r="G305" i="38"/>
  <c r="G304" i="38"/>
  <c r="G303" i="38"/>
  <c r="G302" i="38"/>
  <c r="G301" i="38"/>
  <c r="G300" i="38"/>
  <c r="G299" i="38"/>
  <c r="G298" i="38"/>
  <c r="G297" i="38"/>
  <c r="G296" i="38"/>
  <c r="G295" i="38"/>
  <c r="G294" i="38"/>
  <c r="G293" i="38"/>
  <c r="G292" i="38"/>
  <c r="G291" i="38"/>
  <c r="G290" i="38"/>
  <c r="G289" i="38"/>
  <c r="G288" i="38"/>
  <c r="G287" i="38"/>
  <c r="G286" i="38"/>
  <c r="G285" i="38"/>
  <c r="G284" i="38"/>
  <c r="G283" i="38"/>
  <c r="G282" i="38"/>
  <c r="G281" i="38"/>
  <c r="G280" i="38"/>
  <c r="G279" i="38"/>
  <c r="G278" i="38"/>
  <c r="G277" i="38"/>
  <c r="G276" i="38"/>
  <c r="G275" i="38"/>
  <c r="G274" i="38"/>
  <c r="G273" i="38"/>
  <c r="G272" i="38"/>
  <c r="G271" i="38"/>
  <c r="G270" i="38"/>
  <c r="G269" i="38"/>
  <c r="G268" i="38"/>
  <c r="G267" i="38"/>
  <c r="G266" i="38"/>
  <c r="G265" i="38"/>
  <c r="G264" i="38"/>
  <c r="G263" i="38"/>
  <c r="G262" i="38"/>
  <c r="G261" i="38"/>
  <c r="G260" i="38"/>
  <c r="G259" i="38"/>
  <c r="G258" i="38"/>
  <c r="G257" i="38"/>
  <c r="G256" i="38"/>
  <c r="G255" i="38"/>
  <c r="G254" i="38"/>
  <c r="G253" i="38"/>
  <c r="G252" i="38"/>
  <c r="G251" i="38"/>
  <c r="G250" i="38"/>
  <c r="G249" i="38"/>
  <c r="G248" i="38"/>
  <c r="G247" i="38"/>
  <c r="G246" i="38"/>
  <c r="G245" i="38"/>
  <c r="G244" i="38"/>
  <c r="G243" i="38"/>
  <c r="G242" i="38"/>
  <c r="G241" i="38"/>
  <c r="G240" i="38"/>
  <c r="G239" i="38"/>
  <c r="G238" i="38"/>
  <c r="G237" i="38"/>
  <c r="G236" i="38"/>
  <c r="G235" i="38"/>
  <c r="G234" i="38"/>
  <c r="G233" i="38"/>
  <c r="G232" i="38"/>
  <c r="G231" i="38"/>
  <c r="G230" i="38"/>
  <c r="G229" i="38"/>
  <c r="G228" i="38"/>
  <c r="G227" i="38"/>
  <c r="G226" i="38"/>
  <c r="G225" i="38"/>
  <c r="G224" i="38"/>
  <c r="G223" i="38"/>
  <c r="G222" i="38"/>
  <c r="G221" i="38"/>
  <c r="G220" i="38"/>
  <c r="G219" i="38"/>
  <c r="G218" i="38"/>
  <c r="G217" i="38"/>
  <c r="G216" i="38"/>
  <c r="G215" i="38"/>
  <c r="G214" i="38"/>
  <c r="G213" i="38"/>
  <c r="G212" i="38"/>
  <c r="G211" i="38"/>
  <c r="G210" i="38"/>
  <c r="G209" i="38"/>
  <c r="G208" i="38"/>
  <c r="G207" i="38"/>
  <c r="G206" i="38"/>
  <c r="G205" i="38"/>
  <c r="G204" i="38"/>
  <c r="G203" i="38"/>
  <c r="G202" i="38"/>
  <c r="G201" i="38"/>
  <c r="G200" i="38"/>
  <c r="G199" i="38"/>
  <c r="G198" i="38"/>
  <c r="G197" i="38"/>
  <c r="G196" i="38"/>
  <c r="G195" i="38"/>
  <c r="G194" i="38"/>
  <c r="G193" i="38"/>
  <c r="G192" i="38"/>
  <c r="G191" i="38"/>
  <c r="G190" i="38"/>
  <c r="G189" i="38"/>
  <c r="G188" i="38"/>
  <c r="G187" i="38"/>
  <c r="G186" i="38"/>
  <c r="G185" i="38"/>
  <c r="G184" i="38"/>
  <c r="G183" i="38"/>
  <c r="G182" i="38"/>
  <c r="G181" i="38"/>
  <c r="G180" i="38"/>
  <c r="G179" i="38"/>
  <c r="G178" i="38"/>
  <c r="G177" i="38"/>
  <c r="G176" i="38"/>
  <c r="G175" i="38"/>
  <c r="G174" i="38"/>
  <c r="G173" i="38"/>
  <c r="G172" i="38"/>
  <c r="G171" i="38"/>
  <c r="G170" i="38"/>
  <c r="G169" i="38"/>
  <c r="G168" i="38"/>
  <c r="G167" i="38"/>
  <c r="G166" i="38"/>
  <c r="G165" i="38"/>
  <c r="G164" i="38"/>
  <c r="G163" i="38"/>
  <c r="G162" i="38"/>
  <c r="G161" i="38"/>
  <c r="G160" i="38"/>
  <c r="G159" i="38"/>
  <c r="G158" i="38"/>
  <c r="G157" i="38"/>
  <c r="G156" i="38"/>
  <c r="G155" i="38"/>
  <c r="G154" i="38"/>
  <c r="G153" i="38"/>
  <c r="G152" i="38"/>
  <c r="G151" i="38"/>
  <c r="G150" i="38"/>
  <c r="G149" i="38"/>
  <c r="G148" i="38"/>
  <c r="G147" i="38"/>
  <c r="G146" i="38"/>
  <c r="G145" i="38"/>
  <c r="G144" i="38"/>
  <c r="G143" i="38"/>
  <c r="G142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I6" i="38"/>
  <c r="Q6" i="38" s="1"/>
  <c r="H6" i="38"/>
  <c r="G432" i="34"/>
  <c r="G431" i="34"/>
  <c r="G430" i="34"/>
  <c r="G429" i="34"/>
  <c r="G428" i="34"/>
  <c r="G427" i="34"/>
  <c r="G426" i="34"/>
  <c r="G425" i="34"/>
  <c r="G424" i="34"/>
  <c r="G423" i="34"/>
  <c r="G422" i="34"/>
  <c r="G421" i="34"/>
  <c r="G420" i="34"/>
  <c r="G419" i="34"/>
  <c r="G418" i="34"/>
  <c r="G417" i="34"/>
  <c r="G416" i="34"/>
  <c r="G415" i="34"/>
  <c r="G414" i="34"/>
  <c r="G413" i="34"/>
  <c r="G412" i="34"/>
  <c r="G411" i="34"/>
  <c r="G410" i="34"/>
  <c r="G409" i="34"/>
  <c r="G408" i="34"/>
  <c r="G407" i="34"/>
  <c r="G406" i="34"/>
  <c r="G405" i="34"/>
  <c r="G404" i="34"/>
  <c r="G403" i="34"/>
  <c r="G402" i="34"/>
  <c r="G401" i="34"/>
  <c r="G400" i="34"/>
  <c r="G399" i="34"/>
  <c r="G398" i="34"/>
  <c r="G397" i="34"/>
  <c r="G396" i="34"/>
  <c r="G395" i="34"/>
  <c r="G394" i="34"/>
  <c r="G393" i="34"/>
  <c r="G392" i="34"/>
  <c r="G391" i="34"/>
  <c r="G390" i="34"/>
  <c r="G389" i="34"/>
  <c r="G388" i="34"/>
  <c r="G387" i="34"/>
  <c r="G386" i="34"/>
  <c r="G385" i="34"/>
  <c r="G384" i="34"/>
  <c r="G383" i="34"/>
  <c r="G382" i="34"/>
  <c r="G381" i="34"/>
  <c r="G380" i="34"/>
  <c r="G379" i="34"/>
  <c r="G378" i="34"/>
  <c r="G377" i="34"/>
  <c r="G376" i="34"/>
  <c r="G375" i="34"/>
  <c r="G374" i="34"/>
  <c r="G373" i="34"/>
  <c r="G372" i="34"/>
  <c r="G371" i="34"/>
  <c r="G370" i="34"/>
  <c r="G369" i="34"/>
  <c r="G368" i="34"/>
  <c r="G367" i="34"/>
  <c r="G366" i="34"/>
  <c r="G365" i="34"/>
  <c r="G364" i="34"/>
  <c r="G363" i="34"/>
  <c r="G362" i="34"/>
  <c r="G361" i="34"/>
  <c r="G360" i="34"/>
  <c r="G359" i="34"/>
  <c r="G358" i="34"/>
  <c r="G357" i="34"/>
  <c r="G356" i="34"/>
  <c r="G355" i="34"/>
  <c r="G354" i="34"/>
  <c r="G353" i="34"/>
  <c r="G352" i="34"/>
  <c r="G351" i="34"/>
  <c r="G350" i="34"/>
  <c r="G349" i="34"/>
  <c r="G348" i="34"/>
  <c r="G347" i="34"/>
  <c r="G346" i="34"/>
  <c r="G345" i="34"/>
  <c r="G344" i="34"/>
  <c r="G343" i="34"/>
  <c r="G342" i="34"/>
  <c r="G341" i="34"/>
  <c r="G340" i="34"/>
  <c r="G339" i="34"/>
  <c r="G338" i="34"/>
  <c r="G337" i="34"/>
  <c r="G336" i="34"/>
  <c r="G335" i="34"/>
  <c r="G334" i="34"/>
  <c r="G333" i="34"/>
  <c r="G332" i="34"/>
  <c r="G331" i="34"/>
  <c r="G330" i="34"/>
  <c r="G329" i="34"/>
  <c r="G328" i="34"/>
  <c r="G327" i="34"/>
  <c r="G326" i="34"/>
  <c r="G325" i="34"/>
  <c r="G324" i="34"/>
  <c r="G323" i="34"/>
  <c r="G322" i="34"/>
  <c r="G321" i="34"/>
  <c r="G320" i="34"/>
  <c r="G319" i="34"/>
  <c r="G318" i="34"/>
  <c r="G317" i="34"/>
  <c r="G316" i="34"/>
  <c r="G315" i="34"/>
  <c r="G314" i="34"/>
  <c r="G313" i="34"/>
  <c r="G312" i="34"/>
  <c r="G311" i="34"/>
  <c r="G310" i="34"/>
  <c r="G309" i="34"/>
  <c r="G308" i="34"/>
  <c r="G307" i="34"/>
  <c r="G306" i="34"/>
  <c r="G305" i="34"/>
  <c r="G304" i="34"/>
  <c r="G303" i="34"/>
  <c r="G302" i="34"/>
  <c r="G301" i="34"/>
  <c r="G300" i="34"/>
  <c r="G299" i="34"/>
  <c r="G298" i="34"/>
  <c r="G297" i="34"/>
  <c r="G296" i="34"/>
  <c r="G295" i="34"/>
  <c r="G294" i="34"/>
  <c r="G293" i="34"/>
  <c r="G292" i="34"/>
  <c r="G291" i="34"/>
  <c r="G290" i="34"/>
  <c r="G289" i="34"/>
  <c r="G288" i="34"/>
  <c r="G287" i="34"/>
  <c r="G286" i="34"/>
  <c r="G285" i="34"/>
  <c r="G284" i="34"/>
  <c r="G283" i="34"/>
  <c r="G282" i="34"/>
  <c r="G281" i="34"/>
  <c r="G280" i="34"/>
  <c r="G279" i="34"/>
  <c r="G278" i="34"/>
  <c r="G277" i="34"/>
  <c r="G276" i="34"/>
  <c r="G275" i="34"/>
  <c r="G274" i="34"/>
  <c r="G273" i="34"/>
  <c r="G272" i="34"/>
  <c r="G271" i="34"/>
  <c r="G270" i="34"/>
  <c r="G269" i="34"/>
  <c r="G268" i="34"/>
  <c r="G267" i="34"/>
  <c r="G266" i="34"/>
  <c r="G265" i="34"/>
  <c r="G264" i="34"/>
  <c r="G263" i="34"/>
  <c r="G262" i="34"/>
  <c r="G261" i="34"/>
  <c r="G260" i="34"/>
  <c r="G259" i="34"/>
  <c r="G258" i="34"/>
  <c r="G257" i="34"/>
  <c r="G256" i="34"/>
  <c r="G255" i="34"/>
  <c r="G254" i="34"/>
  <c r="G253" i="34"/>
  <c r="G252" i="34"/>
  <c r="G251" i="34"/>
  <c r="G250" i="34"/>
  <c r="G249" i="34"/>
  <c r="G248" i="34"/>
  <c r="G247" i="34"/>
  <c r="G246" i="34"/>
  <c r="G245" i="34"/>
  <c r="G244" i="34"/>
  <c r="G243" i="34"/>
  <c r="G242" i="34"/>
  <c r="G241" i="34"/>
  <c r="G240" i="34"/>
  <c r="G239" i="34"/>
  <c r="G238" i="34"/>
  <c r="G237" i="34"/>
  <c r="G236" i="34"/>
  <c r="G235" i="34"/>
  <c r="G234" i="34"/>
  <c r="G233" i="34"/>
  <c r="G232" i="34"/>
  <c r="G231" i="34"/>
  <c r="G230" i="34"/>
  <c r="G229" i="34"/>
  <c r="G228" i="34"/>
  <c r="G227" i="34"/>
  <c r="G226" i="34"/>
  <c r="G225" i="34"/>
  <c r="G224" i="34"/>
  <c r="G223" i="34"/>
  <c r="G222" i="34"/>
  <c r="G221" i="34"/>
  <c r="G220" i="34"/>
  <c r="G219" i="34"/>
  <c r="G218" i="34"/>
  <c r="G217" i="34"/>
  <c r="G216" i="34"/>
  <c r="G215" i="34"/>
  <c r="G214" i="34"/>
  <c r="G213" i="34"/>
  <c r="G212" i="34"/>
  <c r="G211" i="34"/>
  <c r="G210" i="34"/>
  <c r="G209" i="34"/>
  <c r="G208" i="34"/>
  <c r="G207" i="34"/>
  <c r="G206" i="34"/>
  <c r="G205" i="34"/>
  <c r="G204" i="34"/>
  <c r="G203" i="34"/>
  <c r="G202" i="34"/>
  <c r="G201" i="34"/>
  <c r="G200" i="34"/>
  <c r="G199" i="34"/>
  <c r="G198" i="34"/>
  <c r="G197" i="34"/>
  <c r="G196" i="34"/>
  <c r="G195" i="34"/>
  <c r="G194" i="34"/>
  <c r="G193" i="34"/>
  <c r="G192" i="34"/>
  <c r="G191" i="34"/>
  <c r="G190" i="34"/>
  <c r="G189" i="34"/>
  <c r="G188" i="34"/>
  <c r="G187" i="34"/>
  <c r="G186" i="34"/>
  <c r="G185" i="34"/>
  <c r="G184" i="34"/>
  <c r="G183" i="34"/>
  <c r="G182" i="34"/>
  <c r="G181" i="34"/>
  <c r="G180" i="34"/>
  <c r="G179" i="34"/>
  <c r="G178" i="34"/>
  <c r="G177" i="34"/>
  <c r="G176" i="34"/>
  <c r="G175" i="34"/>
  <c r="G174" i="34"/>
  <c r="G173" i="34"/>
  <c r="G172" i="34"/>
  <c r="G171" i="34"/>
  <c r="G170" i="34"/>
  <c r="G169" i="34"/>
  <c r="G168" i="34"/>
  <c r="G167" i="34"/>
  <c r="G166" i="34"/>
  <c r="G165" i="34"/>
  <c r="G164" i="34"/>
  <c r="G163" i="34"/>
  <c r="G162" i="34"/>
  <c r="G161" i="34"/>
  <c r="G160" i="34"/>
  <c r="G159" i="34"/>
  <c r="G158" i="34"/>
  <c r="G157" i="34"/>
  <c r="G156" i="34"/>
  <c r="G155" i="34"/>
  <c r="G154" i="34"/>
  <c r="G153" i="34"/>
  <c r="G152" i="34"/>
  <c r="G151" i="34"/>
  <c r="G150" i="34"/>
  <c r="G149" i="34"/>
  <c r="G148" i="34"/>
  <c r="G147" i="34"/>
  <c r="G146" i="34"/>
  <c r="G145" i="34"/>
  <c r="G144" i="34"/>
  <c r="G143" i="34"/>
  <c r="G142" i="34"/>
  <c r="G141" i="34"/>
  <c r="G140" i="34"/>
  <c r="G139" i="34"/>
  <c r="G138" i="34"/>
  <c r="G137" i="34"/>
  <c r="G136" i="34"/>
  <c r="G135" i="34"/>
  <c r="G134" i="34"/>
  <c r="G133" i="34"/>
  <c r="G132" i="34"/>
  <c r="G131" i="34"/>
  <c r="G130" i="34"/>
  <c r="G129" i="34"/>
  <c r="G128" i="34"/>
  <c r="G127" i="34"/>
  <c r="G126" i="34"/>
  <c r="G125" i="34"/>
  <c r="G124" i="34"/>
  <c r="G123" i="34"/>
  <c r="G122" i="34"/>
  <c r="G121" i="34"/>
  <c r="G120" i="34"/>
  <c r="G119" i="34"/>
  <c r="G118" i="34"/>
  <c r="G117" i="34"/>
  <c r="G116" i="34"/>
  <c r="G115" i="34"/>
  <c r="G114" i="34"/>
  <c r="G113" i="34"/>
  <c r="G112" i="34"/>
  <c r="G111" i="34"/>
  <c r="G110" i="34"/>
  <c r="G109" i="34"/>
  <c r="G108" i="34"/>
  <c r="G107" i="34"/>
  <c r="G106" i="34"/>
  <c r="G105" i="34"/>
  <c r="G104" i="34"/>
  <c r="G103" i="34"/>
  <c r="G102" i="34"/>
  <c r="G101" i="34"/>
  <c r="G100" i="34"/>
  <c r="G99" i="34"/>
  <c r="G98" i="34"/>
  <c r="G97" i="34"/>
  <c r="G96" i="34"/>
  <c r="G95" i="34"/>
  <c r="G94" i="34"/>
  <c r="G93" i="34"/>
  <c r="G92" i="34"/>
  <c r="G91" i="34"/>
  <c r="G90" i="34"/>
  <c r="G89" i="34"/>
  <c r="G88" i="34"/>
  <c r="G87" i="34"/>
  <c r="G86" i="34"/>
  <c r="G85" i="34"/>
  <c r="G84" i="34"/>
  <c r="G83" i="34"/>
  <c r="G82" i="34"/>
  <c r="G81" i="34"/>
  <c r="G80" i="34"/>
  <c r="G79" i="34"/>
  <c r="G78" i="34"/>
  <c r="G77" i="34"/>
  <c r="H18" i="34"/>
  <c r="I11" i="34"/>
  <c r="R29" i="34" s="1"/>
  <c r="H11" i="34"/>
  <c r="I15" i="34"/>
  <c r="H15" i="34"/>
  <c r="I12" i="34"/>
  <c r="H12" i="34"/>
  <c r="I10" i="34"/>
  <c r="H10" i="34"/>
  <c r="I9" i="34"/>
  <c r="H9" i="34"/>
  <c r="I8" i="34"/>
  <c r="R28" i="34" s="1"/>
  <c r="H8" i="34"/>
  <c r="I7" i="34"/>
  <c r="R27" i="34" s="1"/>
  <c r="H7" i="34"/>
  <c r="I6" i="34"/>
  <c r="R26" i="34" s="1"/>
  <c r="H6" i="34"/>
  <c r="I60" i="34"/>
  <c r="H60" i="34"/>
  <c r="H61" i="34"/>
  <c r="H62" i="34"/>
  <c r="I57" i="34"/>
  <c r="H57" i="34"/>
  <c r="I59" i="34"/>
  <c r="H59" i="34"/>
  <c r="I58" i="34"/>
  <c r="H58" i="34"/>
  <c r="H50" i="34"/>
  <c r="I54" i="34"/>
  <c r="H54" i="34"/>
  <c r="I56" i="34"/>
  <c r="H56" i="34"/>
  <c r="I55" i="34"/>
  <c r="H55" i="34"/>
  <c r="I52" i="34"/>
  <c r="H52" i="34"/>
  <c r="I51" i="34"/>
  <c r="H51" i="34"/>
  <c r="I53" i="34"/>
  <c r="H53" i="34"/>
  <c r="I47" i="34"/>
  <c r="H47" i="34"/>
  <c r="I46" i="34"/>
  <c r="H46" i="34"/>
  <c r="I45" i="34"/>
  <c r="H45" i="34"/>
  <c r="I34" i="34"/>
  <c r="H34" i="34"/>
  <c r="I33" i="34"/>
  <c r="H33" i="34"/>
  <c r="I17" i="34"/>
  <c r="H17" i="34"/>
  <c r="G443" i="33"/>
  <c r="G442" i="33"/>
  <c r="G441" i="33"/>
  <c r="G440" i="33"/>
  <c r="G439" i="33"/>
  <c r="G438" i="33"/>
  <c r="G437" i="33"/>
  <c r="G436" i="33"/>
  <c r="G435" i="33"/>
  <c r="G434" i="33"/>
  <c r="G433" i="33"/>
  <c r="G432" i="33"/>
  <c r="G431" i="33"/>
  <c r="G430" i="33"/>
  <c r="G429" i="33"/>
  <c r="G428" i="33"/>
  <c r="G427" i="33"/>
  <c r="G426" i="33"/>
  <c r="G425" i="33"/>
  <c r="G424" i="33"/>
  <c r="G423" i="33"/>
  <c r="G422" i="33"/>
  <c r="G421" i="33"/>
  <c r="G420" i="33"/>
  <c r="G419" i="33"/>
  <c r="G418" i="33"/>
  <c r="G417" i="33"/>
  <c r="G416" i="33"/>
  <c r="G415" i="33"/>
  <c r="G414" i="33"/>
  <c r="G413" i="33"/>
  <c r="G412" i="33"/>
  <c r="G411" i="33"/>
  <c r="G410" i="33"/>
  <c r="G409" i="33"/>
  <c r="G408" i="33"/>
  <c r="G407" i="33"/>
  <c r="G406" i="33"/>
  <c r="G405" i="33"/>
  <c r="G404" i="33"/>
  <c r="G403" i="33"/>
  <c r="G402" i="33"/>
  <c r="G401" i="33"/>
  <c r="G400" i="33"/>
  <c r="G399" i="33"/>
  <c r="G398" i="33"/>
  <c r="G397" i="33"/>
  <c r="G396" i="33"/>
  <c r="G395" i="33"/>
  <c r="G394" i="33"/>
  <c r="G393" i="33"/>
  <c r="G392" i="33"/>
  <c r="G391" i="33"/>
  <c r="G390" i="33"/>
  <c r="G389" i="33"/>
  <c r="G388" i="33"/>
  <c r="G387" i="33"/>
  <c r="G386" i="33"/>
  <c r="G385" i="33"/>
  <c r="G384" i="33"/>
  <c r="G383" i="33"/>
  <c r="G382" i="33"/>
  <c r="G381" i="33"/>
  <c r="G380" i="33"/>
  <c r="G379" i="33"/>
  <c r="G378" i="33"/>
  <c r="G377" i="33"/>
  <c r="G376" i="33"/>
  <c r="G375" i="33"/>
  <c r="G374" i="33"/>
  <c r="G373" i="33"/>
  <c r="G372" i="33"/>
  <c r="G371" i="33"/>
  <c r="G370" i="33"/>
  <c r="G369" i="33"/>
  <c r="G368" i="33"/>
  <c r="G367" i="33"/>
  <c r="G366" i="33"/>
  <c r="G365" i="33"/>
  <c r="G364" i="33"/>
  <c r="G363" i="33"/>
  <c r="G362" i="33"/>
  <c r="G361" i="33"/>
  <c r="G360" i="33"/>
  <c r="G359" i="33"/>
  <c r="G358" i="33"/>
  <c r="G357" i="33"/>
  <c r="G356" i="33"/>
  <c r="G355" i="33"/>
  <c r="G354" i="33"/>
  <c r="G353" i="33"/>
  <c r="G352" i="33"/>
  <c r="G351" i="33"/>
  <c r="G350" i="33"/>
  <c r="G349" i="33"/>
  <c r="G348" i="33"/>
  <c r="G347" i="33"/>
  <c r="G346" i="33"/>
  <c r="G345" i="33"/>
  <c r="G344" i="33"/>
  <c r="G343" i="33"/>
  <c r="G342" i="33"/>
  <c r="G341" i="33"/>
  <c r="G340" i="33"/>
  <c r="G339" i="33"/>
  <c r="G338" i="33"/>
  <c r="G337" i="33"/>
  <c r="G336" i="33"/>
  <c r="G335" i="33"/>
  <c r="G334" i="33"/>
  <c r="G333" i="33"/>
  <c r="G332" i="33"/>
  <c r="G331" i="33"/>
  <c r="G330" i="33"/>
  <c r="G329" i="33"/>
  <c r="G328" i="33"/>
  <c r="G327" i="33"/>
  <c r="G326" i="33"/>
  <c r="G325" i="33"/>
  <c r="G324" i="33"/>
  <c r="G323" i="33"/>
  <c r="G322" i="33"/>
  <c r="G321" i="33"/>
  <c r="G320" i="33"/>
  <c r="G319" i="33"/>
  <c r="G318" i="33"/>
  <c r="G317" i="33"/>
  <c r="G316" i="33"/>
  <c r="G315" i="33"/>
  <c r="G314" i="33"/>
  <c r="G313" i="33"/>
  <c r="G312" i="33"/>
  <c r="G311" i="33"/>
  <c r="G310" i="33"/>
  <c r="G309" i="33"/>
  <c r="G308" i="33"/>
  <c r="G307" i="33"/>
  <c r="G306" i="33"/>
  <c r="G305" i="33"/>
  <c r="G304" i="33"/>
  <c r="G303" i="33"/>
  <c r="G302" i="33"/>
  <c r="G301" i="33"/>
  <c r="G300" i="33"/>
  <c r="G299" i="33"/>
  <c r="G298" i="33"/>
  <c r="G297" i="33"/>
  <c r="G296" i="33"/>
  <c r="G295" i="33"/>
  <c r="G294" i="33"/>
  <c r="G293" i="33"/>
  <c r="G292" i="33"/>
  <c r="G291" i="33"/>
  <c r="G290" i="33"/>
  <c r="G289" i="33"/>
  <c r="G288" i="33"/>
  <c r="G287" i="33"/>
  <c r="G286" i="33"/>
  <c r="G285" i="33"/>
  <c r="G284" i="33"/>
  <c r="G283" i="33"/>
  <c r="G282" i="33"/>
  <c r="G281" i="33"/>
  <c r="G280" i="33"/>
  <c r="G279" i="33"/>
  <c r="G278" i="33"/>
  <c r="G277" i="33"/>
  <c r="G276" i="33"/>
  <c r="G275" i="33"/>
  <c r="G274" i="33"/>
  <c r="G273" i="33"/>
  <c r="G272" i="33"/>
  <c r="G271" i="33"/>
  <c r="G270" i="33"/>
  <c r="G269" i="33"/>
  <c r="G268" i="33"/>
  <c r="G267" i="33"/>
  <c r="G266" i="33"/>
  <c r="G265" i="33"/>
  <c r="G264" i="33"/>
  <c r="G263" i="33"/>
  <c r="G262" i="33"/>
  <c r="G261" i="33"/>
  <c r="G260" i="33"/>
  <c r="G259" i="33"/>
  <c r="G258" i="33"/>
  <c r="G257" i="33"/>
  <c r="G256" i="33"/>
  <c r="G255" i="33"/>
  <c r="G254" i="33"/>
  <c r="G253" i="33"/>
  <c r="G252" i="33"/>
  <c r="G251" i="33"/>
  <c r="G250" i="33"/>
  <c r="G249" i="33"/>
  <c r="G248" i="33"/>
  <c r="G247" i="33"/>
  <c r="G246" i="33"/>
  <c r="G245" i="33"/>
  <c r="G244" i="33"/>
  <c r="G243" i="33"/>
  <c r="G242" i="33"/>
  <c r="G241" i="33"/>
  <c r="G240" i="33"/>
  <c r="G239" i="33"/>
  <c r="G238" i="33"/>
  <c r="G237" i="33"/>
  <c r="G236" i="33"/>
  <c r="G235" i="33"/>
  <c r="G234" i="33"/>
  <c r="G233" i="33"/>
  <c r="G232" i="33"/>
  <c r="G231" i="33"/>
  <c r="G230" i="33"/>
  <c r="G229" i="33"/>
  <c r="G228" i="33"/>
  <c r="G227" i="33"/>
  <c r="G226" i="33"/>
  <c r="G225" i="33"/>
  <c r="G224" i="33"/>
  <c r="G223" i="33"/>
  <c r="G222" i="33"/>
  <c r="G221" i="33"/>
  <c r="G220" i="33"/>
  <c r="G219" i="33"/>
  <c r="G218" i="33"/>
  <c r="G217" i="33"/>
  <c r="G216" i="33"/>
  <c r="G215" i="33"/>
  <c r="G214" i="33"/>
  <c r="G213" i="33"/>
  <c r="G212" i="33"/>
  <c r="G211" i="33"/>
  <c r="G210" i="33"/>
  <c r="G209" i="33"/>
  <c r="G208" i="33"/>
  <c r="G207" i="33"/>
  <c r="G206" i="33"/>
  <c r="G205" i="33"/>
  <c r="G204" i="33"/>
  <c r="G203" i="33"/>
  <c r="G202" i="33"/>
  <c r="G201" i="33"/>
  <c r="G200" i="33"/>
  <c r="G199" i="33"/>
  <c r="G198" i="33"/>
  <c r="G197" i="33"/>
  <c r="G196" i="33"/>
  <c r="G195" i="33"/>
  <c r="G194" i="33"/>
  <c r="G193" i="33"/>
  <c r="G192" i="33"/>
  <c r="G191" i="33"/>
  <c r="G190" i="33"/>
  <c r="G189" i="33"/>
  <c r="G188" i="33"/>
  <c r="G187" i="33"/>
  <c r="G186" i="33"/>
  <c r="G185" i="33"/>
  <c r="G184" i="33"/>
  <c r="G183" i="33"/>
  <c r="G182" i="33"/>
  <c r="G181" i="33"/>
  <c r="G180" i="33"/>
  <c r="G179" i="33"/>
  <c r="G178" i="33"/>
  <c r="G177" i="33"/>
  <c r="G176" i="33"/>
  <c r="G175" i="33"/>
  <c r="G174" i="33"/>
  <c r="G173" i="33"/>
  <c r="G172" i="33"/>
  <c r="G171" i="33"/>
  <c r="G170" i="33"/>
  <c r="G169" i="33"/>
  <c r="G168" i="33"/>
  <c r="G167" i="33"/>
  <c r="G166" i="33"/>
  <c r="G165" i="33"/>
  <c r="G164" i="33"/>
  <c r="G163" i="33"/>
  <c r="G162" i="33"/>
  <c r="G161" i="33"/>
  <c r="G160" i="33"/>
  <c r="G159" i="33"/>
  <c r="G158" i="33"/>
  <c r="G157" i="33"/>
  <c r="G156" i="33"/>
  <c r="G155" i="33"/>
  <c r="G154" i="33"/>
  <c r="G153" i="33"/>
  <c r="G152" i="33"/>
  <c r="G151" i="33"/>
  <c r="G150" i="33"/>
  <c r="G149" i="33"/>
  <c r="G148" i="33"/>
  <c r="G147" i="33"/>
  <c r="G146" i="33"/>
  <c r="G145" i="33"/>
  <c r="G144" i="33"/>
  <c r="G143" i="33"/>
  <c r="G142" i="33"/>
  <c r="G141" i="33"/>
  <c r="G140" i="33"/>
  <c r="G139" i="33"/>
  <c r="G138" i="33"/>
  <c r="G137" i="33"/>
  <c r="G136" i="33"/>
  <c r="G135" i="33"/>
  <c r="G134" i="33"/>
  <c r="G133" i="33"/>
  <c r="G132" i="33"/>
  <c r="G131" i="33"/>
  <c r="G130" i="33"/>
  <c r="G129" i="33"/>
  <c r="G128" i="33"/>
  <c r="G127" i="33"/>
  <c r="G126" i="33"/>
  <c r="G125" i="33"/>
  <c r="G124" i="33"/>
  <c r="G123" i="33"/>
  <c r="G122" i="33"/>
  <c r="G121" i="33"/>
  <c r="G120" i="33"/>
  <c r="G119" i="33"/>
  <c r="G118" i="33"/>
  <c r="G117" i="33"/>
  <c r="G116" i="33"/>
  <c r="G115" i="33"/>
  <c r="G114" i="33"/>
  <c r="G113" i="33"/>
  <c r="G112" i="33"/>
  <c r="G111" i="33"/>
  <c r="G110" i="33"/>
  <c r="G109" i="33"/>
  <c r="G108" i="33"/>
  <c r="G107" i="33"/>
  <c r="G106" i="33"/>
  <c r="G105" i="33"/>
  <c r="G104" i="33"/>
  <c r="G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Q15" i="33"/>
  <c r="H15" i="33"/>
  <c r="I14" i="33"/>
  <c r="Q14" i="33" s="1"/>
  <c r="H14" i="33"/>
  <c r="I13" i="33"/>
  <c r="Q13" i="33" s="1"/>
  <c r="H13" i="33"/>
  <c r="I12" i="33"/>
  <c r="Q12" i="33" s="1"/>
  <c r="H12" i="33"/>
  <c r="I11" i="33"/>
  <c r="Q11" i="33" s="1"/>
  <c r="H11" i="33"/>
  <c r="I10" i="33"/>
  <c r="Q10" i="33" s="1"/>
  <c r="H10" i="33"/>
  <c r="Q9" i="33"/>
  <c r="H9" i="33"/>
  <c r="Q8" i="33"/>
  <c r="H8" i="33"/>
  <c r="I7" i="33"/>
  <c r="Q7" i="33" s="1"/>
  <c r="H7" i="33"/>
  <c r="I6" i="33"/>
  <c r="Q6" i="33" s="1"/>
  <c r="H6" i="33"/>
  <c r="G434" i="32"/>
  <c r="G433" i="32"/>
  <c r="G432" i="32"/>
  <c r="G431" i="32"/>
  <c r="G430" i="32"/>
  <c r="G429" i="32"/>
  <c r="G428" i="32"/>
  <c r="G427" i="32"/>
  <c r="G426" i="32"/>
  <c r="G425" i="32"/>
  <c r="G424" i="32"/>
  <c r="G423" i="32"/>
  <c r="G422" i="32"/>
  <c r="G421" i="32"/>
  <c r="G420" i="32"/>
  <c r="G419" i="32"/>
  <c r="G418" i="32"/>
  <c r="G417" i="32"/>
  <c r="G416" i="32"/>
  <c r="G415" i="32"/>
  <c r="G414" i="32"/>
  <c r="G413" i="32"/>
  <c r="G412" i="32"/>
  <c r="G411" i="32"/>
  <c r="G410" i="32"/>
  <c r="G409" i="32"/>
  <c r="G408" i="32"/>
  <c r="G407" i="32"/>
  <c r="G406" i="32"/>
  <c r="G405" i="32"/>
  <c r="G404" i="32"/>
  <c r="G403" i="32"/>
  <c r="G402" i="32"/>
  <c r="G401" i="32"/>
  <c r="G400" i="32"/>
  <c r="G399" i="32"/>
  <c r="G398" i="32"/>
  <c r="G397" i="32"/>
  <c r="G396" i="32"/>
  <c r="G395" i="32"/>
  <c r="G394" i="32"/>
  <c r="G393" i="32"/>
  <c r="G392" i="32"/>
  <c r="G391" i="32"/>
  <c r="G390" i="32"/>
  <c r="G389" i="32"/>
  <c r="G388" i="32"/>
  <c r="G387" i="32"/>
  <c r="G386" i="32"/>
  <c r="G385" i="32"/>
  <c r="G384" i="32"/>
  <c r="G383" i="32"/>
  <c r="G382" i="32"/>
  <c r="G381" i="32"/>
  <c r="G380" i="32"/>
  <c r="G379" i="32"/>
  <c r="G378" i="32"/>
  <c r="G377" i="32"/>
  <c r="G376" i="32"/>
  <c r="G375" i="32"/>
  <c r="G374" i="32"/>
  <c r="G373" i="32"/>
  <c r="G372" i="32"/>
  <c r="G371" i="32"/>
  <c r="G370" i="32"/>
  <c r="G369" i="32"/>
  <c r="G368" i="32"/>
  <c r="G367" i="32"/>
  <c r="G366" i="32"/>
  <c r="G365" i="32"/>
  <c r="G364" i="32"/>
  <c r="G363" i="32"/>
  <c r="G362" i="32"/>
  <c r="G361" i="32"/>
  <c r="G360" i="32"/>
  <c r="G359" i="32"/>
  <c r="G358" i="32"/>
  <c r="G357" i="32"/>
  <c r="G356" i="32"/>
  <c r="G355" i="32"/>
  <c r="G354" i="32"/>
  <c r="G353" i="32"/>
  <c r="G352" i="32"/>
  <c r="G351" i="32"/>
  <c r="G350" i="32"/>
  <c r="G349" i="32"/>
  <c r="G348" i="32"/>
  <c r="G347" i="32"/>
  <c r="G346" i="32"/>
  <c r="G345" i="32"/>
  <c r="G344" i="32"/>
  <c r="G343" i="32"/>
  <c r="G342" i="32"/>
  <c r="G341" i="32"/>
  <c r="G340" i="32"/>
  <c r="G339" i="32"/>
  <c r="G338" i="32"/>
  <c r="G337" i="32"/>
  <c r="G336" i="32"/>
  <c r="G335" i="32"/>
  <c r="G334" i="32"/>
  <c r="G333" i="32"/>
  <c r="G332" i="32"/>
  <c r="G331" i="32"/>
  <c r="G330" i="32"/>
  <c r="G329" i="32"/>
  <c r="G328" i="32"/>
  <c r="G327" i="32"/>
  <c r="G326" i="32"/>
  <c r="G325" i="32"/>
  <c r="G324" i="32"/>
  <c r="G323" i="32"/>
  <c r="G322" i="32"/>
  <c r="G321" i="32"/>
  <c r="G320" i="32"/>
  <c r="G319" i="32"/>
  <c r="G318" i="32"/>
  <c r="G317" i="32"/>
  <c r="G316" i="32"/>
  <c r="G315" i="32"/>
  <c r="G314" i="32"/>
  <c r="G313" i="32"/>
  <c r="G312" i="32"/>
  <c r="G311" i="32"/>
  <c r="G310" i="32"/>
  <c r="G309" i="32"/>
  <c r="G308" i="32"/>
  <c r="G307" i="32"/>
  <c r="G306" i="32"/>
  <c r="G305" i="32"/>
  <c r="G304" i="32"/>
  <c r="G303" i="32"/>
  <c r="G302" i="32"/>
  <c r="G301" i="32"/>
  <c r="G300" i="32"/>
  <c r="G299" i="32"/>
  <c r="G298" i="32"/>
  <c r="G297" i="32"/>
  <c r="G296" i="32"/>
  <c r="G295" i="32"/>
  <c r="G294" i="32"/>
  <c r="G293" i="32"/>
  <c r="G292" i="32"/>
  <c r="G291" i="32"/>
  <c r="G290" i="32"/>
  <c r="G289" i="32"/>
  <c r="G288" i="32"/>
  <c r="G287" i="32"/>
  <c r="G286" i="32"/>
  <c r="G285" i="32"/>
  <c r="G284" i="32"/>
  <c r="G283" i="32"/>
  <c r="G282" i="32"/>
  <c r="G281" i="32"/>
  <c r="G280" i="32"/>
  <c r="G279" i="32"/>
  <c r="G278" i="32"/>
  <c r="G277" i="32"/>
  <c r="G276" i="32"/>
  <c r="G275" i="32"/>
  <c r="G274" i="32"/>
  <c r="G273" i="32"/>
  <c r="G272" i="32"/>
  <c r="G271" i="32"/>
  <c r="G270" i="32"/>
  <c r="G269" i="32"/>
  <c r="G268" i="32"/>
  <c r="G267" i="32"/>
  <c r="G266" i="32"/>
  <c r="G265" i="32"/>
  <c r="G264" i="32"/>
  <c r="G263" i="32"/>
  <c r="G262" i="32"/>
  <c r="G261" i="32"/>
  <c r="G260" i="32"/>
  <c r="G259" i="32"/>
  <c r="G258" i="32"/>
  <c r="G257" i="32"/>
  <c r="G256" i="32"/>
  <c r="G255" i="32"/>
  <c r="G254" i="32"/>
  <c r="G253" i="32"/>
  <c r="G252" i="32"/>
  <c r="G251" i="32"/>
  <c r="G250" i="32"/>
  <c r="G249" i="32"/>
  <c r="G248" i="32"/>
  <c r="G247" i="32"/>
  <c r="G246" i="32"/>
  <c r="G245" i="32"/>
  <c r="G244" i="32"/>
  <c r="G243" i="32"/>
  <c r="G242" i="32"/>
  <c r="G241" i="32"/>
  <c r="G240" i="32"/>
  <c r="G239" i="32"/>
  <c r="G238" i="32"/>
  <c r="G237" i="32"/>
  <c r="G236" i="32"/>
  <c r="G235" i="32"/>
  <c r="G234" i="32"/>
  <c r="G233" i="32"/>
  <c r="G232" i="32"/>
  <c r="G231" i="32"/>
  <c r="G230" i="32"/>
  <c r="G229" i="32"/>
  <c r="G228" i="32"/>
  <c r="G227" i="32"/>
  <c r="G226" i="32"/>
  <c r="G225" i="32"/>
  <c r="G224" i="32"/>
  <c r="G223" i="32"/>
  <c r="G222" i="32"/>
  <c r="G221" i="32"/>
  <c r="G220" i="32"/>
  <c r="G219" i="32"/>
  <c r="G218" i="32"/>
  <c r="G217" i="32"/>
  <c r="G216" i="32"/>
  <c r="G215" i="32"/>
  <c r="G214" i="32"/>
  <c r="G213" i="32"/>
  <c r="G212" i="32"/>
  <c r="G211" i="32"/>
  <c r="G210" i="32"/>
  <c r="G209" i="32"/>
  <c r="G208" i="32"/>
  <c r="G207" i="32"/>
  <c r="G206" i="32"/>
  <c r="G205" i="32"/>
  <c r="G204" i="32"/>
  <c r="G203" i="32"/>
  <c r="G202" i="32"/>
  <c r="G201" i="32"/>
  <c r="G200" i="32"/>
  <c r="G199" i="32"/>
  <c r="G198" i="32"/>
  <c r="G197" i="32"/>
  <c r="G196" i="32"/>
  <c r="G195" i="32"/>
  <c r="G194" i="32"/>
  <c r="G193" i="32"/>
  <c r="G192" i="32"/>
  <c r="G191" i="32"/>
  <c r="G190" i="32"/>
  <c r="G189" i="32"/>
  <c r="G188" i="32"/>
  <c r="G187" i="32"/>
  <c r="G186" i="32"/>
  <c r="G185" i="32"/>
  <c r="G184" i="32"/>
  <c r="G183" i="32"/>
  <c r="G182" i="32"/>
  <c r="G181" i="32"/>
  <c r="G180" i="32"/>
  <c r="G179" i="32"/>
  <c r="G178" i="32"/>
  <c r="G177" i="32"/>
  <c r="G176" i="32"/>
  <c r="G175" i="32"/>
  <c r="G174" i="32"/>
  <c r="G173" i="32"/>
  <c r="G172" i="32"/>
  <c r="G171" i="32"/>
  <c r="G170" i="32"/>
  <c r="G169" i="32"/>
  <c r="G168" i="32"/>
  <c r="G167" i="32"/>
  <c r="G166" i="32"/>
  <c r="G165" i="32"/>
  <c r="G164" i="32"/>
  <c r="G163" i="32"/>
  <c r="G162" i="32"/>
  <c r="G161" i="32"/>
  <c r="G160" i="32"/>
  <c r="G159" i="32"/>
  <c r="G158" i="32"/>
  <c r="G157" i="32"/>
  <c r="G156" i="32"/>
  <c r="G155" i="32"/>
  <c r="G154" i="32"/>
  <c r="G153" i="32"/>
  <c r="G152" i="32"/>
  <c r="G151" i="32"/>
  <c r="G150" i="32"/>
  <c r="G149" i="32"/>
  <c r="G148" i="32"/>
  <c r="G147" i="32"/>
  <c r="G146" i="32"/>
  <c r="G145" i="32"/>
  <c r="G144" i="32"/>
  <c r="G143" i="32"/>
  <c r="G142" i="32"/>
  <c r="G141" i="32"/>
  <c r="G140" i="32"/>
  <c r="G139" i="32"/>
  <c r="G138" i="32"/>
  <c r="G137" i="32"/>
  <c r="G136" i="32"/>
  <c r="G135" i="32"/>
  <c r="G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5" i="32"/>
  <c r="G114" i="32"/>
  <c r="G113" i="32"/>
  <c r="G112" i="32"/>
  <c r="G111" i="32"/>
  <c r="G110" i="32"/>
  <c r="G109" i="32"/>
  <c r="G108" i="32"/>
  <c r="G107" i="32"/>
  <c r="G106" i="32"/>
  <c r="G105" i="32"/>
  <c r="G104" i="32"/>
  <c r="G103" i="32"/>
  <c r="G102" i="32"/>
  <c r="G101" i="32"/>
  <c r="G100" i="32"/>
  <c r="G99" i="32"/>
  <c r="G98" i="32"/>
  <c r="G97" i="32"/>
  <c r="G96" i="32"/>
  <c r="G95" i="32"/>
  <c r="G94" i="32"/>
  <c r="G93" i="32"/>
  <c r="G92" i="32"/>
  <c r="G91" i="32"/>
  <c r="G90" i="32"/>
  <c r="G89" i="32"/>
  <c r="G88" i="32"/>
  <c r="G87" i="32"/>
  <c r="G86" i="32"/>
  <c r="G85" i="32"/>
  <c r="G84" i="32"/>
  <c r="G83" i="32"/>
  <c r="G82" i="32"/>
  <c r="G81" i="32"/>
  <c r="G80" i="32"/>
  <c r="G79" i="32"/>
  <c r="G78" i="32"/>
  <c r="G77" i="32"/>
  <c r="G76" i="32"/>
  <c r="G75" i="32"/>
  <c r="G74" i="32"/>
  <c r="G73" i="32"/>
  <c r="G72" i="32"/>
  <c r="G71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G20" i="32"/>
  <c r="G19" i="32"/>
  <c r="G18" i="32"/>
  <c r="Q6" i="32"/>
  <c r="H6" i="32"/>
  <c r="G441" i="31"/>
  <c r="G440" i="31"/>
  <c r="G439" i="31"/>
  <c r="G438" i="31"/>
  <c r="G437" i="31"/>
  <c r="G436" i="31"/>
  <c r="G435" i="31"/>
  <c r="G434" i="31"/>
  <c r="G433" i="31"/>
  <c r="G432" i="31"/>
  <c r="G431" i="31"/>
  <c r="G430" i="31"/>
  <c r="G429" i="31"/>
  <c r="G428" i="31"/>
  <c r="G427" i="31"/>
  <c r="G426" i="31"/>
  <c r="G425" i="31"/>
  <c r="G424" i="31"/>
  <c r="G423" i="31"/>
  <c r="G422" i="31"/>
  <c r="G421" i="31"/>
  <c r="G420" i="31"/>
  <c r="G419" i="31"/>
  <c r="G418" i="31"/>
  <c r="G417" i="31"/>
  <c r="G416" i="31"/>
  <c r="G415" i="31"/>
  <c r="G414" i="31"/>
  <c r="G413" i="31"/>
  <c r="G412" i="31"/>
  <c r="G411" i="31"/>
  <c r="G410" i="31"/>
  <c r="G409" i="31"/>
  <c r="G408" i="31"/>
  <c r="G407" i="31"/>
  <c r="G406" i="31"/>
  <c r="G405" i="31"/>
  <c r="G404" i="31"/>
  <c r="G403" i="31"/>
  <c r="G402" i="31"/>
  <c r="G401" i="31"/>
  <c r="G400" i="31"/>
  <c r="G399" i="31"/>
  <c r="G398" i="31"/>
  <c r="G397" i="31"/>
  <c r="G396" i="31"/>
  <c r="G395" i="31"/>
  <c r="G394" i="31"/>
  <c r="G393" i="31"/>
  <c r="G392" i="31"/>
  <c r="G391" i="31"/>
  <c r="G390" i="31"/>
  <c r="G389" i="31"/>
  <c r="G388" i="31"/>
  <c r="G387" i="31"/>
  <c r="G386" i="31"/>
  <c r="G385" i="31"/>
  <c r="G384" i="31"/>
  <c r="G383" i="31"/>
  <c r="G382" i="31"/>
  <c r="G381" i="31"/>
  <c r="G380" i="31"/>
  <c r="G379" i="31"/>
  <c r="G378" i="31"/>
  <c r="G377" i="31"/>
  <c r="G376" i="31"/>
  <c r="G375" i="31"/>
  <c r="G374" i="31"/>
  <c r="G373" i="31"/>
  <c r="G372" i="31"/>
  <c r="G371" i="31"/>
  <c r="G370" i="31"/>
  <c r="G369" i="31"/>
  <c r="G368" i="31"/>
  <c r="G367" i="31"/>
  <c r="G366" i="31"/>
  <c r="G365" i="31"/>
  <c r="G364" i="31"/>
  <c r="G363" i="31"/>
  <c r="G362" i="31"/>
  <c r="G361" i="31"/>
  <c r="G360" i="31"/>
  <c r="G359" i="31"/>
  <c r="G358" i="31"/>
  <c r="G357" i="31"/>
  <c r="G356" i="31"/>
  <c r="G355" i="31"/>
  <c r="G354" i="31"/>
  <c r="G353" i="31"/>
  <c r="G352" i="31"/>
  <c r="G351" i="31"/>
  <c r="G350" i="31"/>
  <c r="G349" i="31"/>
  <c r="G348" i="31"/>
  <c r="G347" i="31"/>
  <c r="G346" i="31"/>
  <c r="G345" i="31"/>
  <c r="G344" i="31"/>
  <c r="G343" i="31"/>
  <c r="G342" i="31"/>
  <c r="G341" i="31"/>
  <c r="G340" i="31"/>
  <c r="G339" i="31"/>
  <c r="G338" i="31"/>
  <c r="G337" i="31"/>
  <c r="G336" i="31"/>
  <c r="G335" i="31"/>
  <c r="G334" i="31"/>
  <c r="G333" i="31"/>
  <c r="G332" i="31"/>
  <c r="G331" i="31"/>
  <c r="G330" i="31"/>
  <c r="G329" i="31"/>
  <c r="G328" i="31"/>
  <c r="G327" i="31"/>
  <c r="G326" i="31"/>
  <c r="G325" i="31"/>
  <c r="G324" i="31"/>
  <c r="G323" i="31"/>
  <c r="G322" i="31"/>
  <c r="G321" i="31"/>
  <c r="G320" i="31"/>
  <c r="G319" i="31"/>
  <c r="G318" i="31"/>
  <c r="G317" i="31"/>
  <c r="G316" i="31"/>
  <c r="G315" i="31"/>
  <c r="G314" i="31"/>
  <c r="G313" i="31"/>
  <c r="G312" i="31"/>
  <c r="G311" i="31"/>
  <c r="G310" i="31"/>
  <c r="G309" i="31"/>
  <c r="G308" i="31"/>
  <c r="G307" i="31"/>
  <c r="G306" i="31"/>
  <c r="G305" i="31"/>
  <c r="G304" i="31"/>
  <c r="G303" i="31"/>
  <c r="G302" i="31"/>
  <c r="G301" i="31"/>
  <c r="G300" i="31"/>
  <c r="G299" i="31"/>
  <c r="G298" i="31"/>
  <c r="G297" i="31"/>
  <c r="G296" i="31"/>
  <c r="G295" i="31"/>
  <c r="G294" i="31"/>
  <c r="G293" i="31"/>
  <c r="G292" i="31"/>
  <c r="G291" i="31"/>
  <c r="G290" i="31"/>
  <c r="G289" i="31"/>
  <c r="G288" i="31"/>
  <c r="G287" i="31"/>
  <c r="G286" i="31"/>
  <c r="G285" i="31"/>
  <c r="G284" i="31"/>
  <c r="G283" i="31"/>
  <c r="G282" i="31"/>
  <c r="G281" i="31"/>
  <c r="G280" i="31"/>
  <c r="G279" i="31"/>
  <c r="G278" i="31"/>
  <c r="G277" i="31"/>
  <c r="G276" i="31"/>
  <c r="G275" i="31"/>
  <c r="G274" i="31"/>
  <c r="G273" i="31"/>
  <c r="G272" i="31"/>
  <c r="G271" i="31"/>
  <c r="G270" i="31"/>
  <c r="G269" i="31"/>
  <c r="G268" i="31"/>
  <c r="G267" i="31"/>
  <c r="G266" i="31"/>
  <c r="G265" i="31"/>
  <c r="G264" i="31"/>
  <c r="G263" i="31"/>
  <c r="G262" i="31"/>
  <c r="G261" i="31"/>
  <c r="G260" i="31"/>
  <c r="G259" i="31"/>
  <c r="G258" i="31"/>
  <c r="G257" i="31"/>
  <c r="G256" i="31"/>
  <c r="G255" i="31"/>
  <c r="G254" i="31"/>
  <c r="G253" i="31"/>
  <c r="G252" i="31"/>
  <c r="G251" i="31"/>
  <c r="G250" i="31"/>
  <c r="G249" i="31"/>
  <c r="G248" i="31"/>
  <c r="G247" i="31"/>
  <c r="G246" i="31"/>
  <c r="G245" i="31"/>
  <c r="G244" i="31"/>
  <c r="G243" i="31"/>
  <c r="G242" i="31"/>
  <c r="G241" i="31"/>
  <c r="G240" i="31"/>
  <c r="G239" i="31"/>
  <c r="G238" i="31"/>
  <c r="G237" i="31"/>
  <c r="G236" i="31"/>
  <c r="G235" i="31"/>
  <c r="G234" i="31"/>
  <c r="G233" i="31"/>
  <c r="G232" i="31"/>
  <c r="G231" i="31"/>
  <c r="G230" i="31"/>
  <c r="G229" i="31"/>
  <c r="G228" i="31"/>
  <c r="G227" i="31"/>
  <c r="G226" i="31"/>
  <c r="G225" i="31"/>
  <c r="G224" i="31"/>
  <c r="G223" i="31"/>
  <c r="G222" i="31"/>
  <c r="G221" i="31"/>
  <c r="G220" i="31"/>
  <c r="G219" i="31"/>
  <c r="G218" i="31"/>
  <c r="G217" i="31"/>
  <c r="G216" i="31"/>
  <c r="G215" i="31"/>
  <c r="G214" i="31"/>
  <c r="G213" i="31"/>
  <c r="G212" i="31"/>
  <c r="G211" i="31"/>
  <c r="G210" i="31"/>
  <c r="G209" i="31"/>
  <c r="G208" i="31"/>
  <c r="G207" i="31"/>
  <c r="G206" i="31"/>
  <c r="G205" i="31"/>
  <c r="G204" i="31"/>
  <c r="G203" i="31"/>
  <c r="G202" i="31"/>
  <c r="G201" i="31"/>
  <c r="G200" i="31"/>
  <c r="G199" i="31"/>
  <c r="G198" i="31"/>
  <c r="G197" i="31"/>
  <c r="G196" i="31"/>
  <c r="G195" i="31"/>
  <c r="G194" i="31"/>
  <c r="G193" i="31"/>
  <c r="G192" i="31"/>
  <c r="G191" i="31"/>
  <c r="G190" i="31"/>
  <c r="G189" i="31"/>
  <c r="G188" i="31"/>
  <c r="G187" i="31"/>
  <c r="G186" i="31"/>
  <c r="G185" i="31"/>
  <c r="G184" i="31"/>
  <c r="G183" i="31"/>
  <c r="G182" i="31"/>
  <c r="G181" i="31"/>
  <c r="G180" i="31"/>
  <c r="G179" i="31"/>
  <c r="G178" i="31"/>
  <c r="G177" i="31"/>
  <c r="G176" i="31"/>
  <c r="G175" i="31"/>
  <c r="G174" i="31"/>
  <c r="G173" i="31"/>
  <c r="G172" i="31"/>
  <c r="G171" i="31"/>
  <c r="G170" i="31"/>
  <c r="G169" i="31"/>
  <c r="G168" i="31"/>
  <c r="G167" i="31"/>
  <c r="G166" i="31"/>
  <c r="G165" i="31"/>
  <c r="G164" i="31"/>
  <c r="G163" i="31"/>
  <c r="G162" i="31"/>
  <c r="G161" i="31"/>
  <c r="G160" i="31"/>
  <c r="G159" i="31"/>
  <c r="G158" i="31"/>
  <c r="G157" i="31"/>
  <c r="G156" i="31"/>
  <c r="G155" i="31"/>
  <c r="G154" i="31"/>
  <c r="G153" i="31"/>
  <c r="G152" i="31"/>
  <c r="G151" i="3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G114" i="31"/>
  <c r="G113" i="31"/>
  <c r="G112" i="31"/>
  <c r="G111" i="31"/>
  <c r="G110" i="31"/>
  <c r="G109" i="31"/>
  <c r="G108" i="31"/>
  <c r="G107" i="31"/>
  <c r="G106" i="31"/>
  <c r="G105" i="31"/>
  <c r="G104" i="31"/>
  <c r="G103" i="31"/>
  <c r="G102" i="31"/>
  <c r="G101" i="31"/>
  <c r="G100" i="31"/>
  <c r="G99" i="31"/>
  <c r="G98" i="31"/>
  <c r="G97" i="31"/>
  <c r="G96" i="31"/>
  <c r="G95" i="31"/>
  <c r="G94" i="31"/>
  <c r="G93" i="31"/>
  <c r="G92" i="31"/>
  <c r="G91" i="31"/>
  <c r="G90" i="31"/>
  <c r="G89" i="31"/>
  <c r="G88" i="31"/>
  <c r="G87" i="31"/>
  <c r="G86" i="31"/>
  <c r="G85" i="31"/>
  <c r="G84" i="31"/>
  <c r="G83" i="31"/>
  <c r="G82" i="31"/>
  <c r="G81" i="31"/>
  <c r="G80" i="31"/>
  <c r="G79" i="31"/>
  <c r="G78" i="31"/>
  <c r="G77" i="31"/>
  <c r="G76" i="31"/>
  <c r="G75" i="31"/>
  <c r="G74" i="31"/>
  <c r="G73" i="31"/>
  <c r="G72" i="31"/>
  <c r="G71" i="31"/>
  <c r="G70" i="31"/>
  <c r="G69" i="31"/>
  <c r="I11" i="31"/>
  <c r="H11" i="31"/>
  <c r="I10" i="31"/>
  <c r="H10" i="31"/>
  <c r="I9" i="31"/>
  <c r="H9" i="31"/>
  <c r="I8" i="31"/>
  <c r="H8" i="31"/>
  <c r="I7" i="31"/>
  <c r="H7" i="31"/>
  <c r="I13" i="31"/>
  <c r="H13" i="31"/>
  <c r="I12" i="31"/>
  <c r="H12" i="31"/>
  <c r="I6" i="31"/>
  <c r="P6" i="31" s="1"/>
  <c r="H6" i="31"/>
  <c r="G449" i="29"/>
  <c r="G448" i="29"/>
  <c r="G447" i="29"/>
  <c r="G446" i="29"/>
  <c r="G445" i="29"/>
  <c r="G444" i="29"/>
  <c r="G443" i="29"/>
  <c r="G442" i="29"/>
  <c r="G441" i="29"/>
  <c r="G440" i="29"/>
  <c r="G439" i="29"/>
  <c r="G438" i="29"/>
  <c r="G437" i="29"/>
  <c r="G436" i="29"/>
  <c r="G435" i="29"/>
  <c r="G434" i="29"/>
  <c r="G433" i="29"/>
  <c r="G432" i="29"/>
  <c r="G431" i="29"/>
  <c r="G430" i="29"/>
  <c r="G429" i="29"/>
  <c r="G428" i="29"/>
  <c r="G427" i="29"/>
  <c r="G426" i="29"/>
  <c r="G425" i="29"/>
  <c r="G424" i="29"/>
  <c r="G423" i="29"/>
  <c r="G422" i="29"/>
  <c r="G421" i="29"/>
  <c r="G420" i="29"/>
  <c r="G419" i="29"/>
  <c r="G418" i="29"/>
  <c r="G417" i="29"/>
  <c r="G416" i="29"/>
  <c r="G415" i="29"/>
  <c r="G414" i="29"/>
  <c r="G413" i="29"/>
  <c r="G412" i="29"/>
  <c r="G411" i="29"/>
  <c r="G410" i="29"/>
  <c r="G409" i="29"/>
  <c r="G408" i="29"/>
  <c r="G407" i="29"/>
  <c r="G406" i="29"/>
  <c r="G405" i="29"/>
  <c r="G404" i="29"/>
  <c r="G403" i="29"/>
  <c r="G402" i="29"/>
  <c r="G401" i="29"/>
  <c r="G400" i="29"/>
  <c r="G399" i="29"/>
  <c r="G398" i="29"/>
  <c r="G397" i="29"/>
  <c r="G396" i="29"/>
  <c r="G395" i="29"/>
  <c r="G394" i="29"/>
  <c r="G393" i="29"/>
  <c r="G392" i="29"/>
  <c r="G391" i="29"/>
  <c r="G390" i="29"/>
  <c r="G389" i="29"/>
  <c r="G388" i="29"/>
  <c r="G387" i="29"/>
  <c r="G386" i="29"/>
  <c r="G385" i="29"/>
  <c r="G384" i="29"/>
  <c r="G383" i="29"/>
  <c r="G382" i="29"/>
  <c r="G381" i="29"/>
  <c r="G380" i="29"/>
  <c r="G379" i="29"/>
  <c r="G378" i="29"/>
  <c r="G377" i="29"/>
  <c r="G376" i="29"/>
  <c r="G375" i="29"/>
  <c r="G374" i="29"/>
  <c r="G373" i="29"/>
  <c r="G372" i="29"/>
  <c r="G371" i="29"/>
  <c r="G370" i="29"/>
  <c r="G369" i="29"/>
  <c r="G368" i="29"/>
  <c r="G367" i="29"/>
  <c r="G366" i="29"/>
  <c r="G365" i="29"/>
  <c r="G364" i="29"/>
  <c r="G363" i="29"/>
  <c r="G362" i="29"/>
  <c r="G361" i="29"/>
  <c r="G360" i="29"/>
  <c r="G359" i="29"/>
  <c r="G358" i="29"/>
  <c r="G357" i="29"/>
  <c r="G356" i="29"/>
  <c r="G355" i="29"/>
  <c r="G354" i="29"/>
  <c r="G353" i="29"/>
  <c r="G352" i="29"/>
  <c r="G351" i="29"/>
  <c r="G350" i="29"/>
  <c r="G349" i="29"/>
  <c r="G348" i="29"/>
  <c r="G347" i="29"/>
  <c r="G346" i="29"/>
  <c r="G345" i="29"/>
  <c r="G344" i="29"/>
  <c r="G343" i="29"/>
  <c r="G342" i="29"/>
  <c r="G341" i="29"/>
  <c r="G340" i="29"/>
  <c r="G339" i="29"/>
  <c r="G338" i="29"/>
  <c r="G337" i="29"/>
  <c r="G336" i="29"/>
  <c r="G335" i="29"/>
  <c r="G334" i="29"/>
  <c r="G333" i="29"/>
  <c r="G332" i="29"/>
  <c r="G331" i="29"/>
  <c r="G330" i="29"/>
  <c r="G329" i="29"/>
  <c r="G328" i="29"/>
  <c r="G327" i="29"/>
  <c r="G326" i="29"/>
  <c r="G325" i="29"/>
  <c r="G324" i="29"/>
  <c r="G323" i="29"/>
  <c r="G322" i="29"/>
  <c r="G321" i="29"/>
  <c r="G320" i="29"/>
  <c r="G319" i="29"/>
  <c r="G318" i="29"/>
  <c r="G317" i="29"/>
  <c r="G316" i="29"/>
  <c r="G315" i="29"/>
  <c r="G314" i="29"/>
  <c r="G313" i="29"/>
  <c r="G312" i="29"/>
  <c r="G311" i="29"/>
  <c r="G310" i="29"/>
  <c r="G309" i="29"/>
  <c r="G308" i="29"/>
  <c r="G307" i="29"/>
  <c r="G306" i="29"/>
  <c r="G305" i="29"/>
  <c r="G304" i="29"/>
  <c r="G303" i="29"/>
  <c r="G302" i="29"/>
  <c r="G301" i="29"/>
  <c r="G300" i="29"/>
  <c r="G299" i="29"/>
  <c r="G298" i="29"/>
  <c r="G297" i="29"/>
  <c r="G296" i="29"/>
  <c r="G295" i="29"/>
  <c r="G294" i="29"/>
  <c r="G293" i="29"/>
  <c r="G292" i="29"/>
  <c r="G291" i="29"/>
  <c r="G290" i="29"/>
  <c r="G289" i="29"/>
  <c r="G288" i="29"/>
  <c r="G287" i="29"/>
  <c r="G286" i="29"/>
  <c r="G285" i="29"/>
  <c r="G284" i="29"/>
  <c r="G283" i="29"/>
  <c r="G282" i="29"/>
  <c r="G281" i="29"/>
  <c r="G280" i="29"/>
  <c r="G279" i="29"/>
  <c r="G278" i="29"/>
  <c r="G277" i="29"/>
  <c r="G276" i="29"/>
  <c r="G275" i="29"/>
  <c r="G274" i="29"/>
  <c r="G273" i="29"/>
  <c r="G272" i="29"/>
  <c r="G271" i="29"/>
  <c r="G270" i="29"/>
  <c r="G269" i="29"/>
  <c r="G268" i="29"/>
  <c r="G267" i="29"/>
  <c r="G266" i="29"/>
  <c r="G265" i="29"/>
  <c r="G264" i="29"/>
  <c r="G263" i="29"/>
  <c r="G262" i="29"/>
  <c r="G261" i="29"/>
  <c r="G260" i="29"/>
  <c r="G259" i="29"/>
  <c r="G258" i="29"/>
  <c r="G257" i="29"/>
  <c r="G256" i="29"/>
  <c r="G255" i="29"/>
  <c r="G254" i="29"/>
  <c r="G253" i="29"/>
  <c r="G252" i="29"/>
  <c r="G251" i="29"/>
  <c r="G250" i="29"/>
  <c r="G249" i="29"/>
  <c r="G248" i="29"/>
  <c r="G247" i="29"/>
  <c r="G246" i="29"/>
  <c r="G245" i="29"/>
  <c r="G244" i="29"/>
  <c r="G243" i="29"/>
  <c r="G242" i="29"/>
  <c r="G241" i="29"/>
  <c r="G240" i="29"/>
  <c r="G239" i="29"/>
  <c r="G238" i="29"/>
  <c r="G237" i="29"/>
  <c r="G236" i="29"/>
  <c r="G235" i="29"/>
  <c r="G234" i="29"/>
  <c r="G233" i="29"/>
  <c r="G232" i="29"/>
  <c r="G231" i="29"/>
  <c r="G230" i="29"/>
  <c r="G229" i="29"/>
  <c r="G228" i="29"/>
  <c r="G227" i="29"/>
  <c r="G226" i="29"/>
  <c r="G225" i="29"/>
  <c r="G224" i="29"/>
  <c r="G223" i="29"/>
  <c r="G222" i="29"/>
  <c r="G221" i="29"/>
  <c r="G220" i="29"/>
  <c r="G219" i="29"/>
  <c r="G218" i="29"/>
  <c r="G217" i="29"/>
  <c r="G216" i="29"/>
  <c r="G215" i="29"/>
  <c r="G214" i="29"/>
  <c r="G213" i="29"/>
  <c r="G212" i="29"/>
  <c r="G211" i="29"/>
  <c r="G210" i="29"/>
  <c r="G209" i="29"/>
  <c r="G208" i="29"/>
  <c r="G207" i="29"/>
  <c r="G206" i="29"/>
  <c r="G205" i="29"/>
  <c r="G204" i="29"/>
  <c r="G203" i="29"/>
  <c r="G202" i="29"/>
  <c r="G201" i="29"/>
  <c r="G200" i="29"/>
  <c r="G199" i="29"/>
  <c r="G198" i="29"/>
  <c r="G197" i="29"/>
  <c r="G196" i="29"/>
  <c r="G195" i="29"/>
  <c r="G194" i="29"/>
  <c r="G193" i="29"/>
  <c r="G192" i="29"/>
  <c r="G191" i="29"/>
  <c r="G190" i="29"/>
  <c r="G189" i="29"/>
  <c r="G188" i="29"/>
  <c r="G187" i="29"/>
  <c r="G186" i="29"/>
  <c r="G185" i="29"/>
  <c r="G184" i="29"/>
  <c r="G183" i="29"/>
  <c r="G182" i="29"/>
  <c r="G181" i="29"/>
  <c r="G180" i="29"/>
  <c r="G179" i="29"/>
  <c r="G178" i="29"/>
  <c r="G177" i="29"/>
  <c r="G176" i="29"/>
  <c r="G175" i="29"/>
  <c r="G174" i="29"/>
  <c r="G173" i="29"/>
  <c r="G172" i="29"/>
  <c r="G171" i="29"/>
  <c r="G170" i="29"/>
  <c r="G169" i="29"/>
  <c r="G168" i="29"/>
  <c r="G167" i="29"/>
  <c r="G166" i="29"/>
  <c r="G165" i="29"/>
  <c r="G164" i="29"/>
  <c r="G163" i="29"/>
  <c r="G162" i="29"/>
  <c r="G161" i="29"/>
  <c r="G160" i="29"/>
  <c r="G159" i="29"/>
  <c r="G158" i="29"/>
  <c r="G157" i="29"/>
  <c r="G156" i="29"/>
  <c r="G155" i="29"/>
  <c r="G154" i="29"/>
  <c r="G153" i="29"/>
  <c r="G152" i="29"/>
  <c r="G151" i="29"/>
  <c r="G150" i="29"/>
  <c r="G149" i="29"/>
  <c r="G148" i="29"/>
  <c r="G147" i="29"/>
  <c r="G146" i="29"/>
  <c r="G145" i="29"/>
  <c r="G144" i="29"/>
  <c r="G143" i="29"/>
  <c r="G142" i="29"/>
  <c r="G141" i="29"/>
  <c r="G140" i="29"/>
  <c r="G139" i="29"/>
  <c r="G138" i="29"/>
  <c r="G137" i="29"/>
  <c r="G136" i="29"/>
  <c r="G135" i="29"/>
  <c r="G134" i="29"/>
  <c r="G133" i="29"/>
  <c r="G132" i="29"/>
  <c r="G131" i="29"/>
  <c r="G130" i="29"/>
  <c r="G129" i="29"/>
  <c r="G128" i="29"/>
  <c r="G127" i="29"/>
  <c r="G126" i="29"/>
  <c r="G125" i="29"/>
  <c r="G124" i="29"/>
  <c r="G123" i="29"/>
  <c r="G122" i="29"/>
  <c r="G121" i="29"/>
  <c r="G120" i="29"/>
  <c r="G119" i="29"/>
  <c r="G118" i="29"/>
  <c r="G117" i="29"/>
  <c r="G116" i="29"/>
  <c r="G115" i="29"/>
  <c r="G114" i="29"/>
  <c r="G113" i="29"/>
  <c r="G112" i="29"/>
  <c r="G111" i="29"/>
  <c r="G110" i="29"/>
  <c r="G109" i="29"/>
  <c r="G108" i="29"/>
  <c r="G107" i="29"/>
  <c r="G106" i="29"/>
  <c r="G105" i="29"/>
  <c r="G104" i="29"/>
  <c r="G103" i="29"/>
  <c r="G102" i="29"/>
  <c r="G101" i="29"/>
  <c r="G100" i="29"/>
  <c r="G99" i="29"/>
  <c r="G98" i="29"/>
  <c r="G97" i="29"/>
  <c r="G96" i="29"/>
  <c r="G95" i="29"/>
  <c r="G94" i="29"/>
  <c r="G93" i="29"/>
  <c r="G92" i="29"/>
  <c r="G91" i="29"/>
  <c r="G90" i="29"/>
  <c r="G89" i="29"/>
  <c r="G88" i="29"/>
  <c r="G87" i="29"/>
  <c r="G86" i="29"/>
  <c r="G85" i="29"/>
  <c r="G84" i="29"/>
  <c r="G83" i="29"/>
  <c r="G82" i="29"/>
  <c r="G81" i="29"/>
  <c r="G80" i="29"/>
  <c r="G79" i="29"/>
  <c r="G78" i="29"/>
  <c r="G77" i="29"/>
  <c r="G76" i="29"/>
  <c r="G75" i="29"/>
  <c r="G74" i="29"/>
  <c r="G73" i="29"/>
  <c r="G72" i="29"/>
  <c r="G71" i="29"/>
  <c r="G70" i="29"/>
  <c r="G69" i="29"/>
  <c r="G68" i="29"/>
  <c r="G67" i="29"/>
  <c r="G66" i="29"/>
  <c r="G65" i="29"/>
  <c r="G64" i="29"/>
  <c r="G63" i="29"/>
  <c r="G62" i="29"/>
  <c r="G61" i="29"/>
  <c r="G60" i="29"/>
  <c r="G59" i="29"/>
  <c r="G58" i="29"/>
  <c r="G57" i="29"/>
  <c r="G56" i="29"/>
  <c r="G55" i="29"/>
  <c r="G54" i="29"/>
  <c r="G53" i="29"/>
  <c r="G52" i="29"/>
  <c r="G51" i="29"/>
  <c r="G50" i="29"/>
  <c r="G49" i="29"/>
  <c r="G48" i="29"/>
  <c r="G47" i="29"/>
  <c r="G46" i="29"/>
  <c r="G45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S21" i="29"/>
  <c r="H21" i="29"/>
  <c r="S20" i="29"/>
  <c r="H20" i="29"/>
  <c r="H17" i="29"/>
  <c r="H16" i="29"/>
  <c r="R17" i="29"/>
  <c r="H15" i="29"/>
  <c r="P14" i="29"/>
  <c r="H14" i="29"/>
  <c r="H13" i="29"/>
  <c r="H12" i="29"/>
  <c r="R13" i="29"/>
  <c r="H11" i="29"/>
  <c r="H10" i="29"/>
  <c r="H9" i="29"/>
  <c r="P10" i="29"/>
  <c r="H19" i="29"/>
  <c r="R9" i="29"/>
  <c r="H18" i="29"/>
  <c r="H8" i="29"/>
  <c r="R7" i="29"/>
  <c r="H7" i="29"/>
  <c r="P6" i="29"/>
  <c r="H6" i="29"/>
  <c r="G452" i="28"/>
  <c r="G451" i="28"/>
  <c r="G450" i="28"/>
  <c r="G449" i="28"/>
  <c r="G448" i="28"/>
  <c r="G447" i="28"/>
  <c r="G446" i="28"/>
  <c r="G445" i="28"/>
  <c r="G444" i="28"/>
  <c r="G443" i="28"/>
  <c r="G442" i="28"/>
  <c r="G441" i="28"/>
  <c r="G440" i="28"/>
  <c r="G439" i="28"/>
  <c r="G438" i="28"/>
  <c r="G437" i="28"/>
  <c r="G436" i="28"/>
  <c r="G435" i="28"/>
  <c r="G434" i="28"/>
  <c r="G433" i="28"/>
  <c r="G432" i="28"/>
  <c r="G431" i="28"/>
  <c r="G430" i="28"/>
  <c r="G429" i="28"/>
  <c r="G428" i="28"/>
  <c r="G427" i="28"/>
  <c r="G426" i="28"/>
  <c r="G425" i="28"/>
  <c r="G424" i="28"/>
  <c r="G423" i="28"/>
  <c r="G422" i="28"/>
  <c r="G421" i="28"/>
  <c r="G420" i="28"/>
  <c r="G419" i="28"/>
  <c r="G418" i="28"/>
  <c r="G417" i="28"/>
  <c r="G416" i="28"/>
  <c r="G415" i="28"/>
  <c r="G414" i="28"/>
  <c r="G413" i="28"/>
  <c r="G412" i="28"/>
  <c r="G411" i="28"/>
  <c r="G410" i="28"/>
  <c r="G409" i="28"/>
  <c r="G408" i="28"/>
  <c r="G407" i="28"/>
  <c r="G406" i="28"/>
  <c r="G405" i="28"/>
  <c r="G404" i="28"/>
  <c r="G403" i="28"/>
  <c r="G402" i="28"/>
  <c r="G401" i="28"/>
  <c r="G400" i="28"/>
  <c r="G399" i="28"/>
  <c r="G398" i="28"/>
  <c r="G397" i="28"/>
  <c r="G396" i="28"/>
  <c r="G395" i="28"/>
  <c r="G394" i="28"/>
  <c r="G393" i="28"/>
  <c r="G392" i="28"/>
  <c r="G391" i="28"/>
  <c r="G390" i="28"/>
  <c r="G389" i="28"/>
  <c r="G388" i="28"/>
  <c r="G387" i="28"/>
  <c r="G386" i="28"/>
  <c r="G385" i="28"/>
  <c r="G384" i="28"/>
  <c r="G383" i="28"/>
  <c r="G382" i="28"/>
  <c r="G381" i="28"/>
  <c r="G380" i="28"/>
  <c r="G379" i="28"/>
  <c r="G378" i="28"/>
  <c r="G377" i="28"/>
  <c r="G376" i="28"/>
  <c r="G375" i="28"/>
  <c r="G374" i="28"/>
  <c r="G373" i="28"/>
  <c r="G372" i="28"/>
  <c r="G371" i="28"/>
  <c r="G370" i="28"/>
  <c r="G369" i="28"/>
  <c r="G368" i="28"/>
  <c r="G367" i="28"/>
  <c r="G366" i="28"/>
  <c r="G365" i="28"/>
  <c r="G364" i="28"/>
  <c r="G363" i="28"/>
  <c r="G362" i="28"/>
  <c r="G361" i="28"/>
  <c r="G360" i="28"/>
  <c r="G359" i="28"/>
  <c r="G358" i="28"/>
  <c r="G357" i="28"/>
  <c r="G356" i="28"/>
  <c r="G355" i="28"/>
  <c r="G354" i="28"/>
  <c r="G353" i="28"/>
  <c r="G352" i="28"/>
  <c r="G351" i="28"/>
  <c r="G350" i="28"/>
  <c r="G349" i="28"/>
  <c r="G348" i="28"/>
  <c r="G347" i="28"/>
  <c r="G346" i="28"/>
  <c r="G345" i="28"/>
  <c r="G344" i="28"/>
  <c r="G343" i="28"/>
  <c r="G342" i="28"/>
  <c r="G341" i="28"/>
  <c r="G340" i="28"/>
  <c r="G339" i="28"/>
  <c r="G338" i="28"/>
  <c r="G337" i="28"/>
  <c r="G336" i="28"/>
  <c r="G335" i="28"/>
  <c r="G334" i="28"/>
  <c r="G333" i="28"/>
  <c r="G332" i="28"/>
  <c r="G331" i="28"/>
  <c r="G330" i="28"/>
  <c r="G329" i="28"/>
  <c r="G328" i="28"/>
  <c r="G327" i="28"/>
  <c r="G326" i="28"/>
  <c r="G325" i="28"/>
  <c r="G324" i="28"/>
  <c r="G323" i="28"/>
  <c r="G322" i="28"/>
  <c r="G321" i="28"/>
  <c r="G320" i="28"/>
  <c r="G319" i="28"/>
  <c r="G318" i="28"/>
  <c r="G317" i="28"/>
  <c r="G316" i="28"/>
  <c r="G315" i="28"/>
  <c r="G314" i="28"/>
  <c r="G313" i="28"/>
  <c r="G312" i="28"/>
  <c r="G311" i="28"/>
  <c r="G310" i="28"/>
  <c r="G309" i="28"/>
  <c r="G308" i="28"/>
  <c r="G307" i="28"/>
  <c r="G306" i="28"/>
  <c r="G305" i="28"/>
  <c r="G304" i="28"/>
  <c r="G303" i="28"/>
  <c r="G302" i="28"/>
  <c r="G301" i="28"/>
  <c r="G300" i="28"/>
  <c r="G299" i="28"/>
  <c r="G298" i="28"/>
  <c r="G297" i="28"/>
  <c r="G296" i="28"/>
  <c r="G295" i="28"/>
  <c r="G294" i="28"/>
  <c r="G293" i="28"/>
  <c r="G292" i="28"/>
  <c r="G291" i="28"/>
  <c r="G290" i="28"/>
  <c r="G289" i="28"/>
  <c r="G288" i="28"/>
  <c r="G287" i="28"/>
  <c r="G286" i="28"/>
  <c r="G285" i="28"/>
  <c r="G284" i="28"/>
  <c r="G283" i="28"/>
  <c r="G282" i="28"/>
  <c r="G281" i="28"/>
  <c r="G280" i="28"/>
  <c r="G279" i="28"/>
  <c r="G278" i="28"/>
  <c r="G277" i="28"/>
  <c r="G276" i="28"/>
  <c r="G275" i="28"/>
  <c r="G274" i="28"/>
  <c r="G273" i="28"/>
  <c r="G272" i="28"/>
  <c r="G271" i="28"/>
  <c r="G270" i="28"/>
  <c r="G269" i="28"/>
  <c r="G268" i="28"/>
  <c r="G267" i="28"/>
  <c r="G266" i="28"/>
  <c r="G265" i="28"/>
  <c r="G264" i="28"/>
  <c r="G263" i="28"/>
  <c r="G262" i="28"/>
  <c r="G261" i="28"/>
  <c r="G260" i="28"/>
  <c r="G259" i="28"/>
  <c r="G258" i="28"/>
  <c r="G257" i="28"/>
  <c r="G256" i="28"/>
  <c r="G255" i="28"/>
  <c r="G254" i="28"/>
  <c r="G253" i="28"/>
  <c r="G252" i="28"/>
  <c r="G251" i="28"/>
  <c r="G250" i="28"/>
  <c r="G249" i="28"/>
  <c r="G248" i="28"/>
  <c r="G247" i="28"/>
  <c r="G246" i="28"/>
  <c r="G245" i="28"/>
  <c r="G244" i="28"/>
  <c r="G243" i="28"/>
  <c r="G242" i="28"/>
  <c r="G241" i="28"/>
  <c r="G240" i="28"/>
  <c r="G239" i="28"/>
  <c r="G238" i="28"/>
  <c r="G237" i="28"/>
  <c r="G236" i="28"/>
  <c r="G235" i="28"/>
  <c r="G234" i="28"/>
  <c r="G233" i="28"/>
  <c r="G232" i="28"/>
  <c r="G231" i="28"/>
  <c r="G230" i="28"/>
  <c r="G229" i="28"/>
  <c r="G228" i="28"/>
  <c r="G227" i="28"/>
  <c r="G226" i="28"/>
  <c r="G225" i="28"/>
  <c r="G224" i="28"/>
  <c r="G223" i="28"/>
  <c r="G222" i="28"/>
  <c r="G221" i="28"/>
  <c r="G220" i="28"/>
  <c r="G219" i="28"/>
  <c r="G218" i="28"/>
  <c r="G217" i="28"/>
  <c r="G216" i="28"/>
  <c r="G215" i="28"/>
  <c r="G214" i="28"/>
  <c r="G213" i="28"/>
  <c r="G212" i="28"/>
  <c r="G211" i="28"/>
  <c r="G210" i="28"/>
  <c r="G209" i="28"/>
  <c r="G208" i="28"/>
  <c r="G207" i="28"/>
  <c r="G206" i="28"/>
  <c r="G205" i="28"/>
  <c r="G204" i="28"/>
  <c r="G203" i="28"/>
  <c r="G202" i="28"/>
  <c r="G201" i="28"/>
  <c r="G200" i="28"/>
  <c r="G199" i="28"/>
  <c r="G198" i="28"/>
  <c r="G197" i="28"/>
  <c r="G196" i="28"/>
  <c r="G195" i="28"/>
  <c r="G194" i="28"/>
  <c r="G193" i="28"/>
  <c r="G192" i="28"/>
  <c r="G191" i="28"/>
  <c r="G190" i="28"/>
  <c r="G189" i="28"/>
  <c r="G188" i="28"/>
  <c r="G187" i="28"/>
  <c r="G186" i="28"/>
  <c r="G185" i="28"/>
  <c r="G184" i="28"/>
  <c r="G183" i="28"/>
  <c r="G182" i="28"/>
  <c r="G181" i="28"/>
  <c r="G180" i="28"/>
  <c r="G179" i="28"/>
  <c r="G178" i="28"/>
  <c r="G177" i="28"/>
  <c r="G176" i="28"/>
  <c r="G175" i="28"/>
  <c r="G174" i="28"/>
  <c r="G173" i="28"/>
  <c r="G172" i="28"/>
  <c r="G171" i="28"/>
  <c r="G170" i="28"/>
  <c r="G169" i="28"/>
  <c r="G168" i="28"/>
  <c r="G167" i="28"/>
  <c r="G166" i="28"/>
  <c r="G165" i="28"/>
  <c r="G164" i="28"/>
  <c r="G163" i="28"/>
  <c r="G162" i="28"/>
  <c r="G161" i="28"/>
  <c r="G160" i="28"/>
  <c r="G159" i="28"/>
  <c r="G158" i="28"/>
  <c r="G157" i="28"/>
  <c r="G156" i="28"/>
  <c r="G155" i="28"/>
  <c r="G154" i="28"/>
  <c r="G153" i="28"/>
  <c r="G152" i="28"/>
  <c r="G151" i="28"/>
  <c r="G150" i="28"/>
  <c r="G149" i="28"/>
  <c r="G148" i="28"/>
  <c r="G147" i="28"/>
  <c r="G146" i="28"/>
  <c r="G145" i="28"/>
  <c r="G144" i="28"/>
  <c r="G143" i="28"/>
  <c r="G142" i="28"/>
  <c r="G141" i="28"/>
  <c r="G140" i="28"/>
  <c r="G139" i="28"/>
  <c r="G138" i="28"/>
  <c r="G137" i="28"/>
  <c r="G136" i="28"/>
  <c r="G135" i="28"/>
  <c r="G134" i="28"/>
  <c r="G133" i="28"/>
  <c r="G132" i="28"/>
  <c r="G131" i="28"/>
  <c r="G130" i="28"/>
  <c r="G129" i="28"/>
  <c r="G128" i="28"/>
  <c r="G127" i="28"/>
  <c r="G126" i="28"/>
  <c r="G125" i="28"/>
  <c r="G124" i="28"/>
  <c r="G123" i="28"/>
  <c r="G122" i="28"/>
  <c r="G121" i="28"/>
  <c r="G120" i="28"/>
  <c r="G119" i="28"/>
  <c r="G118" i="28"/>
  <c r="G117" i="28"/>
  <c r="G116" i="28"/>
  <c r="G115" i="28"/>
  <c r="G114" i="28"/>
  <c r="G113" i="28"/>
  <c r="G112" i="28"/>
  <c r="G111" i="28"/>
  <c r="G110" i="28"/>
  <c r="G109" i="28"/>
  <c r="G108" i="28"/>
  <c r="G107" i="28"/>
  <c r="G106" i="28"/>
  <c r="G105" i="28"/>
  <c r="G104" i="28"/>
  <c r="G103" i="28"/>
  <c r="G102" i="28"/>
  <c r="G101" i="28"/>
  <c r="G100" i="28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I24" i="28"/>
  <c r="Q24" i="28" s="1"/>
  <c r="H24" i="28"/>
  <c r="I23" i="28"/>
  <c r="Q23" i="28" s="1"/>
  <c r="H23" i="28"/>
  <c r="I22" i="28"/>
  <c r="Q22" i="28" s="1"/>
  <c r="H22" i="28"/>
  <c r="I17" i="28"/>
  <c r="H17" i="28"/>
  <c r="I21" i="28"/>
  <c r="H21" i="28"/>
  <c r="I20" i="28"/>
  <c r="H20" i="28"/>
  <c r="T20" i="28" s="1"/>
  <c r="I19" i="28"/>
  <c r="H19" i="28"/>
  <c r="T19" i="28" s="1"/>
  <c r="I18" i="28"/>
  <c r="H18" i="28"/>
  <c r="I16" i="28"/>
  <c r="Q16" i="28" s="1"/>
  <c r="H16" i="28"/>
  <c r="I15" i="28"/>
  <c r="Q15" i="28" s="1"/>
  <c r="H15" i="28"/>
  <c r="I14" i="28"/>
  <c r="Q14" i="28" s="1"/>
  <c r="H14" i="28"/>
  <c r="I13" i="28"/>
  <c r="Q13" i="28" s="1"/>
  <c r="H13" i="28"/>
  <c r="I12" i="28"/>
  <c r="Q12" i="28" s="1"/>
  <c r="H12" i="28"/>
  <c r="I11" i="28"/>
  <c r="Q11" i="28" s="1"/>
  <c r="H11" i="28"/>
  <c r="I10" i="28"/>
  <c r="Q10" i="28" s="1"/>
  <c r="H10" i="28"/>
  <c r="I9" i="28"/>
  <c r="Q9" i="28" s="1"/>
  <c r="H9" i="28"/>
  <c r="I8" i="28"/>
  <c r="Q8" i="28" s="1"/>
  <c r="H8" i="28"/>
  <c r="I7" i="28"/>
  <c r="Q7" i="28" s="1"/>
  <c r="H7" i="28"/>
  <c r="I6" i="28"/>
  <c r="Q6" i="28" s="1"/>
  <c r="H6" i="28"/>
  <c r="G438" i="27"/>
  <c r="G437" i="27"/>
  <c r="G436" i="27"/>
  <c r="G435" i="27"/>
  <c r="G434" i="27"/>
  <c r="G433" i="27"/>
  <c r="G432" i="27"/>
  <c r="G431" i="27"/>
  <c r="G430" i="27"/>
  <c r="G429" i="27"/>
  <c r="G428" i="27"/>
  <c r="G427" i="27"/>
  <c r="G426" i="27"/>
  <c r="G425" i="27"/>
  <c r="G424" i="27"/>
  <c r="G423" i="27"/>
  <c r="G422" i="27"/>
  <c r="G421" i="27"/>
  <c r="G420" i="27"/>
  <c r="G419" i="27"/>
  <c r="G418" i="27"/>
  <c r="G417" i="27"/>
  <c r="G416" i="27"/>
  <c r="G415" i="27"/>
  <c r="G414" i="27"/>
  <c r="G413" i="27"/>
  <c r="G412" i="27"/>
  <c r="G411" i="27"/>
  <c r="G410" i="27"/>
  <c r="G409" i="27"/>
  <c r="G408" i="27"/>
  <c r="G407" i="27"/>
  <c r="G406" i="27"/>
  <c r="G405" i="27"/>
  <c r="G404" i="27"/>
  <c r="G403" i="27"/>
  <c r="G402" i="27"/>
  <c r="G401" i="27"/>
  <c r="G400" i="27"/>
  <c r="G399" i="27"/>
  <c r="G398" i="27"/>
  <c r="G397" i="27"/>
  <c r="G396" i="27"/>
  <c r="G395" i="27"/>
  <c r="G394" i="27"/>
  <c r="G393" i="27"/>
  <c r="G392" i="27"/>
  <c r="G391" i="27"/>
  <c r="G390" i="27"/>
  <c r="G389" i="27"/>
  <c r="G388" i="27"/>
  <c r="G387" i="27"/>
  <c r="G386" i="27"/>
  <c r="G385" i="27"/>
  <c r="G384" i="27"/>
  <c r="G383" i="27"/>
  <c r="G382" i="27"/>
  <c r="G381" i="27"/>
  <c r="G380" i="27"/>
  <c r="G379" i="27"/>
  <c r="G378" i="27"/>
  <c r="G377" i="27"/>
  <c r="G376" i="27"/>
  <c r="G375" i="27"/>
  <c r="G374" i="27"/>
  <c r="G373" i="27"/>
  <c r="G372" i="27"/>
  <c r="G371" i="27"/>
  <c r="G370" i="27"/>
  <c r="G369" i="27"/>
  <c r="G368" i="27"/>
  <c r="G367" i="27"/>
  <c r="G366" i="27"/>
  <c r="G365" i="27"/>
  <c r="G364" i="27"/>
  <c r="G363" i="27"/>
  <c r="G362" i="27"/>
  <c r="G361" i="27"/>
  <c r="G360" i="27"/>
  <c r="G359" i="27"/>
  <c r="G358" i="27"/>
  <c r="G357" i="27"/>
  <c r="G356" i="27"/>
  <c r="G355" i="27"/>
  <c r="G354" i="27"/>
  <c r="G353" i="27"/>
  <c r="G352" i="27"/>
  <c r="G351" i="27"/>
  <c r="G350" i="27"/>
  <c r="G349" i="27"/>
  <c r="G348" i="27"/>
  <c r="G347" i="27"/>
  <c r="G346" i="27"/>
  <c r="G345" i="27"/>
  <c r="G344" i="27"/>
  <c r="G343" i="27"/>
  <c r="G342" i="27"/>
  <c r="G341" i="27"/>
  <c r="G340" i="27"/>
  <c r="G339" i="27"/>
  <c r="G338" i="27"/>
  <c r="G337" i="27"/>
  <c r="G336" i="27"/>
  <c r="G335" i="27"/>
  <c r="G334" i="27"/>
  <c r="G333" i="27"/>
  <c r="G332" i="27"/>
  <c r="G331" i="27"/>
  <c r="G330" i="27"/>
  <c r="G329" i="27"/>
  <c r="G328" i="27"/>
  <c r="G327" i="27"/>
  <c r="G326" i="27"/>
  <c r="G325" i="27"/>
  <c r="G324" i="27"/>
  <c r="G323" i="27"/>
  <c r="G322" i="27"/>
  <c r="G321" i="27"/>
  <c r="G320" i="27"/>
  <c r="G319" i="27"/>
  <c r="G318" i="27"/>
  <c r="G317" i="27"/>
  <c r="G316" i="27"/>
  <c r="G315" i="27"/>
  <c r="G314" i="27"/>
  <c r="G313" i="27"/>
  <c r="G312" i="27"/>
  <c r="G311" i="27"/>
  <c r="G310" i="27"/>
  <c r="G309" i="27"/>
  <c r="G308" i="27"/>
  <c r="G307" i="27"/>
  <c r="G306" i="27"/>
  <c r="G305" i="27"/>
  <c r="G304" i="27"/>
  <c r="G303" i="27"/>
  <c r="G302" i="27"/>
  <c r="G301" i="27"/>
  <c r="G300" i="27"/>
  <c r="G299" i="27"/>
  <c r="G298" i="27"/>
  <c r="G297" i="27"/>
  <c r="G296" i="27"/>
  <c r="G295" i="27"/>
  <c r="G294" i="27"/>
  <c r="G293" i="27"/>
  <c r="G292" i="27"/>
  <c r="G291" i="27"/>
  <c r="G290" i="27"/>
  <c r="G289" i="27"/>
  <c r="G288" i="27"/>
  <c r="G287" i="27"/>
  <c r="G286" i="27"/>
  <c r="G285" i="27"/>
  <c r="G284" i="27"/>
  <c r="G283" i="27"/>
  <c r="G282" i="27"/>
  <c r="G281" i="27"/>
  <c r="G280" i="27"/>
  <c r="G279" i="27"/>
  <c r="G278" i="27"/>
  <c r="G277" i="27"/>
  <c r="G276" i="27"/>
  <c r="G275" i="27"/>
  <c r="G274" i="27"/>
  <c r="G273" i="27"/>
  <c r="G272" i="27"/>
  <c r="G271" i="27"/>
  <c r="G270" i="27"/>
  <c r="G269" i="27"/>
  <c r="G268" i="27"/>
  <c r="G267" i="27"/>
  <c r="G266" i="27"/>
  <c r="G265" i="27"/>
  <c r="G264" i="27"/>
  <c r="G263" i="27"/>
  <c r="G262" i="27"/>
  <c r="G261" i="27"/>
  <c r="G260" i="27"/>
  <c r="G259" i="27"/>
  <c r="G258" i="27"/>
  <c r="G257" i="27"/>
  <c r="G256" i="27"/>
  <c r="G255" i="27"/>
  <c r="G254" i="27"/>
  <c r="G253" i="27"/>
  <c r="G252" i="27"/>
  <c r="G251" i="27"/>
  <c r="G250" i="27"/>
  <c r="G249" i="27"/>
  <c r="G248" i="27"/>
  <c r="G247" i="27"/>
  <c r="G246" i="27"/>
  <c r="G245" i="27"/>
  <c r="G244" i="27"/>
  <c r="G243" i="27"/>
  <c r="G242" i="27"/>
  <c r="G241" i="27"/>
  <c r="G240" i="27"/>
  <c r="G239" i="27"/>
  <c r="G238" i="27"/>
  <c r="G237" i="27"/>
  <c r="G236" i="27"/>
  <c r="G235" i="27"/>
  <c r="G234" i="27"/>
  <c r="G233" i="27"/>
  <c r="G232" i="27"/>
  <c r="G231" i="27"/>
  <c r="G230" i="27"/>
  <c r="G229" i="27"/>
  <c r="G228" i="27"/>
  <c r="G227" i="27"/>
  <c r="G226" i="27"/>
  <c r="G225" i="27"/>
  <c r="G224" i="27"/>
  <c r="G223" i="27"/>
  <c r="G222" i="27"/>
  <c r="G221" i="27"/>
  <c r="G220" i="27"/>
  <c r="G219" i="27"/>
  <c r="G218" i="27"/>
  <c r="G217" i="27"/>
  <c r="G216" i="27"/>
  <c r="G215" i="27"/>
  <c r="G214" i="27"/>
  <c r="G213" i="27"/>
  <c r="G212" i="27"/>
  <c r="G211" i="27"/>
  <c r="G210" i="27"/>
  <c r="G209" i="27"/>
  <c r="G208" i="27"/>
  <c r="G207" i="27"/>
  <c r="G206" i="27"/>
  <c r="G205" i="27"/>
  <c r="G204" i="27"/>
  <c r="G203" i="27"/>
  <c r="G202" i="27"/>
  <c r="G201" i="27"/>
  <c r="G200" i="27"/>
  <c r="G199" i="27"/>
  <c r="G198" i="27"/>
  <c r="G197" i="27"/>
  <c r="G196" i="27"/>
  <c r="G195" i="27"/>
  <c r="G194" i="27"/>
  <c r="G193" i="27"/>
  <c r="G192" i="27"/>
  <c r="G191" i="27"/>
  <c r="G190" i="27"/>
  <c r="G189" i="27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G127" i="27"/>
  <c r="G126" i="27"/>
  <c r="G125" i="27"/>
  <c r="G124" i="27"/>
  <c r="G123" i="27"/>
  <c r="G122" i="27"/>
  <c r="G121" i="27"/>
  <c r="G120" i="27"/>
  <c r="G119" i="27"/>
  <c r="G118" i="27"/>
  <c r="G117" i="27"/>
  <c r="G116" i="27"/>
  <c r="G115" i="27"/>
  <c r="G114" i="27"/>
  <c r="G113" i="27"/>
  <c r="G112" i="27"/>
  <c r="G111" i="27"/>
  <c r="G110" i="27"/>
  <c r="G109" i="27"/>
  <c r="G108" i="27"/>
  <c r="G107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I10" i="27"/>
  <c r="Q10" i="27" s="1"/>
  <c r="H10" i="27"/>
  <c r="I9" i="27"/>
  <c r="Q9" i="27" s="1"/>
  <c r="H9" i="27"/>
  <c r="I8" i="27"/>
  <c r="Q8" i="27" s="1"/>
  <c r="H8" i="27"/>
  <c r="I7" i="27"/>
  <c r="Q7" i="27" s="1"/>
  <c r="H7" i="27"/>
  <c r="I6" i="27"/>
  <c r="Q6" i="27" s="1"/>
  <c r="H6" i="27"/>
  <c r="G477" i="26"/>
  <c r="G476" i="26"/>
  <c r="G475" i="26"/>
  <c r="G474" i="26"/>
  <c r="G473" i="26"/>
  <c r="G472" i="26"/>
  <c r="G471" i="26"/>
  <c r="G470" i="26"/>
  <c r="G469" i="26"/>
  <c r="G468" i="26"/>
  <c r="G467" i="26"/>
  <c r="G466" i="26"/>
  <c r="G465" i="26"/>
  <c r="G464" i="26"/>
  <c r="G463" i="26"/>
  <c r="G462" i="26"/>
  <c r="G461" i="26"/>
  <c r="G460" i="26"/>
  <c r="G459" i="26"/>
  <c r="G458" i="26"/>
  <c r="G457" i="26"/>
  <c r="G456" i="26"/>
  <c r="G455" i="26"/>
  <c r="G454" i="26"/>
  <c r="G453" i="26"/>
  <c r="G452" i="26"/>
  <c r="G451" i="26"/>
  <c r="G450" i="26"/>
  <c r="G449" i="26"/>
  <c r="G448" i="26"/>
  <c r="G447" i="26"/>
  <c r="G446" i="26"/>
  <c r="G445" i="26"/>
  <c r="G444" i="26"/>
  <c r="G443" i="26"/>
  <c r="G442" i="26"/>
  <c r="G441" i="26"/>
  <c r="G440" i="26"/>
  <c r="G439" i="26"/>
  <c r="G438" i="26"/>
  <c r="G437" i="26"/>
  <c r="G436" i="26"/>
  <c r="G435" i="26"/>
  <c r="G434" i="26"/>
  <c r="G433" i="26"/>
  <c r="G432" i="26"/>
  <c r="G431" i="26"/>
  <c r="G430" i="26"/>
  <c r="G429" i="26"/>
  <c r="G428" i="26"/>
  <c r="G427" i="26"/>
  <c r="G426" i="26"/>
  <c r="G425" i="26"/>
  <c r="G424" i="26"/>
  <c r="G423" i="26"/>
  <c r="G422" i="26"/>
  <c r="G421" i="26"/>
  <c r="G420" i="26"/>
  <c r="G419" i="26"/>
  <c r="G418" i="26"/>
  <c r="G417" i="26"/>
  <c r="G416" i="26"/>
  <c r="G415" i="26"/>
  <c r="G414" i="26"/>
  <c r="G413" i="26"/>
  <c r="G412" i="26"/>
  <c r="G411" i="26"/>
  <c r="G410" i="26"/>
  <c r="G409" i="26"/>
  <c r="G408" i="26"/>
  <c r="G407" i="26"/>
  <c r="G406" i="26"/>
  <c r="G405" i="26"/>
  <c r="G404" i="26"/>
  <c r="G403" i="26"/>
  <c r="G402" i="26"/>
  <c r="G401" i="26"/>
  <c r="G400" i="26"/>
  <c r="G399" i="26"/>
  <c r="G398" i="26"/>
  <c r="G397" i="26"/>
  <c r="G396" i="26"/>
  <c r="G395" i="26"/>
  <c r="G394" i="26"/>
  <c r="G393" i="26"/>
  <c r="G392" i="26"/>
  <c r="G391" i="26"/>
  <c r="G390" i="26"/>
  <c r="G389" i="26"/>
  <c r="G388" i="26"/>
  <c r="G387" i="26"/>
  <c r="G386" i="26"/>
  <c r="G385" i="26"/>
  <c r="G384" i="26"/>
  <c r="G383" i="26"/>
  <c r="G382" i="26"/>
  <c r="G381" i="26"/>
  <c r="G380" i="26"/>
  <c r="G379" i="26"/>
  <c r="G378" i="26"/>
  <c r="G377" i="26"/>
  <c r="G376" i="26"/>
  <c r="G375" i="26"/>
  <c r="G374" i="26"/>
  <c r="G373" i="26"/>
  <c r="G372" i="26"/>
  <c r="G371" i="26"/>
  <c r="G370" i="26"/>
  <c r="G369" i="26"/>
  <c r="G368" i="26"/>
  <c r="G367" i="26"/>
  <c r="G366" i="26"/>
  <c r="G365" i="26"/>
  <c r="G364" i="26"/>
  <c r="G363" i="26"/>
  <c r="G362" i="26"/>
  <c r="G361" i="26"/>
  <c r="G360" i="26"/>
  <c r="G359" i="26"/>
  <c r="G358" i="26"/>
  <c r="G357" i="26"/>
  <c r="G356" i="26"/>
  <c r="G355" i="26"/>
  <c r="G354" i="26"/>
  <c r="G353" i="26"/>
  <c r="G352" i="26"/>
  <c r="G351" i="26"/>
  <c r="G350" i="26"/>
  <c r="G349" i="26"/>
  <c r="G348" i="26"/>
  <c r="G347" i="26"/>
  <c r="G346" i="26"/>
  <c r="G345" i="26"/>
  <c r="G344" i="26"/>
  <c r="G343" i="26"/>
  <c r="G342" i="26"/>
  <c r="G341" i="26"/>
  <c r="G340" i="26"/>
  <c r="G339" i="26"/>
  <c r="G338" i="26"/>
  <c r="G337" i="26"/>
  <c r="G336" i="26"/>
  <c r="G335" i="26"/>
  <c r="G334" i="26"/>
  <c r="G333" i="26"/>
  <c r="G332" i="26"/>
  <c r="G331" i="26"/>
  <c r="G330" i="26"/>
  <c r="G329" i="26"/>
  <c r="G328" i="26"/>
  <c r="G327" i="26"/>
  <c r="G326" i="26"/>
  <c r="G325" i="26"/>
  <c r="G324" i="26"/>
  <c r="G323" i="26"/>
  <c r="G322" i="26"/>
  <c r="G321" i="26"/>
  <c r="G320" i="26"/>
  <c r="G319" i="26"/>
  <c r="G318" i="26"/>
  <c r="G317" i="26"/>
  <c r="G316" i="26"/>
  <c r="G315" i="26"/>
  <c r="G314" i="26"/>
  <c r="G313" i="26"/>
  <c r="G312" i="26"/>
  <c r="G311" i="26"/>
  <c r="G310" i="26"/>
  <c r="G309" i="26"/>
  <c r="G308" i="26"/>
  <c r="G307" i="26"/>
  <c r="G306" i="26"/>
  <c r="G305" i="26"/>
  <c r="G304" i="26"/>
  <c r="G303" i="26"/>
  <c r="G302" i="26"/>
  <c r="G301" i="26"/>
  <c r="G300" i="26"/>
  <c r="G299" i="26"/>
  <c r="G298" i="26"/>
  <c r="G297" i="26"/>
  <c r="G296" i="26"/>
  <c r="G295" i="26"/>
  <c r="G294" i="26"/>
  <c r="G293" i="26"/>
  <c r="G292" i="26"/>
  <c r="G291" i="26"/>
  <c r="G290" i="26"/>
  <c r="G289" i="26"/>
  <c r="G288" i="26"/>
  <c r="G287" i="26"/>
  <c r="G286" i="26"/>
  <c r="G285" i="26"/>
  <c r="G284" i="26"/>
  <c r="G283" i="26"/>
  <c r="G282" i="26"/>
  <c r="G281" i="26"/>
  <c r="G280" i="26"/>
  <c r="G279" i="26"/>
  <c r="G278" i="26"/>
  <c r="G277" i="26"/>
  <c r="G276" i="26"/>
  <c r="G275" i="26"/>
  <c r="G274" i="26"/>
  <c r="G273" i="26"/>
  <c r="G272" i="26"/>
  <c r="G271" i="26"/>
  <c r="G270" i="26"/>
  <c r="G269" i="26"/>
  <c r="G268" i="26"/>
  <c r="G267" i="26"/>
  <c r="G266" i="26"/>
  <c r="G265" i="26"/>
  <c r="G264" i="26"/>
  <c r="G263" i="26"/>
  <c r="G262" i="26"/>
  <c r="G261" i="26"/>
  <c r="G260" i="26"/>
  <c r="G259" i="26"/>
  <c r="G258" i="26"/>
  <c r="G257" i="26"/>
  <c r="G256" i="26"/>
  <c r="G255" i="26"/>
  <c r="G254" i="26"/>
  <c r="G253" i="26"/>
  <c r="G252" i="26"/>
  <c r="G251" i="26"/>
  <c r="G250" i="26"/>
  <c r="G249" i="26"/>
  <c r="G248" i="26"/>
  <c r="G247" i="26"/>
  <c r="G246" i="26"/>
  <c r="G245" i="26"/>
  <c r="G244" i="26"/>
  <c r="G243" i="26"/>
  <c r="G242" i="26"/>
  <c r="G241" i="26"/>
  <c r="G240" i="26"/>
  <c r="G239" i="26"/>
  <c r="G238" i="26"/>
  <c r="G237" i="26"/>
  <c r="G236" i="26"/>
  <c r="G235" i="26"/>
  <c r="G234" i="26"/>
  <c r="G233" i="26"/>
  <c r="G232" i="26"/>
  <c r="G231" i="26"/>
  <c r="G230" i="26"/>
  <c r="G229" i="26"/>
  <c r="G228" i="26"/>
  <c r="G227" i="26"/>
  <c r="G226" i="26"/>
  <c r="G225" i="26"/>
  <c r="G224" i="26"/>
  <c r="G223" i="26"/>
  <c r="G222" i="26"/>
  <c r="G221" i="26"/>
  <c r="G220" i="26"/>
  <c r="G219" i="26"/>
  <c r="G218" i="26"/>
  <c r="G217" i="26"/>
  <c r="G216" i="26"/>
  <c r="G215" i="26"/>
  <c r="G214" i="26"/>
  <c r="G213" i="26"/>
  <c r="G212" i="26"/>
  <c r="G211" i="26"/>
  <c r="G210" i="26"/>
  <c r="G209" i="26"/>
  <c r="G208" i="26"/>
  <c r="G207" i="26"/>
  <c r="G206" i="26"/>
  <c r="G205" i="26"/>
  <c r="G204" i="26"/>
  <c r="G203" i="26"/>
  <c r="G202" i="26"/>
  <c r="G201" i="26"/>
  <c r="G200" i="26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P6" i="26"/>
  <c r="H6" i="26"/>
  <c r="G435" i="25"/>
  <c r="G434" i="25"/>
  <c r="G433" i="25"/>
  <c r="G432" i="25"/>
  <c r="G431" i="25"/>
  <c r="G430" i="25"/>
  <c r="G429" i="25"/>
  <c r="G428" i="25"/>
  <c r="G427" i="25"/>
  <c r="G426" i="25"/>
  <c r="G425" i="25"/>
  <c r="G424" i="25"/>
  <c r="G423" i="25"/>
  <c r="G422" i="25"/>
  <c r="G421" i="25"/>
  <c r="G420" i="25"/>
  <c r="G419" i="25"/>
  <c r="G418" i="25"/>
  <c r="G417" i="25"/>
  <c r="G416" i="25"/>
  <c r="G415" i="25"/>
  <c r="G414" i="25"/>
  <c r="G413" i="25"/>
  <c r="G412" i="25"/>
  <c r="G411" i="25"/>
  <c r="G410" i="25"/>
  <c r="G409" i="25"/>
  <c r="G408" i="25"/>
  <c r="G407" i="25"/>
  <c r="G406" i="25"/>
  <c r="G405" i="25"/>
  <c r="G404" i="25"/>
  <c r="G403" i="25"/>
  <c r="G402" i="25"/>
  <c r="G401" i="25"/>
  <c r="G400" i="25"/>
  <c r="G399" i="25"/>
  <c r="G398" i="25"/>
  <c r="G397" i="25"/>
  <c r="G396" i="25"/>
  <c r="G395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Q7" i="25"/>
  <c r="H7" i="25"/>
  <c r="O6" i="25"/>
  <c r="H6" i="25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9" i="24"/>
  <c r="G478" i="24"/>
  <c r="G477" i="24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6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7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1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7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9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7" i="24"/>
  <c r="G236" i="24"/>
  <c r="G235" i="24"/>
  <c r="G234" i="24"/>
  <c r="G233" i="24"/>
  <c r="G232" i="24"/>
  <c r="G231" i="24"/>
  <c r="G230" i="24"/>
  <c r="G229" i="24"/>
  <c r="G228" i="24"/>
  <c r="G227" i="24"/>
  <c r="G226" i="24"/>
  <c r="G225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I78" i="24"/>
  <c r="R78" i="24" s="1"/>
  <c r="H78" i="24"/>
  <c r="I77" i="24"/>
  <c r="H77" i="24"/>
  <c r="I76" i="24"/>
  <c r="R76" i="24" s="1"/>
  <c r="H76" i="24"/>
  <c r="I75" i="24"/>
  <c r="R75" i="24" s="1"/>
  <c r="H75" i="24"/>
  <c r="I74" i="24"/>
  <c r="R74" i="24" s="1"/>
  <c r="H74" i="24"/>
  <c r="I73" i="24"/>
  <c r="N73" i="24" s="1"/>
  <c r="H73" i="24"/>
  <c r="I72" i="24"/>
  <c r="R72" i="24" s="1"/>
  <c r="H72" i="24"/>
  <c r="I71" i="24"/>
  <c r="R71" i="24" s="1"/>
  <c r="H71" i="24"/>
  <c r="I70" i="24"/>
  <c r="R70" i="24" s="1"/>
  <c r="H70" i="24"/>
  <c r="I69" i="24"/>
  <c r="H69" i="24"/>
  <c r="I68" i="24"/>
  <c r="R68" i="24" s="1"/>
  <c r="H68" i="24"/>
  <c r="I67" i="24"/>
  <c r="Q67" i="24" s="1"/>
  <c r="H67" i="24"/>
  <c r="I66" i="24"/>
  <c r="R66" i="24" s="1"/>
  <c r="H66" i="24"/>
  <c r="I65" i="24"/>
  <c r="N65" i="24" s="1"/>
  <c r="H65" i="24"/>
  <c r="I64" i="24"/>
  <c r="R64" i="24" s="1"/>
  <c r="H64" i="24"/>
  <c r="I63" i="24"/>
  <c r="Q63" i="24" s="1"/>
  <c r="H63" i="24"/>
  <c r="I62" i="24"/>
  <c r="R62" i="24" s="1"/>
  <c r="H62" i="24"/>
  <c r="I61" i="24"/>
  <c r="Q61" i="24" s="1"/>
  <c r="H61" i="24"/>
  <c r="I60" i="24"/>
  <c r="R60" i="24" s="1"/>
  <c r="H60" i="24"/>
  <c r="I59" i="24"/>
  <c r="Q59" i="24" s="1"/>
  <c r="H59" i="24"/>
  <c r="I58" i="24"/>
  <c r="R58" i="24" s="1"/>
  <c r="H58" i="24"/>
  <c r="I57" i="24"/>
  <c r="N57" i="24" s="1"/>
  <c r="H57" i="24"/>
  <c r="I56" i="24"/>
  <c r="R56" i="24" s="1"/>
  <c r="H56" i="24"/>
  <c r="I55" i="24"/>
  <c r="Q55" i="24" s="1"/>
  <c r="H55" i="24"/>
  <c r="I54" i="24"/>
  <c r="R54" i="24" s="1"/>
  <c r="H54" i="24"/>
  <c r="I53" i="24"/>
  <c r="H53" i="24"/>
  <c r="I52" i="24"/>
  <c r="R52" i="24" s="1"/>
  <c r="H52" i="24"/>
  <c r="I51" i="24"/>
  <c r="O51" i="24" s="1"/>
  <c r="H51" i="24"/>
  <c r="I50" i="24"/>
  <c r="O50" i="24" s="1"/>
  <c r="H50" i="24"/>
  <c r="I49" i="24"/>
  <c r="O49" i="24" s="1"/>
  <c r="H49" i="24"/>
  <c r="I48" i="24"/>
  <c r="O48" i="24" s="1"/>
  <c r="H48" i="24"/>
  <c r="I47" i="24"/>
  <c r="O47" i="24" s="1"/>
  <c r="H47" i="24"/>
  <c r="I46" i="24"/>
  <c r="O46" i="24" s="1"/>
  <c r="H46" i="24"/>
  <c r="I45" i="24"/>
  <c r="O45" i="24" s="1"/>
  <c r="H45" i="24"/>
  <c r="I44" i="24"/>
  <c r="O44" i="24" s="1"/>
  <c r="H44" i="24"/>
  <c r="I43" i="24"/>
  <c r="O43" i="24" s="1"/>
  <c r="H43" i="24"/>
  <c r="I42" i="24"/>
  <c r="O42" i="24" s="1"/>
  <c r="H42" i="24"/>
  <c r="I41" i="24"/>
  <c r="O41" i="24" s="1"/>
  <c r="H41" i="24"/>
  <c r="I40" i="24"/>
  <c r="O40" i="24" s="1"/>
  <c r="H40" i="24"/>
  <c r="I39" i="24"/>
  <c r="O39" i="24" s="1"/>
  <c r="H39" i="24"/>
  <c r="I38" i="24"/>
  <c r="O38" i="24" s="1"/>
  <c r="H38" i="24"/>
  <c r="I37" i="24"/>
  <c r="Q37" i="24" s="1"/>
  <c r="H37" i="24"/>
  <c r="I36" i="24"/>
  <c r="Q36" i="24" s="1"/>
  <c r="H36" i="24"/>
  <c r="I35" i="24"/>
  <c r="Q35" i="24" s="1"/>
  <c r="H35" i="24"/>
  <c r="I34" i="24"/>
  <c r="Q34" i="24" s="1"/>
  <c r="H34" i="24"/>
  <c r="I33" i="24"/>
  <c r="Q33" i="24" s="1"/>
  <c r="H33" i="24"/>
  <c r="I32" i="24"/>
  <c r="Q32" i="24" s="1"/>
  <c r="H32" i="24"/>
  <c r="I31" i="24"/>
  <c r="Q31" i="24" s="1"/>
  <c r="H31" i="24"/>
  <c r="I30" i="24"/>
  <c r="Q30" i="24" s="1"/>
  <c r="H30" i="24"/>
  <c r="I29" i="24"/>
  <c r="Q29" i="24" s="1"/>
  <c r="H29" i="24"/>
  <c r="I28" i="24"/>
  <c r="Q28" i="24" s="1"/>
  <c r="H28" i="24"/>
  <c r="I27" i="24"/>
  <c r="Q27" i="24" s="1"/>
  <c r="H27" i="24"/>
  <c r="I26" i="24"/>
  <c r="Q26" i="24" s="1"/>
  <c r="H26" i="24"/>
  <c r="I25" i="24"/>
  <c r="Q25" i="24" s="1"/>
  <c r="H25" i="24"/>
  <c r="I24" i="24"/>
  <c r="Q24" i="24" s="1"/>
  <c r="H24" i="24"/>
  <c r="I23" i="24"/>
  <c r="Q23" i="24" s="1"/>
  <c r="H23" i="24"/>
  <c r="I22" i="24"/>
  <c r="Q22" i="24" s="1"/>
  <c r="H22" i="24"/>
  <c r="I21" i="24"/>
  <c r="Q21" i="24" s="1"/>
  <c r="H21" i="24"/>
  <c r="I20" i="24"/>
  <c r="Q20" i="24" s="1"/>
  <c r="H20" i="24"/>
  <c r="I19" i="24"/>
  <c r="Q19" i="24" s="1"/>
  <c r="H19" i="24"/>
  <c r="I18" i="24"/>
  <c r="Q18" i="24" s="1"/>
  <c r="H18" i="24"/>
  <c r="I17" i="24"/>
  <c r="Q17" i="24" s="1"/>
  <c r="H17" i="24"/>
  <c r="I16" i="24"/>
  <c r="Q16" i="24" s="1"/>
  <c r="H16" i="24"/>
  <c r="I15" i="24"/>
  <c r="Q15" i="24" s="1"/>
  <c r="H15" i="24"/>
  <c r="I14" i="24"/>
  <c r="Q14" i="24" s="1"/>
  <c r="H14" i="24"/>
  <c r="I13" i="24"/>
  <c r="Q13" i="24" s="1"/>
  <c r="H13" i="24"/>
  <c r="I12" i="24"/>
  <c r="Q12" i="24" s="1"/>
  <c r="H12" i="24"/>
  <c r="O11" i="24"/>
  <c r="I11" i="24"/>
  <c r="Q11" i="24" s="1"/>
  <c r="H11" i="24"/>
  <c r="I10" i="24"/>
  <c r="Q10" i="24" s="1"/>
  <c r="I9" i="24"/>
  <c r="Q9" i="24" s="1"/>
  <c r="I8" i="24"/>
  <c r="Q8" i="24" s="1"/>
  <c r="I7" i="24"/>
  <c r="Q7" i="24" s="1"/>
  <c r="I6" i="24"/>
  <c r="Q6" i="24" s="1"/>
  <c r="G422" i="23"/>
  <c r="G421" i="23"/>
  <c r="G420" i="23"/>
  <c r="G419" i="23"/>
  <c r="G418" i="23"/>
  <c r="G417" i="23"/>
  <c r="G416" i="23"/>
  <c r="G415" i="23"/>
  <c r="G414" i="23"/>
  <c r="G413" i="23"/>
  <c r="G412" i="23"/>
  <c r="G411" i="23"/>
  <c r="G410" i="23"/>
  <c r="G409" i="23"/>
  <c r="G408" i="23"/>
  <c r="G407" i="23"/>
  <c r="G406" i="23"/>
  <c r="G405" i="23"/>
  <c r="G404" i="23"/>
  <c r="G403" i="23"/>
  <c r="G402" i="23"/>
  <c r="G401" i="23"/>
  <c r="G400" i="23"/>
  <c r="G399" i="23"/>
  <c r="G398" i="23"/>
  <c r="G397" i="23"/>
  <c r="G396" i="23"/>
  <c r="G395" i="23"/>
  <c r="G394" i="23"/>
  <c r="G393" i="23"/>
  <c r="G392" i="23"/>
  <c r="G391" i="23"/>
  <c r="G390" i="23"/>
  <c r="G389" i="23"/>
  <c r="G388" i="23"/>
  <c r="G387" i="23"/>
  <c r="G386" i="23"/>
  <c r="G385" i="23"/>
  <c r="G384" i="23"/>
  <c r="G383" i="23"/>
  <c r="G382" i="23"/>
  <c r="G381" i="23"/>
  <c r="G380" i="23"/>
  <c r="G379" i="23"/>
  <c r="G378" i="23"/>
  <c r="G377" i="23"/>
  <c r="G376" i="23"/>
  <c r="G375" i="23"/>
  <c r="G374" i="23"/>
  <c r="G373" i="23"/>
  <c r="G372" i="23"/>
  <c r="G371" i="23"/>
  <c r="G370" i="23"/>
  <c r="G369" i="23"/>
  <c r="G368" i="23"/>
  <c r="G367" i="23"/>
  <c r="G366" i="23"/>
  <c r="G365" i="23"/>
  <c r="G364" i="23"/>
  <c r="G363" i="23"/>
  <c r="G362" i="23"/>
  <c r="G361" i="23"/>
  <c r="G360" i="23"/>
  <c r="G359" i="23"/>
  <c r="G358" i="23"/>
  <c r="G357" i="23"/>
  <c r="G356" i="23"/>
  <c r="G355" i="23"/>
  <c r="G354" i="23"/>
  <c r="G353" i="23"/>
  <c r="G352" i="23"/>
  <c r="G351" i="23"/>
  <c r="G350" i="23"/>
  <c r="G349" i="23"/>
  <c r="G348" i="23"/>
  <c r="G347" i="23"/>
  <c r="G346" i="23"/>
  <c r="G345" i="23"/>
  <c r="G344" i="23"/>
  <c r="G343" i="23"/>
  <c r="G342" i="23"/>
  <c r="G341" i="23"/>
  <c r="G340" i="23"/>
  <c r="G339" i="23"/>
  <c r="G338" i="23"/>
  <c r="G337" i="23"/>
  <c r="G336" i="23"/>
  <c r="G335" i="23"/>
  <c r="G334" i="23"/>
  <c r="G333" i="23"/>
  <c r="G332" i="23"/>
  <c r="G331" i="23"/>
  <c r="G330" i="23"/>
  <c r="G329" i="23"/>
  <c r="G328" i="23"/>
  <c r="G327" i="23"/>
  <c r="G326" i="23"/>
  <c r="G325" i="23"/>
  <c r="G324" i="23"/>
  <c r="G323" i="23"/>
  <c r="G322" i="23"/>
  <c r="G321" i="23"/>
  <c r="G320" i="23"/>
  <c r="G319" i="23"/>
  <c r="G318" i="23"/>
  <c r="G317" i="23"/>
  <c r="G316" i="23"/>
  <c r="G315" i="23"/>
  <c r="G314" i="23"/>
  <c r="G313" i="23"/>
  <c r="G312" i="23"/>
  <c r="G311" i="23"/>
  <c r="G310" i="23"/>
  <c r="G309" i="23"/>
  <c r="G308" i="23"/>
  <c r="G307" i="23"/>
  <c r="G306" i="23"/>
  <c r="G305" i="23"/>
  <c r="G304" i="23"/>
  <c r="G303" i="23"/>
  <c r="G302" i="23"/>
  <c r="G301" i="23"/>
  <c r="G300" i="23"/>
  <c r="G299" i="23"/>
  <c r="G298" i="23"/>
  <c r="G297" i="23"/>
  <c r="G296" i="23"/>
  <c r="G295" i="23"/>
  <c r="G294" i="23"/>
  <c r="G293" i="23"/>
  <c r="G292" i="23"/>
  <c r="G291" i="23"/>
  <c r="G290" i="23"/>
  <c r="G289" i="23"/>
  <c r="G288" i="23"/>
  <c r="G287" i="23"/>
  <c r="G286" i="23"/>
  <c r="G285" i="23"/>
  <c r="G284" i="23"/>
  <c r="G283" i="23"/>
  <c r="G282" i="23"/>
  <c r="G281" i="23"/>
  <c r="G280" i="23"/>
  <c r="G279" i="23"/>
  <c r="G278" i="23"/>
  <c r="G277" i="23"/>
  <c r="G276" i="23"/>
  <c r="G275" i="23"/>
  <c r="G274" i="23"/>
  <c r="G273" i="23"/>
  <c r="G272" i="23"/>
  <c r="G271" i="23"/>
  <c r="G270" i="23"/>
  <c r="G269" i="23"/>
  <c r="G268" i="23"/>
  <c r="G267" i="23"/>
  <c r="G266" i="23"/>
  <c r="G265" i="23"/>
  <c r="G264" i="23"/>
  <c r="G263" i="23"/>
  <c r="G262" i="23"/>
  <c r="G261" i="23"/>
  <c r="G260" i="23"/>
  <c r="G259" i="23"/>
  <c r="G258" i="23"/>
  <c r="G257" i="23"/>
  <c r="G256" i="23"/>
  <c r="G255" i="23"/>
  <c r="G254" i="23"/>
  <c r="G253" i="23"/>
  <c r="G252" i="23"/>
  <c r="G251" i="23"/>
  <c r="G250" i="23"/>
  <c r="G249" i="23"/>
  <c r="G248" i="23"/>
  <c r="G247" i="23"/>
  <c r="G246" i="23"/>
  <c r="G245" i="23"/>
  <c r="G244" i="23"/>
  <c r="G243" i="23"/>
  <c r="G242" i="23"/>
  <c r="G241" i="23"/>
  <c r="G240" i="23"/>
  <c r="G239" i="23"/>
  <c r="G238" i="23"/>
  <c r="G237" i="23"/>
  <c r="G236" i="23"/>
  <c r="G235" i="23"/>
  <c r="G234" i="23"/>
  <c r="G233" i="23"/>
  <c r="G232" i="23"/>
  <c r="G231" i="23"/>
  <c r="G230" i="23"/>
  <c r="G229" i="23"/>
  <c r="G228" i="23"/>
  <c r="G227" i="23"/>
  <c r="G226" i="23"/>
  <c r="G225" i="23"/>
  <c r="G224" i="23"/>
  <c r="G223" i="23"/>
  <c r="G222" i="23"/>
  <c r="G221" i="23"/>
  <c r="G220" i="23"/>
  <c r="G219" i="23"/>
  <c r="G218" i="23"/>
  <c r="G217" i="23"/>
  <c r="G216" i="23"/>
  <c r="G215" i="23"/>
  <c r="G214" i="23"/>
  <c r="G213" i="23"/>
  <c r="G212" i="23"/>
  <c r="G211" i="23"/>
  <c r="G210" i="23"/>
  <c r="G209" i="23"/>
  <c r="G208" i="23"/>
  <c r="G207" i="23"/>
  <c r="G206" i="23"/>
  <c r="G205" i="23"/>
  <c r="G204" i="23"/>
  <c r="G203" i="23"/>
  <c r="G202" i="23"/>
  <c r="G201" i="23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H11" i="23"/>
  <c r="H36" i="23"/>
  <c r="H39" i="23"/>
  <c r="H6" i="23"/>
  <c r="H8" i="23"/>
  <c r="H22" i="23"/>
  <c r="H21" i="23"/>
  <c r="H20" i="23"/>
  <c r="H19" i="23"/>
  <c r="G599" i="22"/>
  <c r="G598" i="22"/>
  <c r="G597" i="22"/>
  <c r="G596" i="22"/>
  <c r="G595" i="22"/>
  <c r="G594" i="22"/>
  <c r="G593" i="22"/>
  <c r="G592" i="22"/>
  <c r="G591" i="22"/>
  <c r="G590" i="22"/>
  <c r="G589" i="22"/>
  <c r="G588" i="22"/>
  <c r="G587" i="22"/>
  <c r="G586" i="22"/>
  <c r="G585" i="22"/>
  <c r="G584" i="22"/>
  <c r="G583" i="22"/>
  <c r="G582" i="22"/>
  <c r="G581" i="22"/>
  <c r="G580" i="22"/>
  <c r="G579" i="22"/>
  <c r="G578" i="22"/>
  <c r="G577" i="22"/>
  <c r="G576" i="22"/>
  <c r="G575" i="22"/>
  <c r="G574" i="22"/>
  <c r="G573" i="22"/>
  <c r="G572" i="22"/>
  <c r="G571" i="22"/>
  <c r="G570" i="22"/>
  <c r="G569" i="22"/>
  <c r="G568" i="22"/>
  <c r="G567" i="22"/>
  <c r="G566" i="22"/>
  <c r="G565" i="22"/>
  <c r="G564" i="22"/>
  <c r="G563" i="22"/>
  <c r="G562" i="22"/>
  <c r="G561" i="22"/>
  <c r="G560" i="22"/>
  <c r="G559" i="22"/>
  <c r="G558" i="22"/>
  <c r="G557" i="22"/>
  <c r="G556" i="22"/>
  <c r="G555" i="22"/>
  <c r="G554" i="22"/>
  <c r="G553" i="22"/>
  <c r="G552" i="22"/>
  <c r="G551" i="22"/>
  <c r="G550" i="22"/>
  <c r="G549" i="22"/>
  <c r="G548" i="22"/>
  <c r="G547" i="22"/>
  <c r="G546" i="22"/>
  <c r="G545" i="22"/>
  <c r="G544" i="22"/>
  <c r="G543" i="22"/>
  <c r="G542" i="22"/>
  <c r="G541" i="22"/>
  <c r="G540" i="22"/>
  <c r="G539" i="22"/>
  <c r="G538" i="22"/>
  <c r="G537" i="22"/>
  <c r="G536" i="22"/>
  <c r="G535" i="22"/>
  <c r="G534" i="22"/>
  <c r="G533" i="22"/>
  <c r="G532" i="22"/>
  <c r="G531" i="22"/>
  <c r="G530" i="22"/>
  <c r="G529" i="22"/>
  <c r="G528" i="22"/>
  <c r="G527" i="22"/>
  <c r="G526" i="22"/>
  <c r="G525" i="22"/>
  <c r="G524" i="22"/>
  <c r="G523" i="22"/>
  <c r="G522" i="22"/>
  <c r="G521" i="22"/>
  <c r="G520" i="22"/>
  <c r="G519" i="22"/>
  <c r="G518" i="22"/>
  <c r="G517" i="22"/>
  <c r="G516" i="22"/>
  <c r="G515" i="22"/>
  <c r="G514" i="22"/>
  <c r="G513" i="22"/>
  <c r="G512" i="22"/>
  <c r="G511" i="22"/>
  <c r="G510" i="22"/>
  <c r="G509" i="22"/>
  <c r="G508" i="22"/>
  <c r="G507" i="22"/>
  <c r="G506" i="22"/>
  <c r="G505" i="22"/>
  <c r="G504" i="22"/>
  <c r="G503" i="22"/>
  <c r="G502" i="22"/>
  <c r="G501" i="22"/>
  <c r="G500" i="22"/>
  <c r="G499" i="22"/>
  <c r="G498" i="22"/>
  <c r="G497" i="22"/>
  <c r="G496" i="22"/>
  <c r="G495" i="22"/>
  <c r="G494" i="22"/>
  <c r="G493" i="22"/>
  <c r="G492" i="22"/>
  <c r="G491" i="22"/>
  <c r="G490" i="22"/>
  <c r="G489" i="22"/>
  <c r="G488" i="22"/>
  <c r="G487" i="22"/>
  <c r="G486" i="22"/>
  <c r="G485" i="22"/>
  <c r="G484" i="22"/>
  <c r="G483" i="22"/>
  <c r="G482" i="22"/>
  <c r="G481" i="22"/>
  <c r="G480" i="22"/>
  <c r="G479" i="22"/>
  <c r="G478" i="22"/>
  <c r="G477" i="22"/>
  <c r="G476" i="22"/>
  <c r="G475" i="22"/>
  <c r="G474" i="22"/>
  <c r="G473" i="22"/>
  <c r="G472" i="22"/>
  <c r="G471" i="22"/>
  <c r="G470" i="22"/>
  <c r="G469" i="22"/>
  <c r="G468" i="22"/>
  <c r="G467" i="22"/>
  <c r="G466" i="22"/>
  <c r="G465" i="22"/>
  <c r="G464" i="22"/>
  <c r="G463" i="22"/>
  <c r="G462" i="22"/>
  <c r="G461" i="22"/>
  <c r="G460" i="22"/>
  <c r="G459" i="22"/>
  <c r="G458" i="22"/>
  <c r="G457" i="22"/>
  <c r="G456" i="22"/>
  <c r="G455" i="22"/>
  <c r="G454" i="22"/>
  <c r="G453" i="22"/>
  <c r="G452" i="22"/>
  <c r="G451" i="22"/>
  <c r="G450" i="22"/>
  <c r="G449" i="22"/>
  <c r="G448" i="22"/>
  <c r="G447" i="22"/>
  <c r="G446" i="22"/>
  <c r="G445" i="22"/>
  <c r="G444" i="22"/>
  <c r="G443" i="22"/>
  <c r="G442" i="22"/>
  <c r="G441" i="22"/>
  <c r="G440" i="22"/>
  <c r="G439" i="22"/>
  <c r="G438" i="22"/>
  <c r="G437" i="22"/>
  <c r="G436" i="22"/>
  <c r="G435" i="22"/>
  <c r="G434" i="22"/>
  <c r="G433" i="22"/>
  <c r="G432" i="22"/>
  <c r="G431" i="22"/>
  <c r="G430" i="22"/>
  <c r="G429" i="22"/>
  <c r="G428" i="22"/>
  <c r="G427" i="22"/>
  <c r="G426" i="22"/>
  <c r="G425" i="22"/>
  <c r="G424" i="22"/>
  <c r="G423" i="22"/>
  <c r="G422" i="22"/>
  <c r="G421" i="22"/>
  <c r="G420" i="22"/>
  <c r="G419" i="22"/>
  <c r="G418" i="22"/>
  <c r="G417" i="22"/>
  <c r="G416" i="22"/>
  <c r="G415" i="22"/>
  <c r="G414" i="22"/>
  <c r="G413" i="22"/>
  <c r="G412" i="22"/>
  <c r="G411" i="22"/>
  <c r="G410" i="22"/>
  <c r="G409" i="22"/>
  <c r="G408" i="22"/>
  <c r="G407" i="22"/>
  <c r="G406" i="22"/>
  <c r="G405" i="22"/>
  <c r="G404" i="22"/>
  <c r="G403" i="22"/>
  <c r="G402" i="22"/>
  <c r="G401" i="22"/>
  <c r="G400" i="22"/>
  <c r="G399" i="22"/>
  <c r="G398" i="22"/>
  <c r="G397" i="22"/>
  <c r="G396" i="22"/>
  <c r="G395" i="22"/>
  <c r="G394" i="22"/>
  <c r="G393" i="22"/>
  <c r="G392" i="22"/>
  <c r="G391" i="22"/>
  <c r="G390" i="22"/>
  <c r="G389" i="22"/>
  <c r="G388" i="22"/>
  <c r="G387" i="22"/>
  <c r="G386" i="22"/>
  <c r="G385" i="22"/>
  <c r="G384" i="22"/>
  <c r="G383" i="22"/>
  <c r="G382" i="22"/>
  <c r="G381" i="22"/>
  <c r="G380" i="22"/>
  <c r="G379" i="22"/>
  <c r="G378" i="22"/>
  <c r="G377" i="22"/>
  <c r="G376" i="22"/>
  <c r="G375" i="22"/>
  <c r="G374" i="22"/>
  <c r="G373" i="22"/>
  <c r="G372" i="22"/>
  <c r="G371" i="22"/>
  <c r="G370" i="22"/>
  <c r="G369" i="22"/>
  <c r="G368" i="22"/>
  <c r="G367" i="22"/>
  <c r="G366" i="22"/>
  <c r="G365" i="22"/>
  <c r="G364" i="22"/>
  <c r="G363" i="22"/>
  <c r="G362" i="22"/>
  <c r="G361" i="22"/>
  <c r="G360" i="22"/>
  <c r="G359" i="22"/>
  <c r="G358" i="22"/>
  <c r="G357" i="22"/>
  <c r="G356" i="22"/>
  <c r="G355" i="22"/>
  <c r="G354" i="22"/>
  <c r="G353" i="22"/>
  <c r="G352" i="22"/>
  <c r="G351" i="22"/>
  <c r="G350" i="22"/>
  <c r="G349" i="22"/>
  <c r="G348" i="22"/>
  <c r="G347" i="22"/>
  <c r="G346" i="22"/>
  <c r="G345" i="22"/>
  <c r="G344" i="22"/>
  <c r="G343" i="22"/>
  <c r="G342" i="22"/>
  <c r="G341" i="22"/>
  <c r="G340" i="22"/>
  <c r="G339" i="22"/>
  <c r="G338" i="22"/>
  <c r="G337" i="22"/>
  <c r="G336" i="22"/>
  <c r="G335" i="22"/>
  <c r="G334" i="22"/>
  <c r="G333" i="22"/>
  <c r="G332" i="22"/>
  <c r="G331" i="22"/>
  <c r="G330" i="22"/>
  <c r="G329" i="22"/>
  <c r="G328" i="22"/>
  <c r="G327" i="22"/>
  <c r="G326" i="22"/>
  <c r="G325" i="22"/>
  <c r="G324" i="22"/>
  <c r="G323" i="22"/>
  <c r="G322" i="22"/>
  <c r="G321" i="22"/>
  <c r="G320" i="22"/>
  <c r="G319" i="22"/>
  <c r="G318" i="22"/>
  <c r="G317" i="22"/>
  <c r="G316" i="22"/>
  <c r="G315" i="22"/>
  <c r="G314" i="22"/>
  <c r="G313" i="22"/>
  <c r="G312" i="22"/>
  <c r="G311" i="22"/>
  <c r="G310" i="22"/>
  <c r="G309" i="22"/>
  <c r="G308" i="22"/>
  <c r="G307" i="22"/>
  <c r="G306" i="22"/>
  <c r="G305" i="22"/>
  <c r="G304" i="22"/>
  <c r="G303" i="22"/>
  <c r="G302" i="22"/>
  <c r="G301" i="22"/>
  <c r="G300" i="22"/>
  <c r="G299" i="22"/>
  <c r="G298" i="22"/>
  <c r="G297" i="22"/>
  <c r="G296" i="22"/>
  <c r="G295" i="22"/>
  <c r="G294" i="22"/>
  <c r="G293" i="22"/>
  <c r="G292" i="22"/>
  <c r="G291" i="22"/>
  <c r="G290" i="22"/>
  <c r="G289" i="22"/>
  <c r="G288" i="22"/>
  <c r="G287" i="22"/>
  <c r="G286" i="22"/>
  <c r="G285" i="22"/>
  <c r="G284" i="22"/>
  <c r="G283" i="22"/>
  <c r="G282" i="22"/>
  <c r="G281" i="22"/>
  <c r="G280" i="22"/>
  <c r="G279" i="22"/>
  <c r="G278" i="22"/>
  <c r="G277" i="22"/>
  <c r="G276" i="22"/>
  <c r="G275" i="22"/>
  <c r="G274" i="22"/>
  <c r="G273" i="22"/>
  <c r="G272" i="22"/>
  <c r="G271" i="22"/>
  <c r="G270" i="22"/>
  <c r="G269" i="22"/>
  <c r="G268" i="22"/>
  <c r="G267" i="22"/>
  <c r="G266" i="22"/>
  <c r="G265" i="22"/>
  <c r="G264" i="22"/>
  <c r="G263" i="22"/>
  <c r="G262" i="22"/>
  <c r="G261" i="22"/>
  <c r="G260" i="22"/>
  <c r="G259" i="22"/>
  <c r="G258" i="22"/>
  <c r="G257" i="22"/>
  <c r="G256" i="22"/>
  <c r="G255" i="22"/>
  <c r="G254" i="22"/>
  <c r="G253" i="22"/>
  <c r="I64" i="22"/>
  <c r="H64" i="22"/>
  <c r="I63" i="22"/>
  <c r="H63" i="22"/>
  <c r="I62" i="22"/>
  <c r="H62" i="22"/>
  <c r="H61" i="22"/>
  <c r="I60" i="22"/>
  <c r="H60" i="22"/>
  <c r="I59" i="22"/>
  <c r="H59" i="22"/>
  <c r="I58" i="22"/>
  <c r="H58" i="22"/>
  <c r="I57" i="22"/>
  <c r="H57" i="22"/>
  <c r="I56" i="22"/>
  <c r="H56" i="22"/>
  <c r="H55" i="22"/>
  <c r="I54" i="22"/>
  <c r="H54" i="22"/>
  <c r="I53" i="22"/>
  <c r="H53" i="22"/>
  <c r="I52" i="22"/>
  <c r="H52" i="22"/>
  <c r="I51" i="22"/>
  <c r="H51" i="22"/>
  <c r="I50" i="22"/>
  <c r="H50" i="22"/>
  <c r="I49" i="22"/>
  <c r="H49" i="22"/>
  <c r="I48" i="22"/>
  <c r="H48" i="22"/>
  <c r="I47" i="22"/>
  <c r="H47" i="22"/>
  <c r="I46" i="22"/>
  <c r="H46" i="22"/>
  <c r="H45" i="22"/>
  <c r="I44" i="22"/>
  <c r="H44" i="22"/>
  <c r="I43" i="22"/>
  <c r="H43" i="22"/>
  <c r="I42" i="22"/>
  <c r="H42" i="22"/>
  <c r="I41" i="22"/>
  <c r="H41" i="22"/>
  <c r="I39" i="22"/>
  <c r="H39" i="22"/>
  <c r="H38" i="22"/>
  <c r="I37" i="22"/>
  <c r="H37" i="22"/>
  <c r="H36" i="22"/>
  <c r="I35" i="22"/>
  <c r="H35" i="22"/>
  <c r="H34" i="22"/>
  <c r="I33" i="22"/>
  <c r="H33" i="22"/>
  <c r="I32" i="22"/>
  <c r="H32" i="22"/>
  <c r="I31" i="22"/>
  <c r="H31" i="22"/>
  <c r="I30" i="22"/>
  <c r="H30" i="22"/>
  <c r="I29" i="22"/>
  <c r="H29" i="22"/>
  <c r="I28" i="22"/>
  <c r="H28" i="22"/>
  <c r="I27" i="22"/>
  <c r="H27" i="22"/>
  <c r="I26" i="22"/>
  <c r="H26" i="22"/>
  <c r="I25" i="22"/>
  <c r="H25" i="22"/>
  <c r="I24" i="22"/>
  <c r="H24" i="22"/>
  <c r="I23" i="22"/>
  <c r="H23" i="22"/>
  <c r="I22" i="22"/>
  <c r="H22" i="22"/>
  <c r="I21" i="22"/>
  <c r="H21" i="22"/>
  <c r="I20" i="22"/>
  <c r="H20" i="22"/>
  <c r="I19" i="22"/>
  <c r="H19" i="22"/>
  <c r="I18" i="22"/>
  <c r="H18" i="22"/>
  <c r="I17" i="22"/>
  <c r="H17" i="22"/>
  <c r="I16" i="22"/>
  <c r="H16" i="22"/>
  <c r="I15" i="22"/>
  <c r="H15" i="22"/>
  <c r="I14" i="22"/>
  <c r="H14" i="22"/>
  <c r="H13" i="22"/>
  <c r="I12" i="22"/>
  <c r="H12" i="22"/>
  <c r="I11" i="22"/>
  <c r="H11" i="22"/>
  <c r="I10" i="22"/>
  <c r="H10" i="22"/>
  <c r="H9" i="22"/>
  <c r="I8" i="22"/>
  <c r="H8" i="22"/>
  <c r="I7" i="22"/>
  <c r="H7" i="22"/>
  <c r="I127" i="22"/>
  <c r="H127" i="22"/>
  <c r="H144" i="22"/>
  <c r="H40" i="22"/>
  <c r="I6" i="22"/>
  <c r="Q6" i="22" s="1"/>
  <c r="H6" i="22"/>
  <c r="G507" i="21"/>
  <c r="G506" i="21"/>
  <c r="G505" i="21"/>
  <c r="G504" i="21"/>
  <c r="G503" i="21"/>
  <c r="G502" i="21"/>
  <c r="G501" i="21"/>
  <c r="G500" i="21"/>
  <c r="G499" i="21"/>
  <c r="G498" i="21"/>
  <c r="G497" i="21"/>
  <c r="G496" i="21"/>
  <c r="G495" i="21"/>
  <c r="G494" i="21"/>
  <c r="G493" i="21"/>
  <c r="G492" i="21"/>
  <c r="G491" i="21"/>
  <c r="G490" i="21"/>
  <c r="G489" i="21"/>
  <c r="G488" i="21"/>
  <c r="G487" i="21"/>
  <c r="G486" i="21"/>
  <c r="G485" i="21"/>
  <c r="G484" i="21"/>
  <c r="G483" i="21"/>
  <c r="G482" i="21"/>
  <c r="G481" i="21"/>
  <c r="G480" i="21"/>
  <c r="G479" i="21"/>
  <c r="G478" i="21"/>
  <c r="G477" i="21"/>
  <c r="G476" i="21"/>
  <c r="G475" i="21"/>
  <c r="G474" i="21"/>
  <c r="G473" i="21"/>
  <c r="G472" i="21"/>
  <c r="G471" i="21"/>
  <c r="G470" i="21"/>
  <c r="G469" i="21"/>
  <c r="G468" i="21"/>
  <c r="G467" i="21"/>
  <c r="G466" i="21"/>
  <c r="G465" i="21"/>
  <c r="G464" i="21"/>
  <c r="G463" i="21"/>
  <c r="G462" i="21"/>
  <c r="G461" i="21"/>
  <c r="G460" i="21"/>
  <c r="G459" i="21"/>
  <c r="G458" i="21"/>
  <c r="G457" i="21"/>
  <c r="G456" i="21"/>
  <c r="G455" i="21"/>
  <c r="G454" i="21"/>
  <c r="G453" i="21"/>
  <c r="G452" i="21"/>
  <c r="G451" i="21"/>
  <c r="G450" i="21"/>
  <c r="G449" i="21"/>
  <c r="G448" i="21"/>
  <c r="G447" i="21"/>
  <c r="G446" i="21"/>
  <c r="G445" i="21"/>
  <c r="G444" i="21"/>
  <c r="G443" i="21"/>
  <c r="G442" i="21"/>
  <c r="G441" i="21"/>
  <c r="G440" i="21"/>
  <c r="G439" i="21"/>
  <c r="G438" i="21"/>
  <c r="G437" i="21"/>
  <c r="G436" i="21"/>
  <c r="G435" i="21"/>
  <c r="G434" i="21"/>
  <c r="G433" i="21"/>
  <c r="G432" i="21"/>
  <c r="G431" i="21"/>
  <c r="G430" i="21"/>
  <c r="G429" i="21"/>
  <c r="G428" i="21"/>
  <c r="G427" i="21"/>
  <c r="G426" i="21"/>
  <c r="G425" i="21"/>
  <c r="G424" i="21"/>
  <c r="G423" i="21"/>
  <c r="G422" i="21"/>
  <c r="G421" i="21"/>
  <c r="G420" i="21"/>
  <c r="G419" i="21"/>
  <c r="G418" i="21"/>
  <c r="G417" i="21"/>
  <c r="G416" i="21"/>
  <c r="G415" i="21"/>
  <c r="G414" i="21"/>
  <c r="G413" i="21"/>
  <c r="G412" i="21"/>
  <c r="G411" i="21"/>
  <c r="G410" i="21"/>
  <c r="G409" i="21"/>
  <c r="G408" i="21"/>
  <c r="G407" i="21"/>
  <c r="G406" i="21"/>
  <c r="G405" i="21"/>
  <c r="G404" i="21"/>
  <c r="G403" i="21"/>
  <c r="G402" i="21"/>
  <c r="G401" i="21"/>
  <c r="G400" i="21"/>
  <c r="G399" i="21"/>
  <c r="G398" i="21"/>
  <c r="G397" i="21"/>
  <c r="G396" i="21"/>
  <c r="G395" i="21"/>
  <c r="G394" i="21"/>
  <c r="G393" i="21"/>
  <c r="G392" i="21"/>
  <c r="G391" i="21"/>
  <c r="G390" i="21"/>
  <c r="G389" i="21"/>
  <c r="G388" i="21"/>
  <c r="G387" i="21"/>
  <c r="G386" i="21"/>
  <c r="G385" i="21"/>
  <c r="G384" i="21"/>
  <c r="G383" i="21"/>
  <c r="G382" i="21"/>
  <c r="G381" i="21"/>
  <c r="G380" i="21"/>
  <c r="G379" i="21"/>
  <c r="G378" i="21"/>
  <c r="G377" i="21"/>
  <c r="G376" i="21"/>
  <c r="G375" i="21"/>
  <c r="G374" i="21"/>
  <c r="G373" i="21"/>
  <c r="G372" i="21"/>
  <c r="G371" i="21"/>
  <c r="G370" i="21"/>
  <c r="G369" i="21"/>
  <c r="G368" i="21"/>
  <c r="G367" i="21"/>
  <c r="G366" i="21"/>
  <c r="G365" i="21"/>
  <c r="G364" i="21"/>
  <c r="G363" i="21"/>
  <c r="G362" i="21"/>
  <c r="G361" i="21"/>
  <c r="G360" i="21"/>
  <c r="G359" i="21"/>
  <c r="G358" i="21"/>
  <c r="G357" i="21"/>
  <c r="G356" i="21"/>
  <c r="G355" i="21"/>
  <c r="G354" i="21"/>
  <c r="G353" i="21"/>
  <c r="G352" i="21"/>
  <c r="G351" i="21"/>
  <c r="G350" i="21"/>
  <c r="G349" i="21"/>
  <c r="G348" i="21"/>
  <c r="G347" i="21"/>
  <c r="G346" i="21"/>
  <c r="G345" i="21"/>
  <c r="G344" i="21"/>
  <c r="G343" i="21"/>
  <c r="G342" i="21"/>
  <c r="G341" i="21"/>
  <c r="G340" i="21"/>
  <c r="G339" i="21"/>
  <c r="G338" i="21"/>
  <c r="G337" i="21"/>
  <c r="G336" i="21"/>
  <c r="G335" i="21"/>
  <c r="G334" i="21"/>
  <c r="G333" i="21"/>
  <c r="G332" i="21"/>
  <c r="G331" i="21"/>
  <c r="G330" i="21"/>
  <c r="G329" i="21"/>
  <c r="G328" i="21"/>
  <c r="G327" i="21"/>
  <c r="G326" i="21"/>
  <c r="G325" i="21"/>
  <c r="G324" i="21"/>
  <c r="G323" i="21"/>
  <c r="G322" i="21"/>
  <c r="G321" i="21"/>
  <c r="G320" i="21"/>
  <c r="G319" i="21"/>
  <c r="G318" i="21"/>
  <c r="G317" i="21"/>
  <c r="G316" i="21"/>
  <c r="G315" i="21"/>
  <c r="G314" i="21"/>
  <c r="G313" i="21"/>
  <c r="G312" i="21"/>
  <c r="G311" i="21"/>
  <c r="G310" i="21"/>
  <c r="G309" i="21"/>
  <c r="G308" i="21"/>
  <c r="G307" i="21"/>
  <c r="G306" i="21"/>
  <c r="G305" i="21"/>
  <c r="G304" i="21"/>
  <c r="G303" i="21"/>
  <c r="G302" i="21"/>
  <c r="G301" i="21"/>
  <c r="G300" i="21"/>
  <c r="G299" i="21"/>
  <c r="G298" i="21"/>
  <c r="G297" i="21"/>
  <c r="G296" i="21"/>
  <c r="G295" i="21"/>
  <c r="G294" i="21"/>
  <c r="G293" i="21"/>
  <c r="G292" i="21"/>
  <c r="G291" i="21"/>
  <c r="G290" i="21"/>
  <c r="G289" i="21"/>
  <c r="G288" i="21"/>
  <c r="G287" i="21"/>
  <c r="G286" i="21"/>
  <c r="G285" i="21"/>
  <c r="G284" i="21"/>
  <c r="G283" i="21"/>
  <c r="G282" i="21"/>
  <c r="G281" i="21"/>
  <c r="G280" i="21"/>
  <c r="G279" i="21"/>
  <c r="G278" i="21"/>
  <c r="G277" i="21"/>
  <c r="G276" i="21"/>
  <c r="G275" i="21"/>
  <c r="G274" i="21"/>
  <c r="G273" i="21"/>
  <c r="G272" i="21"/>
  <c r="G271" i="21"/>
  <c r="G270" i="21"/>
  <c r="G269" i="21"/>
  <c r="G268" i="21"/>
  <c r="G267" i="21"/>
  <c r="G266" i="21"/>
  <c r="G265" i="21"/>
  <c r="G264" i="21"/>
  <c r="G263" i="21"/>
  <c r="G262" i="21"/>
  <c r="G261" i="21"/>
  <c r="G260" i="21"/>
  <c r="G259" i="21"/>
  <c r="G258" i="21"/>
  <c r="G257" i="21"/>
  <c r="G256" i="21"/>
  <c r="G255" i="21"/>
  <c r="G254" i="21"/>
  <c r="G253" i="21"/>
  <c r="G252" i="21"/>
  <c r="G251" i="21"/>
  <c r="G250" i="21"/>
  <c r="G249" i="21"/>
  <c r="G248" i="21"/>
  <c r="G247" i="21"/>
  <c r="G246" i="21"/>
  <c r="G245" i="21"/>
  <c r="G244" i="21"/>
  <c r="G243" i="21"/>
  <c r="G242" i="21"/>
  <c r="G241" i="21"/>
  <c r="G240" i="21"/>
  <c r="G239" i="21"/>
  <c r="G238" i="21"/>
  <c r="G237" i="21"/>
  <c r="G236" i="21"/>
  <c r="G235" i="21"/>
  <c r="G234" i="21"/>
  <c r="G233" i="21"/>
  <c r="G232" i="21"/>
  <c r="G231" i="21"/>
  <c r="G230" i="21"/>
  <c r="G229" i="21"/>
  <c r="G228" i="21"/>
  <c r="G227" i="21"/>
  <c r="G226" i="21"/>
  <c r="G225" i="21"/>
  <c r="G224" i="21"/>
  <c r="G223" i="21"/>
  <c r="G222" i="21"/>
  <c r="G221" i="21"/>
  <c r="G220" i="21"/>
  <c r="G219" i="21"/>
  <c r="G218" i="21"/>
  <c r="G217" i="21"/>
  <c r="G216" i="21"/>
  <c r="G215" i="21"/>
  <c r="G214" i="21"/>
  <c r="G213" i="21"/>
  <c r="G212" i="21"/>
  <c r="G211" i="21"/>
  <c r="G210" i="21"/>
  <c r="G209" i="21"/>
  <c r="G208" i="21"/>
  <c r="G207" i="21"/>
  <c r="G206" i="21"/>
  <c r="G205" i="21"/>
  <c r="G204" i="21"/>
  <c r="G203" i="21"/>
  <c r="G202" i="21"/>
  <c r="G201" i="21"/>
  <c r="G200" i="21"/>
  <c r="G199" i="21"/>
  <c r="G198" i="21"/>
  <c r="G197" i="21"/>
  <c r="G196" i="21"/>
  <c r="G195" i="21"/>
  <c r="G194" i="21"/>
  <c r="G193" i="21"/>
  <c r="G192" i="21"/>
  <c r="G191" i="21"/>
  <c r="G190" i="21"/>
  <c r="G189" i="21"/>
  <c r="G188" i="21"/>
  <c r="G187" i="21"/>
  <c r="G186" i="21"/>
  <c r="G185" i="21"/>
  <c r="G184" i="21"/>
  <c r="G183" i="21"/>
  <c r="G182" i="21"/>
  <c r="G181" i="21"/>
  <c r="G180" i="21"/>
  <c r="G179" i="21"/>
  <c r="G178" i="21"/>
  <c r="G177" i="21"/>
  <c r="G176" i="21"/>
  <c r="G175" i="21"/>
  <c r="G174" i="21"/>
  <c r="G173" i="21"/>
  <c r="G172" i="21"/>
  <c r="G171" i="21"/>
  <c r="G170" i="21"/>
  <c r="G169" i="21"/>
  <c r="G168" i="21"/>
  <c r="G167" i="21"/>
  <c r="G166" i="21"/>
  <c r="G165" i="21"/>
  <c r="G164" i="21"/>
  <c r="G163" i="21"/>
  <c r="G162" i="21"/>
  <c r="G161" i="21"/>
  <c r="G160" i="21"/>
  <c r="G159" i="21"/>
  <c r="G158" i="21"/>
  <c r="G157" i="21"/>
  <c r="G156" i="21"/>
  <c r="G155" i="21"/>
  <c r="G154" i="21"/>
  <c r="G153" i="21"/>
  <c r="G152" i="21"/>
  <c r="G151" i="21"/>
  <c r="G150" i="21"/>
  <c r="G149" i="21"/>
  <c r="G148" i="21"/>
  <c r="G147" i="21"/>
  <c r="G146" i="21"/>
  <c r="G145" i="21"/>
  <c r="G144" i="21"/>
  <c r="G143" i="21"/>
  <c r="G142" i="21"/>
  <c r="G141" i="21"/>
  <c r="G140" i="21"/>
  <c r="G139" i="21"/>
  <c r="G138" i="21"/>
  <c r="G137" i="21"/>
  <c r="G136" i="21"/>
  <c r="G135" i="21"/>
  <c r="G134" i="21"/>
  <c r="G133" i="21"/>
  <c r="G132" i="21"/>
  <c r="G131" i="21"/>
  <c r="G130" i="21"/>
  <c r="G129" i="21"/>
  <c r="G128" i="21"/>
  <c r="G127" i="21"/>
  <c r="G126" i="21"/>
  <c r="G125" i="21"/>
  <c r="G124" i="21"/>
  <c r="G123" i="21"/>
  <c r="G122" i="21"/>
  <c r="G121" i="21"/>
  <c r="G120" i="21"/>
  <c r="G119" i="21"/>
  <c r="G118" i="21"/>
  <c r="G117" i="21"/>
  <c r="G116" i="21"/>
  <c r="G115" i="21"/>
  <c r="G114" i="21"/>
  <c r="G113" i="21"/>
  <c r="G112" i="21"/>
  <c r="G111" i="21"/>
  <c r="G110" i="21"/>
  <c r="G109" i="21"/>
  <c r="G108" i="21"/>
  <c r="G107" i="21"/>
  <c r="G106" i="21"/>
  <c r="G105" i="21"/>
  <c r="G104" i="21"/>
  <c r="G103" i="21"/>
  <c r="G102" i="21"/>
  <c r="G101" i="21"/>
  <c r="G100" i="21"/>
  <c r="G99" i="21"/>
  <c r="G98" i="21"/>
  <c r="G97" i="21"/>
  <c r="G96" i="21"/>
  <c r="G95" i="21"/>
  <c r="G94" i="21"/>
  <c r="G93" i="21"/>
  <c r="G92" i="21"/>
  <c r="G91" i="21"/>
  <c r="I79" i="21"/>
  <c r="H79" i="21"/>
  <c r="I78" i="21"/>
  <c r="N78" i="21" s="1"/>
  <c r="H78" i="21"/>
  <c r="I77" i="21"/>
  <c r="R77" i="21" s="1"/>
  <c r="H77" i="21"/>
  <c r="I76" i="21"/>
  <c r="R76" i="21" s="1"/>
  <c r="H76" i="21"/>
  <c r="I75" i="21"/>
  <c r="H75" i="21"/>
  <c r="I74" i="21"/>
  <c r="N74" i="21" s="1"/>
  <c r="H74" i="21"/>
  <c r="I73" i="21"/>
  <c r="R73" i="21" s="1"/>
  <c r="H73" i="21"/>
  <c r="I72" i="21"/>
  <c r="Q72" i="21" s="1"/>
  <c r="H72" i="21"/>
  <c r="I71" i="21"/>
  <c r="R71" i="21" s="1"/>
  <c r="H71" i="21"/>
  <c r="I70" i="21"/>
  <c r="H70" i="21"/>
  <c r="I69" i="21"/>
  <c r="Q69" i="21" s="1"/>
  <c r="H69" i="21"/>
  <c r="I68" i="21"/>
  <c r="R68" i="21" s="1"/>
  <c r="H68" i="21"/>
  <c r="I67" i="21"/>
  <c r="H67" i="21"/>
  <c r="I66" i="21"/>
  <c r="N66" i="21" s="1"/>
  <c r="H66" i="21"/>
  <c r="I65" i="21"/>
  <c r="Q65" i="21" s="1"/>
  <c r="H65" i="21"/>
  <c r="I64" i="21"/>
  <c r="R64" i="21" s="1"/>
  <c r="H64" i="21"/>
  <c r="I63" i="21"/>
  <c r="R63" i="21" s="1"/>
  <c r="H63" i="21"/>
  <c r="I62" i="21"/>
  <c r="H62" i="21"/>
  <c r="N61" i="21"/>
  <c r="I61" i="21"/>
  <c r="R61" i="21" s="1"/>
  <c r="H61" i="21"/>
  <c r="I60" i="21"/>
  <c r="R60" i="21" s="1"/>
  <c r="H60" i="21"/>
  <c r="I59" i="21"/>
  <c r="H59" i="21"/>
  <c r="I58" i="21"/>
  <c r="N58" i="21" s="1"/>
  <c r="H58" i="21"/>
  <c r="Q57" i="21"/>
  <c r="I57" i="21"/>
  <c r="N57" i="21" s="1"/>
  <c r="H57" i="21"/>
  <c r="I56" i="21"/>
  <c r="Q56" i="21" s="1"/>
  <c r="H56" i="21"/>
  <c r="I55" i="21"/>
  <c r="H55" i="21"/>
  <c r="I54" i="21"/>
  <c r="H54" i="21"/>
  <c r="I53" i="21"/>
  <c r="Q53" i="21" s="1"/>
  <c r="H53" i="21"/>
  <c r="I52" i="21"/>
  <c r="R52" i="21" s="1"/>
  <c r="H52" i="21"/>
  <c r="I51" i="21"/>
  <c r="H51" i="21"/>
  <c r="I50" i="21"/>
  <c r="N50" i="21" s="1"/>
  <c r="H50" i="21"/>
  <c r="I49" i="21"/>
  <c r="R49" i="21" s="1"/>
  <c r="H49" i="21"/>
  <c r="I48" i="21"/>
  <c r="R48" i="21" s="1"/>
  <c r="H48" i="21"/>
  <c r="I47" i="21"/>
  <c r="R47" i="21" s="1"/>
  <c r="H47" i="21"/>
  <c r="I46" i="21"/>
  <c r="H46" i="21"/>
  <c r="R45" i="21"/>
  <c r="I45" i="21"/>
  <c r="Q45" i="21" s="1"/>
  <c r="H45" i="21"/>
  <c r="I44" i="21"/>
  <c r="R44" i="21" s="1"/>
  <c r="H44" i="21"/>
  <c r="I43" i="21"/>
  <c r="H43" i="21"/>
  <c r="I42" i="21"/>
  <c r="N42" i="21" s="1"/>
  <c r="H42" i="21"/>
  <c r="I41" i="21"/>
  <c r="R41" i="21" s="1"/>
  <c r="H41" i="21"/>
  <c r="I40" i="21"/>
  <c r="Q40" i="21" s="1"/>
  <c r="H40" i="21"/>
  <c r="I39" i="21"/>
  <c r="R39" i="21" s="1"/>
  <c r="H39" i="21"/>
  <c r="I38" i="21"/>
  <c r="P38" i="21" s="1"/>
  <c r="H38" i="21"/>
  <c r="I37" i="21"/>
  <c r="R37" i="21" s="1"/>
  <c r="H37" i="21"/>
  <c r="I36" i="21"/>
  <c r="R36" i="21" s="1"/>
  <c r="H36" i="21"/>
  <c r="I35" i="21"/>
  <c r="R35" i="21" s="1"/>
  <c r="H35" i="21"/>
  <c r="I34" i="21"/>
  <c r="R34" i="21" s="1"/>
  <c r="H34" i="21"/>
  <c r="I33" i="21"/>
  <c r="R33" i="21" s="1"/>
  <c r="H33" i="21"/>
  <c r="I32" i="21"/>
  <c r="R32" i="21" s="1"/>
  <c r="H32" i="21"/>
  <c r="I31" i="21"/>
  <c r="R31" i="21" s="1"/>
  <c r="H31" i="21"/>
  <c r="I30" i="21"/>
  <c r="R30" i="21" s="1"/>
  <c r="H30" i="21"/>
  <c r="I29" i="21"/>
  <c r="R29" i="21" s="1"/>
  <c r="H29" i="21"/>
  <c r="I28" i="21"/>
  <c r="R28" i="21" s="1"/>
  <c r="H28" i="21"/>
  <c r="I27" i="21"/>
  <c r="R27" i="21" s="1"/>
  <c r="H27" i="21"/>
  <c r="I26" i="21"/>
  <c r="R26" i="21" s="1"/>
  <c r="H26" i="21"/>
  <c r="I25" i="21"/>
  <c r="Q25" i="21" s="1"/>
  <c r="H25" i="21"/>
  <c r="I24" i="21"/>
  <c r="Q24" i="21" s="1"/>
  <c r="H24" i="21"/>
  <c r="I23" i="21"/>
  <c r="Q23" i="21" s="1"/>
  <c r="H23" i="21"/>
  <c r="I22" i="21"/>
  <c r="O22" i="21" s="1"/>
  <c r="H22" i="21"/>
  <c r="I21" i="21"/>
  <c r="Q21" i="21" s="1"/>
  <c r="H21" i="21"/>
  <c r="I20" i="21"/>
  <c r="Q20" i="21" s="1"/>
  <c r="H20" i="21"/>
  <c r="I19" i="21"/>
  <c r="Q19" i="21" s="1"/>
  <c r="H19" i="21"/>
  <c r="I18" i="21"/>
  <c r="O18" i="21" s="1"/>
  <c r="H18" i="21"/>
  <c r="I17" i="21"/>
  <c r="Q17" i="21" s="1"/>
  <c r="H17" i="21"/>
  <c r="I16" i="21"/>
  <c r="Q16" i="21" s="1"/>
  <c r="H16" i="21"/>
  <c r="I15" i="21"/>
  <c r="Q15" i="21" s="1"/>
  <c r="H15" i="21"/>
  <c r="I14" i="21"/>
  <c r="O14" i="21" s="1"/>
  <c r="H14" i="21"/>
  <c r="I13" i="21"/>
  <c r="O13" i="21" s="1"/>
  <c r="H13" i="21"/>
  <c r="I12" i="21"/>
  <c r="O12" i="21" s="1"/>
  <c r="H12" i="21"/>
  <c r="I11" i="21"/>
  <c r="O11" i="21" s="1"/>
  <c r="H11" i="21"/>
  <c r="O10" i="21"/>
  <c r="H10" i="21"/>
  <c r="I9" i="21"/>
  <c r="O9" i="21" s="1"/>
  <c r="H9" i="21"/>
  <c r="I8" i="21"/>
  <c r="O8" i="21" s="1"/>
  <c r="H8" i="21"/>
  <c r="I7" i="21"/>
  <c r="O7" i="21" s="1"/>
  <c r="H7" i="21"/>
  <c r="I6" i="21"/>
  <c r="O6" i="21" s="1"/>
  <c r="H6" i="21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1" i="20"/>
  <c r="G470" i="20"/>
  <c r="G469" i="20"/>
  <c r="G468" i="20"/>
  <c r="G467" i="20"/>
  <c r="G466" i="20"/>
  <c r="G465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6" i="20"/>
  <c r="G405" i="20"/>
  <c r="G404" i="20"/>
  <c r="G403" i="20"/>
  <c r="G402" i="20"/>
  <c r="G401" i="20"/>
  <c r="G400" i="20"/>
  <c r="G399" i="20"/>
  <c r="G398" i="20"/>
  <c r="G397" i="20"/>
  <c r="G396" i="20"/>
  <c r="G395" i="20"/>
  <c r="G394" i="20"/>
  <c r="G393" i="20"/>
  <c r="G392" i="20"/>
  <c r="G391" i="20"/>
  <c r="G390" i="20"/>
  <c r="G389" i="20"/>
  <c r="G388" i="20"/>
  <c r="G387" i="20"/>
  <c r="G386" i="20"/>
  <c r="G385" i="20"/>
  <c r="G384" i="20"/>
  <c r="G383" i="20"/>
  <c r="G382" i="20"/>
  <c r="G381" i="20"/>
  <c r="G380" i="20"/>
  <c r="G379" i="20"/>
  <c r="G378" i="20"/>
  <c r="G377" i="20"/>
  <c r="G376" i="20"/>
  <c r="G375" i="20"/>
  <c r="G374" i="20"/>
  <c r="G373" i="20"/>
  <c r="G372" i="20"/>
  <c r="G371" i="20"/>
  <c r="G370" i="20"/>
  <c r="G369" i="20"/>
  <c r="G368" i="20"/>
  <c r="G367" i="20"/>
  <c r="G366" i="20"/>
  <c r="G365" i="20"/>
  <c r="G364" i="20"/>
  <c r="G363" i="20"/>
  <c r="G362" i="20"/>
  <c r="G361" i="20"/>
  <c r="G360" i="20"/>
  <c r="G359" i="20"/>
  <c r="G358" i="20"/>
  <c r="G357" i="20"/>
  <c r="G356" i="20"/>
  <c r="G355" i="20"/>
  <c r="G354" i="20"/>
  <c r="G353" i="20"/>
  <c r="G352" i="20"/>
  <c r="G351" i="20"/>
  <c r="G350" i="20"/>
  <c r="G349" i="20"/>
  <c r="G348" i="20"/>
  <c r="G347" i="20"/>
  <c r="G346" i="20"/>
  <c r="G345" i="20"/>
  <c r="G344" i="20"/>
  <c r="G343" i="20"/>
  <c r="G342" i="20"/>
  <c r="G341" i="20"/>
  <c r="G340" i="20"/>
  <c r="G339" i="20"/>
  <c r="G338" i="20"/>
  <c r="G337" i="20"/>
  <c r="G336" i="20"/>
  <c r="G335" i="20"/>
  <c r="G334" i="20"/>
  <c r="G333" i="20"/>
  <c r="G332" i="20"/>
  <c r="G331" i="20"/>
  <c r="G330" i="20"/>
  <c r="G329" i="20"/>
  <c r="G328" i="20"/>
  <c r="G327" i="20"/>
  <c r="G326" i="20"/>
  <c r="G325" i="20"/>
  <c r="G324" i="20"/>
  <c r="G323" i="20"/>
  <c r="G322" i="20"/>
  <c r="G321" i="20"/>
  <c r="G320" i="20"/>
  <c r="G319" i="20"/>
  <c r="G318" i="20"/>
  <c r="G317" i="20"/>
  <c r="G316" i="20"/>
  <c r="G315" i="20"/>
  <c r="G314" i="20"/>
  <c r="G313" i="20"/>
  <c r="G312" i="20"/>
  <c r="G311" i="20"/>
  <c r="G310" i="20"/>
  <c r="G309" i="20"/>
  <c r="G308" i="20"/>
  <c r="G307" i="20"/>
  <c r="G306" i="20"/>
  <c r="G305" i="20"/>
  <c r="G304" i="20"/>
  <c r="G303" i="20"/>
  <c r="G302" i="20"/>
  <c r="G301" i="20"/>
  <c r="G300" i="20"/>
  <c r="G299" i="20"/>
  <c r="G298" i="20"/>
  <c r="G297" i="20"/>
  <c r="G296" i="20"/>
  <c r="G295" i="20"/>
  <c r="G294" i="20"/>
  <c r="G293" i="20"/>
  <c r="G292" i="20"/>
  <c r="G291" i="20"/>
  <c r="G290" i="20"/>
  <c r="G289" i="20"/>
  <c r="G288" i="20"/>
  <c r="G287" i="20"/>
  <c r="G286" i="20"/>
  <c r="G285" i="20"/>
  <c r="G284" i="20"/>
  <c r="G283" i="20"/>
  <c r="G282" i="20"/>
  <c r="G281" i="20"/>
  <c r="G280" i="20"/>
  <c r="G279" i="20"/>
  <c r="G278" i="20"/>
  <c r="G277" i="20"/>
  <c r="G276" i="20"/>
  <c r="G275" i="20"/>
  <c r="G274" i="20"/>
  <c r="G273" i="20"/>
  <c r="G272" i="20"/>
  <c r="G271" i="20"/>
  <c r="G270" i="20"/>
  <c r="G269" i="20"/>
  <c r="G268" i="20"/>
  <c r="G267" i="20"/>
  <c r="G266" i="20"/>
  <c r="G265" i="20"/>
  <c r="G264" i="20"/>
  <c r="G263" i="20"/>
  <c r="G262" i="20"/>
  <c r="G261" i="20"/>
  <c r="G260" i="20"/>
  <c r="G259" i="20"/>
  <c r="G258" i="20"/>
  <c r="G257" i="20"/>
  <c r="G256" i="20"/>
  <c r="G255" i="20"/>
  <c r="G254" i="20"/>
  <c r="G253" i="20"/>
  <c r="G252" i="20"/>
  <c r="G251" i="20"/>
  <c r="G250" i="20"/>
  <c r="G249" i="20"/>
  <c r="G248" i="20"/>
  <c r="G247" i="20"/>
  <c r="G246" i="20"/>
  <c r="G245" i="20"/>
  <c r="G244" i="20"/>
  <c r="G243" i="20"/>
  <c r="G242" i="20"/>
  <c r="G241" i="20"/>
  <c r="G240" i="20"/>
  <c r="G239" i="20"/>
  <c r="G238" i="20"/>
  <c r="G237" i="20"/>
  <c r="G236" i="20"/>
  <c r="G235" i="20"/>
  <c r="G234" i="20"/>
  <c r="G233" i="20"/>
  <c r="G232" i="20"/>
  <c r="G231" i="20"/>
  <c r="G230" i="20"/>
  <c r="G229" i="20"/>
  <c r="G228" i="20"/>
  <c r="G227" i="20"/>
  <c r="G226" i="20"/>
  <c r="G225" i="20"/>
  <c r="G224" i="20"/>
  <c r="G223" i="20"/>
  <c r="G222" i="20"/>
  <c r="G221" i="20"/>
  <c r="G220" i="20"/>
  <c r="G219" i="20"/>
  <c r="G218" i="20"/>
  <c r="G217" i="20"/>
  <c r="G216" i="20"/>
  <c r="G215" i="20"/>
  <c r="G214" i="20"/>
  <c r="G213" i="20"/>
  <c r="G212" i="20"/>
  <c r="G211" i="20"/>
  <c r="G210" i="20"/>
  <c r="G209" i="20"/>
  <c r="G208" i="20"/>
  <c r="G207" i="20"/>
  <c r="G206" i="20"/>
  <c r="G205" i="20"/>
  <c r="G204" i="20"/>
  <c r="G203" i="20"/>
  <c r="G202" i="20"/>
  <c r="G201" i="20"/>
  <c r="G200" i="20"/>
  <c r="G199" i="20"/>
  <c r="G198" i="20"/>
  <c r="G197" i="20"/>
  <c r="G196" i="20"/>
  <c r="G195" i="20"/>
  <c r="G194" i="20"/>
  <c r="G193" i="20"/>
  <c r="G192" i="20"/>
  <c r="G191" i="20"/>
  <c r="G190" i="20"/>
  <c r="G189" i="20"/>
  <c r="G188" i="20"/>
  <c r="G187" i="20"/>
  <c r="G186" i="20"/>
  <c r="G185" i="20"/>
  <c r="G184" i="20"/>
  <c r="G183" i="20"/>
  <c r="G182" i="20"/>
  <c r="G181" i="20"/>
  <c r="G180" i="20"/>
  <c r="G179" i="20"/>
  <c r="G178" i="20"/>
  <c r="G177" i="20"/>
  <c r="G176" i="20"/>
  <c r="G175" i="20"/>
  <c r="G174" i="20"/>
  <c r="G173" i="20"/>
  <c r="G172" i="20"/>
  <c r="G171" i="20"/>
  <c r="G170" i="20"/>
  <c r="G169" i="20"/>
  <c r="G168" i="20"/>
  <c r="G167" i="20"/>
  <c r="G166" i="20"/>
  <c r="G165" i="20"/>
  <c r="G164" i="20"/>
  <c r="G163" i="20"/>
  <c r="G162" i="20"/>
  <c r="G161" i="20"/>
  <c r="G160" i="20"/>
  <c r="G159" i="20"/>
  <c r="G158" i="20"/>
  <c r="G157" i="20"/>
  <c r="G156" i="20"/>
  <c r="G155" i="20"/>
  <c r="G154" i="20"/>
  <c r="G153" i="20"/>
  <c r="G152" i="20"/>
  <c r="G151" i="20"/>
  <c r="G150" i="20"/>
  <c r="G149" i="20"/>
  <c r="G148" i="20"/>
  <c r="G147" i="20"/>
  <c r="G146" i="20"/>
  <c r="G145" i="20"/>
  <c r="G144" i="20"/>
  <c r="G143" i="20"/>
  <c r="G142" i="20"/>
  <c r="G141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I56" i="20"/>
  <c r="H56" i="20"/>
  <c r="G476" i="19"/>
  <c r="G475" i="19"/>
  <c r="G474" i="19"/>
  <c r="G473" i="19"/>
  <c r="G472" i="19"/>
  <c r="G471" i="19"/>
  <c r="G470" i="19"/>
  <c r="G469" i="19"/>
  <c r="G468" i="19"/>
  <c r="G467" i="19"/>
  <c r="G466" i="19"/>
  <c r="G465" i="19"/>
  <c r="G464" i="19"/>
  <c r="G463" i="19"/>
  <c r="G462" i="19"/>
  <c r="G461" i="19"/>
  <c r="G460" i="19"/>
  <c r="G459" i="19"/>
  <c r="G458" i="19"/>
  <c r="G457" i="19"/>
  <c r="G456" i="19"/>
  <c r="G455" i="19"/>
  <c r="G454" i="19"/>
  <c r="G453" i="19"/>
  <c r="G452" i="19"/>
  <c r="G451" i="19"/>
  <c r="G450" i="19"/>
  <c r="G449" i="19"/>
  <c r="G448" i="19"/>
  <c r="G447" i="19"/>
  <c r="G446" i="19"/>
  <c r="G445" i="19"/>
  <c r="G444" i="19"/>
  <c r="G443" i="19"/>
  <c r="G442" i="19"/>
  <c r="G441" i="19"/>
  <c r="G440" i="19"/>
  <c r="G439" i="19"/>
  <c r="G438" i="19"/>
  <c r="G437" i="19"/>
  <c r="G436" i="19"/>
  <c r="G435" i="19"/>
  <c r="G434" i="19"/>
  <c r="G433" i="19"/>
  <c r="G432" i="19"/>
  <c r="G431" i="19"/>
  <c r="G430" i="19"/>
  <c r="G429" i="19"/>
  <c r="G428" i="19"/>
  <c r="G427" i="19"/>
  <c r="G426" i="19"/>
  <c r="G425" i="19"/>
  <c r="G424" i="19"/>
  <c r="G423" i="19"/>
  <c r="G422" i="19"/>
  <c r="G421" i="19"/>
  <c r="G420" i="19"/>
  <c r="G419" i="19"/>
  <c r="G418" i="19"/>
  <c r="G417" i="19"/>
  <c r="G416" i="19"/>
  <c r="G415" i="19"/>
  <c r="G414" i="19"/>
  <c r="G413" i="19"/>
  <c r="G412" i="19"/>
  <c r="G411" i="19"/>
  <c r="G410" i="19"/>
  <c r="G409" i="19"/>
  <c r="G408" i="19"/>
  <c r="G407" i="19"/>
  <c r="G406" i="19"/>
  <c r="G405" i="19"/>
  <c r="G404" i="19"/>
  <c r="G403" i="19"/>
  <c r="G402" i="19"/>
  <c r="G401" i="19"/>
  <c r="G400" i="19"/>
  <c r="G399" i="19"/>
  <c r="G398" i="19"/>
  <c r="G397" i="19"/>
  <c r="G396" i="19"/>
  <c r="G395" i="19"/>
  <c r="G394" i="19"/>
  <c r="G393" i="19"/>
  <c r="G392" i="19"/>
  <c r="G391" i="19"/>
  <c r="G390" i="19"/>
  <c r="G389" i="19"/>
  <c r="G388" i="19"/>
  <c r="G387" i="19"/>
  <c r="G386" i="19"/>
  <c r="G385" i="19"/>
  <c r="G384" i="19"/>
  <c r="G383" i="19"/>
  <c r="G382" i="19"/>
  <c r="G381" i="19"/>
  <c r="G380" i="19"/>
  <c r="G379" i="19"/>
  <c r="G378" i="19"/>
  <c r="G377" i="19"/>
  <c r="G376" i="19"/>
  <c r="G375" i="19"/>
  <c r="G374" i="19"/>
  <c r="G373" i="19"/>
  <c r="G372" i="19"/>
  <c r="G371" i="19"/>
  <c r="G370" i="19"/>
  <c r="G369" i="19"/>
  <c r="G368" i="19"/>
  <c r="G367" i="19"/>
  <c r="G366" i="19"/>
  <c r="G365" i="19"/>
  <c r="G364" i="19"/>
  <c r="G363" i="19"/>
  <c r="G362" i="19"/>
  <c r="G361" i="19"/>
  <c r="G360" i="19"/>
  <c r="G359" i="19"/>
  <c r="G358" i="19"/>
  <c r="G357" i="19"/>
  <c r="G356" i="19"/>
  <c r="G355" i="19"/>
  <c r="G354" i="19"/>
  <c r="G353" i="19"/>
  <c r="G352" i="19"/>
  <c r="G351" i="19"/>
  <c r="G350" i="19"/>
  <c r="G349" i="19"/>
  <c r="G348" i="19"/>
  <c r="G347" i="19"/>
  <c r="G346" i="19"/>
  <c r="G345" i="19"/>
  <c r="G344" i="19"/>
  <c r="G343" i="19"/>
  <c r="G342" i="19"/>
  <c r="G341" i="19"/>
  <c r="G340" i="19"/>
  <c r="G339" i="19"/>
  <c r="G338" i="19"/>
  <c r="G337" i="19"/>
  <c r="G336" i="19"/>
  <c r="G335" i="19"/>
  <c r="G334" i="19"/>
  <c r="G333" i="19"/>
  <c r="G332" i="19"/>
  <c r="G331" i="19"/>
  <c r="G330" i="19"/>
  <c r="G329" i="19"/>
  <c r="G328" i="19"/>
  <c r="G327" i="19"/>
  <c r="G326" i="19"/>
  <c r="G325" i="19"/>
  <c r="G324" i="19"/>
  <c r="G323" i="19"/>
  <c r="G322" i="19"/>
  <c r="G321" i="19"/>
  <c r="G320" i="19"/>
  <c r="G319" i="19"/>
  <c r="G318" i="19"/>
  <c r="G317" i="19"/>
  <c r="G316" i="19"/>
  <c r="G315" i="19"/>
  <c r="G314" i="19"/>
  <c r="G313" i="19"/>
  <c r="G312" i="19"/>
  <c r="G311" i="19"/>
  <c r="G310" i="19"/>
  <c r="G309" i="19"/>
  <c r="G308" i="19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3" i="19"/>
  <c r="G62" i="19"/>
  <c r="H6" i="19"/>
  <c r="P6" i="19"/>
  <c r="G467" i="17"/>
  <c r="G466" i="17"/>
  <c r="G465" i="17"/>
  <c r="G464" i="17"/>
  <c r="G463" i="17"/>
  <c r="G462" i="17"/>
  <c r="G461" i="17"/>
  <c r="G460" i="17"/>
  <c r="G459" i="17"/>
  <c r="G458" i="17"/>
  <c r="G457" i="17"/>
  <c r="G456" i="17"/>
  <c r="G455" i="17"/>
  <c r="G454" i="17"/>
  <c r="G453" i="17"/>
  <c r="G452" i="17"/>
  <c r="G451" i="17"/>
  <c r="G450" i="17"/>
  <c r="G449" i="17"/>
  <c r="G448" i="17"/>
  <c r="G447" i="17"/>
  <c r="G446" i="17"/>
  <c r="G445" i="17"/>
  <c r="G444" i="17"/>
  <c r="G443" i="17"/>
  <c r="G442" i="17"/>
  <c r="G441" i="17"/>
  <c r="G440" i="17"/>
  <c r="G439" i="17"/>
  <c r="G438" i="17"/>
  <c r="G437" i="17"/>
  <c r="G436" i="17"/>
  <c r="G435" i="17"/>
  <c r="G434" i="17"/>
  <c r="G433" i="17"/>
  <c r="G432" i="17"/>
  <c r="G431" i="17"/>
  <c r="G430" i="17"/>
  <c r="G429" i="17"/>
  <c r="G428" i="17"/>
  <c r="G427" i="17"/>
  <c r="G426" i="17"/>
  <c r="G425" i="17"/>
  <c r="G424" i="17"/>
  <c r="G423" i="17"/>
  <c r="G422" i="17"/>
  <c r="G421" i="17"/>
  <c r="G420" i="17"/>
  <c r="G419" i="17"/>
  <c r="G418" i="17"/>
  <c r="G417" i="17"/>
  <c r="G416" i="17"/>
  <c r="G415" i="17"/>
  <c r="G414" i="17"/>
  <c r="G413" i="17"/>
  <c r="G412" i="17"/>
  <c r="G411" i="17"/>
  <c r="G410" i="17"/>
  <c r="G409" i="17"/>
  <c r="G408" i="17"/>
  <c r="G407" i="17"/>
  <c r="G406" i="17"/>
  <c r="G405" i="17"/>
  <c r="G404" i="17"/>
  <c r="G403" i="17"/>
  <c r="G402" i="17"/>
  <c r="G401" i="17"/>
  <c r="G400" i="17"/>
  <c r="G399" i="17"/>
  <c r="G398" i="17"/>
  <c r="G397" i="17"/>
  <c r="G396" i="17"/>
  <c r="G395" i="17"/>
  <c r="G394" i="17"/>
  <c r="G393" i="17"/>
  <c r="G392" i="17"/>
  <c r="G391" i="17"/>
  <c r="G390" i="17"/>
  <c r="G389" i="17"/>
  <c r="G388" i="17"/>
  <c r="G387" i="17"/>
  <c r="G386" i="17"/>
  <c r="G385" i="17"/>
  <c r="G384" i="17"/>
  <c r="G383" i="17"/>
  <c r="G382" i="17"/>
  <c r="G381" i="17"/>
  <c r="G380" i="17"/>
  <c r="G379" i="17"/>
  <c r="G378" i="17"/>
  <c r="G377" i="17"/>
  <c r="G376" i="17"/>
  <c r="G375" i="17"/>
  <c r="G374" i="17"/>
  <c r="G373" i="17"/>
  <c r="G372" i="17"/>
  <c r="G371" i="17"/>
  <c r="G370" i="17"/>
  <c r="G369" i="17"/>
  <c r="G368" i="17"/>
  <c r="G367" i="17"/>
  <c r="G366" i="17"/>
  <c r="G365" i="17"/>
  <c r="G364" i="17"/>
  <c r="G363" i="17"/>
  <c r="G362" i="17"/>
  <c r="G361" i="17"/>
  <c r="G360" i="17"/>
  <c r="G359" i="17"/>
  <c r="G358" i="17"/>
  <c r="G357" i="17"/>
  <c r="G356" i="17"/>
  <c r="G355" i="17"/>
  <c r="G354" i="17"/>
  <c r="G353" i="17"/>
  <c r="G352" i="17"/>
  <c r="G351" i="17"/>
  <c r="G350" i="17"/>
  <c r="G349" i="17"/>
  <c r="G348" i="17"/>
  <c r="G347" i="17"/>
  <c r="G346" i="17"/>
  <c r="G345" i="17"/>
  <c r="G344" i="17"/>
  <c r="G343" i="17"/>
  <c r="G342" i="17"/>
  <c r="G341" i="17"/>
  <c r="G340" i="17"/>
  <c r="G339" i="17"/>
  <c r="G338" i="17"/>
  <c r="G337" i="17"/>
  <c r="G336" i="17"/>
  <c r="G335" i="17"/>
  <c r="G334" i="17"/>
  <c r="G333" i="17"/>
  <c r="G332" i="17"/>
  <c r="G331" i="17"/>
  <c r="G330" i="17"/>
  <c r="G329" i="17"/>
  <c r="G328" i="17"/>
  <c r="G327" i="17"/>
  <c r="G326" i="17"/>
  <c r="G325" i="17"/>
  <c r="G324" i="17"/>
  <c r="G323" i="17"/>
  <c r="G322" i="17"/>
  <c r="G321" i="17"/>
  <c r="G320" i="17"/>
  <c r="G319" i="17"/>
  <c r="G318" i="17"/>
  <c r="G317" i="17"/>
  <c r="G316" i="17"/>
  <c r="G315" i="17"/>
  <c r="G314" i="17"/>
  <c r="G313" i="17"/>
  <c r="G312" i="17"/>
  <c r="G311" i="17"/>
  <c r="G310" i="17"/>
  <c r="G309" i="17"/>
  <c r="G308" i="17"/>
  <c r="G307" i="17"/>
  <c r="G306" i="17"/>
  <c r="G305" i="17"/>
  <c r="G304" i="17"/>
  <c r="G303" i="17"/>
  <c r="G302" i="17"/>
  <c r="G301" i="17"/>
  <c r="G300" i="17"/>
  <c r="G299" i="17"/>
  <c r="G298" i="17"/>
  <c r="G297" i="17"/>
  <c r="G296" i="17"/>
  <c r="G295" i="17"/>
  <c r="G294" i="17"/>
  <c r="G293" i="17"/>
  <c r="G292" i="17"/>
  <c r="G291" i="17"/>
  <c r="G290" i="17"/>
  <c r="G289" i="17"/>
  <c r="G288" i="17"/>
  <c r="G287" i="17"/>
  <c r="G286" i="17"/>
  <c r="G285" i="17"/>
  <c r="G284" i="17"/>
  <c r="G283" i="17"/>
  <c r="G282" i="17"/>
  <c r="G281" i="17"/>
  <c r="G280" i="17"/>
  <c r="G279" i="17"/>
  <c r="G278" i="17"/>
  <c r="G277" i="17"/>
  <c r="G276" i="17"/>
  <c r="G275" i="17"/>
  <c r="G274" i="17"/>
  <c r="G273" i="17"/>
  <c r="G272" i="17"/>
  <c r="G271" i="17"/>
  <c r="G270" i="17"/>
  <c r="G269" i="17"/>
  <c r="G268" i="17"/>
  <c r="G267" i="17"/>
  <c r="G266" i="17"/>
  <c r="G265" i="17"/>
  <c r="G264" i="17"/>
  <c r="G263" i="17"/>
  <c r="G262" i="17"/>
  <c r="G261" i="17"/>
  <c r="G260" i="17"/>
  <c r="G259" i="17"/>
  <c r="G258" i="17"/>
  <c r="G257" i="17"/>
  <c r="G256" i="17"/>
  <c r="G255" i="17"/>
  <c r="G254" i="17"/>
  <c r="G253" i="17"/>
  <c r="G252" i="17"/>
  <c r="G251" i="17"/>
  <c r="G250" i="17"/>
  <c r="G249" i="17"/>
  <c r="G248" i="17"/>
  <c r="G247" i="17"/>
  <c r="G246" i="17"/>
  <c r="G245" i="17"/>
  <c r="G244" i="17"/>
  <c r="G243" i="17"/>
  <c r="G242" i="17"/>
  <c r="G241" i="17"/>
  <c r="G240" i="17"/>
  <c r="G239" i="17"/>
  <c r="G238" i="17"/>
  <c r="G237" i="17"/>
  <c r="G236" i="17"/>
  <c r="G235" i="17"/>
  <c r="G234" i="17"/>
  <c r="G233" i="17"/>
  <c r="G232" i="17"/>
  <c r="G231" i="17"/>
  <c r="G230" i="17"/>
  <c r="G229" i="17"/>
  <c r="G228" i="17"/>
  <c r="G227" i="17"/>
  <c r="G226" i="17"/>
  <c r="G225" i="17"/>
  <c r="G224" i="17"/>
  <c r="G223" i="17"/>
  <c r="G222" i="17"/>
  <c r="G221" i="17"/>
  <c r="G220" i="17"/>
  <c r="G219" i="17"/>
  <c r="G218" i="17"/>
  <c r="G217" i="17"/>
  <c r="G216" i="17"/>
  <c r="G215" i="17"/>
  <c r="G214" i="17"/>
  <c r="G213" i="17"/>
  <c r="G212" i="17"/>
  <c r="G211" i="17"/>
  <c r="G210" i="17"/>
  <c r="G209" i="17"/>
  <c r="G208" i="17"/>
  <c r="G207" i="17"/>
  <c r="G206" i="17"/>
  <c r="G205" i="17"/>
  <c r="G204" i="17"/>
  <c r="G203" i="17"/>
  <c r="G202" i="17"/>
  <c r="G201" i="17"/>
  <c r="G200" i="17"/>
  <c r="G199" i="17"/>
  <c r="G198" i="17"/>
  <c r="G197" i="17"/>
  <c r="G196" i="17"/>
  <c r="G195" i="17"/>
  <c r="G194" i="17"/>
  <c r="G193" i="17"/>
  <c r="G192" i="17"/>
  <c r="G191" i="17"/>
  <c r="G190" i="17"/>
  <c r="G189" i="17"/>
  <c r="G188" i="17"/>
  <c r="G187" i="17"/>
  <c r="G186" i="17"/>
  <c r="G185" i="17"/>
  <c r="G184" i="17"/>
  <c r="G183" i="17"/>
  <c r="G182" i="17"/>
  <c r="G181" i="17"/>
  <c r="G180" i="17"/>
  <c r="G179" i="17"/>
  <c r="G178" i="17"/>
  <c r="G177" i="17"/>
  <c r="G176" i="17"/>
  <c r="G175" i="17"/>
  <c r="G174" i="17"/>
  <c r="G173" i="17"/>
  <c r="G172" i="17"/>
  <c r="G171" i="17"/>
  <c r="G170" i="17"/>
  <c r="G169" i="17"/>
  <c r="G168" i="17"/>
  <c r="G167" i="17"/>
  <c r="G166" i="17"/>
  <c r="G165" i="17"/>
  <c r="G164" i="17"/>
  <c r="G163" i="17"/>
  <c r="G162" i="17"/>
  <c r="G161" i="17"/>
  <c r="G160" i="17"/>
  <c r="G159" i="17"/>
  <c r="G158" i="17"/>
  <c r="G157" i="17"/>
  <c r="G156" i="17"/>
  <c r="G155" i="17"/>
  <c r="G154" i="17"/>
  <c r="G153" i="17"/>
  <c r="G152" i="17"/>
  <c r="G151" i="17"/>
  <c r="G150" i="17"/>
  <c r="G149" i="17"/>
  <c r="G148" i="17"/>
  <c r="G147" i="17"/>
  <c r="G146" i="17"/>
  <c r="G145" i="17"/>
  <c r="G144" i="17"/>
  <c r="G143" i="17"/>
  <c r="G142" i="17"/>
  <c r="G141" i="17"/>
  <c r="G140" i="17"/>
  <c r="G139" i="17"/>
  <c r="G138" i="17"/>
  <c r="G137" i="17"/>
  <c r="G136" i="17"/>
  <c r="G135" i="17"/>
  <c r="G134" i="17"/>
  <c r="G133" i="17"/>
  <c r="G132" i="17"/>
  <c r="G131" i="17"/>
  <c r="G130" i="17"/>
  <c r="G129" i="17"/>
  <c r="G128" i="17"/>
  <c r="G127" i="17"/>
  <c r="G126" i="17"/>
  <c r="G125" i="17"/>
  <c r="G124" i="17"/>
  <c r="G123" i="17"/>
  <c r="G122" i="17"/>
  <c r="G121" i="17"/>
  <c r="G120" i="17"/>
  <c r="G119" i="17"/>
  <c r="G118" i="17"/>
  <c r="G117" i="17"/>
  <c r="G116" i="17"/>
  <c r="G115" i="17"/>
  <c r="G114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52" i="17"/>
  <c r="G51" i="17"/>
  <c r="I39" i="17"/>
  <c r="Q39" i="17" s="1"/>
  <c r="H39" i="17"/>
  <c r="I38" i="17"/>
  <c r="H38" i="17"/>
  <c r="I37" i="17"/>
  <c r="Q37" i="17" s="1"/>
  <c r="H37" i="17"/>
  <c r="Q34" i="17"/>
  <c r="I32" i="17"/>
  <c r="H32" i="17"/>
  <c r="I31" i="17"/>
  <c r="Q31" i="17" s="1"/>
  <c r="H31" i="17"/>
  <c r="I30" i="17"/>
  <c r="H30" i="17"/>
  <c r="I29" i="17"/>
  <c r="Q29" i="17" s="1"/>
  <c r="H29" i="17"/>
  <c r="I28" i="17"/>
  <c r="H28" i="17"/>
  <c r="I27" i="17"/>
  <c r="Q27" i="17" s="1"/>
  <c r="H27" i="17"/>
  <c r="I26" i="17"/>
  <c r="H26" i="17"/>
  <c r="I25" i="17"/>
  <c r="Q25" i="17" s="1"/>
  <c r="H25" i="17"/>
  <c r="I24" i="17"/>
  <c r="H24" i="17"/>
  <c r="I23" i="17"/>
  <c r="Q23" i="17" s="1"/>
  <c r="H23" i="17"/>
  <c r="I22" i="17"/>
  <c r="Q22" i="17" s="1"/>
  <c r="H22" i="17"/>
  <c r="I21" i="17"/>
  <c r="H21" i="17"/>
  <c r="I20" i="17"/>
  <c r="Q20" i="17" s="1"/>
  <c r="H20" i="17"/>
  <c r="I19" i="17"/>
  <c r="H19" i="17"/>
  <c r="I18" i="17"/>
  <c r="Q18" i="17" s="1"/>
  <c r="H18" i="17"/>
  <c r="I17" i="17"/>
  <c r="P17" i="17" s="1"/>
  <c r="H17" i="17"/>
  <c r="I16" i="17"/>
  <c r="H16" i="17"/>
  <c r="I15" i="17"/>
  <c r="P15" i="17" s="1"/>
  <c r="H15" i="17"/>
  <c r="I14" i="17"/>
  <c r="P14" i="17" s="1"/>
  <c r="H14" i="17"/>
  <c r="I13" i="17"/>
  <c r="Q13" i="17" s="1"/>
  <c r="H13" i="17"/>
  <c r="I12" i="17"/>
  <c r="P12" i="17" s="1"/>
  <c r="H12" i="17"/>
  <c r="I11" i="17"/>
  <c r="P11" i="17" s="1"/>
  <c r="H11" i="17"/>
  <c r="I10" i="17"/>
  <c r="H10" i="17"/>
  <c r="I9" i="17"/>
  <c r="P9" i="17" s="1"/>
  <c r="H9" i="17"/>
  <c r="I8" i="17"/>
  <c r="P8" i="17" s="1"/>
  <c r="H8" i="17"/>
  <c r="I7" i="17"/>
  <c r="P7" i="17" s="1"/>
  <c r="H7" i="17"/>
  <c r="I6" i="17"/>
  <c r="H6" i="17"/>
  <c r="G556" i="16"/>
  <c r="G555" i="16"/>
  <c r="G554" i="16"/>
  <c r="G553" i="16"/>
  <c r="G552" i="16"/>
  <c r="G551" i="16"/>
  <c r="G550" i="16"/>
  <c r="G549" i="16"/>
  <c r="G548" i="16"/>
  <c r="G547" i="16"/>
  <c r="G546" i="16"/>
  <c r="G545" i="16"/>
  <c r="G544" i="16"/>
  <c r="G543" i="16"/>
  <c r="G542" i="16"/>
  <c r="G541" i="16"/>
  <c r="G540" i="16"/>
  <c r="G539" i="16"/>
  <c r="G538" i="16"/>
  <c r="G537" i="16"/>
  <c r="G536" i="16"/>
  <c r="G535" i="16"/>
  <c r="G534" i="16"/>
  <c r="G533" i="16"/>
  <c r="G532" i="16"/>
  <c r="G531" i="16"/>
  <c r="G530" i="16"/>
  <c r="G529" i="16"/>
  <c r="G528" i="16"/>
  <c r="G527" i="16"/>
  <c r="G526" i="16"/>
  <c r="G525" i="16"/>
  <c r="G524" i="16"/>
  <c r="G523" i="16"/>
  <c r="G522" i="16"/>
  <c r="G521" i="16"/>
  <c r="G520" i="16"/>
  <c r="G519" i="16"/>
  <c r="G518" i="16"/>
  <c r="G517" i="16"/>
  <c r="G516" i="16"/>
  <c r="G515" i="16"/>
  <c r="G514" i="16"/>
  <c r="G513" i="16"/>
  <c r="G512" i="16"/>
  <c r="G511" i="16"/>
  <c r="G510" i="16"/>
  <c r="G509" i="16"/>
  <c r="G508" i="16"/>
  <c r="G507" i="16"/>
  <c r="G506" i="16"/>
  <c r="G505" i="16"/>
  <c r="G504" i="16"/>
  <c r="G503" i="16"/>
  <c r="G502" i="16"/>
  <c r="G501" i="16"/>
  <c r="G500" i="16"/>
  <c r="G499" i="16"/>
  <c r="G498" i="16"/>
  <c r="G497" i="16"/>
  <c r="G496" i="16"/>
  <c r="G495" i="16"/>
  <c r="G494" i="16"/>
  <c r="G493" i="16"/>
  <c r="G492" i="16"/>
  <c r="G491" i="16"/>
  <c r="G490" i="16"/>
  <c r="G489" i="16"/>
  <c r="G488" i="16"/>
  <c r="G487" i="16"/>
  <c r="G486" i="16"/>
  <c r="G485" i="16"/>
  <c r="G484" i="16"/>
  <c r="G483" i="16"/>
  <c r="G482" i="16"/>
  <c r="G481" i="16"/>
  <c r="G480" i="16"/>
  <c r="G479" i="16"/>
  <c r="G478" i="16"/>
  <c r="G477" i="16"/>
  <c r="G476" i="16"/>
  <c r="G475" i="16"/>
  <c r="G474" i="16"/>
  <c r="G473" i="16"/>
  <c r="G472" i="16"/>
  <c r="G471" i="16"/>
  <c r="G470" i="16"/>
  <c r="G469" i="16"/>
  <c r="G468" i="16"/>
  <c r="G467" i="16"/>
  <c r="G466" i="16"/>
  <c r="G465" i="16"/>
  <c r="G464" i="16"/>
  <c r="G463" i="16"/>
  <c r="G462" i="16"/>
  <c r="G461" i="16"/>
  <c r="G460" i="16"/>
  <c r="G459" i="16"/>
  <c r="G458" i="16"/>
  <c r="G457" i="16"/>
  <c r="G456" i="16"/>
  <c r="G455" i="16"/>
  <c r="G454" i="16"/>
  <c r="G453" i="16"/>
  <c r="G452" i="16"/>
  <c r="G451" i="16"/>
  <c r="G450" i="16"/>
  <c r="G449" i="16"/>
  <c r="G448" i="16"/>
  <c r="G447" i="16"/>
  <c r="G446" i="16"/>
  <c r="G445" i="16"/>
  <c r="G444" i="16"/>
  <c r="G443" i="16"/>
  <c r="G442" i="16"/>
  <c r="G441" i="16"/>
  <c r="G440" i="16"/>
  <c r="G439" i="16"/>
  <c r="G438" i="16"/>
  <c r="G437" i="16"/>
  <c r="G436" i="16"/>
  <c r="G435" i="16"/>
  <c r="G434" i="16"/>
  <c r="G433" i="16"/>
  <c r="G432" i="16"/>
  <c r="G431" i="16"/>
  <c r="G430" i="16"/>
  <c r="G429" i="16"/>
  <c r="G428" i="16"/>
  <c r="G427" i="16"/>
  <c r="G426" i="16"/>
  <c r="G425" i="16"/>
  <c r="G424" i="16"/>
  <c r="G423" i="16"/>
  <c r="G422" i="16"/>
  <c r="G421" i="16"/>
  <c r="G420" i="16"/>
  <c r="G419" i="16"/>
  <c r="G418" i="16"/>
  <c r="G417" i="16"/>
  <c r="G416" i="16"/>
  <c r="G415" i="16"/>
  <c r="G414" i="16"/>
  <c r="G413" i="16"/>
  <c r="G412" i="16"/>
  <c r="G411" i="16"/>
  <c r="G410" i="16"/>
  <c r="G409" i="16"/>
  <c r="G408" i="16"/>
  <c r="G407" i="16"/>
  <c r="G406" i="16"/>
  <c r="G405" i="16"/>
  <c r="G404" i="16"/>
  <c r="G403" i="16"/>
  <c r="G402" i="16"/>
  <c r="G401" i="16"/>
  <c r="G400" i="16"/>
  <c r="G399" i="16"/>
  <c r="G398" i="16"/>
  <c r="G397" i="16"/>
  <c r="G396" i="16"/>
  <c r="G395" i="16"/>
  <c r="G394" i="16"/>
  <c r="G393" i="16"/>
  <c r="G392" i="16"/>
  <c r="G391" i="16"/>
  <c r="G390" i="16"/>
  <c r="G389" i="16"/>
  <c r="G388" i="16"/>
  <c r="G387" i="16"/>
  <c r="G386" i="16"/>
  <c r="G385" i="16"/>
  <c r="G384" i="16"/>
  <c r="G383" i="16"/>
  <c r="G382" i="16"/>
  <c r="G381" i="16"/>
  <c r="G380" i="16"/>
  <c r="G379" i="16"/>
  <c r="G378" i="16"/>
  <c r="G377" i="16"/>
  <c r="G376" i="16"/>
  <c r="G375" i="16"/>
  <c r="G374" i="16"/>
  <c r="G373" i="16"/>
  <c r="G372" i="16"/>
  <c r="G371" i="16"/>
  <c r="G370" i="16"/>
  <c r="G369" i="16"/>
  <c r="G368" i="16"/>
  <c r="G367" i="16"/>
  <c r="G366" i="16"/>
  <c r="G365" i="16"/>
  <c r="G364" i="16"/>
  <c r="G363" i="16"/>
  <c r="G362" i="16"/>
  <c r="G361" i="16"/>
  <c r="G360" i="16"/>
  <c r="G359" i="16"/>
  <c r="G358" i="16"/>
  <c r="G357" i="16"/>
  <c r="G356" i="16"/>
  <c r="G355" i="16"/>
  <c r="G354" i="16"/>
  <c r="G353" i="16"/>
  <c r="G352" i="16"/>
  <c r="G351" i="16"/>
  <c r="G350" i="16"/>
  <c r="G349" i="16"/>
  <c r="G348" i="16"/>
  <c r="G347" i="16"/>
  <c r="G346" i="16"/>
  <c r="G345" i="16"/>
  <c r="G344" i="16"/>
  <c r="G343" i="16"/>
  <c r="G342" i="16"/>
  <c r="G341" i="16"/>
  <c r="G340" i="16"/>
  <c r="G339" i="16"/>
  <c r="G338" i="16"/>
  <c r="G337" i="16"/>
  <c r="G336" i="16"/>
  <c r="G335" i="16"/>
  <c r="G334" i="16"/>
  <c r="G333" i="16"/>
  <c r="G332" i="16"/>
  <c r="G331" i="16"/>
  <c r="G330" i="16"/>
  <c r="G329" i="16"/>
  <c r="G328" i="16"/>
  <c r="G327" i="16"/>
  <c r="G326" i="16"/>
  <c r="G325" i="16"/>
  <c r="G324" i="16"/>
  <c r="G323" i="16"/>
  <c r="G322" i="16"/>
  <c r="G321" i="16"/>
  <c r="G320" i="16"/>
  <c r="G319" i="16"/>
  <c r="G318" i="16"/>
  <c r="G317" i="16"/>
  <c r="G316" i="16"/>
  <c r="G315" i="16"/>
  <c r="G314" i="16"/>
  <c r="G313" i="16"/>
  <c r="G312" i="16"/>
  <c r="G311" i="16"/>
  <c r="G310" i="16"/>
  <c r="G309" i="16"/>
  <c r="G308" i="16"/>
  <c r="G307" i="16"/>
  <c r="G306" i="16"/>
  <c r="G305" i="16"/>
  <c r="G304" i="16"/>
  <c r="G303" i="16"/>
  <c r="G302" i="16"/>
  <c r="G301" i="16"/>
  <c r="G300" i="16"/>
  <c r="G299" i="16"/>
  <c r="G298" i="16"/>
  <c r="G297" i="16"/>
  <c r="G296" i="16"/>
  <c r="G295" i="16"/>
  <c r="G294" i="16"/>
  <c r="G293" i="16"/>
  <c r="G292" i="16"/>
  <c r="G291" i="16"/>
  <c r="G290" i="16"/>
  <c r="G289" i="16"/>
  <c r="G288" i="16"/>
  <c r="G287" i="16"/>
  <c r="G286" i="16"/>
  <c r="G285" i="16"/>
  <c r="G284" i="16"/>
  <c r="G283" i="16"/>
  <c r="G282" i="16"/>
  <c r="G281" i="16"/>
  <c r="G280" i="16"/>
  <c r="G279" i="16"/>
  <c r="G278" i="16"/>
  <c r="G277" i="16"/>
  <c r="G276" i="16"/>
  <c r="G275" i="16"/>
  <c r="G274" i="16"/>
  <c r="G273" i="16"/>
  <c r="G272" i="16"/>
  <c r="G271" i="16"/>
  <c r="G270" i="16"/>
  <c r="G269" i="16"/>
  <c r="G268" i="16"/>
  <c r="G267" i="16"/>
  <c r="G266" i="16"/>
  <c r="G265" i="16"/>
  <c r="G264" i="16"/>
  <c r="G263" i="16"/>
  <c r="G262" i="16"/>
  <c r="G261" i="16"/>
  <c r="G260" i="16"/>
  <c r="G259" i="16"/>
  <c r="G258" i="16"/>
  <c r="G257" i="16"/>
  <c r="G256" i="16"/>
  <c r="G255" i="16"/>
  <c r="G254" i="16"/>
  <c r="G253" i="16"/>
  <c r="G252" i="16"/>
  <c r="G251" i="16"/>
  <c r="G250" i="16"/>
  <c r="G249" i="16"/>
  <c r="G248" i="16"/>
  <c r="G247" i="16"/>
  <c r="G246" i="16"/>
  <c r="G245" i="16"/>
  <c r="G244" i="16"/>
  <c r="G243" i="16"/>
  <c r="G242" i="16"/>
  <c r="G241" i="16"/>
  <c r="G240" i="16"/>
  <c r="G239" i="16"/>
  <c r="G238" i="16"/>
  <c r="G237" i="16"/>
  <c r="G236" i="16"/>
  <c r="G235" i="16"/>
  <c r="G234" i="16"/>
  <c r="G233" i="16"/>
  <c r="G232" i="16"/>
  <c r="G231" i="16"/>
  <c r="G230" i="16"/>
  <c r="G229" i="16"/>
  <c r="G228" i="16"/>
  <c r="G227" i="16"/>
  <c r="G226" i="16"/>
  <c r="G225" i="16"/>
  <c r="G224" i="16"/>
  <c r="G223" i="16"/>
  <c r="G222" i="16"/>
  <c r="G221" i="16"/>
  <c r="G220" i="16"/>
  <c r="G219" i="16"/>
  <c r="G218" i="16"/>
  <c r="G217" i="16"/>
  <c r="G216" i="16"/>
  <c r="G215" i="16"/>
  <c r="G214" i="16"/>
  <c r="G213" i="16"/>
  <c r="G212" i="16"/>
  <c r="G211" i="16"/>
  <c r="G210" i="16"/>
  <c r="G209" i="16"/>
  <c r="G208" i="16"/>
  <c r="G207" i="16"/>
  <c r="G206" i="16"/>
  <c r="G205" i="16"/>
  <c r="G204" i="16"/>
  <c r="G203" i="16"/>
  <c r="G202" i="16"/>
  <c r="G201" i="16"/>
  <c r="G200" i="16"/>
  <c r="G199" i="16"/>
  <c r="G198" i="16"/>
  <c r="G197" i="16"/>
  <c r="G196" i="16"/>
  <c r="G195" i="16"/>
  <c r="G194" i="16"/>
  <c r="G193" i="16"/>
  <c r="G192" i="16"/>
  <c r="G191" i="16"/>
  <c r="G190" i="16"/>
  <c r="G189" i="16"/>
  <c r="G188" i="16"/>
  <c r="G187" i="16"/>
  <c r="G186" i="16"/>
  <c r="G185" i="16"/>
  <c r="G184" i="16"/>
  <c r="G183" i="16"/>
  <c r="G182" i="16"/>
  <c r="G181" i="16"/>
  <c r="G180" i="16"/>
  <c r="G179" i="16"/>
  <c r="G178" i="16"/>
  <c r="G177" i="16"/>
  <c r="G176" i="16"/>
  <c r="G175" i="16"/>
  <c r="G174" i="16"/>
  <c r="G173" i="16"/>
  <c r="G172" i="16"/>
  <c r="G171" i="16"/>
  <c r="G170" i="16"/>
  <c r="G169" i="16"/>
  <c r="G168" i="16"/>
  <c r="G167" i="16"/>
  <c r="G166" i="16"/>
  <c r="G165" i="16"/>
  <c r="G164" i="16"/>
  <c r="G163" i="16"/>
  <c r="G162" i="16"/>
  <c r="G161" i="16"/>
  <c r="G160" i="16"/>
  <c r="G159" i="16"/>
  <c r="G158" i="16"/>
  <c r="G157" i="16"/>
  <c r="G156" i="16"/>
  <c r="G155" i="16"/>
  <c r="G154" i="16"/>
  <c r="G153" i="16"/>
  <c r="G152" i="16"/>
  <c r="G151" i="16"/>
  <c r="G150" i="16"/>
  <c r="G149" i="16"/>
  <c r="G148" i="16"/>
  <c r="G147" i="16"/>
  <c r="G146" i="16"/>
  <c r="G145" i="16"/>
  <c r="G144" i="16"/>
  <c r="G143" i="16"/>
  <c r="G142" i="16"/>
  <c r="G141" i="16"/>
  <c r="G140" i="16"/>
  <c r="I37" i="16"/>
  <c r="H37" i="16"/>
  <c r="I10" i="16"/>
  <c r="H10" i="16"/>
  <c r="I109" i="16"/>
  <c r="H109" i="16"/>
  <c r="I126" i="16"/>
  <c r="H126" i="16"/>
  <c r="I66" i="16"/>
  <c r="H66" i="16"/>
  <c r="I65" i="16"/>
  <c r="H65" i="16"/>
  <c r="I20" i="16"/>
  <c r="H20" i="16"/>
  <c r="I19" i="16"/>
  <c r="H19" i="16"/>
  <c r="I18" i="16"/>
  <c r="H18" i="16"/>
  <c r="I11" i="16"/>
  <c r="H11" i="16"/>
  <c r="I124" i="16"/>
  <c r="H124" i="16"/>
  <c r="I123" i="16"/>
  <c r="H123" i="16"/>
  <c r="I101" i="16"/>
  <c r="H101" i="16"/>
  <c r="I100" i="16"/>
  <c r="H100" i="16"/>
  <c r="I98" i="16"/>
  <c r="H98" i="16"/>
  <c r="I97" i="16"/>
  <c r="H97" i="16"/>
  <c r="I96" i="16"/>
  <c r="H96" i="16"/>
  <c r="I93" i="16"/>
  <c r="H93" i="16"/>
  <c r="I77" i="16"/>
  <c r="H77" i="16"/>
  <c r="I76" i="16"/>
  <c r="H76" i="16"/>
  <c r="I122" i="16"/>
  <c r="H122" i="16"/>
  <c r="I119" i="16"/>
  <c r="H119" i="16"/>
  <c r="I67" i="16"/>
  <c r="H67" i="16"/>
  <c r="I22" i="16"/>
  <c r="H22" i="16"/>
  <c r="I21" i="16"/>
  <c r="H21" i="16"/>
  <c r="I59" i="16"/>
  <c r="H59" i="16"/>
  <c r="I58" i="16"/>
  <c r="H58" i="16"/>
  <c r="I57" i="16"/>
  <c r="H57" i="16"/>
  <c r="I95" i="16"/>
  <c r="H95" i="16"/>
  <c r="I94" i="16"/>
  <c r="H94" i="16"/>
  <c r="I63" i="16"/>
  <c r="H63" i="16"/>
  <c r="I62" i="16"/>
  <c r="H62" i="16"/>
  <c r="I50" i="16"/>
  <c r="H50" i="16"/>
  <c r="I47" i="16"/>
  <c r="H47" i="16"/>
  <c r="I14" i="16"/>
  <c r="H14" i="16"/>
  <c r="I13" i="16"/>
  <c r="H13" i="16"/>
  <c r="I12" i="16"/>
  <c r="H12" i="16"/>
  <c r="I128" i="16"/>
  <c r="H128" i="16"/>
  <c r="I127" i="16"/>
  <c r="H127" i="16"/>
  <c r="I121" i="16"/>
  <c r="H121" i="16"/>
  <c r="I120" i="16"/>
  <c r="H120" i="16"/>
  <c r="I115" i="16"/>
  <c r="H115" i="16"/>
  <c r="I114" i="16"/>
  <c r="H114" i="16"/>
  <c r="I102" i="16"/>
  <c r="H102" i="16"/>
  <c r="I99" i="16"/>
  <c r="H99" i="16"/>
  <c r="I89" i="16"/>
  <c r="H89" i="16"/>
  <c r="I90" i="16"/>
  <c r="H90" i="16"/>
  <c r="I36" i="16"/>
  <c r="H36" i="16"/>
  <c r="I35" i="16"/>
  <c r="H35" i="16"/>
  <c r="I34" i="16"/>
  <c r="H34" i="16"/>
  <c r="I33" i="16"/>
  <c r="H33" i="16"/>
  <c r="I31" i="16"/>
  <c r="H31" i="16"/>
  <c r="I30" i="16"/>
  <c r="H30" i="16"/>
  <c r="I29" i="16"/>
  <c r="H29" i="16"/>
  <c r="I28" i="16"/>
  <c r="H28" i="16"/>
  <c r="I27" i="16"/>
  <c r="H27" i="16"/>
  <c r="I24" i="16"/>
  <c r="H24" i="16"/>
  <c r="I23" i="16"/>
  <c r="H23" i="16"/>
  <c r="I9" i="16"/>
  <c r="H9" i="16"/>
  <c r="I8" i="16"/>
  <c r="H8" i="16"/>
  <c r="I111" i="16"/>
  <c r="H111" i="16"/>
  <c r="I110" i="16"/>
  <c r="H110" i="16"/>
  <c r="I125" i="16"/>
  <c r="H125" i="16"/>
  <c r="I7" i="16"/>
  <c r="H7" i="16"/>
  <c r="I6" i="16"/>
  <c r="Q6" i="16" s="1"/>
  <c r="H6" i="16"/>
  <c r="G482" i="15"/>
  <c r="G481" i="15"/>
  <c r="G480" i="15"/>
  <c r="G479" i="15"/>
  <c r="G478" i="15"/>
  <c r="G477" i="15"/>
  <c r="G476" i="15"/>
  <c r="G475" i="15"/>
  <c r="G474" i="15"/>
  <c r="G473" i="15"/>
  <c r="G472" i="15"/>
  <c r="G471" i="15"/>
  <c r="G470" i="15"/>
  <c r="G469" i="15"/>
  <c r="G468" i="15"/>
  <c r="G467" i="15"/>
  <c r="G466" i="15"/>
  <c r="G465" i="15"/>
  <c r="G464" i="15"/>
  <c r="G463" i="15"/>
  <c r="G462" i="15"/>
  <c r="G461" i="15"/>
  <c r="G460" i="15"/>
  <c r="G459" i="15"/>
  <c r="G458" i="15"/>
  <c r="G457" i="15"/>
  <c r="G456" i="15"/>
  <c r="G455" i="15"/>
  <c r="G454" i="15"/>
  <c r="G453" i="15"/>
  <c r="G452" i="15"/>
  <c r="G451" i="15"/>
  <c r="G450" i="15"/>
  <c r="G449" i="15"/>
  <c r="G448" i="15"/>
  <c r="G447" i="15"/>
  <c r="G446" i="15"/>
  <c r="G445" i="15"/>
  <c r="G444" i="15"/>
  <c r="G443" i="15"/>
  <c r="G442" i="15"/>
  <c r="G441" i="15"/>
  <c r="G440" i="15"/>
  <c r="G439" i="15"/>
  <c r="G438" i="15"/>
  <c r="G437" i="15"/>
  <c r="G436" i="15"/>
  <c r="G435" i="15"/>
  <c r="G434" i="15"/>
  <c r="G433" i="15"/>
  <c r="G432" i="15"/>
  <c r="G431" i="15"/>
  <c r="G430" i="15"/>
  <c r="G429" i="15"/>
  <c r="G428" i="15"/>
  <c r="G427" i="15"/>
  <c r="G426" i="15"/>
  <c r="G425" i="15"/>
  <c r="G424" i="15"/>
  <c r="G423" i="15"/>
  <c r="G422" i="15"/>
  <c r="G421" i="15"/>
  <c r="G420" i="15"/>
  <c r="G419" i="15"/>
  <c r="G418" i="15"/>
  <c r="G417" i="15"/>
  <c r="G416" i="15"/>
  <c r="G415" i="15"/>
  <c r="G414" i="15"/>
  <c r="G413" i="15"/>
  <c r="G412" i="15"/>
  <c r="G411" i="15"/>
  <c r="G410" i="15"/>
  <c r="G409" i="15"/>
  <c r="G408" i="15"/>
  <c r="G407" i="15"/>
  <c r="G406" i="15"/>
  <c r="G405" i="15"/>
  <c r="G404" i="15"/>
  <c r="G403" i="15"/>
  <c r="G402" i="15"/>
  <c r="G401" i="15"/>
  <c r="G400" i="15"/>
  <c r="G399" i="15"/>
  <c r="G398" i="15"/>
  <c r="G397" i="15"/>
  <c r="G396" i="15"/>
  <c r="G395" i="15"/>
  <c r="G394" i="15"/>
  <c r="G393" i="15"/>
  <c r="G392" i="15"/>
  <c r="G391" i="15"/>
  <c r="G390" i="15"/>
  <c r="G389" i="15"/>
  <c r="G388" i="15"/>
  <c r="G387" i="15"/>
  <c r="G386" i="15"/>
  <c r="G385" i="15"/>
  <c r="G384" i="15"/>
  <c r="G383" i="15"/>
  <c r="G382" i="15"/>
  <c r="G381" i="15"/>
  <c r="G380" i="15"/>
  <c r="G379" i="15"/>
  <c r="G378" i="15"/>
  <c r="G377" i="15"/>
  <c r="G376" i="15"/>
  <c r="G375" i="15"/>
  <c r="G374" i="15"/>
  <c r="G373" i="15"/>
  <c r="G372" i="15"/>
  <c r="G371" i="15"/>
  <c r="G370" i="15"/>
  <c r="G369" i="15"/>
  <c r="G368" i="15"/>
  <c r="G367" i="15"/>
  <c r="G366" i="15"/>
  <c r="G365" i="15"/>
  <c r="G364" i="15"/>
  <c r="G363" i="15"/>
  <c r="G362" i="15"/>
  <c r="G361" i="15"/>
  <c r="G360" i="15"/>
  <c r="G359" i="15"/>
  <c r="G358" i="15"/>
  <c r="G357" i="15"/>
  <c r="G356" i="15"/>
  <c r="G355" i="15"/>
  <c r="G354" i="15"/>
  <c r="G353" i="15"/>
  <c r="G352" i="15"/>
  <c r="G351" i="15"/>
  <c r="G350" i="15"/>
  <c r="G349" i="15"/>
  <c r="G348" i="15"/>
  <c r="G347" i="15"/>
  <c r="G346" i="15"/>
  <c r="G345" i="15"/>
  <c r="G344" i="15"/>
  <c r="G343" i="15"/>
  <c r="G342" i="15"/>
  <c r="G341" i="15"/>
  <c r="G340" i="15"/>
  <c r="G339" i="15"/>
  <c r="G338" i="15"/>
  <c r="G337" i="15"/>
  <c r="G336" i="15"/>
  <c r="G335" i="15"/>
  <c r="G334" i="15"/>
  <c r="G333" i="15"/>
  <c r="G332" i="15"/>
  <c r="G331" i="15"/>
  <c r="G330" i="15"/>
  <c r="G329" i="15"/>
  <c r="G328" i="15"/>
  <c r="G327" i="15"/>
  <c r="G326" i="15"/>
  <c r="G325" i="15"/>
  <c r="G324" i="15"/>
  <c r="G323" i="15"/>
  <c r="G322" i="15"/>
  <c r="G321" i="15"/>
  <c r="G320" i="15"/>
  <c r="G319" i="15"/>
  <c r="G318" i="15"/>
  <c r="G317" i="15"/>
  <c r="G316" i="15"/>
  <c r="G315" i="15"/>
  <c r="G314" i="15"/>
  <c r="G313" i="15"/>
  <c r="G312" i="15"/>
  <c r="G311" i="15"/>
  <c r="G310" i="15"/>
  <c r="G309" i="15"/>
  <c r="G308" i="15"/>
  <c r="G307" i="15"/>
  <c r="G306" i="15"/>
  <c r="G305" i="15"/>
  <c r="G304" i="15"/>
  <c r="G303" i="15"/>
  <c r="G302" i="15"/>
  <c r="G301" i="15"/>
  <c r="G300" i="15"/>
  <c r="G299" i="15"/>
  <c r="G298" i="15"/>
  <c r="G297" i="15"/>
  <c r="G296" i="15"/>
  <c r="G295" i="15"/>
  <c r="G294" i="15"/>
  <c r="G293" i="15"/>
  <c r="G292" i="15"/>
  <c r="G291" i="15"/>
  <c r="G290" i="15"/>
  <c r="G289" i="15"/>
  <c r="G288" i="15"/>
  <c r="G287" i="15"/>
  <c r="G286" i="15"/>
  <c r="G285" i="15"/>
  <c r="G284" i="15"/>
  <c r="G283" i="15"/>
  <c r="G282" i="15"/>
  <c r="G281" i="15"/>
  <c r="G280" i="15"/>
  <c r="G279" i="15"/>
  <c r="G278" i="15"/>
  <c r="G277" i="15"/>
  <c r="G276" i="15"/>
  <c r="G275" i="15"/>
  <c r="G274" i="15"/>
  <c r="G273" i="15"/>
  <c r="G272" i="15"/>
  <c r="G271" i="15"/>
  <c r="G270" i="15"/>
  <c r="G269" i="15"/>
  <c r="G268" i="15"/>
  <c r="G267" i="15"/>
  <c r="G266" i="15"/>
  <c r="G265" i="15"/>
  <c r="G264" i="15"/>
  <c r="G263" i="15"/>
  <c r="G262" i="15"/>
  <c r="G261" i="15"/>
  <c r="G260" i="15"/>
  <c r="G259" i="15"/>
  <c r="G258" i="15"/>
  <c r="G257" i="15"/>
  <c r="G256" i="15"/>
  <c r="G255" i="15"/>
  <c r="G254" i="15"/>
  <c r="G253" i="15"/>
  <c r="G252" i="15"/>
  <c r="G251" i="15"/>
  <c r="G250" i="15"/>
  <c r="G249" i="15"/>
  <c r="G248" i="15"/>
  <c r="G247" i="15"/>
  <c r="G246" i="15"/>
  <c r="G245" i="15"/>
  <c r="G244" i="15"/>
  <c r="G243" i="15"/>
  <c r="G242" i="15"/>
  <c r="G241" i="15"/>
  <c r="G240" i="15"/>
  <c r="G239" i="15"/>
  <c r="G238" i="15"/>
  <c r="G237" i="15"/>
  <c r="G236" i="15"/>
  <c r="G235" i="15"/>
  <c r="G234" i="15"/>
  <c r="G233" i="15"/>
  <c r="G232" i="15"/>
  <c r="G231" i="15"/>
  <c r="G230" i="15"/>
  <c r="G229" i="15"/>
  <c r="G228" i="15"/>
  <c r="G227" i="15"/>
  <c r="G22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8" i="15"/>
  <c r="G137" i="15"/>
  <c r="G136" i="15"/>
  <c r="G135" i="15"/>
  <c r="G134" i="15"/>
  <c r="G133" i="15"/>
  <c r="G132" i="15"/>
  <c r="G131" i="15"/>
  <c r="G130" i="15"/>
  <c r="G129" i="15"/>
  <c r="G128" i="15"/>
  <c r="G127" i="15"/>
  <c r="G126" i="15"/>
  <c r="G125" i="15"/>
  <c r="G124" i="15"/>
  <c r="G123" i="15"/>
  <c r="G122" i="15"/>
  <c r="G121" i="15"/>
  <c r="G120" i="15"/>
  <c r="G119" i="15"/>
  <c r="G118" i="15"/>
  <c r="G117" i="15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I71" i="15"/>
  <c r="H71" i="15"/>
  <c r="I70" i="15"/>
  <c r="H70" i="15"/>
  <c r="I69" i="15"/>
  <c r="H69" i="15"/>
  <c r="I55" i="15"/>
  <c r="O55" i="15" s="1"/>
  <c r="H55" i="15"/>
  <c r="I54" i="15"/>
  <c r="H54" i="15"/>
  <c r="I53" i="15"/>
  <c r="H53" i="15"/>
  <c r="I52" i="15"/>
  <c r="H52" i="15"/>
  <c r="I51" i="15"/>
  <c r="H51" i="15"/>
  <c r="I50" i="15"/>
  <c r="H50" i="15"/>
  <c r="I42" i="15"/>
  <c r="H42" i="15"/>
  <c r="I37" i="15"/>
  <c r="H37" i="15"/>
  <c r="I36" i="15"/>
  <c r="H36" i="15"/>
  <c r="I35" i="15"/>
  <c r="H35" i="15"/>
  <c r="I34" i="15"/>
  <c r="H34" i="15"/>
  <c r="I26" i="15"/>
  <c r="H26" i="15"/>
  <c r="I23" i="15"/>
  <c r="H23" i="15"/>
  <c r="I22" i="15"/>
  <c r="H22" i="15"/>
  <c r="I21" i="15"/>
  <c r="H21" i="15"/>
  <c r="I7" i="15"/>
  <c r="H7" i="15"/>
  <c r="I73" i="15"/>
  <c r="H73" i="15"/>
  <c r="I72" i="15"/>
  <c r="H72" i="15"/>
  <c r="I66" i="15"/>
  <c r="H66" i="15"/>
  <c r="I65" i="15"/>
  <c r="H65" i="15"/>
  <c r="I64" i="15"/>
  <c r="H64" i="15"/>
  <c r="I63" i="15"/>
  <c r="Q63" i="15" s="1"/>
  <c r="H63" i="15"/>
  <c r="I62" i="15"/>
  <c r="H62" i="15"/>
  <c r="I61" i="15"/>
  <c r="H61" i="15"/>
  <c r="I60" i="15"/>
  <c r="H60" i="15"/>
  <c r="I59" i="15"/>
  <c r="H59" i="15"/>
  <c r="I58" i="15"/>
  <c r="H58" i="15"/>
  <c r="I57" i="15"/>
  <c r="H57" i="15"/>
  <c r="I49" i="15"/>
  <c r="R33" i="15" s="1"/>
  <c r="H49" i="15"/>
  <c r="I41" i="15"/>
  <c r="H41" i="15"/>
  <c r="I39" i="15"/>
  <c r="H39" i="15"/>
  <c r="I38" i="15"/>
  <c r="H38" i="15"/>
  <c r="I32" i="15"/>
  <c r="H32" i="15"/>
  <c r="H30" i="15"/>
  <c r="I28" i="15"/>
  <c r="H28" i="15"/>
  <c r="I25" i="15"/>
  <c r="R25" i="15" s="1"/>
  <c r="H25" i="15"/>
  <c r="I24" i="15"/>
  <c r="R24" i="15" s="1"/>
  <c r="H24" i="15"/>
  <c r="I20" i="15"/>
  <c r="H20" i="15"/>
  <c r="I19" i="15"/>
  <c r="H19" i="15"/>
  <c r="I18" i="15"/>
  <c r="H18" i="15"/>
  <c r="I17" i="15"/>
  <c r="H17" i="15"/>
  <c r="I15" i="15"/>
  <c r="H15" i="15"/>
  <c r="I14" i="15"/>
  <c r="H14" i="15"/>
  <c r="I13" i="15"/>
  <c r="H13" i="15"/>
  <c r="I12" i="15"/>
  <c r="H12" i="15"/>
  <c r="I11" i="15"/>
  <c r="H11" i="15"/>
  <c r="I10" i="15"/>
  <c r="H10" i="15"/>
  <c r="I9" i="15"/>
  <c r="H9" i="15"/>
  <c r="I68" i="15"/>
  <c r="H68" i="15"/>
  <c r="I67" i="15"/>
  <c r="H67" i="15"/>
  <c r="I56" i="15"/>
  <c r="H56" i="15"/>
  <c r="I16" i="15"/>
  <c r="H16" i="15"/>
  <c r="I8" i="15"/>
  <c r="H8" i="15"/>
  <c r="I6" i="15"/>
  <c r="Q6" i="15" s="1"/>
  <c r="H6" i="15"/>
  <c r="G465" i="14"/>
  <c r="G464" i="14"/>
  <c r="G463" i="14"/>
  <c r="G462" i="14"/>
  <c r="G461" i="14"/>
  <c r="G460" i="14"/>
  <c r="G459" i="14"/>
  <c r="G458" i="14"/>
  <c r="G457" i="14"/>
  <c r="G456" i="14"/>
  <c r="G455" i="14"/>
  <c r="G454" i="14"/>
  <c r="G453" i="14"/>
  <c r="G452" i="14"/>
  <c r="G451" i="14"/>
  <c r="G450" i="14"/>
  <c r="G449" i="14"/>
  <c r="G448" i="14"/>
  <c r="G447" i="14"/>
  <c r="G446" i="14"/>
  <c r="G445" i="14"/>
  <c r="G444" i="14"/>
  <c r="G443" i="14"/>
  <c r="G442" i="14"/>
  <c r="G441" i="14"/>
  <c r="G440" i="14"/>
  <c r="G439" i="14"/>
  <c r="G438" i="14"/>
  <c r="G437" i="14"/>
  <c r="G436" i="14"/>
  <c r="G435" i="14"/>
  <c r="G434" i="14"/>
  <c r="G433" i="14"/>
  <c r="G432" i="14"/>
  <c r="G431" i="14"/>
  <c r="G430" i="14"/>
  <c r="G429" i="14"/>
  <c r="G428" i="14"/>
  <c r="G427" i="14"/>
  <c r="G426" i="14"/>
  <c r="G425" i="14"/>
  <c r="G424" i="14"/>
  <c r="G423" i="14"/>
  <c r="G422" i="14"/>
  <c r="G421" i="14"/>
  <c r="G420" i="14"/>
  <c r="G419" i="14"/>
  <c r="G418" i="14"/>
  <c r="G417" i="14"/>
  <c r="G416" i="14"/>
  <c r="G415" i="14"/>
  <c r="G414" i="14"/>
  <c r="G413" i="14"/>
  <c r="G412" i="14"/>
  <c r="G411" i="14"/>
  <c r="G410" i="14"/>
  <c r="G409" i="14"/>
  <c r="G408" i="14"/>
  <c r="G407" i="14"/>
  <c r="G406" i="14"/>
  <c r="G405" i="14"/>
  <c r="G404" i="14"/>
  <c r="G403" i="14"/>
  <c r="G402" i="14"/>
  <c r="G401" i="14"/>
  <c r="G400" i="14"/>
  <c r="G399" i="14"/>
  <c r="G398" i="14"/>
  <c r="G397" i="14"/>
  <c r="G396" i="14"/>
  <c r="G395" i="14"/>
  <c r="G394" i="14"/>
  <c r="G393" i="14"/>
  <c r="G392" i="14"/>
  <c r="G391" i="14"/>
  <c r="G390" i="14"/>
  <c r="G389" i="14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I6" i="14"/>
  <c r="P6" i="14" s="1"/>
  <c r="E42" i="14" s="1"/>
  <c r="H6" i="14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H6" i="13"/>
  <c r="G450" i="12"/>
  <c r="G449" i="12"/>
  <c r="G448" i="12"/>
  <c r="G447" i="12"/>
  <c r="G446" i="12"/>
  <c r="G445" i="12"/>
  <c r="G444" i="12"/>
  <c r="G443" i="12"/>
  <c r="G442" i="12"/>
  <c r="G441" i="12"/>
  <c r="G440" i="12"/>
  <c r="G439" i="12"/>
  <c r="G438" i="12"/>
  <c r="G437" i="12"/>
  <c r="G436" i="12"/>
  <c r="G435" i="12"/>
  <c r="G434" i="12"/>
  <c r="G433" i="12"/>
  <c r="G432" i="12"/>
  <c r="G431" i="12"/>
  <c r="G430" i="12"/>
  <c r="G429" i="12"/>
  <c r="G428" i="12"/>
  <c r="G427" i="12"/>
  <c r="G426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11" i="12"/>
  <c r="G410" i="12"/>
  <c r="G409" i="12"/>
  <c r="G408" i="12"/>
  <c r="G407" i="12"/>
  <c r="G406" i="12"/>
  <c r="G405" i="12"/>
  <c r="G404" i="12"/>
  <c r="G403" i="12"/>
  <c r="G402" i="12"/>
  <c r="G401" i="12"/>
  <c r="G400" i="12"/>
  <c r="G399" i="12"/>
  <c r="G398" i="12"/>
  <c r="G397" i="12"/>
  <c r="G396" i="12"/>
  <c r="G395" i="12"/>
  <c r="G394" i="12"/>
  <c r="G393" i="12"/>
  <c r="G392" i="12"/>
  <c r="G391" i="12"/>
  <c r="G390" i="12"/>
  <c r="G389" i="12"/>
  <c r="G388" i="12"/>
  <c r="G387" i="12"/>
  <c r="G386" i="12"/>
  <c r="G385" i="12"/>
  <c r="G384" i="12"/>
  <c r="G383" i="12"/>
  <c r="G382" i="12"/>
  <c r="G381" i="12"/>
  <c r="G380" i="12"/>
  <c r="G379" i="12"/>
  <c r="G378" i="12"/>
  <c r="G377" i="12"/>
  <c r="G376" i="12"/>
  <c r="G375" i="12"/>
  <c r="G374" i="12"/>
  <c r="G373" i="12"/>
  <c r="G372" i="12"/>
  <c r="G371" i="12"/>
  <c r="G370" i="12"/>
  <c r="G369" i="12"/>
  <c r="G368" i="12"/>
  <c r="G367" i="12"/>
  <c r="G366" i="12"/>
  <c r="G365" i="12"/>
  <c r="G364" i="12"/>
  <c r="G363" i="12"/>
  <c r="G362" i="12"/>
  <c r="G361" i="12"/>
  <c r="G360" i="12"/>
  <c r="G359" i="12"/>
  <c r="G358" i="12"/>
  <c r="G357" i="12"/>
  <c r="G356" i="12"/>
  <c r="G355" i="12"/>
  <c r="G354" i="12"/>
  <c r="G353" i="12"/>
  <c r="G352" i="12"/>
  <c r="G351" i="12"/>
  <c r="G350" i="12"/>
  <c r="G349" i="12"/>
  <c r="G348" i="12"/>
  <c r="G347" i="12"/>
  <c r="G346" i="12"/>
  <c r="G345" i="12"/>
  <c r="G344" i="12"/>
  <c r="G343" i="12"/>
  <c r="G342" i="12"/>
  <c r="G341" i="12"/>
  <c r="G340" i="12"/>
  <c r="G339" i="12"/>
  <c r="G338" i="12"/>
  <c r="G337" i="12"/>
  <c r="G336" i="12"/>
  <c r="G335" i="12"/>
  <c r="G334" i="12"/>
  <c r="G333" i="12"/>
  <c r="G332" i="12"/>
  <c r="G331" i="12"/>
  <c r="G330" i="12"/>
  <c r="G329" i="12"/>
  <c r="G328" i="12"/>
  <c r="G327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G314" i="12"/>
  <c r="G313" i="12"/>
  <c r="G312" i="12"/>
  <c r="G311" i="12"/>
  <c r="G310" i="12"/>
  <c r="G309" i="12"/>
  <c r="G308" i="12"/>
  <c r="G307" i="12"/>
  <c r="G306" i="12"/>
  <c r="G305" i="12"/>
  <c r="G304" i="12"/>
  <c r="G303" i="12"/>
  <c r="G302" i="12"/>
  <c r="G301" i="12"/>
  <c r="G300" i="12"/>
  <c r="G299" i="12"/>
  <c r="G298" i="12"/>
  <c r="G297" i="12"/>
  <c r="G296" i="12"/>
  <c r="G295" i="12"/>
  <c r="G294" i="12"/>
  <c r="G293" i="12"/>
  <c r="G292" i="12"/>
  <c r="G291" i="12"/>
  <c r="G290" i="12"/>
  <c r="G289" i="12"/>
  <c r="G288" i="12"/>
  <c r="G287" i="12"/>
  <c r="G286" i="12"/>
  <c r="G285" i="12"/>
  <c r="G284" i="12"/>
  <c r="G283" i="12"/>
  <c r="G282" i="12"/>
  <c r="G281" i="12"/>
  <c r="G280" i="12"/>
  <c r="G279" i="12"/>
  <c r="G278" i="12"/>
  <c r="G277" i="12"/>
  <c r="G276" i="12"/>
  <c r="G275" i="12"/>
  <c r="G274" i="12"/>
  <c r="G273" i="12"/>
  <c r="G272" i="12"/>
  <c r="G271" i="12"/>
  <c r="G270" i="12"/>
  <c r="G269" i="12"/>
  <c r="G268" i="12"/>
  <c r="G267" i="12"/>
  <c r="G266" i="12"/>
  <c r="G265" i="12"/>
  <c r="G264" i="12"/>
  <c r="G263" i="12"/>
  <c r="G262" i="12"/>
  <c r="G261" i="12"/>
  <c r="G260" i="12"/>
  <c r="G259" i="12"/>
  <c r="G258" i="12"/>
  <c r="G257" i="12"/>
  <c r="G256" i="12"/>
  <c r="G255" i="12"/>
  <c r="G254" i="12"/>
  <c r="G253" i="12"/>
  <c r="G252" i="12"/>
  <c r="G251" i="12"/>
  <c r="G250" i="12"/>
  <c r="G249" i="12"/>
  <c r="G248" i="12"/>
  <c r="G247" i="12"/>
  <c r="G246" i="12"/>
  <c r="G245" i="12"/>
  <c r="G244" i="12"/>
  <c r="G243" i="12"/>
  <c r="G242" i="12"/>
  <c r="G241" i="12"/>
  <c r="G240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H21" i="12"/>
  <c r="I18" i="12"/>
  <c r="H18" i="12"/>
  <c r="I20" i="12"/>
  <c r="H20" i="12"/>
  <c r="I17" i="12"/>
  <c r="H17" i="12"/>
  <c r="I10" i="12"/>
  <c r="H10" i="12"/>
  <c r="I13" i="12"/>
  <c r="H13" i="12"/>
  <c r="I12" i="12"/>
  <c r="H12" i="12"/>
  <c r="I8" i="12"/>
  <c r="H8" i="12"/>
  <c r="I9" i="12"/>
  <c r="H9" i="12"/>
  <c r="H15" i="12"/>
  <c r="I19" i="12"/>
  <c r="H19" i="12"/>
  <c r="I14" i="12"/>
  <c r="H14" i="12"/>
  <c r="I22" i="12"/>
  <c r="H22" i="12"/>
  <c r="H16" i="12"/>
  <c r="I11" i="12"/>
  <c r="H11" i="12"/>
  <c r="H7" i="12"/>
  <c r="I6" i="12"/>
  <c r="H6" i="12"/>
  <c r="R7" i="34" l="1"/>
  <c r="Q14" i="15"/>
  <c r="O15" i="15"/>
  <c r="P27" i="16"/>
  <c r="Q27" i="16"/>
  <c r="R27" i="16"/>
  <c r="N27" i="16"/>
  <c r="O27" i="16"/>
  <c r="R100" i="16"/>
  <c r="P100" i="16"/>
  <c r="Q100" i="16"/>
  <c r="N100" i="16"/>
  <c r="O100" i="16"/>
  <c r="P111" i="16"/>
  <c r="Q111" i="16"/>
  <c r="R111" i="16"/>
  <c r="N111" i="16"/>
  <c r="O111" i="16"/>
  <c r="N12" i="16"/>
  <c r="O12" i="16"/>
  <c r="P12" i="16"/>
  <c r="Q12" i="16"/>
  <c r="R12" i="16"/>
  <c r="R101" i="16"/>
  <c r="N101" i="16"/>
  <c r="O101" i="16"/>
  <c r="P101" i="16"/>
  <c r="Q101" i="16"/>
  <c r="N71" i="43"/>
  <c r="N102" i="16"/>
  <c r="O102" i="16"/>
  <c r="Q102" i="16"/>
  <c r="P102" i="16"/>
  <c r="R102" i="16"/>
  <c r="R76" i="16"/>
  <c r="P76" i="16"/>
  <c r="Q76" i="16"/>
  <c r="N76" i="16"/>
  <c r="O76" i="16"/>
  <c r="O19" i="16"/>
  <c r="P19" i="16"/>
  <c r="N19" i="16"/>
  <c r="R19" i="16"/>
  <c r="Q19" i="16"/>
  <c r="P10" i="40"/>
  <c r="N10" i="40"/>
  <c r="O10" i="40"/>
  <c r="R10" i="40"/>
  <c r="Q10" i="40"/>
  <c r="N16" i="40"/>
  <c r="O16" i="40"/>
  <c r="Q16" i="40"/>
  <c r="P16" i="40"/>
  <c r="R16" i="40"/>
  <c r="R28" i="16"/>
  <c r="P28" i="16"/>
  <c r="N28" i="16"/>
  <c r="O28" i="16"/>
  <c r="Q28" i="16"/>
  <c r="N35" i="16"/>
  <c r="P35" i="16"/>
  <c r="Q35" i="16"/>
  <c r="O35" i="16"/>
  <c r="R35" i="16"/>
  <c r="N114" i="16"/>
  <c r="O114" i="16"/>
  <c r="R114" i="16"/>
  <c r="P114" i="16"/>
  <c r="Q114" i="16"/>
  <c r="P63" i="16"/>
  <c r="Q63" i="16"/>
  <c r="R63" i="16"/>
  <c r="O63" i="16"/>
  <c r="N63" i="16"/>
  <c r="Q21" i="16"/>
  <c r="R21" i="16"/>
  <c r="N21" i="16"/>
  <c r="O21" i="16"/>
  <c r="P21" i="16"/>
  <c r="R77" i="16"/>
  <c r="N77" i="16"/>
  <c r="Q77" i="16"/>
  <c r="O77" i="16"/>
  <c r="P77" i="16"/>
  <c r="O20" i="16"/>
  <c r="P20" i="16"/>
  <c r="Q20" i="16"/>
  <c r="N20" i="16"/>
  <c r="R20" i="16"/>
  <c r="N37" i="16"/>
  <c r="O37" i="16"/>
  <c r="P37" i="16"/>
  <c r="Q37" i="16"/>
  <c r="R37" i="16"/>
  <c r="Q60" i="21"/>
  <c r="Q11" i="40"/>
  <c r="R11" i="40"/>
  <c r="P11" i="40"/>
  <c r="O11" i="40"/>
  <c r="N11" i="40"/>
  <c r="P17" i="40"/>
  <c r="Q17" i="40"/>
  <c r="R17" i="40"/>
  <c r="O17" i="40"/>
  <c r="N17" i="40"/>
  <c r="O8" i="16"/>
  <c r="P8" i="16"/>
  <c r="Q8" i="16"/>
  <c r="N8" i="16"/>
  <c r="R8" i="16"/>
  <c r="R29" i="16"/>
  <c r="N29" i="16"/>
  <c r="O29" i="16"/>
  <c r="P29" i="16"/>
  <c r="Q29" i="16"/>
  <c r="N36" i="16"/>
  <c r="O36" i="16"/>
  <c r="Q36" i="16"/>
  <c r="P36" i="16"/>
  <c r="R36" i="16"/>
  <c r="O115" i="16"/>
  <c r="P115" i="16"/>
  <c r="N115" i="16"/>
  <c r="Q115" i="16"/>
  <c r="R115" i="16"/>
  <c r="N13" i="16"/>
  <c r="O13" i="16"/>
  <c r="P13" i="16"/>
  <c r="Q13" i="16"/>
  <c r="R13" i="16"/>
  <c r="Q94" i="16"/>
  <c r="R94" i="16"/>
  <c r="O94" i="16"/>
  <c r="N94" i="16"/>
  <c r="P94" i="16"/>
  <c r="Q22" i="16"/>
  <c r="R22" i="16"/>
  <c r="N22" i="16"/>
  <c r="O22" i="16"/>
  <c r="P22" i="16"/>
  <c r="Q93" i="16"/>
  <c r="R93" i="16"/>
  <c r="N93" i="16"/>
  <c r="O93" i="16"/>
  <c r="P93" i="16"/>
  <c r="P123" i="16"/>
  <c r="Q123" i="16"/>
  <c r="R123" i="16"/>
  <c r="N123" i="16"/>
  <c r="O123" i="16"/>
  <c r="R65" i="16"/>
  <c r="N65" i="16"/>
  <c r="P65" i="16"/>
  <c r="Q65" i="16"/>
  <c r="O65" i="16"/>
  <c r="P27" i="21"/>
  <c r="Q12" i="40"/>
  <c r="N12" i="40"/>
  <c r="O12" i="40"/>
  <c r="P12" i="40"/>
  <c r="R12" i="40"/>
  <c r="O18" i="40"/>
  <c r="P18" i="40"/>
  <c r="Q18" i="40"/>
  <c r="N18" i="40"/>
  <c r="R18" i="40"/>
  <c r="P110" i="16"/>
  <c r="Q110" i="16"/>
  <c r="R110" i="16"/>
  <c r="N110" i="16"/>
  <c r="O110" i="16"/>
  <c r="Q34" i="16"/>
  <c r="R34" i="16"/>
  <c r="O34" i="16"/>
  <c r="P34" i="16"/>
  <c r="N34" i="16"/>
  <c r="Q9" i="16"/>
  <c r="R9" i="16"/>
  <c r="P9" i="16"/>
  <c r="N9" i="16"/>
  <c r="O9" i="16"/>
  <c r="O67" i="16"/>
  <c r="P67" i="16"/>
  <c r="N67" i="16"/>
  <c r="Q67" i="16"/>
  <c r="R67" i="16"/>
  <c r="O7" i="40"/>
  <c r="P7" i="40"/>
  <c r="Q7" i="40"/>
  <c r="N7" i="40"/>
  <c r="R7" i="40"/>
  <c r="R13" i="40"/>
  <c r="O13" i="40"/>
  <c r="P13" i="40"/>
  <c r="Q13" i="40"/>
  <c r="N13" i="40"/>
  <c r="N19" i="40"/>
  <c r="O19" i="40"/>
  <c r="P19" i="40"/>
  <c r="Q19" i="40"/>
  <c r="R19" i="40"/>
  <c r="P62" i="16"/>
  <c r="Q62" i="16"/>
  <c r="N62" i="16"/>
  <c r="O62" i="16"/>
  <c r="R62" i="16"/>
  <c r="Q10" i="16"/>
  <c r="R10" i="16"/>
  <c r="O10" i="16"/>
  <c r="P10" i="16"/>
  <c r="N10" i="16"/>
  <c r="N30" i="16"/>
  <c r="O30" i="16"/>
  <c r="Q30" i="16"/>
  <c r="R30" i="16"/>
  <c r="P30" i="16"/>
  <c r="N90" i="16"/>
  <c r="O90" i="16"/>
  <c r="P90" i="16"/>
  <c r="Q90" i="16"/>
  <c r="R90" i="16"/>
  <c r="N120" i="16"/>
  <c r="O120" i="16"/>
  <c r="P120" i="16"/>
  <c r="Q120" i="16"/>
  <c r="R120" i="16"/>
  <c r="P14" i="16"/>
  <c r="Q14" i="16"/>
  <c r="O14" i="16"/>
  <c r="R14" i="16"/>
  <c r="N14" i="16"/>
  <c r="N95" i="16"/>
  <c r="P95" i="16"/>
  <c r="Q95" i="16"/>
  <c r="R95" i="16"/>
  <c r="O95" i="16"/>
  <c r="N96" i="16"/>
  <c r="O96" i="16"/>
  <c r="R96" i="16"/>
  <c r="P96" i="16"/>
  <c r="Q96" i="16"/>
  <c r="R124" i="16"/>
  <c r="Q124" i="16"/>
  <c r="N124" i="16"/>
  <c r="O124" i="16"/>
  <c r="P124" i="16"/>
  <c r="N66" i="16"/>
  <c r="O66" i="16"/>
  <c r="P66" i="16"/>
  <c r="Q66" i="16"/>
  <c r="R66" i="16"/>
  <c r="R57" i="21"/>
  <c r="Q61" i="21"/>
  <c r="R28" i="24"/>
  <c r="O69" i="43"/>
  <c r="P56" i="44"/>
  <c r="N23" i="16"/>
  <c r="O23" i="16"/>
  <c r="P23" i="16"/>
  <c r="Q23" i="16"/>
  <c r="R23" i="16"/>
  <c r="N121" i="16"/>
  <c r="O121" i="16"/>
  <c r="P121" i="16"/>
  <c r="R121" i="16"/>
  <c r="Q121" i="16"/>
  <c r="N119" i="16"/>
  <c r="O119" i="16"/>
  <c r="Q119" i="16"/>
  <c r="R119" i="16"/>
  <c r="P119" i="16"/>
  <c r="O8" i="40"/>
  <c r="R8" i="40"/>
  <c r="N8" i="40"/>
  <c r="P8" i="40"/>
  <c r="Q8" i="40"/>
  <c r="R14" i="40"/>
  <c r="N14" i="40"/>
  <c r="Q14" i="40"/>
  <c r="O14" i="40"/>
  <c r="P14" i="40"/>
  <c r="P20" i="40"/>
  <c r="Q20" i="40"/>
  <c r="O20" i="40"/>
  <c r="R20" i="40"/>
  <c r="N20" i="40"/>
  <c r="O128" i="16"/>
  <c r="P128" i="16"/>
  <c r="Q128" i="16"/>
  <c r="N128" i="16"/>
  <c r="R128" i="16"/>
  <c r="O7" i="16"/>
  <c r="P7" i="16"/>
  <c r="R7" i="16"/>
  <c r="Q7" i="16"/>
  <c r="N7" i="16"/>
  <c r="O31" i="16"/>
  <c r="P31" i="16"/>
  <c r="N31" i="16"/>
  <c r="Q31" i="16"/>
  <c r="R31" i="16"/>
  <c r="R89" i="16"/>
  <c r="N89" i="16"/>
  <c r="O89" i="16"/>
  <c r="Q89" i="16"/>
  <c r="P89" i="16"/>
  <c r="N47" i="16"/>
  <c r="Q47" i="16"/>
  <c r="R47" i="16"/>
  <c r="O47" i="16"/>
  <c r="P47" i="16"/>
  <c r="Q57" i="16"/>
  <c r="R57" i="16"/>
  <c r="O57" i="16"/>
  <c r="N57" i="16"/>
  <c r="P57" i="16"/>
  <c r="N97" i="16"/>
  <c r="O97" i="16"/>
  <c r="P97" i="16"/>
  <c r="Q97" i="16"/>
  <c r="R97" i="16"/>
  <c r="N11" i="16"/>
  <c r="R11" i="16"/>
  <c r="O11" i="16"/>
  <c r="Q11" i="16"/>
  <c r="P11" i="16"/>
  <c r="N126" i="16"/>
  <c r="O126" i="16"/>
  <c r="P126" i="16"/>
  <c r="Q126" i="16"/>
  <c r="R126" i="16"/>
  <c r="R13" i="15"/>
  <c r="N59" i="16"/>
  <c r="R59" i="16"/>
  <c r="O59" i="16"/>
  <c r="Q59" i="16"/>
  <c r="P59" i="16"/>
  <c r="R125" i="16"/>
  <c r="N125" i="16"/>
  <c r="Q125" i="16"/>
  <c r="O125" i="16"/>
  <c r="P125" i="16"/>
  <c r="N24" i="16"/>
  <c r="O24" i="16"/>
  <c r="P24" i="16"/>
  <c r="Q24" i="16"/>
  <c r="R24" i="16"/>
  <c r="Q33" i="16"/>
  <c r="R33" i="16"/>
  <c r="O33" i="16"/>
  <c r="P33" i="16"/>
  <c r="N33" i="16"/>
  <c r="P99" i="16"/>
  <c r="Q99" i="16"/>
  <c r="R99" i="16"/>
  <c r="O99" i="16"/>
  <c r="N99" i="16"/>
  <c r="O127" i="16"/>
  <c r="P127" i="16"/>
  <c r="N127" i="16"/>
  <c r="Q127" i="16"/>
  <c r="R127" i="16"/>
  <c r="P50" i="16"/>
  <c r="Q50" i="16"/>
  <c r="N50" i="16"/>
  <c r="O50" i="16"/>
  <c r="R50" i="16"/>
  <c r="Q58" i="16"/>
  <c r="R58" i="16"/>
  <c r="O58" i="16"/>
  <c r="P58" i="16"/>
  <c r="N58" i="16"/>
  <c r="P122" i="16"/>
  <c r="Q122" i="16"/>
  <c r="N122" i="16"/>
  <c r="R122" i="16"/>
  <c r="O122" i="16"/>
  <c r="P98" i="16"/>
  <c r="Q98" i="16"/>
  <c r="O98" i="16"/>
  <c r="N98" i="16"/>
  <c r="R98" i="16"/>
  <c r="N18" i="16"/>
  <c r="O18" i="16"/>
  <c r="Q18" i="16"/>
  <c r="R18" i="16"/>
  <c r="P18" i="16"/>
  <c r="N109" i="16"/>
  <c r="O109" i="16"/>
  <c r="P109" i="16"/>
  <c r="Q109" i="16"/>
  <c r="R109" i="16"/>
  <c r="P9" i="40"/>
  <c r="Q9" i="40"/>
  <c r="R9" i="40"/>
  <c r="N9" i="40"/>
  <c r="O9" i="40"/>
  <c r="P15" i="40"/>
  <c r="N15" i="40"/>
  <c r="O15" i="40"/>
  <c r="R15" i="40"/>
  <c r="Q15" i="40"/>
  <c r="N26" i="40"/>
  <c r="O26" i="40"/>
  <c r="P26" i="40"/>
  <c r="Q26" i="40"/>
  <c r="R26" i="40"/>
  <c r="Q17" i="28"/>
  <c r="R27" i="15"/>
  <c r="Q30" i="15"/>
  <c r="P30" i="15"/>
  <c r="O30" i="15"/>
  <c r="R30" i="15"/>
  <c r="N30" i="15"/>
  <c r="P38" i="15"/>
  <c r="O38" i="15"/>
  <c r="R38" i="15"/>
  <c r="N38" i="15"/>
  <c r="Q38" i="15"/>
  <c r="O23" i="15"/>
  <c r="R23" i="15"/>
  <c r="N23" i="15"/>
  <c r="Q23" i="15"/>
  <c r="P23" i="15"/>
  <c r="R36" i="15"/>
  <c r="N36" i="15"/>
  <c r="Q36" i="15"/>
  <c r="P36" i="15"/>
  <c r="O36" i="15"/>
  <c r="R42" i="15"/>
  <c r="N42" i="15"/>
  <c r="Q42" i="15"/>
  <c r="P42" i="15"/>
  <c r="O42" i="15"/>
  <c r="P70" i="15"/>
  <c r="O70" i="15"/>
  <c r="R70" i="15"/>
  <c r="N70" i="15"/>
  <c r="Q70" i="15"/>
  <c r="Q56" i="15"/>
  <c r="P56" i="15"/>
  <c r="O56" i="15"/>
  <c r="R56" i="15"/>
  <c r="N56" i="15"/>
  <c r="P7" i="15"/>
  <c r="O7" i="15"/>
  <c r="R7" i="15"/>
  <c r="N7" i="15"/>
  <c r="Q7" i="15"/>
  <c r="O35" i="15"/>
  <c r="R35" i="15"/>
  <c r="N35" i="15"/>
  <c r="Q35" i="15"/>
  <c r="P35" i="15"/>
  <c r="Q37" i="15"/>
  <c r="P37" i="15"/>
  <c r="O37" i="15"/>
  <c r="R37" i="15"/>
  <c r="N37" i="15"/>
  <c r="O50" i="15"/>
  <c r="R50" i="15"/>
  <c r="N50" i="15"/>
  <c r="Q50" i="15"/>
  <c r="P50" i="15"/>
  <c r="R54" i="15"/>
  <c r="N54" i="15"/>
  <c r="Q54" i="15"/>
  <c r="P54" i="15"/>
  <c r="O54" i="15"/>
  <c r="O71" i="15"/>
  <c r="R71" i="15"/>
  <c r="N71" i="15"/>
  <c r="Q71" i="15"/>
  <c r="P71" i="15"/>
  <c r="S19" i="29"/>
  <c r="R15" i="29"/>
  <c r="R34" i="15"/>
  <c r="N144" i="22"/>
  <c r="Q144" i="22"/>
  <c r="R144" i="22"/>
  <c r="P144" i="22"/>
  <c r="O144" i="22"/>
  <c r="P127" i="22"/>
  <c r="O127" i="22"/>
  <c r="N127" i="22"/>
  <c r="Q127" i="22"/>
  <c r="R127" i="22"/>
  <c r="Q8" i="22"/>
  <c r="N8" i="22"/>
  <c r="R8" i="22"/>
  <c r="O8" i="22"/>
  <c r="P8" i="22"/>
  <c r="N10" i="22"/>
  <c r="R10" i="22"/>
  <c r="O10" i="22"/>
  <c r="P10" i="22"/>
  <c r="Q10" i="22"/>
  <c r="O12" i="22"/>
  <c r="P12" i="22"/>
  <c r="Q12" i="22"/>
  <c r="N12" i="22"/>
  <c r="R12" i="22"/>
  <c r="Q14" i="22"/>
  <c r="N14" i="22"/>
  <c r="R14" i="22"/>
  <c r="O14" i="22"/>
  <c r="P14" i="22"/>
  <c r="N16" i="22"/>
  <c r="R16" i="22"/>
  <c r="O16" i="22"/>
  <c r="P16" i="22"/>
  <c r="Q16" i="22"/>
  <c r="P18" i="22"/>
  <c r="Q18" i="22"/>
  <c r="N18" i="22"/>
  <c r="R18" i="22"/>
  <c r="O18" i="22"/>
  <c r="Q20" i="22"/>
  <c r="N20" i="22"/>
  <c r="R20" i="22"/>
  <c r="O20" i="22"/>
  <c r="P20" i="22"/>
  <c r="O22" i="22"/>
  <c r="P22" i="22"/>
  <c r="Q22" i="22"/>
  <c r="N22" i="22"/>
  <c r="R22" i="22"/>
  <c r="P24" i="22"/>
  <c r="Q24" i="22"/>
  <c r="N24" i="22"/>
  <c r="R24" i="22"/>
  <c r="O24" i="22"/>
  <c r="Q26" i="22"/>
  <c r="N26" i="22"/>
  <c r="R26" i="22"/>
  <c r="O26" i="22"/>
  <c r="P26" i="22"/>
  <c r="N28" i="22"/>
  <c r="R28" i="22"/>
  <c r="O28" i="22"/>
  <c r="P28" i="22"/>
  <c r="Q28" i="22"/>
  <c r="P30" i="22"/>
  <c r="Q30" i="22"/>
  <c r="N30" i="22"/>
  <c r="R30" i="22"/>
  <c r="O30" i="22"/>
  <c r="N32" i="22"/>
  <c r="R32" i="22"/>
  <c r="O32" i="22"/>
  <c r="P32" i="22"/>
  <c r="Q32" i="22"/>
  <c r="O34" i="22"/>
  <c r="P34" i="22"/>
  <c r="Q34" i="22"/>
  <c r="N34" i="22"/>
  <c r="R34" i="22"/>
  <c r="P36" i="22"/>
  <c r="Q36" i="22"/>
  <c r="N36" i="22"/>
  <c r="R36" i="22"/>
  <c r="O36" i="22"/>
  <c r="N38" i="22"/>
  <c r="R38" i="22"/>
  <c r="O38" i="22"/>
  <c r="P38" i="22"/>
  <c r="Q38" i="22"/>
  <c r="O40" i="22"/>
  <c r="P40" i="22"/>
  <c r="Q40" i="22"/>
  <c r="N40" i="22"/>
  <c r="R40" i="22"/>
  <c r="P42" i="22"/>
  <c r="Q42" i="22"/>
  <c r="N42" i="22"/>
  <c r="R42" i="22"/>
  <c r="O42" i="22"/>
  <c r="Q44" i="22"/>
  <c r="N44" i="22"/>
  <c r="R44" i="22"/>
  <c r="O44" i="22"/>
  <c r="P44" i="22"/>
  <c r="O46" i="22"/>
  <c r="P46" i="22"/>
  <c r="Q46" i="22"/>
  <c r="N46" i="22"/>
  <c r="R46" i="22"/>
  <c r="P48" i="22"/>
  <c r="Q48" i="22"/>
  <c r="N48" i="22"/>
  <c r="R48" i="22"/>
  <c r="O48" i="22"/>
  <c r="Q50" i="22"/>
  <c r="N50" i="22"/>
  <c r="R50" i="22"/>
  <c r="O50" i="22"/>
  <c r="P50" i="22"/>
  <c r="N52" i="22"/>
  <c r="R52" i="22"/>
  <c r="O52" i="22"/>
  <c r="P52" i="22"/>
  <c r="Q52" i="22"/>
  <c r="P54" i="22"/>
  <c r="Q54" i="22"/>
  <c r="N54" i="22"/>
  <c r="R54" i="22"/>
  <c r="O54" i="22"/>
  <c r="N56" i="22"/>
  <c r="R56" i="22"/>
  <c r="O56" i="22"/>
  <c r="P56" i="22"/>
  <c r="Q56" i="22"/>
  <c r="O58" i="22"/>
  <c r="Q58" i="22"/>
  <c r="R58" i="22"/>
  <c r="N58" i="22"/>
  <c r="P58" i="22"/>
  <c r="P60" i="22"/>
  <c r="N60" i="22"/>
  <c r="O60" i="22"/>
  <c r="Q60" i="22"/>
  <c r="R60" i="22"/>
  <c r="Q62" i="22"/>
  <c r="N62" i="22"/>
  <c r="R62" i="22"/>
  <c r="O62" i="22"/>
  <c r="P62" i="22"/>
  <c r="N64" i="22"/>
  <c r="R64" i="22"/>
  <c r="O64" i="22"/>
  <c r="P64" i="22"/>
  <c r="Q64" i="22"/>
  <c r="O66" i="22"/>
  <c r="P66" i="22"/>
  <c r="Q66" i="22"/>
  <c r="N66" i="22"/>
  <c r="R66" i="22"/>
  <c r="N7" i="22"/>
  <c r="R7" i="22"/>
  <c r="O7" i="22"/>
  <c r="P7" i="22"/>
  <c r="Q7" i="22"/>
  <c r="O9" i="22"/>
  <c r="P9" i="22"/>
  <c r="Q9" i="22"/>
  <c r="N9" i="22"/>
  <c r="R9" i="22"/>
  <c r="P11" i="22"/>
  <c r="Q11" i="22"/>
  <c r="N11" i="22"/>
  <c r="R11" i="22"/>
  <c r="O11" i="22"/>
  <c r="N13" i="22"/>
  <c r="R13" i="22"/>
  <c r="O13" i="22"/>
  <c r="P13" i="22"/>
  <c r="Q13" i="22"/>
  <c r="O15" i="22"/>
  <c r="P15" i="22"/>
  <c r="Q15" i="22"/>
  <c r="N15" i="22"/>
  <c r="R15" i="22"/>
  <c r="Q17" i="22"/>
  <c r="N17" i="22"/>
  <c r="R17" i="22"/>
  <c r="O17" i="22"/>
  <c r="P17" i="22"/>
  <c r="N19" i="22"/>
  <c r="R19" i="22"/>
  <c r="O19" i="22"/>
  <c r="P19" i="22"/>
  <c r="Q19" i="22"/>
  <c r="P21" i="22"/>
  <c r="Q21" i="22"/>
  <c r="N21" i="22"/>
  <c r="R21" i="22"/>
  <c r="O21" i="22"/>
  <c r="Q23" i="22"/>
  <c r="N23" i="22"/>
  <c r="R23" i="22"/>
  <c r="O23" i="22"/>
  <c r="P23" i="22"/>
  <c r="N25" i="22"/>
  <c r="R25" i="22"/>
  <c r="O25" i="22"/>
  <c r="P25" i="22"/>
  <c r="Q25" i="22"/>
  <c r="O27" i="22"/>
  <c r="P27" i="22"/>
  <c r="Q27" i="22"/>
  <c r="N27" i="22"/>
  <c r="R27" i="22"/>
  <c r="Q29" i="22"/>
  <c r="N29" i="22"/>
  <c r="R29" i="22"/>
  <c r="O29" i="22"/>
  <c r="P29" i="22"/>
  <c r="O31" i="22"/>
  <c r="P31" i="22"/>
  <c r="Q31" i="22"/>
  <c r="N31" i="22"/>
  <c r="R31" i="22"/>
  <c r="P33" i="22"/>
  <c r="Q33" i="22"/>
  <c r="N33" i="22"/>
  <c r="R33" i="22"/>
  <c r="O33" i="22"/>
  <c r="Q35" i="22"/>
  <c r="N35" i="22"/>
  <c r="R35" i="22"/>
  <c r="O35" i="22"/>
  <c r="P35" i="22"/>
  <c r="O37" i="22"/>
  <c r="P37" i="22"/>
  <c r="Q37" i="22"/>
  <c r="N37" i="22"/>
  <c r="R37" i="22"/>
  <c r="P39" i="22"/>
  <c r="Q39" i="22"/>
  <c r="N39" i="22"/>
  <c r="R39" i="22"/>
  <c r="O39" i="22"/>
  <c r="Q41" i="22"/>
  <c r="N41" i="22"/>
  <c r="R41" i="22"/>
  <c r="O41" i="22"/>
  <c r="P41" i="22"/>
  <c r="N43" i="22"/>
  <c r="R43" i="22"/>
  <c r="O43" i="22"/>
  <c r="P43" i="22"/>
  <c r="Q43" i="22"/>
  <c r="P45" i="22"/>
  <c r="Q45" i="22"/>
  <c r="N45" i="22"/>
  <c r="R45" i="22"/>
  <c r="O45" i="22"/>
  <c r="Q47" i="22"/>
  <c r="N47" i="22"/>
  <c r="R47" i="22"/>
  <c r="O47" i="22"/>
  <c r="P47" i="22"/>
  <c r="N49" i="22"/>
  <c r="R49" i="22"/>
  <c r="O49" i="22"/>
  <c r="P49" i="22"/>
  <c r="Q49" i="22"/>
  <c r="O51" i="22"/>
  <c r="P51" i="22"/>
  <c r="Q51" i="22"/>
  <c r="N51" i="22"/>
  <c r="R51" i="22"/>
  <c r="Q53" i="22"/>
  <c r="N53" i="22"/>
  <c r="R53" i="22"/>
  <c r="O53" i="22"/>
  <c r="P53" i="22"/>
  <c r="O55" i="22"/>
  <c r="P55" i="22"/>
  <c r="Q55" i="22"/>
  <c r="N55" i="22"/>
  <c r="R55" i="22"/>
  <c r="P57" i="22"/>
  <c r="N57" i="22"/>
  <c r="R57" i="22"/>
  <c r="O57" i="22"/>
  <c r="Q57" i="22"/>
  <c r="Q59" i="22"/>
  <c r="O59" i="22"/>
  <c r="N59" i="22"/>
  <c r="P59" i="22"/>
  <c r="R59" i="22"/>
  <c r="N61" i="22"/>
  <c r="R61" i="22"/>
  <c r="O61" i="22"/>
  <c r="P61" i="22"/>
  <c r="Q61" i="22"/>
  <c r="O63" i="22"/>
  <c r="P63" i="22"/>
  <c r="Q63" i="22"/>
  <c r="N63" i="22"/>
  <c r="R63" i="22"/>
  <c r="P65" i="22"/>
  <c r="Q65" i="22"/>
  <c r="N65" i="22"/>
  <c r="R65" i="22"/>
  <c r="O65" i="22"/>
  <c r="S18" i="29"/>
  <c r="R56" i="20"/>
  <c r="Q56" i="20"/>
  <c r="O56" i="20"/>
  <c r="P56" i="20"/>
  <c r="N56" i="20"/>
  <c r="Q9" i="15"/>
  <c r="R6" i="34"/>
  <c r="Q6" i="23"/>
  <c r="Q19" i="23"/>
  <c r="R19" i="23"/>
  <c r="O19" i="23"/>
  <c r="N19" i="23"/>
  <c r="P19" i="23"/>
  <c r="Q7" i="23"/>
  <c r="Q20" i="23"/>
  <c r="P20" i="23"/>
  <c r="N20" i="23"/>
  <c r="O20" i="23"/>
  <c r="R20" i="23"/>
  <c r="P9" i="23"/>
  <c r="O22" i="23"/>
  <c r="Q22" i="23"/>
  <c r="P22" i="23"/>
  <c r="N22" i="23"/>
  <c r="R22" i="23"/>
  <c r="Q11" i="23"/>
  <c r="Q13" i="23"/>
  <c r="Q36" i="23"/>
  <c r="O36" i="23"/>
  <c r="N36" i="23"/>
  <c r="R36" i="23"/>
  <c r="P36" i="23"/>
  <c r="Q8" i="23"/>
  <c r="N21" i="23"/>
  <c r="Q21" i="23"/>
  <c r="O21" i="23"/>
  <c r="R21" i="23"/>
  <c r="P21" i="23"/>
  <c r="N39" i="23"/>
  <c r="Q39" i="23"/>
  <c r="R39" i="23"/>
  <c r="P39" i="23"/>
  <c r="O39" i="23"/>
  <c r="P31" i="21"/>
  <c r="N8" i="31"/>
  <c r="R8" i="31"/>
  <c r="O8" i="31"/>
  <c r="Q8" i="31"/>
  <c r="P8" i="31"/>
  <c r="O62" i="43"/>
  <c r="R6" i="20"/>
  <c r="Q12" i="20"/>
  <c r="O12" i="20"/>
  <c r="P12" i="20"/>
  <c r="R12" i="20"/>
  <c r="N12" i="20"/>
  <c r="N13" i="31"/>
  <c r="R13" i="31"/>
  <c r="O13" i="31"/>
  <c r="Q13" i="31"/>
  <c r="P13" i="31"/>
  <c r="Q10" i="15"/>
  <c r="O15" i="21"/>
  <c r="P35" i="21"/>
  <c r="R65" i="21"/>
  <c r="R20" i="24"/>
  <c r="R55" i="24"/>
  <c r="P38" i="40"/>
  <c r="R27" i="43"/>
  <c r="O10" i="31"/>
  <c r="P10" i="31"/>
  <c r="N10" i="31"/>
  <c r="R10" i="31"/>
  <c r="Q10" i="31"/>
  <c r="Q19" i="28"/>
  <c r="P12" i="31"/>
  <c r="Q12" i="31"/>
  <c r="O12" i="31"/>
  <c r="N12" i="31"/>
  <c r="R12" i="31"/>
  <c r="O7" i="31"/>
  <c r="P7" i="31"/>
  <c r="N7" i="31"/>
  <c r="R7" i="31"/>
  <c r="Q7" i="31"/>
  <c r="P9" i="31"/>
  <c r="Q9" i="31"/>
  <c r="O9" i="31"/>
  <c r="N9" i="31"/>
  <c r="R9" i="31"/>
  <c r="Q11" i="31"/>
  <c r="N11" i="31"/>
  <c r="R11" i="31"/>
  <c r="P11" i="31"/>
  <c r="O11" i="31"/>
  <c r="R62" i="40"/>
  <c r="Q8" i="43"/>
  <c r="O10" i="27"/>
  <c r="N7" i="27"/>
  <c r="P30" i="40"/>
  <c r="O34" i="40"/>
  <c r="P14" i="23"/>
  <c r="Q14" i="23"/>
  <c r="R14" i="23"/>
  <c r="N14" i="23"/>
  <c r="O14" i="23"/>
  <c r="Q11" i="15"/>
  <c r="Q7" i="42"/>
  <c r="N7" i="42"/>
  <c r="R7" i="42"/>
  <c r="O7" i="42"/>
  <c r="P7" i="42"/>
  <c r="P16" i="42"/>
  <c r="Q16" i="42"/>
  <c r="N16" i="42"/>
  <c r="O16" i="42"/>
  <c r="R16" i="42"/>
  <c r="O22" i="42"/>
  <c r="P22" i="42"/>
  <c r="R22" i="42"/>
  <c r="N22" i="42"/>
  <c r="Q22" i="42"/>
  <c r="N28" i="42"/>
  <c r="R28" i="42"/>
  <c r="O28" i="42"/>
  <c r="Q28" i="42"/>
  <c r="P28" i="42"/>
  <c r="P32" i="42"/>
  <c r="Q32" i="42"/>
  <c r="N32" i="42"/>
  <c r="O32" i="42"/>
  <c r="R32" i="42"/>
  <c r="O38" i="42"/>
  <c r="P38" i="42"/>
  <c r="R38" i="42"/>
  <c r="N38" i="42"/>
  <c r="Q38" i="42"/>
  <c r="Q42" i="42"/>
  <c r="N42" i="42"/>
  <c r="R42" i="42"/>
  <c r="O42" i="42"/>
  <c r="P42" i="42"/>
  <c r="O46" i="42"/>
  <c r="P46" i="42"/>
  <c r="N46" i="42"/>
  <c r="Q46" i="42"/>
  <c r="R46" i="42"/>
  <c r="Q50" i="42"/>
  <c r="N50" i="42"/>
  <c r="R50" i="42"/>
  <c r="P50" i="42"/>
  <c r="O50" i="42"/>
  <c r="O54" i="42"/>
  <c r="P54" i="42"/>
  <c r="R54" i="42"/>
  <c r="N54" i="42"/>
  <c r="Q54" i="42"/>
  <c r="N60" i="42"/>
  <c r="R60" i="42"/>
  <c r="O60" i="42"/>
  <c r="Q60" i="42"/>
  <c r="P60" i="42"/>
  <c r="Q66" i="42"/>
  <c r="N66" i="42"/>
  <c r="R66" i="42"/>
  <c r="P66" i="42"/>
  <c r="O66" i="42"/>
  <c r="Q70" i="42"/>
  <c r="N70" i="42"/>
  <c r="R70" i="42"/>
  <c r="O70" i="42"/>
  <c r="P70" i="42"/>
  <c r="P76" i="42"/>
  <c r="Q76" i="42"/>
  <c r="N76" i="42"/>
  <c r="R76" i="42"/>
  <c r="O76" i="42"/>
  <c r="O82" i="42"/>
  <c r="P82" i="42"/>
  <c r="Q82" i="42"/>
  <c r="R82" i="42"/>
  <c r="N82" i="42"/>
  <c r="N9" i="42"/>
  <c r="R9" i="42"/>
  <c r="O9" i="42"/>
  <c r="Q9" i="42"/>
  <c r="P9" i="42"/>
  <c r="Q18" i="42"/>
  <c r="N18" i="42"/>
  <c r="R18" i="42"/>
  <c r="P18" i="42"/>
  <c r="O18" i="42"/>
  <c r="N20" i="42"/>
  <c r="R20" i="42"/>
  <c r="O20" i="42"/>
  <c r="P20" i="42"/>
  <c r="Q20" i="42"/>
  <c r="P24" i="42"/>
  <c r="Q24" i="42"/>
  <c r="O24" i="42"/>
  <c r="R24" i="42"/>
  <c r="N24" i="42"/>
  <c r="Q26" i="42"/>
  <c r="N26" i="42"/>
  <c r="R26" i="42"/>
  <c r="O26" i="42"/>
  <c r="P26" i="42"/>
  <c r="O30" i="42"/>
  <c r="P30" i="42"/>
  <c r="N30" i="42"/>
  <c r="Q30" i="42"/>
  <c r="R30" i="42"/>
  <c r="Q34" i="42"/>
  <c r="N34" i="42"/>
  <c r="R34" i="42"/>
  <c r="P34" i="42"/>
  <c r="O34" i="42"/>
  <c r="N36" i="42"/>
  <c r="R36" i="42"/>
  <c r="O36" i="42"/>
  <c r="P36" i="42"/>
  <c r="Q36" i="42"/>
  <c r="P40" i="42"/>
  <c r="Q40" i="42"/>
  <c r="O40" i="42"/>
  <c r="R40" i="42"/>
  <c r="N40" i="42"/>
  <c r="N44" i="42"/>
  <c r="R44" i="42"/>
  <c r="O44" i="42"/>
  <c r="Q44" i="42"/>
  <c r="P44" i="42"/>
  <c r="P48" i="42"/>
  <c r="Q48" i="42"/>
  <c r="N48" i="42"/>
  <c r="O48" i="42"/>
  <c r="R48" i="42"/>
  <c r="N52" i="42"/>
  <c r="R52" i="42"/>
  <c r="O52" i="42"/>
  <c r="P52" i="42"/>
  <c r="Q52" i="42"/>
  <c r="P56" i="42"/>
  <c r="Q56" i="42"/>
  <c r="O56" i="42"/>
  <c r="R56" i="42"/>
  <c r="N56" i="42"/>
  <c r="Q58" i="42"/>
  <c r="N58" i="42"/>
  <c r="R58" i="42"/>
  <c r="O58" i="42"/>
  <c r="P58" i="42"/>
  <c r="O62" i="42"/>
  <c r="P62" i="42"/>
  <c r="N62" i="42"/>
  <c r="Q62" i="42"/>
  <c r="R62" i="42"/>
  <c r="P64" i="42"/>
  <c r="Q64" i="42"/>
  <c r="N64" i="42"/>
  <c r="O64" i="42"/>
  <c r="R64" i="42"/>
  <c r="N68" i="42"/>
  <c r="R68" i="42"/>
  <c r="O68" i="42"/>
  <c r="P68" i="42"/>
  <c r="Q68" i="42"/>
  <c r="N72" i="42"/>
  <c r="R72" i="42"/>
  <c r="O72" i="42"/>
  <c r="P72" i="42"/>
  <c r="Q72" i="42"/>
  <c r="O74" i="42"/>
  <c r="P74" i="42"/>
  <c r="Q74" i="42"/>
  <c r="N74" i="42"/>
  <c r="R74" i="42"/>
  <c r="Q78" i="42"/>
  <c r="N78" i="42"/>
  <c r="R78" i="42"/>
  <c r="O78" i="42"/>
  <c r="P78" i="42"/>
  <c r="N80" i="42"/>
  <c r="R80" i="42"/>
  <c r="O80" i="42"/>
  <c r="P80" i="42"/>
  <c r="Q80" i="42"/>
  <c r="P8" i="42"/>
  <c r="Q8" i="42"/>
  <c r="O8" i="42"/>
  <c r="R8" i="42"/>
  <c r="N8" i="42"/>
  <c r="Q10" i="42"/>
  <c r="N10" i="42"/>
  <c r="R10" i="42"/>
  <c r="O10" i="42"/>
  <c r="P10" i="42"/>
  <c r="N17" i="42"/>
  <c r="R17" i="42"/>
  <c r="O17" i="42"/>
  <c r="P17" i="42"/>
  <c r="Q17" i="42"/>
  <c r="O19" i="42"/>
  <c r="P19" i="42"/>
  <c r="R19" i="42"/>
  <c r="N19" i="42"/>
  <c r="Q19" i="42"/>
  <c r="P21" i="42"/>
  <c r="Q21" i="42"/>
  <c r="O21" i="42"/>
  <c r="R21" i="42"/>
  <c r="N21" i="42"/>
  <c r="Q23" i="42"/>
  <c r="N23" i="42"/>
  <c r="R23" i="42"/>
  <c r="O23" i="42"/>
  <c r="P23" i="42"/>
  <c r="N25" i="42"/>
  <c r="R25" i="42"/>
  <c r="O25" i="42"/>
  <c r="Q25" i="42"/>
  <c r="P25" i="42"/>
  <c r="O27" i="42"/>
  <c r="P27" i="42"/>
  <c r="N27" i="42"/>
  <c r="Q27" i="42"/>
  <c r="R27" i="42"/>
  <c r="P29" i="42"/>
  <c r="Q29" i="42"/>
  <c r="N29" i="42"/>
  <c r="O29" i="42"/>
  <c r="R29" i="42"/>
  <c r="Q31" i="42"/>
  <c r="N31" i="42"/>
  <c r="R31" i="42"/>
  <c r="P31" i="42"/>
  <c r="O31" i="42"/>
  <c r="N33" i="42"/>
  <c r="R33" i="42"/>
  <c r="O33" i="42"/>
  <c r="P33" i="42"/>
  <c r="Q33" i="42"/>
  <c r="O35" i="42"/>
  <c r="P35" i="42"/>
  <c r="R35" i="42"/>
  <c r="N35" i="42"/>
  <c r="Q35" i="42"/>
  <c r="P37" i="42"/>
  <c r="Q37" i="42"/>
  <c r="O37" i="42"/>
  <c r="R37" i="42"/>
  <c r="N37" i="42"/>
  <c r="Q39" i="42"/>
  <c r="N39" i="42"/>
  <c r="R39" i="42"/>
  <c r="O39" i="42"/>
  <c r="P39" i="42"/>
  <c r="N41" i="42"/>
  <c r="R41" i="42"/>
  <c r="O41" i="42"/>
  <c r="Q41" i="42"/>
  <c r="P41" i="42"/>
  <c r="O43" i="42"/>
  <c r="P43" i="42"/>
  <c r="N43" i="42"/>
  <c r="Q43" i="42"/>
  <c r="R43" i="42"/>
  <c r="P45" i="42"/>
  <c r="Q45" i="42"/>
  <c r="N45" i="42"/>
  <c r="O45" i="42"/>
  <c r="R45" i="42"/>
  <c r="Q47" i="42"/>
  <c r="N47" i="42"/>
  <c r="R47" i="42"/>
  <c r="P47" i="42"/>
  <c r="O47" i="42"/>
  <c r="N49" i="42"/>
  <c r="R49" i="42"/>
  <c r="O49" i="42"/>
  <c r="P49" i="42"/>
  <c r="Q49" i="42"/>
  <c r="O51" i="42"/>
  <c r="P51" i="42"/>
  <c r="R51" i="42"/>
  <c r="N51" i="42"/>
  <c r="Q51" i="42"/>
  <c r="P53" i="42"/>
  <c r="Q53" i="42"/>
  <c r="O53" i="42"/>
  <c r="R53" i="42"/>
  <c r="N53" i="42"/>
  <c r="Q55" i="42"/>
  <c r="N55" i="42"/>
  <c r="R55" i="42"/>
  <c r="O55" i="42"/>
  <c r="P55" i="42"/>
  <c r="N57" i="42"/>
  <c r="R57" i="42"/>
  <c r="O57" i="42"/>
  <c r="Q57" i="42"/>
  <c r="P57" i="42"/>
  <c r="O59" i="42"/>
  <c r="P59" i="42"/>
  <c r="N59" i="42"/>
  <c r="Q59" i="42"/>
  <c r="R59" i="42"/>
  <c r="P61" i="42"/>
  <c r="Q61" i="42"/>
  <c r="N61" i="42"/>
  <c r="O61" i="42"/>
  <c r="R61" i="42"/>
  <c r="Q63" i="42"/>
  <c r="N63" i="42"/>
  <c r="R63" i="42"/>
  <c r="P63" i="42"/>
  <c r="O63" i="42"/>
  <c r="N65" i="42"/>
  <c r="R65" i="42"/>
  <c r="O65" i="42"/>
  <c r="P65" i="42"/>
  <c r="Q65" i="42"/>
  <c r="O67" i="42"/>
  <c r="P67" i="42"/>
  <c r="R67" i="42"/>
  <c r="N67" i="42"/>
  <c r="Q67" i="42"/>
  <c r="N69" i="42"/>
  <c r="R69" i="42"/>
  <c r="O69" i="42"/>
  <c r="P69" i="42"/>
  <c r="Q69" i="42"/>
  <c r="O71" i="42"/>
  <c r="P71" i="42"/>
  <c r="Q71" i="42"/>
  <c r="R71" i="42"/>
  <c r="N71" i="42"/>
  <c r="P73" i="42"/>
  <c r="Q73" i="42"/>
  <c r="N73" i="42"/>
  <c r="R73" i="42"/>
  <c r="O73" i="42"/>
  <c r="Q75" i="42"/>
  <c r="N75" i="42"/>
  <c r="R75" i="42"/>
  <c r="O75" i="42"/>
  <c r="P75" i="42"/>
  <c r="N77" i="42"/>
  <c r="R77" i="42"/>
  <c r="O77" i="42"/>
  <c r="P77" i="42"/>
  <c r="Q77" i="42"/>
  <c r="O79" i="42"/>
  <c r="P79" i="42"/>
  <c r="Q79" i="42"/>
  <c r="R79" i="42"/>
  <c r="N79" i="42"/>
  <c r="P81" i="42"/>
  <c r="Q81" i="42"/>
  <c r="N81" i="42"/>
  <c r="R81" i="42"/>
  <c r="O81" i="42"/>
  <c r="R11" i="34"/>
  <c r="O46" i="34"/>
  <c r="S46" i="34"/>
  <c r="P46" i="34"/>
  <c r="R46" i="34"/>
  <c r="Q46" i="34"/>
  <c r="R15" i="34"/>
  <c r="S52" i="34"/>
  <c r="O52" i="34"/>
  <c r="P52" i="34"/>
  <c r="R52" i="34"/>
  <c r="Q52" i="34"/>
  <c r="R21" i="34"/>
  <c r="S59" i="34"/>
  <c r="O59" i="34"/>
  <c r="Q59" i="34"/>
  <c r="R59" i="34"/>
  <c r="P59" i="34"/>
  <c r="R25" i="34"/>
  <c r="P60" i="34"/>
  <c r="S60" i="34"/>
  <c r="O60" i="34"/>
  <c r="Q60" i="34"/>
  <c r="R60" i="34"/>
  <c r="R13" i="34"/>
  <c r="S53" i="34"/>
  <c r="R53" i="34"/>
  <c r="Q53" i="34"/>
  <c r="P53" i="34"/>
  <c r="O53" i="34"/>
  <c r="R17" i="34"/>
  <c r="O56" i="34"/>
  <c r="P56" i="34"/>
  <c r="S56" i="34"/>
  <c r="Q56" i="34"/>
  <c r="R56" i="34"/>
  <c r="R23" i="34"/>
  <c r="S62" i="34"/>
  <c r="O62" i="34"/>
  <c r="P62" i="34"/>
  <c r="Q62" i="34"/>
  <c r="R62" i="34"/>
  <c r="R8" i="34"/>
  <c r="R33" i="34"/>
  <c r="P33" i="34"/>
  <c r="O33" i="34"/>
  <c r="Q33" i="34"/>
  <c r="S33" i="34"/>
  <c r="R10" i="34"/>
  <c r="Q45" i="34"/>
  <c r="S45" i="34"/>
  <c r="O45" i="34"/>
  <c r="R45" i="34"/>
  <c r="P45" i="34"/>
  <c r="R12" i="34"/>
  <c r="S47" i="34"/>
  <c r="R47" i="34"/>
  <c r="P47" i="34"/>
  <c r="Q47" i="34"/>
  <c r="O47" i="34"/>
  <c r="R14" i="34"/>
  <c r="O51" i="34"/>
  <c r="Q51" i="34"/>
  <c r="R51" i="34"/>
  <c r="S51" i="34"/>
  <c r="P51" i="34"/>
  <c r="R16" i="34"/>
  <c r="P55" i="34"/>
  <c r="O55" i="34"/>
  <c r="Q55" i="34"/>
  <c r="S55" i="34"/>
  <c r="R55" i="34"/>
  <c r="R18" i="34"/>
  <c r="O54" i="34"/>
  <c r="S54" i="34"/>
  <c r="P54" i="34"/>
  <c r="R54" i="34"/>
  <c r="Q54" i="34"/>
  <c r="R20" i="34"/>
  <c r="O58" i="34"/>
  <c r="P58" i="34"/>
  <c r="S58" i="34"/>
  <c r="Q58" i="34"/>
  <c r="R58" i="34"/>
  <c r="R22" i="34"/>
  <c r="S57" i="34"/>
  <c r="P57" i="34"/>
  <c r="Q57" i="34"/>
  <c r="R57" i="34"/>
  <c r="O57" i="34"/>
  <c r="R24" i="34"/>
  <c r="Q61" i="34"/>
  <c r="R61" i="34"/>
  <c r="P61" i="34"/>
  <c r="S61" i="34"/>
  <c r="O61" i="34"/>
  <c r="R9" i="34"/>
  <c r="R34" i="34"/>
  <c r="P34" i="34"/>
  <c r="S34" i="34"/>
  <c r="Q34" i="34"/>
  <c r="O34" i="34"/>
  <c r="R19" i="34"/>
  <c r="P50" i="34"/>
  <c r="S50" i="34"/>
  <c r="O50" i="34"/>
  <c r="R50" i="34"/>
  <c r="Q50" i="34"/>
  <c r="O23" i="21"/>
  <c r="P32" i="21"/>
  <c r="Q48" i="21"/>
  <c r="N49" i="21"/>
  <c r="N7" i="24"/>
  <c r="O18" i="24"/>
  <c r="O19" i="24"/>
  <c r="O26" i="24"/>
  <c r="O27" i="24"/>
  <c r="N32" i="24"/>
  <c r="Q43" i="24"/>
  <c r="R13" i="28"/>
  <c r="P23" i="21"/>
  <c r="Q49" i="21"/>
  <c r="O7" i="24"/>
  <c r="R18" i="24"/>
  <c r="R26" i="24"/>
  <c r="R32" i="24"/>
  <c r="R61" i="43"/>
  <c r="P11" i="44"/>
  <c r="P8" i="21"/>
  <c r="P15" i="21"/>
  <c r="P28" i="21"/>
  <c r="P36" i="21"/>
  <c r="R69" i="21"/>
  <c r="R7" i="24"/>
  <c r="R10" i="24"/>
  <c r="O7" i="27"/>
  <c r="R10" i="27"/>
  <c r="P34" i="40"/>
  <c r="N14" i="33"/>
  <c r="O30" i="40"/>
  <c r="O38" i="40"/>
  <c r="Q13" i="43"/>
  <c r="Q10" i="12"/>
  <c r="P15" i="12"/>
  <c r="R6" i="12"/>
  <c r="P26" i="21"/>
  <c r="P30" i="21"/>
  <c r="P34" i="21"/>
  <c r="Q38" i="21"/>
  <c r="R56" i="21"/>
  <c r="N8" i="23"/>
  <c r="Q9" i="23"/>
  <c r="Q52" i="24"/>
  <c r="N63" i="24"/>
  <c r="N72" i="24"/>
  <c r="O6" i="27"/>
  <c r="N7" i="33"/>
  <c r="N9" i="39"/>
  <c r="N10" i="39"/>
  <c r="O14" i="39"/>
  <c r="Q42" i="40"/>
  <c r="N43" i="40"/>
  <c r="R50" i="40"/>
  <c r="Q7" i="43"/>
  <c r="O12" i="43"/>
  <c r="P43" i="43"/>
  <c r="R77" i="43"/>
  <c r="N8" i="44"/>
  <c r="O27" i="44"/>
  <c r="R17" i="12"/>
  <c r="P17" i="21"/>
  <c r="P25" i="21"/>
  <c r="P29" i="21"/>
  <c r="P33" i="21"/>
  <c r="P37" i="21"/>
  <c r="R53" i="21"/>
  <c r="Q68" i="21"/>
  <c r="N69" i="21"/>
  <c r="N6" i="23"/>
  <c r="P7" i="23"/>
  <c r="O8" i="23"/>
  <c r="O13" i="23"/>
  <c r="N14" i="24"/>
  <c r="Q47" i="24"/>
  <c r="R63" i="24"/>
  <c r="R7" i="27"/>
  <c r="N8" i="39"/>
  <c r="O9" i="39"/>
  <c r="O10" i="39"/>
  <c r="O13" i="39"/>
  <c r="O6" i="40"/>
  <c r="O28" i="40"/>
  <c r="O32" i="40"/>
  <c r="O36" i="40"/>
  <c r="O40" i="40"/>
  <c r="R42" i="40"/>
  <c r="Q43" i="40"/>
  <c r="R54" i="40"/>
  <c r="R23" i="43"/>
  <c r="O41" i="43"/>
  <c r="N42" i="43"/>
  <c r="O53" i="43"/>
  <c r="N54" i="43"/>
  <c r="N55" i="43"/>
  <c r="Q8" i="15"/>
  <c r="O18" i="15"/>
  <c r="Q20" i="15"/>
  <c r="R22" i="15"/>
  <c r="R26" i="15"/>
  <c r="O6" i="23"/>
  <c r="P13" i="23"/>
  <c r="O14" i="24"/>
  <c r="N46" i="24"/>
  <c r="Q7" i="39"/>
  <c r="Q10" i="39"/>
  <c r="P6" i="40"/>
  <c r="P28" i="40"/>
  <c r="P32" i="40"/>
  <c r="P36" i="40"/>
  <c r="Q40" i="40"/>
  <c r="N62" i="40"/>
  <c r="N16" i="43"/>
  <c r="Q28" i="43"/>
  <c r="P41" i="43"/>
  <c r="R53" i="43"/>
  <c r="O54" i="43"/>
  <c r="O61" i="43"/>
  <c r="N62" i="43"/>
  <c r="N63" i="43"/>
  <c r="N11" i="33"/>
  <c r="Q6" i="25"/>
  <c r="O7" i="25"/>
  <c r="Q12" i="15"/>
  <c r="Q16" i="15"/>
  <c r="R28" i="15"/>
  <c r="R32" i="15"/>
  <c r="O57" i="15"/>
  <c r="Q59" i="15"/>
  <c r="O63" i="15"/>
  <c r="O67" i="15"/>
  <c r="O19" i="15"/>
  <c r="Q41" i="15"/>
  <c r="Q52" i="15"/>
  <c r="Q58" i="15"/>
  <c r="Q62" i="15"/>
  <c r="Q67" i="15"/>
  <c r="O69" i="15"/>
  <c r="O73" i="15"/>
  <c r="O61" i="15"/>
  <c r="O65" i="15"/>
  <c r="O17" i="15"/>
  <c r="O21" i="15"/>
  <c r="Q39" i="15"/>
  <c r="Q66" i="15"/>
  <c r="Q55" i="15"/>
  <c r="P41" i="15"/>
  <c r="O59" i="15"/>
  <c r="Q19" i="15"/>
  <c r="O26" i="15"/>
  <c r="N10" i="15"/>
  <c r="N6" i="15"/>
  <c r="O22" i="15"/>
  <c r="P14" i="15"/>
  <c r="N9" i="15"/>
  <c r="N13" i="15"/>
  <c r="Q18" i="15"/>
  <c r="N8" i="15"/>
  <c r="N12" i="15"/>
  <c r="O34" i="15"/>
  <c r="N11" i="15"/>
  <c r="Q6" i="14"/>
  <c r="R6" i="24"/>
  <c r="N16" i="24"/>
  <c r="N22" i="24"/>
  <c r="N24" i="24"/>
  <c r="O31" i="24"/>
  <c r="N42" i="24"/>
  <c r="N10" i="24"/>
  <c r="R14" i="24"/>
  <c r="O15" i="24"/>
  <c r="R16" i="24"/>
  <c r="O22" i="24"/>
  <c r="O23" i="24"/>
  <c r="R24" i="24"/>
  <c r="R30" i="24"/>
  <c r="N34" i="24"/>
  <c r="O35" i="24"/>
  <c r="R36" i="24"/>
  <c r="Q39" i="24"/>
  <c r="N50" i="24"/>
  <c r="R59" i="24"/>
  <c r="N67" i="24"/>
  <c r="Q68" i="24"/>
  <c r="R13" i="24"/>
  <c r="N15" i="24"/>
  <c r="N30" i="24"/>
  <c r="N36" i="24"/>
  <c r="Q51" i="24"/>
  <c r="N59" i="24"/>
  <c r="Q60" i="24"/>
  <c r="Q71" i="24"/>
  <c r="R9" i="24"/>
  <c r="O10" i="24"/>
  <c r="N11" i="24"/>
  <c r="N18" i="24"/>
  <c r="N20" i="24"/>
  <c r="R22" i="24"/>
  <c r="N26" i="24"/>
  <c r="N28" i="24"/>
  <c r="R34" i="24"/>
  <c r="N38" i="24"/>
  <c r="P44" i="24"/>
  <c r="N55" i="24"/>
  <c r="R67" i="24"/>
  <c r="N6" i="31"/>
  <c r="O6" i="31"/>
  <c r="Q6" i="31"/>
  <c r="Q18" i="28"/>
  <c r="Q20" i="28"/>
  <c r="Q21" i="28"/>
  <c r="R7" i="28"/>
  <c r="R23" i="28"/>
  <c r="O24" i="28"/>
  <c r="R24" i="28"/>
  <c r="N24" i="28"/>
  <c r="R19" i="28"/>
  <c r="N17" i="28"/>
  <c r="O17" i="28"/>
  <c r="N15" i="28"/>
  <c r="N13" i="28"/>
  <c r="R15" i="28"/>
  <c r="R17" i="28"/>
  <c r="O20" i="28"/>
  <c r="N21" i="28"/>
  <c r="N11" i="28"/>
  <c r="O16" i="28"/>
  <c r="O13" i="28"/>
  <c r="R20" i="28"/>
  <c r="O21" i="28"/>
  <c r="O11" i="28"/>
  <c r="R11" i="28"/>
  <c r="O10" i="28"/>
  <c r="N9" i="28"/>
  <c r="R9" i="28"/>
  <c r="O6" i="28"/>
  <c r="N7" i="28"/>
  <c r="R10" i="29"/>
  <c r="N12" i="33"/>
  <c r="N10" i="33"/>
  <c r="N9" i="33"/>
  <c r="N8" i="33"/>
  <c r="N6" i="33"/>
  <c r="P22" i="34"/>
  <c r="O6" i="34"/>
  <c r="P19" i="34"/>
  <c r="S18" i="34"/>
  <c r="O11" i="34"/>
  <c r="P11" i="34"/>
  <c r="O12" i="34"/>
  <c r="O14" i="34"/>
  <c r="S11" i="34"/>
  <c r="P12" i="34"/>
  <c r="P14" i="34"/>
  <c r="O19" i="34"/>
  <c r="O22" i="34"/>
  <c r="S28" i="34"/>
  <c r="N6" i="38"/>
  <c r="P24" i="44"/>
  <c r="Q55" i="44"/>
  <c r="N13" i="44"/>
  <c r="N9" i="44"/>
  <c r="N12" i="44"/>
  <c r="N7" i="44"/>
  <c r="R11" i="44"/>
  <c r="P12" i="44"/>
  <c r="R23" i="44"/>
  <c r="N35" i="44"/>
  <c r="P7" i="44"/>
  <c r="O35" i="44"/>
  <c r="R7" i="44"/>
  <c r="P8" i="44"/>
  <c r="N11" i="44"/>
  <c r="N27" i="44"/>
  <c r="O55" i="44"/>
  <c r="O56" i="44"/>
  <c r="N16" i="44"/>
  <c r="N17" i="44"/>
  <c r="O40" i="44"/>
  <c r="O44" i="44"/>
  <c r="R15" i="44"/>
  <c r="P16" i="44"/>
  <c r="N19" i="44"/>
  <c r="N31" i="44"/>
  <c r="Q39" i="44"/>
  <c r="P40" i="44"/>
  <c r="O41" i="44"/>
  <c r="O42" i="44"/>
  <c r="O43" i="44"/>
  <c r="P19" i="44"/>
  <c r="N24" i="44"/>
  <c r="N25" i="44"/>
  <c r="O31" i="44"/>
  <c r="Q41" i="44"/>
  <c r="P42" i="44"/>
  <c r="P6" i="42"/>
  <c r="O6" i="42"/>
  <c r="Q51" i="40"/>
  <c r="R27" i="40"/>
  <c r="R31" i="40"/>
  <c r="R33" i="40"/>
  <c r="R35" i="40"/>
  <c r="R37" i="40"/>
  <c r="R39" i="40"/>
  <c r="N29" i="40"/>
  <c r="N37" i="40"/>
  <c r="N46" i="40"/>
  <c r="R6" i="40"/>
  <c r="O27" i="40"/>
  <c r="R28" i="40"/>
  <c r="O29" i="40"/>
  <c r="R30" i="40"/>
  <c r="O31" i="40"/>
  <c r="R32" i="40"/>
  <c r="O33" i="40"/>
  <c r="R34" i="40"/>
  <c r="O35" i="40"/>
  <c r="R36" i="40"/>
  <c r="O37" i="40"/>
  <c r="R38" i="40"/>
  <c r="O39" i="40"/>
  <c r="Q46" i="40"/>
  <c r="N47" i="40"/>
  <c r="R29" i="40"/>
  <c r="N27" i="40"/>
  <c r="N31" i="40"/>
  <c r="N33" i="40"/>
  <c r="N35" i="40"/>
  <c r="N39" i="40"/>
  <c r="N6" i="40"/>
  <c r="P27" i="40"/>
  <c r="N28" i="40"/>
  <c r="P29" i="40"/>
  <c r="N30" i="40"/>
  <c r="P31" i="40"/>
  <c r="N32" i="40"/>
  <c r="P33" i="40"/>
  <c r="N34" i="40"/>
  <c r="P35" i="40"/>
  <c r="N36" i="40"/>
  <c r="P37" i="40"/>
  <c r="N38" i="40"/>
  <c r="P39" i="40"/>
  <c r="N40" i="40"/>
  <c r="Q47" i="40"/>
  <c r="Q59" i="40"/>
  <c r="R58" i="40"/>
  <c r="N54" i="40"/>
  <c r="Q17" i="17"/>
  <c r="Q9" i="17"/>
  <c r="P13" i="17"/>
  <c r="P19" i="12"/>
  <c r="P18" i="12"/>
  <c r="R20" i="12"/>
  <c r="P22" i="12"/>
  <c r="P8" i="12"/>
  <c r="P12" i="12"/>
  <c r="P9" i="12"/>
  <c r="R11" i="12"/>
  <c r="O15" i="12"/>
  <c r="O39" i="43"/>
  <c r="N40" i="43"/>
  <c r="N47" i="43"/>
  <c r="N49" i="43"/>
  <c r="N57" i="43"/>
  <c r="N65" i="43"/>
  <c r="N73" i="43"/>
  <c r="N32" i="43"/>
  <c r="O37" i="43"/>
  <c r="N38" i="43"/>
  <c r="P39" i="43"/>
  <c r="O45" i="43"/>
  <c r="N46" i="43"/>
  <c r="O47" i="43"/>
  <c r="N48" i="43"/>
  <c r="O49" i="43"/>
  <c r="N50" i="43"/>
  <c r="N51" i="43"/>
  <c r="O57" i="43"/>
  <c r="N58" i="43"/>
  <c r="N59" i="43"/>
  <c r="O65" i="43"/>
  <c r="N66" i="43"/>
  <c r="N67" i="43"/>
  <c r="O73" i="43"/>
  <c r="N74" i="43"/>
  <c r="N75" i="43"/>
  <c r="N12" i="43"/>
  <c r="O13" i="43"/>
  <c r="Q14" i="43"/>
  <c r="Q24" i="43"/>
  <c r="N28" i="43"/>
  <c r="Q31" i="43"/>
  <c r="N36" i="43"/>
  <c r="P37" i="43"/>
  <c r="O43" i="43"/>
  <c r="N44" i="43"/>
  <c r="P45" i="43"/>
  <c r="P47" i="43"/>
  <c r="R49" i="43"/>
  <c r="O50" i="43"/>
  <c r="N53" i="43"/>
  <c r="R57" i="43"/>
  <c r="O58" i="43"/>
  <c r="N61" i="43"/>
  <c r="R65" i="43"/>
  <c r="O66" i="43"/>
  <c r="N69" i="43"/>
  <c r="R73" i="43"/>
  <c r="O74" i="43"/>
  <c r="O77" i="43"/>
  <c r="N6" i="43"/>
  <c r="N9" i="43"/>
  <c r="O10" i="43"/>
  <c r="Q16" i="43"/>
  <c r="Q19" i="43"/>
  <c r="N20" i="43"/>
  <c r="Q32" i="43"/>
  <c r="O36" i="43"/>
  <c r="R37" i="43"/>
  <c r="O38" i="43"/>
  <c r="R39" i="43"/>
  <c r="O40" i="43"/>
  <c r="R41" i="43"/>
  <c r="O42" i="43"/>
  <c r="R43" i="43"/>
  <c r="O44" i="43"/>
  <c r="R45" i="43"/>
  <c r="O46" i="43"/>
  <c r="R47" i="43"/>
  <c r="O48" i="43"/>
  <c r="S48" i="43" s="1"/>
  <c r="R50" i="43"/>
  <c r="O51" i="43"/>
  <c r="N52" i="43"/>
  <c r="R54" i="43"/>
  <c r="O55" i="43"/>
  <c r="N56" i="43"/>
  <c r="R58" i="43"/>
  <c r="O59" i="43"/>
  <c r="N60" i="43"/>
  <c r="R62" i="43"/>
  <c r="O63" i="43"/>
  <c r="N64" i="43"/>
  <c r="R66" i="43"/>
  <c r="O67" i="43"/>
  <c r="N68" i="43"/>
  <c r="R70" i="43"/>
  <c r="O71" i="43"/>
  <c r="N72" i="43"/>
  <c r="R74" i="43"/>
  <c r="O75" i="43"/>
  <c r="N76" i="43"/>
  <c r="O6" i="43"/>
  <c r="O7" i="43"/>
  <c r="O9" i="43"/>
  <c r="Q10" i="43"/>
  <c r="Q20" i="43"/>
  <c r="N24" i="43"/>
  <c r="P36" i="43"/>
  <c r="N37" i="43"/>
  <c r="P38" i="43"/>
  <c r="N39" i="43"/>
  <c r="P40" i="43"/>
  <c r="N41" i="43"/>
  <c r="P42" i="43"/>
  <c r="N43" i="43"/>
  <c r="P44" i="43"/>
  <c r="N45" i="43"/>
  <c r="P46" i="43"/>
  <c r="P48" i="43"/>
  <c r="R51" i="43"/>
  <c r="O52" i="43"/>
  <c r="R55" i="43"/>
  <c r="O56" i="43"/>
  <c r="R59" i="43"/>
  <c r="O60" i="43"/>
  <c r="R63" i="43"/>
  <c r="O64" i="43"/>
  <c r="R67" i="43"/>
  <c r="O68" i="43"/>
  <c r="R71" i="43"/>
  <c r="O72" i="43"/>
  <c r="R75" i="43"/>
  <c r="O76" i="43"/>
  <c r="N77" i="43"/>
  <c r="Q6" i="43"/>
  <c r="R36" i="43"/>
  <c r="R38" i="43"/>
  <c r="R40" i="43"/>
  <c r="R42" i="43"/>
  <c r="R44" i="43"/>
  <c r="R46" i="43"/>
  <c r="R48" i="43"/>
  <c r="R52" i="43"/>
  <c r="R56" i="43"/>
  <c r="R60" i="43"/>
  <c r="R64" i="43"/>
  <c r="R68" i="43"/>
  <c r="R72" i="43"/>
  <c r="R76" i="43"/>
  <c r="N20" i="44"/>
  <c r="N21" i="44"/>
  <c r="O48" i="44"/>
  <c r="O52" i="44"/>
  <c r="O57" i="44"/>
  <c r="O58" i="44"/>
  <c r="O59" i="44"/>
  <c r="N15" i="44"/>
  <c r="R19" i="44"/>
  <c r="P20" i="44"/>
  <c r="N23" i="44"/>
  <c r="N29" i="44"/>
  <c r="N33" i="44"/>
  <c r="N37" i="44"/>
  <c r="Q47" i="44"/>
  <c r="P48" i="44"/>
  <c r="O49" i="44"/>
  <c r="O50" i="44"/>
  <c r="O51" i="44"/>
  <c r="Q57" i="44"/>
  <c r="P58" i="44"/>
  <c r="P15" i="44"/>
  <c r="P23" i="44"/>
  <c r="O29" i="44"/>
  <c r="O33" i="44"/>
  <c r="O37" i="44"/>
  <c r="Q49" i="44"/>
  <c r="P50" i="44"/>
  <c r="R28" i="44"/>
  <c r="R30" i="44"/>
  <c r="R36" i="44"/>
  <c r="N6" i="44"/>
  <c r="R8" i="44"/>
  <c r="P9" i="44"/>
  <c r="N10" i="44"/>
  <c r="R12" i="44"/>
  <c r="P13" i="44"/>
  <c r="N14" i="44"/>
  <c r="R16" i="44"/>
  <c r="P17" i="44"/>
  <c r="N18" i="44"/>
  <c r="R20" i="44"/>
  <c r="P21" i="44"/>
  <c r="N22" i="44"/>
  <c r="R24" i="44"/>
  <c r="P25" i="44"/>
  <c r="N26" i="44"/>
  <c r="P27" i="44"/>
  <c r="N28" i="44"/>
  <c r="P29" i="44"/>
  <c r="N30" i="44"/>
  <c r="P31" i="44"/>
  <c r="N32" i="44"/>
  <c r="P33" i="44"/>
  <c r="N34" i="44"/>
  <c r="P35" i="44"/>
  <c r="N36" i="44"/>
  <c r="P37" i="44"/>
  <c r="O38" i="44"/>
  <c r="Q43" i="44"/>
  <c r="P44" i="44"/>
  <c r="O45" i="44"/>
  <c r="O46" i="44"/>
  <c r="Q51" i="44"/>
  <c r="P52" i="44"/>
  <c r="O53" i="44"/>
  <c r="O54" i="44"/>
  <c r="Q59" i="44"/>
  <c r="R26" i="44"/>
  <c r="P6" i="44"/>
  <c r="R9" i="44"/>
  <c r="P10" i="44"/>
  <c r="R13" i="44"/>
  <c r="P14" i="44"/>
  <c r="R17" i="44"/>
  <c r="P18" i="44"/>
  <c r="R21" i="44"/>
  <c r="P22" i="44"/>
  <c r="R25" i="44"/>
  <c r="O26" i="44"/>
  <c r="R27" i="44"/>
  <c r="O28" i="44"/>
  <c r="R29" i="44"/>
  <c r="O30" i="44"/>
  <c r="R31" i="44"/>
  <c r="O32" i="44"/>
  <c r="R33" i="44"/>
  <c r="O34" i="44"/>
  <c r="R35" i="44"/>
  <c r="O36" i="44"/>
  <c r="R37" i="44"/>
  <c r="P38" i="44"/>
  <c r="O39" i="44"/>
  <c r="Q45" i="44"/>
  <c r="P46" i="44"/>
  <c r="O47" i="44"/>
  <c r="Q53" i="44"/>
  <c r="P54" i="44"/>
  <c r="R32" i="44"/>
  <c r="R34" i="44"/>
  <c r="R6" i="44"/>
  <c r="R10" i="44"/>
  <c r="R14" i="44"/>
  <c r="R18" i="44"/>
  <c r="R22" i="44"/>
  <c r="P26" i="44"/>
  <c r="P28" i="44"/>
  <c r="P30" i="44"/>
  <c r="P32" i="44"/>
  <c r="P34" i="44"/>
  <c r="P36" i="44"/>
  <c r="N55" i="40"/>
  <c r="N63" i="40"/>
  <c r="N50" i="40"/>
  <c r="Q55" i="40"/>
  <c r="N58" i="40"/>
  <c r="Q63" i="40"/>
  <c r="N51" i="40"/>
  <c r="N59" i="40"/>
  <c r="R65" i="40"/>
  <c r="N6" i="39"/>
  <c r="Q14" i="39"/>
  <c r="N17" i="39"/>
  <c r="N18" i="39"/>
  <c r="O6" i="39"/>
  <c r="O17" i="39"/>
  <c r="O18" i="39"/>
  <c r="Q6" i="39"/>
  <c r="N13" i="39"/>
  <c r="N14" i="39"/>
  <c r="Q18" i="39"/>
  <c r="R6" i="38"/>
  <c r="G53" i="38" s="1"/>
  <c r="O8" i="34"/>
  <c r="O15" i="34"/>
  <c r="S21" i="34"/>
  <c r="O23" i="34"/>
  <c r="O25" i="34"/>
  <c r="P8" i="34"/>
  <c r="O9" i="34"/>
  <c r="S14" i="34"/>
  <c r="P15" i="34"/>
  <c r="O18" i="34"/>
  <c r="S22" i="34"/>
  <c r="P23" i="34"/>
  <c r="P25" i="34"/>
  <c r="O26" i="34"/>
  <c r="S8" i="34"/>
  <c r="S17" i="34"/>
  <c r="P18" i="34"/>
  <c r="S25" i="34"/>
  <c r="P26" i="34"/>
  <c r="O13" i="34"/>
  <c r="O16" i="34"/>
  <c r="O20" i="34"/>
  <c r="O27" i="34"/>
  <c r="P6" i="34"/>
  <c r="O7" i="34"/>
  <c r="P9" i="34"/>
  <c r="O10" i="34"/>
  <c r="S12" i="34"/>
  <c r="P13" i="34"/>
  <c r="S15" i="34"/>
  <c r="P16" i="34"/>
  <c r="O17" i="34"/>
  <c r="S19" i="34"/>
  <c r="P20" i="34"/>
  <c r="O21" i="34"/>
  <c r="S23" i="34"/>
  <c r="O24" i="34"/>
  <c r="S26" i="34"/>
  <c r="P27" i="34"/>
  <c r="O28" i="34"/>
  <c r="S6" i="34"/>
  <c r="P7" i="34"/>
  <c r="S9" i="34"/>
  <c r="P10" i="34"/>
  <c r="S13" i="34"/>
  <c r="S16" i="34"/>
  <c r="P17" i="34"/>
  <c r="S20" i="34"/>
  <c r="P21" i="34"/>
  <c r="P24" i="34"/>
  <c r="S27" i="34"/>
  <c r="P28" i="34"/>
  <c r="S7" i="34"/>
  <c r="S10" i="34"/>
  <c r="S24" i="34"/>
  <c r="R6" i="33"/>
  <c r="R7" i="33"/>
  <c r="R8" i="33"/>
  <c r="R9" i="33"/>
  <c r="R10" i="33"/>
  <c r="R11" i="33"/>
  <c r="N15" i="33"/>
  <c r="N13" i="33"/>
  <c r="R12" i="33"/>
  <c r="R13" i="33"/>
  <c r="R14" i="33"/>
  <c r="R15" i="33"/>
  <c r="N6" i="32"/>
  <c r="R6" i="32"/>
  <c r="R7" i="32" s="1"/>
  <c r="P20" i="29"/>
  <c r="R14" i="29"/>
  <c r="P19" i="29"/>
  <c r="P17" i="29"/>
  <c r="P18" i="29"/>
  <c r="Q6" i="29"/>
  <c r="P21" i="29"/>
  <c r="R6" i="28"/>
  <c r="O7" i="28"/>
  <c r="N8" i="28"/>
  <c r="R10" i="28"/>
  <c r="N12" i="28"/>
  <c r="N14" i="28"/>
  <c r="R16" i="28"/>
  <c r="N18" i="28"/>
  <c r="N22" i="28"/>
  <c r="O8" i="28"/>
  <c r="O12" i="28"/>
  <c r="O14" i="28"/>
  <c r="O18" i="28"/>
  <c r="N19" i="28"/>
  <c r="R21" i="28"/>
  <c r="O22" i="28"/>
  <c r="N23" i="28"/>
  <c r="N6" i="28"/>
  <c r="R8" i="28"/>
  <c r="O9" i="28"/>
  <c r="N10" i="28"/>
  <c r="R12" i="28"/>
  <c r="R14" i="28"/>
  <c r="O15" i="28"/>
  <c r="N16" i="28"/>
  <c r="R18" i="28"/>
  <c r="O19" i="28"/>
  <c r="N20" i="28"/>
  <c r="R22" i="28"/>
  <c r="O23" i="28"/>
  <c r="R6" i="27"/>
  <c r="N8" i="27"/>
  <c r="N9" i="27"/>
  <c r="O8" i="27"/>
  <c r="O9" i="27"/>
  <c r="N6" i="27"/>
  <c r="R8" i="27"/>
  <c r="R9" i="27"/>
  <c r="N10" i="27"/>
  <c r="R6" i="22"/>
  <c r="N6" i="22"/>
  <c r="O16" i="24"/>
  <c r="N17" i="24"/>
  <c r="R19" i="24"/>
  <c r="O20" i="24"/>
  <c r="N21" i="24"/>
  <c r="R23" i="24"/>
  <c r="O24" i="24"/>
  <c r="N25" i="24"/>
  <c r="R27" i="24"/>
  <c r="O28" i="24"/>
  <c r="N29" i="24"/>
  <c r="R31" i="24"/>
  <c r="O32" i="24"/>
  <c r="N33" i="24"/>
  <c r="R35" i="24"/>
  <c r="O36" i="24"/>
  <c r="N37" i="24"/>
  <c r="N40" i="24"/>
  <c r="Q41" i="24"/>
  <c r="P42" i="24"/>
  <c r="N48" i="24"/>
  <c r="Q49" i="24"/>
  <c r="P50" i="24"/>
  <c r="N56" i="24"/>
  <c r="N64" i="24"/>
  <c r="Q72" i="24"/>
  <c r="Q75" i="24"/>
  <c r="N76" i="24"/>
  <c r="O17" i="24"/>
  <c r="O21" i="24"/>
  <c r="O25" i="24"/>
  <c r="O29" i="24"/>
  <c r="O33" i="24"/>
  <c r="O37" i="24"/>
  <c r="P40" i="24"/>
  <c r="P48" i="24"/>
  <c r="Q56" i="24"/>
  <c r="Q64" i="24"/>
  <c r="Q76" i="24"/>
  <c r="R17" i="24"/>
  <c r="N19" i="24"/>
  <c r="R21" i="24"/>
  <c r="N23" i="24"/>
  <c r="R25" i="24"/>
  <c r="N27" i="24"/>
  <c r="R29" i="24"/>
  <c r="O30" i="24"/>
  <c r="N31" i="24"/>
  <c r="R33" i="24"/>
  <c r="O34" i="24"/>
  <c r="N35" i="24"/>
  <c r="R37" i="24"/>
  <c r="P38" i="24"/>
  <c r="N44" i="24"/>
  <c r="Q45" i="24"/>
  <c r="P46" i="24"/>
  <c r="N52" i="24"/>
  <c r="N60" i="24"/>
  <c r="N68" i="24"/>
  <c r="N8" i="24"/>
  <c r="N12" i="24"/>
  <c r="N6" i="24"/>
  <c r="O8" i="24"/>
  <c r="N9" i="24"/>
  <c r="R11" i="24"/>
  <c r="O12" i="24"/>
  <c r="N13" i="24"/>
  <c r="R15" i="24"/>
  <c r="O6" i="24"/>
  <c r="R8" i="24"/>
  <c r="O9" i="24"/>
  <c r="R12" i="24"/>
  <c r="O13" i="24"/>
  <c r="R7" i="23"/>
  <c r="O11" i="23"/>
  <c r="P6" i="23"/>
  <c r="N7" i="23"/>
  <c r="P8" i="23"/>
  <c r="O9" i="23"/>
  <c r="P11" i="23"/>
  <c r="R6" i="23"/>
  <c r="O7" i="23"/>
  <c r="R8" i="23"/>
  <c r="P13" i="21"/>
  <c r="O19" i="21"/>
  <c r="P21" i="21"/>
  <c r="R40" i="21"/>
  <c r="Q41" i="21"/>
  <c r="Q44" i="21"/>
  <c r="N45" i="21"/>
  <c r="Q52" i="21"/>
  <c r="N53" i="21"/>
  <c r="Q64" i="21"/>
  <c r="N65" i="21"/>
  <c r="R72" i="21"/>
  <c r="Q73" i="21"/>
  <c r="Q76" i="21"/>
  <c r="N77" i="21"/>
  <c r="Q14" i="21"/>
  <c r="O21" i="21"/>
  <c r="Q22" i="21"/>
  <c r="N41" i="21"/>
  <c r="N73" i="21"/>
  <c r="P12" i="21"/>
  <c r="O17" i="21"/>
  <c r="Q18" i="21"/>
  <c r="P19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Q77" i="21"/>
  <c r="P7" i="21"/>
  <c r="P11" i="21"/>
  <c r="P6" i="21"/>
  <c r="P10" i="21"/>
  <c r="P9" i="21"/>
  <c r="O6" i="20"/>
  <c r="P6" i="20"/>
  <c r="Q6" i="19"/>
  <c r="Q7" i="17"/>
  <c r="Q11" i="17"/>
  <c r="Q15" i="17"/>
  <c r="O6" i="16"/>
  <c r="R6" i="15"/>
  <c r="R8" i="15"/>
  <c r="R9" i="15"/>
  <c r="R10" i="15"/>
  <c r="R11" i="15"/>
  <c r="R12" i="15"/>
  <c r="O16" i="15"/>
  <c r="O25" i="15"/>
  <c r="O33" i="15"/>
  <c r="P16" i="15"/>
  <c r="O24" i="15"/>
  <c r="O28" i="15"/>
  <c r="O32" i="15"/>
  <c r="O14" i="15"/>
  <c r="O20" i="15"/>
  <c r="O27" i="15"/>
  <c r="P39" i="15"/>
  <c r="P52" i="15"/>
  <c r="O9" i="12"/>
  <c r="N11" i="12"/>
  <c r="Q9" i="12"/>
  <c r="R10" i="12"/>
  <c r="O12" i="12"/>
  <c r="N18" i="12"/>
  <c r="N12" i="12"/>
  <c r="Q12" i="12"/>
  <c r="Q18" i="12"/>
  <c r="Q6" i="12"/>
  <c r="N8" i="12"/>
  <c r="Q15" i="12"/>
  <c r="O18" i="12"/>
  <c r="O19" i="12"/>
  <c r="Q20" i="12"/>
  <c r="N22" i="12"/>
  <c r="O8" i="12"/>
  <c r="Q19" i="12"/>
  <c r="O22" i="12"/>
  <c r="Q8" i="12"/>
  <c r="Q22" i="12"/>
  <c r="Q6" i="44"/>
  <c r="Q7" i="44"/>
  <c r="Q8" i="44"/>
  <c r="Q9" i="44"/>
  <c r="Q10" i="44"/>
  <c r="Q11" i="44"/>
  <c r="Q12" i="44"/>
  <c r="Q13" i="44"/>
  <c r="Q14" i="44"/>
  <c r="Q15" i="44"/>
  <c r="Q16" i="44"/>
  <c r="Q17" i="44"/>
  <c r="Q18" i="44"/>
  <c r="Q19" i="44"/>
  <c r="Q20" i="44"/>
  <c r="Q21" i="44"/>
  <c r="Q22" i="44"/>
  <c r="Q23" i="44"/>
  <c r="Q24" i="44"/>
  <c r="Q25" i="44"/>
  <c r="R38" i="44"/>
  <c r="N38" i="44"/>
  <c r="R40" i="44"/>
  <c r="N40" i="44"/>
  <c r="R42" i="44"/>
  <c r="N42" i="44"/>
  <c r="R44" i="44"/>
  <c r="N44" i="44"/>
  <c r="R46" i="44"/>
  <c r="N46" i="44"/>
  <c r="R48" i="44"/>
  <c r="N48" i="44"/>
  <c r="R50" i="44"/>
  <c r="N50" i="44"/>
  <c r="R52" i="44"/>
  <c r="N52" i="44"/>
  <c r="R54" i="44"/>
  <c r="N54" i="44"/>
  <c r="R56" i="44"/>
  <c r="N56" i="44"/>
  <c r="R58" i="44"/>
  <c r="N58" i="44"/>
  <c r="R39" i="44"/>
  <c r="N39" i="44"/>
  <c r="R41" i="44"/>
  <c r="N41" i="44"/>
  <c r="R43" i="44"/>
  <c r="N43" i="44"/>
  <c r="R45" i="44"/>
  <c r="N45" i="44"/>
  <c r="R47" i="44"/>
  <c r="N47" i="44"/>
  <c r="R49" i="44"/>
  <c r="N49" i="44"/>
  <c r="R51" i="44"/>
  <c r="N51" i="44"/>
  <c r="R53" i="44"/>
  <c r="N53" i="44"/>
  <c r="R55" i="44"/>
  <c r="N55" i="44"/>
  <c r="R57" i="44"/>
  <c r="N57" i="44"/>
  <c r="R59" i="44"/>
  <c r="N59" i="44"/>
  <c r="R11" i="43"/>
  <c r="R15" i="43"/>
  <c r="P17" i="43"/>
  <c r="O17" i="43"/>
  <c r="P21" i="43"/>
  <c r="O21" i="43"/>
  <c r="P25" i="43"/>
  <c r="O25" i="43"/>
  <c r="P29" i="43"/>
  <c r="O29" i="43"/>
  <c r="P33" i="43"/>
  <c r="O33" i="43"/>
  <c r="R8" i="43"/>
  <c r="N11" i="43"/>
  <c r="R14" i="43"/>
  <c r="N15" i="43"/>
  <c r="N17" i="43"/>
  <c r="P18" i="43"/>
  <c r="O18" i="43"/>
  <c r="N21" i="43"/>
  <c r="P22" i="43"/>
  <c r="O22" i="43"/>
  <c r="N25" i="43"/>
  <c r="P26" i="43"/>
  <c r="O26" i="43"/>
  <c r="N29" i="43"/>
  <c r="P30" i="43"/>
  <c r="O30" i="43"/>
  <c r="N33" i="43"/>
  <c r="P34" i="43"/>
  <c r="O34" i="43"/>
  <c r="R7" i="43"/>
  <c r="N8" i="43"/>
  <c r="Q9" i="43"/>
  <c r="R10" i="43"/>
  <c r="O11" i="43"/>
  <c r="Q12" i="43"/>
  <c r="R13" i="43"/>
  <c r="N14" i="43"/>
  <c r="O15" i="43"/>
  <c r="Q17" i="43"/>
  <c r="N18" i="43"/>
  <c r="P19" i="43"/>
  <c r="O19" i="43"/>
  <c r="Q21" i="43"/>
  <c r="N22" i="43"/>
  <c r="P23" i="43"/>
  <c r="O23" i="43"/>
  <c r="Q25" i="43"/>
  <c r="N26" i="43"/>
  <c r="P27" i="43"/>
  <c r="O27" i="43"/>
  <c r="Q29" i="43"/>
  <c r="N30" i="43"/>
  <c r="P31" i="43"/>
  <c r="O31" i="43"/>
  <c r="Q33" i="43"/>
  <c r="N34" i="43"/>
  <c r="P35" i="43"/>
  <c r="O35" i="43"/>
  <c r="Q35" i="43"/>
  <c r="R6" i="43"/>
  <c r="N7" i="43"/>
  <c r="O8" i="43"/>
  <c r="R9" i="43"/>
  <c r="N10" i="43"/>
  <c r="Q11" i="43"/>
  <c r="R12" i="43"/>
  <c r="N13" i="43"/>
  <c r="O14" i="43"/>
  <c r="Q15" i="43"/>
  <c r="P16" i="43"/>
  <c r="O16" i="43"/>
  <c r="R17" i="43"/>
  <c r="Q18" i="43"/>
  <c r="N19" i="43"/>
  <c r="P20" i="43"/>
  <c r="O20" i="43"/>
  <c r="R21" i="43"/>
  <c r="Q22" i="43"/>
  <c r="N23" i="43"/>
  <c r="P24" i="43"/>
  <c r="O24" i="43"/>
  <c r="R25" i="43"/>
  <c r="Q26" i="43"/>
  <c r="N27" i="43"/>
  <c r="P28" i="43"/>
  <c r="O28" i="43"/>
  <c r="R29" i="43"/>
  <c r="Q30" i="43"/>
  <c r="N31" i="43"/>
  <c r="P32" i="43"/>
  <c r="O32" i="43"/>
  <c r="R33" i="43"/>
  <c r="Q34" i="43"/>
  <c r="N35" i="43"/>
  <c r="Q49" i="43"/>
  <c r="Q50" i="43"/>
  <c r="Q51" i="43"/>
  <c r="Q52" i="43"/>
  <c r="Q53" i="43"/>
  <c r="Q54" i="43"/>
  <c r="Q55" i="43"/>
  <c r="Q56" i="43"/>
  <c r="Q57" i="43"/>
  <c r="Q58" i="43"/>
  <c r="Q59" i="43"/>
  <c r="Q60" i="43"/>
  <c r="Q61" i="43"/>
  <c r="Q62" i="43"/>
  <c r="Q63" i="43"/>
  <c r="Q64" i="43"/>
  <c r="Q65" i="43"/>
  <c r="Q66" i="43"/>
  <c r="Q67" i="43"/>
  <c r="Q68" i="43"/>
  <c r="Q69" i="43"/>
  <c r="Q70" i="43"/>
  <c r="Q71" i="43"/>
  <c r="Q72" i="43"/>
  <c r="Q73" i="43"/>
  <c r="Q74" i="43"/>
  <c r="Q75" i="43"/>
  <c r="Q76" i="43"/>
  <c r="Q77" i="43"/>
  <c r="Q6" i="42"/>
  <c r="N6" i="42"/>
  <c r="P41" i="40"/>
  <c r="O41" i="40"/>
  <c r="P45" i="40"/>
  <c r="O45" i="40"/>
  <c r="P53" i="40"/>
  <c r="O53" i="40"/>
  <c r="P57" i="40"/>
  <c r="O57" i="40"/>
  <c r="P61" i="40"/>
  <c r="O61" i="40"/>
  <c r="P44" i="40"/>
  <c r="O44" i="40"/>
  <c r="P52" i="40"/>
  <c r="O52" i="40"/>
  <c r="P56" i="40"/>
  <c r="O56" i="40"/>
  <c r="P60" i="40"/>
  <c r="O60" i="40"/>
  <c r="P49" i="40"/>
  <c r="O49" i="40"/>
  <c r="N64" i="40"/>
  <c r="R40" i="40"/>
  <c r="N41" i="40"/>
  <c r="P42" i="40"/>
  <c r="O42" i="40"/>
  <c r="Q44" i="40"/>
  <c r="N45" i="40"/>
  <c r="P46" i="40"/>
  <c r="O46" i="40"/>
  <c r="N49" i="40"/>
  <c r="P50" i="40"/>
  <c r="O50" i="40"/>
  <c r="Q52" i="40"/>
  <c r="N53" i="40"/>
  <c r="P54" i="40"/>
  <c r="O54" i="40"/>
  <c r="Q56" i="40"/>
  <c r="N57" i="40"/>
  <c r="P58" i="40"/>
  <c r="O58" i="40"/>
  <c r="Q60" i="40"/>
  <c r="N61" i="40"/>
  <c r="P62" i="40"/>
  <c r="O62" i="40"/>
  <c r="P48" i="40"/>
  <c r="O48" i="40"/>
  <c r="P64" i="40"/>
  <c r="O64" i="40"/>
  <c r="N44" i="40"/>
  <c r="N48" i="40"/>
  <c r="N52" i="40"/>
  <c r="N56" i="40"/>
  <c r="N60" i="40"/>
  <c r="P65" i="40"/>
  <c r="O65" i="40"/>
  <c r="Q41" i="40"/>
  <c r="P43" i="40"/>
  <c r="O43" i="40"/>
  <c r="R44" i="40"/>
  <c r="Q45" i="40"/>
  <c r="P47" i="40"/>
  <c r="O47" i="40"/>
  <c r="R48" i="40"/>
  <c r="Q49" i="40"/>
  <c r="P51" i="40"/>
  <c r="O51" i="40"/>
  <c r="R52" i="40"/>
  <c r="Q53" i="40"/>
  <c r="P55" i="40"/>
  <c r="O55" i="40"/>
  <c r="R56" i="40"/>
  <c r="Q57" i="40"/>
  <c r="P59" i="40"/>
  <c r="O59" i="40"/>
  <c r="R60" i="40"/>
  <c r="Q61" i="40"/>
  <c r="P63" i="40"/>
  <c r="O63" i="40"/>
  <c r="R64" i="40"/>
  <c r="Q65" i="40"/>
  <c r="P15" i="39"/>
  <c r="O15" i="39"/>
  <c r="N15" i="39"/>
  <c r="R15" i="39"/>
  <c r="P11" i="39"/>
  <c r="O11" i="39"/>
  <c r="N11" i="39"/>
  <c r="P12" i="39"/>
  <c r="Q12" i="39"/>
  <c r="O12" i="39"/>
  <c r="Q15" i="39"/>
  <c r="P7" i="39"/>
  <c r="O7" i="39"/>
  <c r="N7" i="39"/>
  <c r="P8" i="39"/>
  <c r="Q8" i="39"/>
  <c r="O8" i="39"/>
  <c r="Q11" i="39"/>
  <c r="N12" i="39"/>
  <c r="R11" i="39"/>
  <c r="R12" i="39"/>
  <c r="P16" i="39"/>
  <c r="Q16" i="39"/>
  <c r="N16" i="39"/>
  <c r="O16" i="39"/>
  <c r="R6" i="39"/>
  <c r="Q9" i="39"/>
  <c r="R10" i="39"/>
  <c r="Q13" i="39"/>
  <c r="R14" i="39"/>
  <c r="Q17" i="39"/>
  <c r="R18" i="39"/>
  <c r="R9" i="39"/>
  <c r="R13" i="39"/>
  <c r="R17" i="39"/>
  <c r="O6" i="38"/>
  <c r="P6" i="38"/>
  <c r="S29" i="34"/>
  <c r="O29" i="34"/>
  <c r="Q6" i="34"/>
  <c r="Q7" i="34"/>
  <c r="Q8" i="34"/>
  <c r="Q9" i="34"/>
  <c r="Q10" i="34"/>
  <c r="Q11" i="34"/>
  <c r="Q12" i="34"/>
  <c r="Q13" i="34"/>
  <c r="Q14" i="34"/>
  <c r="Q15" i="34"/>
  <c r="Q16" i="34"/>
  <c r="Q17" i="34"/>
  <c r="Q18" i="34"/>
  <c r="Q19" i="34"/>
  <c r="Q20" i="34"/>
  <c r="Q21" i="34"/>
  <c r="Q22" i="34"/>
  <c r="Q23" i="34"/>
  <c r="Q24" i="34"/>
  <c r="Q25" i="34"/>
  <c r="Q26" i="34"/>
  <c r="Q27" i="34"/>
  <c r="Q28" i="34"/>
  <c r="P29" i="34"/>
  <c r="Q29" i="34"/>
  <c r="O6" i="33"/>
  <c r="O7" i="33"/>
  <c r="O8" i="33"/>
  <c r="O9" i="33"/>
  <c r="O10" i="33"/>
  <c r="O11" i="33"/>
  <c r="O12" i="33"/>
  <c r="O13" i="33"/>
  <c r="O14" i="33"/>
  <c r="O15" i="33"/>
  <c r="P6" i="33"/>
  <c r="P7" i="33"/>
  <c r="P8" i="33"/>
  <c r="P9" i="33"/>
  <c r="P10" i="33"/>
  <c r="P11" i="33"/>
  <c r="P12" i="33"/>
  <c r="P13" i="33"/>
  <c r="P14" i="33"/>
  <c r="P15" i="33"/>
  <c r="Q16" i="33"/>
  <c r="F16" i="33" s="1"/>
  <c r="O6" i="32"/>
  <c r="P6" i="32"/>
  <c r="Q7" i="32"/>
  <c r="R6" i="31"/>
  <c r="S11" i="29"/>
  <c r="O11" i="29"/>
  <c r="Q11" i="29"/>
  <c r="R6" i="29"/>
  <c r="P7" i="29"/>
  <c r="S8" i="29"/>
  <c r="O8" i="29"/>
  <c r="Q8" i="29"/>
  <c r="P11" i="29"/>
  <c r="S12" i="29"/>
  <c r="O12" i="29"/>
  <c r="Q12" i="29"/>
  <c r="P15" i="29"/>
  <c r="S16" i="29"/>
  <c r="O16" i="29"/>
  <c r="Q16" i="29"/>
  <c r="O6" i="29"/>
  <c r="S6" i="29"/>
  <c r="P8" i="29"/>
  <c r="S9" i="29"/>
  <c r="O9" i="29"/>
  <c r="Q9" i="29"/>
  <c r="R11" i="29"/>
  <c r="P12" i="29"/>
  <c r="S13" i="29"/>
  <c r="O13" i="29"/>
  <c r="Q13" i="29"/>
  <c r="P16" i="29"/>
  <c r="S7" i="29"/>
  <c r="O7" i="29"/>
  <c r="Q7" i="29"/>
  <c r="S15" i="29"/>
  <c r="O15" i="29"/>
  <c r="Q15" i="29"/>
  <c r="R8" i="29"/>
  <c r="P9" i="29"/>
  <c r="S10" i="29"/>
  <c r="O10" i="29"/>
  <c r="Q10" i="29"/>
  <c r="R12" i="29"/>
  <c r="P13" i="29"/>
  <c r="S14" i="29"/>
  <c r="O14" i="29"/>
  <c r="Q14" i="29"/>
  <c r="R16" i="29"/>
  <c r="S17" i="29"/>
  <c r="O17" i="29"/>
  <c r="Q17" i="29"/>
  <c r="Q18" i="29"/>
  <c r="Q19" i="29"/>
  <c r="Q20" i="29"/>
  <c r="Q21" i="29"/>
  <c r="R18" i="29"/>
  <c r="R19" i="29"/>
  <c r="R20" i="29"/>
  <c r="R21" i="29"/>
  <c r="O18" i="29"/>
  <c r="O19" i="29"/>
  <c r="O20" i="29"/>
  <c r="O21" i="29"/>
  <c r="P6" i="28"/>
  <c r="P7" i="28"/>
  <c r="P8" i="28"/>
  <c r="P9" i="28"/>
  <c r="P10" i="28"/>
  <c r="P11" i="28"/>
  <c r="P12" i="28"/>
  <c r="P13" i="28"/>
  <c r="P14" i="28"/>
  <c r="P15" i="28"/>
  <c r="P16" i="28"/>
  <c r="P17" i="28"/>
  <c r="S17" i="28" s="1"/>
  <c r="P18" i="28"/>
  <c r="P19" i="28"/>
  <c r="P20" i="28"/>
  <c r="P21" i="28"/>
  <c r="P22" i="28"/>
  <c r="P23" i="28"/>
  <c r="P24" i="28"/>
  <c r="P6" i="27"/>
  <c r="P7" i="27"/>
  <c r="P8" i="27"/>
  <c r="P9" i="27"/>
  <c r="P10" i="27"/>
  <c r="O6" i="26"/>
  <c r="R6" i="26"/>
  <c r="N6" i="26"/>
  <c r="Q6" i="26"/>
  <c r="P6" i="25"/>
  <c r="R6" i="25"/>
  <c r="N6" i="25"/>
  <c r="P7" i="25"/>
  <c r="R7" i="25"/>
  <c r="N7" i="25"/>
  <c r="P53" i="24"/>
  <c r="O53" i="24"/>
  <c r="P69" i="24"/>
  <c r="O69" i="24"/>
  <c r="P77" i="24"/>
  <c r="O77" i="24"/>
  <c r="R39" i="24"/>
  <c r="R41" i="24"/>
  <c r="R43" i="24"/>
  <c r="R45" i="24"/>
  <c r="R47" i="24"/>
  <c r="R49" i="24"/>
  <c r="R51" i="24"/>
  <c r="N53" i="24"/>
  <c r="P54" i="24"/>
  <c r="O54" i="24"/>
  <c r="P58" i="24"/>
  <c r="O58" i="24"/>
  <c r="N61" i="24"/>
  <c r="P62" i="24"/>
  <c r="O62" i="24"/>
  <c r="P66" i="24"/>
  <c r="O66" i="24"/>
  <c r="N69" i="24"/>
  <c r="P70" i="24"/>
  <c r="O70" i="24"/>
  <c r="P74" i="24"/>
  <c r="O74" i="24"/>
  <c r="N77" i="24"/>
  <c r="P78" i="24"/>
  <c r="O78" i="24"/>
  <c r="P57" i="24"/>
  <c r="O57" i="24"/>
  <c r="P65" i="24"/>
  <c r="O65" i="24"/>
  <c r="P73" i="24"/>
  <c r="O73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Q38" i="24"/>
  <c r="N39" i="24"/>
  <c r="Q40" i="24"/>
  <c r="N41" i="24"/>
  <c r="Q42" i="24"/>
  <c r="N43" i="24"/>
  <c r="Q44" i="24"/>
  <c r="N45" i="24"/>
  <c r="Q46" i="24"/>
  <c r="N47" i="24"/>
  <c r="Q48" i="24"/>
  <c r="N49" i="24"/>
  <c r="Q50" i="24"/>
  <c r="N51" i="24"/>
  <c r="Q53" i="24"/>
  <c r="N54" i="24"/>
  <c r="P55" i="24"/>
  <c r="O55" i="24"/>
  <c r="Q57" i="24"/>
  <c r="N58" i="24"/>
  <c r="P59" i="24"/>
  <c r="O59" i="24"/>
  <c r="N62" i="24"/>
  <c r="P63" i="24"/>
  <c r="O63" i="24"/>
  <c r="Q65" i="24"/>
  <c r="N66" i="24"/>
  <c r="P67" i="24"/>
  <c r="O67" i="24"/>
  <c r="Q69" i="24"/>
  <c r="N70" i="24"/>
  <c r="P71" i="24"/>
  <c r="O71" i="24"/>
  <c r="Q73" i="24"/>
  <c r="N74" i="24"/>
  <c r="P75" i="24"/>
  <c r="O75" i="24"/>
  <c r="Q77" i="24"/>
  <c r="N78" i="24"/>
  <c r="P61" i="24"/>
  <c r="O61" i="24"/>
  <c r="R38" i="24"/>
  <c r="P39" i="24"/>
  <c r="R40" i="24"/>
  <c r="P41" i="24"/>
  <c r="R42" i="24"/>
  <c r="P43" i="24"/>
  <c r="R44" i="24"/>
  <c r="P45" i="24"/>
  <c r="R46" i="24"/>
  <c r="P47" i="24"/>
  <c r="R48" i="24"/>
  <c r="P49" i="24"/>
  <c r="R50" i="24"/>
  <c r="P51" i="24"/>
  <c r="P52" i="24"/>
  <c r="O52" i="24"/>
  <c r="R53" i="24"/>
  <c r="Q54" i="24"/>
  <c r="P56" i="24"/>
  <c r="O56" i="24"/>
  <c r="R57" i="24"/>
  <c r="Q58" i="24"/>
  <c r="P60" i="24"/>
  <c r="O60" i="24"/>
  <c r="R61" i="24"/>
  <c r="Q62" i="24"/>
  <c r="P64" i="24"/>
  <c r="O64" i="24"/>
  <c r="R65" i="24"/>
  <c r="Q66" i="24"/>
  <c r="P68" i="24"/>
  <c r="O68" i="24"/>
  <c r="R69" i="24"/>
  <c r="Q70" i="24"/>
  <c r="N71" i="24"/>
  <c r="P72" i="24"/>
  <c r="O72" i="24"/>
  <c r="R73" i="24"/>
  <c r="Q74" i="24"/>
  <c r="N75" i="24"/>
  <c r="P76" i="24"/>
  <c r="O76" i="24"/>
  <c r="R77" i="24"/>
  <c r="Q78" i="24"/>
  <c r="R10" i="23"/>
  <c r="N10" i="23"/>
  <c r="R12" i="23"/>
  <c r="N12" i="23"/>
  <c r="O10" i="23"/>
  <c r="O12" i="23"/>
  <c r="R9" i="23"/>
  <c r="N9" i="23"/>
  <c r="P10" i="23"/>
  <c r="R11" i="23"/>
  <c r="N11" i="23"/>
  <c r="P12" i="23"/>
  <c r="R13" i="23"/>
  <c r="N13" i="23"/>
  <c r="Q10" i="23"/>
  <c r="Q12" i="23"/>
  <c r="O6" i="22"/>
  <c r="P6" i="22"/>
  <c r="P43" i="21"/>
  <c r="O43" i="21"/>
  <c r="Q43" i="21"/>
  <c r="N43" i="21"/>
  <c r="R16" i="21"/>
  <c r="N16" i="21"/>
  <c r="R20" i="21"/>
  <c r="N20" i="21"/>
  <c r="R24" i="21"/>
  <c r="N24" i="21"/>
  <c r="P55" i="21"/>
  <c r="O55" i="21"/>
  <c r="Q55" i="21"/>
  <c r="N55" i="21"/>
  <c r="N6" i="21"/>
  <c r="R6" i="21"/>
  <c r="N7" i="21"/>
  <c r="R7" i="21"/>
  <c r="N8" i="21"/>
  <c r="R8" i="21"/>
  <c r="N9" i="21"/>
  <c r="R9" i="21"/>
  <c r="N10" i="21"/>
  <c r="R10" i="21"/>
  <c r="N11" i="21"/>
  <c r="R11" i="21"/>
  <c r="N12" i="21"/>
  <c r="R12" i="21"/>
  <c r="N13" i="21"/>
  <c r="R13" i="21"/>
  <c r="O16" i="21"/>
  <c r="O20" i="21"/>
  <c r="O24" i="21"/>
  <c r="P51" i="21"/>
  <c r="O51" i="21"/>
  <c r="Q51" i="21"/>
  <c r="N51" i="21"/>
  <c r="P54" i="21"/>
  <c r="O54" i="21"/>
  <c r="R54" i="21"/>
  <c r="Q54" i="21"/>
  <c r="R55" i="21"/>
  <c r="P67" i="21"/>
  <c r="O67" i="21"/>
  <c r="Q67" i="21"/>
  <c r="N67" i="21"/>
  <c r="P70" i="21"/>
  <c r="O70" i="21"/>
  <c r="R70" i="21"/>
  <c r="Q70" i="21"/>
  <c r="P79" i="21"/>
  <c r="O79" i="21"/>
  <c r="Q79" i="21"/>
  <c r="N79" i="21"/>
  <c r="P46" i="21"/>
  <c r="O46" i="21"/>
  <c r="R46" i="21"/>
  <c r="Q46" i="21"/>
  <c r="P59" i="21"/>
  <c r="O59" i="21"/>
  <c r="Q59" i="21"/>
  <c r="N59" i="21"/>
  <c r="P62" i="21"/>
  <c r="O62" i="21"/>
  <c r="R62" i="21"/>
  <c r="Q62" i="21"/>
  <c r="P75" i="21"/>
  <c r="O75" i="21"/>
  <c r="Q75" i="21"/>
  <c r="N75" i="21"/>
  <c r="Q6" i="21"/>
  <c r="Q7" i="21"/>
  <c r="Q8" i="21"/>
  <c r="Q9" i="21"/>
  <c r="Q10" i="21"/>
  <c r="Q11" i="21"/>
  <c r="Q12" i="21"/>
  <c r="Q13" i="21"/>
  <c r="R14" i="21"/>
  <c r="N14" i="21"/>
  <c r="R18" i="21"/>
  <c r="N18" i="21"/>
  <c r="R22" i="21"/>
  <c r="N22" i="21"/>
  <c r="P39" i="21"/>
  <c r="O39" i="21"/>
  <c r="Q39" i="21"/>
  <c r="N39" i="21"/>
  <c r="P42" i="21"/>
  <c r="O42" i="21"/>
  <c r="R42" i="21"/>
  <c r="Q42" i="21"/>
  <c r="R43" i="21"/>
  <c r="N46" i="21"/>
  <c r="P58" i="21"/>
  <c r="O58" i="21"/>
  <c r="R58" i="21"/>
  <c r="Q58" i="21"/>
  <c r="R59" i="21"/>
  <c r="N62" i="21"/>
  <c r="P71" i="21"/>
  <c r="O71" i="21"/>
  <c r="Q71" i="21"/>
  <c r="N71" i="21"/>
  <c r="P74" i="21"/>
  <c r="O74" i="21"/>
  <c r="R74" i="21"/>
  <c r="Q74" i="21"/>
  <c r="R75" i="21"/>
  <c r="P14" i="21"/>
  <c r="R15" i="21"/>
  <c r="N15" i="21"/>
  <c r="P16" i="21"/>
  <c r="R17" i="21"/>
  <c r="N17" i="21"/>
  <c r="P18" i="21"/>
  <c r="R19" i="21"/>
  <c r="N19" i="21"/>
  <c r="P20" i="21"/>
  <c r="R21" i="21"/>
  <c r="N21" i="21"/>
  <c r="P22" i="21"/>
  <c r="R23" i="21"/>
  <c r="N23" i="21"/>
  <c r="P24" i="21"/>
  <c r="R25" i="21"/>
  <c r="N25" i="21"/>
  <c r="P47" i="21"/>
  <c r="O47" i="21"/>
  <c r="Q47" i="21"/>
  <c r="N47" i="21"/>
  <c r="P50" i="21"/>
  <c r="O50" i="21"/>
  <c r="R50" i="21"/>
  <c r="Q50" i="21"/>
  <c r="R51" i="21"/>
  <c r="N54" i="21"/>
  <c r="P63" i="21"/>
  <c r="O63" i="21"/>
  <c r="Q63" i="21"/>
  <c r="N63" i="21"/>
  <c r="P66" i="21"/>
  <c r="O66" i="21"/>
  <c r="R66" i="21"/>
  <c r="Q66" i="21"/>
  <c r="R67" i="21"/>
  <c r="N70" i="21"/>
  <c r="P78" i="21"/>
  <c r="O78" i="21"/>
  <c r="R78" i="21"/>
  <c r="Q78" i="21"/>
  <c r="R79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R38" i="21"/>
  <c r="P40" i="21"/>
  <c r="O40" i="21"/>
  <c r="P44" i="21"/>
  <c r="O44" i="21"/>
  <c r="P48" i="21"/>
  <c r="O48" i="21"/>
  <c r="P52" i="21"/>
  <c r="O52" i="21"/>
  <c r="P56" i="21"/>
  <c r="O56" i="21"/>
  <c r="P60" i="21"/>
  <c r="O60" i="21"/>
  <c r="P64" i="21"/>
  <c r="O64" i="21"/>
  <c r="P68" i="21"/>
  <c r="O68" i="21"/>
  <c r="P72" i="21"/>
  <c r="O72" i="21"/>
  <c r="P76" i="21"/>
  <c r="O76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40" i="21"/>
  <c r="P41" i="21"/>
  <c r="O41" i="21"/>
  <c r="N44" i="21"/>
  <c r="P45" i="21"/>
  <c r="O45" i="21"/>
  <c r="N48" i="21"/>
  <c r="P49" i="21"/>
  <c r="O49" i="21"/>
  <c r="N52" i="21"/>
  <c r="P53" i="21"/>
  <c r="O53" i="21"/>
  <c r="N56" i="21"/>
  <c r="P57" i="21"/>
  <c r="O57" i="21"/>
  <c r="N60" i="21"/>
  <c r="P61" i="21"/>
  <c r="O61" i="21"/>
  <c r="N64" i="21"/>
  <c r="P65" i="21"/>
  <c r="O65" i="21"/>
  <c r="N68" i="21"/>
  <c r="P69" i="21"/>
  <c r="O69" i="21"/>
  <c r="N72" i="21"/>
  <c r="P73" i="21"/>
  <c r="O73" i="21"/>
  <c r="N76" i="21"/>
  <c r="P77" i="21"/>
  <c r="O77" i="21"/>
  <c r="Q6" i="20"/>
  <c r="N6" i="20"/>
  <c r="R6" i="19"/>
  <c r="N6" i="19"/>
  <c r="O6" i="19"/>
  <c r="R6" i="17"/>
  <c r="N6" i="17"/>
  <c r="R10" i="17"/>
  <c r="N10" i="17"/>
  <c r="R16" i="17"/>
  <c r="N16" i="17"/>
  <c r="O19" i="17"/>
  <c r="R19" i="17"/>
  <c r="N19" i="17"/>
  <c r="O21" i="17"/>
  <c r="R21" i="17"/>
  <c r="N21" i="17"/>
  <c r="O24" i="17"/>
  <c r="R24" i="17"/>
  <c r="N24" i="17"/>
  <c r="O26" i="17"/>
  <c r="R26" i="17"/>
  <c r="N26" i="17"/>
  <c r="O28" i="17"/>
  <c r="R28" i="17"/>
  <c r="N28" i="17"/>
  <c r="O30" i="17"/>
  <c r="R30" i="17"/>
  <c r="N30" i="17"/>
  <c r="O32" i="17"/>
  <c r="R32" i="17"/>
  <c r="N32" i="17"/>
  <c r="O36" i="17"/>
  <c r="R36" i="17"/>
  <c r="N36" i="17"/>
  <c r="O38" i="17"/>
  <c r="R38" i="17"/>
  <c r="N38" i="17"/>
  <c r="O8" i="17"/>
  <c r="O12" i="17"/>
  <c r="P20" i="17"/>
  <c r="P22" i="17"/>
  <c r="P27" i="17"/>
  <c r="P30" i="17"/>
  <c r="P32" i="17"/>
  <c r="P36" i="17"/>
  <c r="P38" i="17"/>
  <c r="O14" i="17"/>
  <c r="P19" i="17"/>
  <c r="P21" i="17"/>
  <c r="P23" i="17"/>
  <c r="P25" i="17"/>
  <c r="P26" i="17"/>
  <c r="P29" i="17"/>
  <c r="P31" i="17"/>
  <c r="P37" i="17"/>
  <c r="P6" i="17"/>
  <c r="R7" i="17"/>
  <c r="N7" i="17"/>
  <c r="R9" i="17"/>
  <c r="N9" i="17"/>
  <c r="P10" i="17"/>
  <c r="R11" i="17"/>
  <c r="N11" i="17"/>
  <c r="R13" i="17"/>
  <c r="N13" i="17"/>
  <c r="R15" i="17"/>
  <c r="N15" i="17"/>
  <c r="P16" i="17"/>
  <c r="R17" i="17"/>
  <c r="N17" i="17"/>
  <c r="Q19" i="17"/>
  <c r="Q21" i="17"/>
  <c r="Q24" i="17"/>
  <c r="Q26" i="17"/>
  <c r="Q28" i="17"/>
  <c r="Q30" i="17"/>
  <c r="Q32" i="17"/>
  <c r="Q36" i="17"/>
  <c r="Q38" i="17"/>
  <c r="R8" i="17"/>
  <c r="N8" i="17"/>
  <c r="R12" i="17"/>
  <c r="N12" i="17"/>
  <c r="R14" i="17"/>
  <c r="N14" i="17"/>
  <c r="O18" i="17"/>
  <c r="R18" i="17"/>
  <c r="N18" i="17"/>
  <c r="O20" i="17"/>
  <c r="R20" i="17"/>
  <c r="N20" i="17"/>
  <c r="O22" i="17"/>
  <c r="R22" i="17"/>
  <c r="N22" i="17"/>
  <c r="O23" i="17"/>
  <c r="R23" i="17"/>
  <c r="N23" i="17"/>
  <c r="O25" i="17"/>
  <c r="R25" i="17"/>
  <c r="N25" i="17"/>
  <c r="O27" i="17"/>
  <c r="R27" i="17"/>
  <c r="N27" i="17"/>
  <c r="O29" i="17"/>
  <c r="R29" i="17"/>
  <c r="N29" i="17"/>
  <c r="O31" i="17"/>
  <c r="R31" i="17"/>
  <c r="N31" i="17"/>
  <c r="O34" i="17"/>
  <c r="R34" i="17"/>
  <c r="N34" i="17"/>
  <c r="O37" i="17"/>
  <c r="R37" i="17"/>
  <c r="N37" i="17"/>
  <c r="O39" i="17"/>
  <c r="R39" i="17"/>
  <c r="N39" i="17"/>
  <c r="O6" i="17"/>
  <c r="O10" i="17"/>
  <c r="O16" i="17"/>
  <c r="P18" i="17"/>
  <c r="P24" i="17"/>
  <c r="P28" i="17"/>
  <c r="P34" i="17"/>
  <c r="P39" i="17"/>
  <c r="Q6" i="17"/>
  <c r="O7" i="17"/>
  <c r="Q8" i="17"/>
  <c r="O9" i="17"/>
  <c r="Q10" i="17"/>
  <c r="O11" i="17"/>
  <c r="Q12" i="17"/>
  <c r="O13" i="17"/>
  <c r="Q14" i="17"/>
  <c r="O15" i="17"/>
  <c r="Q16" i="17"/>
  <c r="O17" i="17"/>
  <c r="P6" i="16"/>
  <c r="R6" i="16"/>
  <c r="N6" i="16"/>
  <c r="O6" i="15"/>
  <c r="O8" i="15"/>
  <c r="O9" i="15"/>
  <c r="O10" i="15"/>
  <c r="O11" i="15"/>
  <c r="O12" i="15"/>
  <c r="O13" i="15"/>
  <c r="R18" i="15"/>
  <c r="N18" i="15"/>
  <c r="P18" i="15"/>
  <c r="P68" i="15"/>
  <c r="R68" i="15"/>
  <c r="N68" i="15"/>
  <c r="Q68" i="15"/>
  <c r="O68" i="15"/>
  <c r="R15" i="15"/>
  <c r="N15" i="15"/>
  <c r="R17" i="15"/>
  <c r="N17" i="15"/>
  <c r="P17" i="15"/>
  <c r="R21" i="15"/>
  <c r="N21" i="15"/>
  <c r="P21" i="15"/>
  <c r="R53" i="15"/>
  <c r="N53" i="15"/>
  <c r="Q53" i="15"/>
  <c r="P53" i="15"/>
  <c r="O53" i="15"/>
  <c r="P6" i="15"/>
  <c r="P8" i="15"/>
  <c r="P9" i="15"/>
  <c r="P10" i="15"/>
  <c r="P11" i="15"/>
  <c r="P12" i="15"/>
  <c r="P13" i="15"/>
  <c r="R14" i="15"/>
  <c r="N14" i="15"/>
  <c r="P15" i="15"/>
  <c r="R16" i="15"/>
  <c r="N16" i="15"/>
  <c r="Q17" i="15"/>
  <c r="R19" i="15"/>
  <c r="N19" i="15"/>
  <c r="P19" i="15"/>
  <c r="Q21" i="15"/>
  <c r="R51" i="15"/>
  <c r="N51" i="15"/>
  <c r="Q51" i="15"/>
  <c r="P51" i="15"/>
  <c r="O51" i="15"/>
  <c r="P72" i="15"/>
  <c r="R72" i="15"/>
  <c r="N72" i="15"/>
  <c r="Q72" i="15"/>
  <c r="O72" i="15"/>
  <c r="R49" i="15"/>
  <c r="N49" i="15"/>
  <c r="Q49" i="15"/>
  <c r="P49" i="15"/>
  <c r="O49" i="15"/>
  <c r="P64" i="15"/>
  <c r="R64" i="15"/>
  <c r="N64" i="15"/>
  <c r="Q64" i="15"/>
  <c r="O64" i="15"/>
  <c r="Q13" i="15"/>
  <c r="Q15" i="15"/>
  <c r="R20" i="15"/>
  <c r="N20" i="15"/>
  <c r="P20" i="15"/>
  <c r="P60" i="15"/>
  <c r="R60" i="15"/>
  <c r="N60" i="15"/>
  <c r="Q60" i="15"/>
  <c r="O60" i="15"/>
  <c r="P22" i="15"/>
  <c r="P24" i="15"/>
  <c r="P25" i="15"/>
  <c r="P26" i="15"/>
  <c r="P27" i="15"/>
  <c r="P28" i="15"/>
  <c r="P32" i="15"/>
  <c r="P33" i="15"/>
  <c r="P34" i="15"/>
  <c r="P57" i="15"/>
  <c r="R57" i="15"/>
  <c r="N57" i="15"/>
  <c r="P61" i="15"/>
  <c r="R61" i="15"/>
  <c r="N61" i="15"/>
  <c r="P65" i="15"/>
  <c r="R65" i="15"/>
  <c r="N65" i="15"/>
  <c r="P69" i="15"/>
  <c r="R69" i="15"/>
  <c r="N69" i="15"/>
  <c r="P73" i="15"/>
  <c r="R73" i="15"/>
  <c r="N73" i="15"/>
  <c r="Q22" i="15"/>
  <c r="Q24" i="15"/>
  <c r="Q25" i="15"/>
  <c r="Q26" i="15"/>
  <c r="Q27" i="15"/>
  <c r="Q28" i="15"/>
  <c r="Q32" i="15"/>
  <c r="Q33" i="15"/>
  <c r="Q34" i="15"/>
  <c r="R39" i="15"/>
  <c r="N39" i="15"/>
  <c r="R41" i="15"/>
  <c r="N41" i="15"/>
  <c r="R52" i="15"/>
  <c r="N52" i="15"/>
  <c r="P58" i="15"/>
  <c r="R58" i="15"/>
  <c r="N58" i="15"/>
  <c r="P62" i="15"/>
  <c r="R62" i="15"/>
  <c r="N62" i="15"/>
  <c r="P66" i="15"/>
  <c r="R66" i="15"/>
  <c r="N66" i="15"/>
  <c r="N22" i="15"/>
  <c r="N24" i="15"/>
  <c r="N25" i="15"/>
  <c r="N26" i="15"/>
  <c r="N27" i="15"/>
  <c r="N28" i="15"/>
  <c r="N32" i="15"/>
  <c r="N33" i="15"/>
  <c r="N34" i="15"/>
  <c r="O39" i="15"/>
  <c r="O41" i="15"/>
  <c r="O52" i="15"/>
  <c r="P55" i="15"/>
  <c r="R55" i="15"/>
  <c r="N55" i="15"/>
  <c r="Q57" i="15"/>
  <c r="O58" i="15"/>
  <c r="P59" i="15"/>
  <c r="R59" i="15"/>
  <c r="N59" i="15"/>
  <c r="Q61" i="15"/>
  <c r="O62" i="15"/>
  <c r="P63" i="15"/>
  <c r="R63" i="15"/>
  <c r="N63" i="15"/>
  <c r="Q65" i="15"/>
  <c r="O66" i="15"/>
  <c r="P67" i="15"/>
  <c r="R67" i="15"/>
  <c r="N67" i="15"/>
  <c r="Q69" i="15"/>
  <c r="Q73" i="15"/>
  <c r="R6" i="14"/>
  <c r="G42" i="14" s="1"/>
  <c r="N6" i="14"/>
  <c r="O6" i="14"/>
  <c r="P13" i="12"/>
  <c r="O13" i="12"/>
  <c r="N13" i="12"/>
  <c r="P10" i="12"/>
  <c r="O10" i="12"/>
  <c r="N10" i="12"/>
  <c r="P11" i="12"/>
  <c r="Q11" i="12"/>
  <c r="O11" i="12"/>
  <c r="Q13" i="12"/>
  <c r="P17" i="12"/>
  <c r="Q17" i="12"/>
  <c r="O17" i="12"/>
  <c r="N17" i="12"/>
  <c r="P6" i="12"/>
  <c r="O6" i="12"/>
  <c r="N6" i="12"/>
  <c r="R13" i="12"/>
  <c r="P20" i="12"/>
  <c r="O20" i="12"/>
  <c r="N20" i="12"/>
  <c r="R15" i="12"/>
  <c r="R19" i="12"/>
  <c r="R9" i="12"/>
  <c r="R8" i="12"/>
  <c r="N9" i="12"/>
  <c r="R12" i="12"/>
  <c r="N15" i="12"/>
  <c r="R18" i="12"/>
  <c r="N19" i="12"/>
  <c r="R22" i="1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H6" i="2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S78" i="1"/>
  <c r="H78" i="1"/>
  <c r="O77" i="1"/>
  <c r="H77" i="1"/>
  <c r="S76" i="1"/>
  <c r="H76" i="1"/>
  <c r="O75" i="1"/>
  <c r="H75" i="1"/>
  <c r="S74" i="1"/>
  <c r="H74" i="1"/>
  <c r="O73" i="1"/>
  <c r="H73" i="1"/>
  <c r="S72" i="1"/>
  <c r="H72" i="1"/>
  <c r="S71" i="1"/>
  <c r="H71" i="1"/>
  <c r="S70" i="1"/>
  <c r="H70" i="1"/>
  <c r="O69" i="1"/>
  <c r="H69" i="1"/>
  <c r="S68" i="1"/>
  <c r="H68" i="1"/>
  <c r="O67" i="1"/>
  <c r="H67" i="1"/>
  <c r="O66" i="1"/>
  <c r="H66" i="1"/>
  <c r="O65" i="1"/>
  <c r="H65" i="1"/>
  <c r="S64" i="1"/>
  <c r="H64" i="1"/>
  <c r="S63" i="1"/>
  <c r="H63" i="1"/>
  <c r="O62" i="1"/>
  <c r="H62" i="1"/>
  <c r="O61" i="1"/>
  <c r="H61" i="1"/>
  <c r="S60" i="1"/>
  <c r="H60" i="1"/>
  <c r="O59" i="1"/>
  <c r="H59" i="1"/>
  <c r="S58" i="1"/>
  <c r="H58" i="1"/>
  <c r="O57" i="1"/>
  <c r="H57" i="1"/>
  <c r="S56" i="1"/>
  <c r="H56" i="1"/>
  <c r="S55" i="1"/>
  <c r="H55" i="1"/>
  <c r="S54" i="1"/>
  <c r="H54" i="1"/>
  <c r="O53" i="1"/>
  <c r="H53" i="1"/>
  <c r="S52" i="1"/>
  <c r="H52" i="1"/>
  <c r="O51" i="1"/>
  <c r="H51" i="1"/>
  <c r="O50" i="1"/>
  <c r="H50" i="1"/>
  <c r="O49" i="1"/>
  <c r="H49" i="1"/>
  <c r="S48" i="1"/>
  <c r="H48" i="1"/>
  <c r="S47" i="1"/>
  <c r="H47" i="1"/>
  <c r="O46" i="1"/>
  <c r="H46" i="1"/>
  <c r="O45" i="1"/>
  <c r="H45" i="1"/>
  <c r="S44" i="1"/>
  <c r="H44" i="1"/>
  <c r="O43" i="1"/>
  <c r="H43" i="1"/>
  <c r="S42" i="1"/>
  <c r="H42" i="1"/>
  <c r="O41" i="1"/>
  <c r="H41" i="1"/>
  <c r="S40" i="1"/>
  <c r="H40" i="1"/>
  <c r="S39" i="1"/>
  <c r="H39" i="1"/>
  <c r="S38" i="1"/>
  <c r="H38" i="1"/>
  <c r="Q37" i="1"/>
  <c r="H37" i="1"/>
  <c r="Q36" i="1"/>
  <c r="H36" i="1"/>
  <c r="H35" i="1"/>
  <c r="H34" i="1"/>
  <c r="H33" i="1"/>
  <c r="Q32" i="1"/>
  <c r="H32" i="1"/>
  <c r="Q31" i="1"/>
  <c r="H31" i="1"/>
  <c r="Q30" i="1"/>
  <c r="H30" i="1"/>
  <c r="Q29" i="1"/>
  <c r="H29" i="1"/>
  <c r="Q28" i="1"/>
  <c r="H28" i="1"/>
  <c r="Q27" i="1"/>
  <c r="H27" i="1"/>
  <c r="Q26" i="1"/>
  <c r="H26" i="1"/>
  <c r="Q25" i="1"/>
  <c r="H25" i="1"/>
  <c r="Q24" i="1"/>
  <c r="H24" i="1"/>
  <c r="Q23" i="1"/>
  <c r="H23" i="1"/>
  <c r="Q22" i="1"/>
  <c r="H22" i="1"/>
  <c r="Q21" i="1"/>
  <c r="H21" i="1"/>
  <c r="Q20" i="1"/>
  <c r="H20" i="1"/>
  <c r="Q19" i="1"/>
  <c r="H19" i="1"/>
  <c r="Q18" i="1"/>
  <c r="H18" i="1"/>
  <c r="Q17" i="1"/>
  <c r="H17" i="1"/>
  <c r="R16" i="1"/>
  <c r="H16" i="1"/>
  <c r="R15" i="1"/>
  <c r="H15" i="1"/>
  <c r="R14" i="1"/>
  <c r="H14" i="1"/>
  <c r="R13" i="1"/>
  <c r="H13" i="1"/>
  <c r="R12" i="1"/>
  <c r="H12" i="1"/>
  <c r="R11" i="1"/>
  <c r="H11" i="1"/>
  <c r="R10" i="1"/>
  <c r="H10" i="1"/>
  <c r="R9" i="1"/>
  <c r="H9" i="1"/>
  <c r="R8" i="1"/>
  <c r="H8" i="1"/>
  <c r="R7" i="1"/>
  <c r="H7" i="1"/>
  <c r="I6" i="1"/>
  <c r="R6" i="1" s="1"/>
  <c r="H6" i="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H6" i="11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4" i="4"/>
  <c r="G113" i="4"/>
  <c r="H92" i="4"/>
  <c r="H91" i="4"/>
  <c r="H90" i="4"/>
  <c r="H89" i="4"/>
  <c r="H88" i="4"/>
  <c r="H87" i="4"/>
  <c r="H86" i="4"/>
  <c r="H85" i="4"/>
  <c r="H82" i="4"/>
  <c r="H81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I6" i="4"/>
  <c r="R6" i="4" s="1"/>
  <c r="H6" i="4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I33" i="7"/>
  <c r="Q33" i="7" s="1"/>
  <c r="H33" i="7"/>
  <c r="I32" i="7"/>
  <c r="Q32" i="7" s="1"/>
  <c r="H32" i="7"/>
  <c r="I31" i="7"/>
  <c r="Q31" i="7" s="1"/>
  <c r="H31" i="7"/>
  <c r="I30" i="7"/>
  <c r="Q30" i="7" s="1"/>
  <c r="H30" i="7"/>
  <c r="I29" i="7"/>
  <c r="Q29" i="7" s="1"/>
  <c r="H29" i="7"/>
  <c r="I28" i="7"/>
  <c r="Q28" i="7" s="1"/>
  <c r="H28" i="7"/>
  <c r="I27" i="7"/>
  <c r="Q27" i="7" s="1"/>
  <c r="H27" i="7"/>
  <c r="I26" i="7"/>
  <c r="Q26" i="7" s="1"/>
  <c r="H26" i="7"/>
  <c r="I25" i="7"/>
  <c r="Q25" i="7" s="1"/>
  <c r="H25" i="7"/>
  <c r="I24" i="7"/>
  <c r="Q24" i="7" s="1"/>
  <c r="H24" i="7"/>
  <c r="I23" i="7"/>
  <c r="Q23" i="7" s="1"/>
  <c r="H23" i="7"/>
  <c r="I22" i="7"/>
  <c r="Q22" i="7" s="1"/>
  <c r="H22" i="7"/>
  <c r="I20" i="7"/>
  <c r="H20" i="7"/>
  <c r="I19" i="7"/>
  <c r="H19" i="7"/>
  <c r="I18" i="7"/>
  <c r="H18" i="7"/>
  <c r="I17" i="7"/>
  <c r="H17" i="7"/>
  <c r="I21" i="7"/>
  <c r="H21" i="7"/>
  <c r="I16" i="7"/>
  <c r="Q16" i="7" s="1"/>
  <c r="H16" i="7"/>
  <c r="I15" i="7"/>
  <c r="Q15" i="7" s="1"/>
  <c r="I14" i="7"/>
  <c r="Q14" i="7" s="1"/>
  <c r="I13" i="7"/>
  <c r="Q13" i="7" s="1"/>
  <c r="I11" i="7"/>
  <c r="Q11" i="7" s="1"/>
  <c r="H11" i="7"/>
  <c r="I10" i="7"/>
  <c r="Q10" i="7" s="1"/>
  <c r="H10" i="7"/>
  <c r="I9" i="7"/>
  <c r="Q9" i="7" s="1"/>
  <c r="H9" i="7"/>
  <c r="I8" i="7"/>
  <c r="Q8" i="7" s="1"/>
  <c r="H8" i="7"/>
  <c r="I7" i="7"/>
  <c r="Q7" i="7" s="1"/>
  <c r="H7" i="7"/>
  <c r="I6" i="7"/>
  <c r="Q6" i="7" s="1"/>
  <c r="H6" i="7"/>
  <c r="G495" i="8"/>
  <c r="G494" i="8"/>
  <c r="G493" i="8"/>
  <c r="G492" i="8"/>
  <c r="G491" i="8"/>
  <c r="G490" i="8"/>
  <c r="G489" i="8"/>
  <c r="G488" i="8"/>
  <c r="G487" i="8"/>
  <c r="G486" i="8"/>
  <c r="G485" i="8"/>
  <c r="G484" i="8"/>
  <c r="G483" i="8"/>
  <c r="G482" i="8"/>
  <c r="G481" i="8"/>
  <c r="G480" i="8"/>
  <c r="G479" i="8"/>
  <c r="G478" i="8"/>
  <c r="G477" i="8"/>
  <c r="G476" i="8"/>
  <c r="G475" i="8"/>
  <c r="G474" i="8"/>
  <c r="G473" i="8"/>
  <c r="G472" i="8"/>
  <c r="G471" i="8"/>
  <c r="G470" i="8"/>
  <c r="G469" i="8"/>
  <c r="G468" i="8"/>
  <c r="G467" i="8"/>
  <c r="G466" i="8"/>
  <c r="G465" i="8"/>
  <c r="G464" i="8"/>
  <c r="G463" i="8"/>
  <c r="G462" i="8"/>
  <c r="G461" i="8"/>
  <c r="G460" i="8"/>
  <c r="G459" i="8"/>
  <c r="G458" i="8"/>
  <c r="G457" i="8"/>
  <c r="G456" i="8"/>
  <c r="G455" i="8"/>
  <c r="G454" i="8"/>
  <c r="G453" i="8"/>
  <c r="G452" i="8"/>
  <c r="G451" i="8"/>
  <c r="G450" i="8"/>
  <c r="G449" i="8"/>
  <c r="G448" i="8"/>
  <c r="G447" i="8"/>
  <c r="G446" i="8"/>
  <c r="G445" i="8"/>
  <c r="G444" i="8"/>
  <c r="G443" i="8"/>
  <c r="G442" i="8"/>
  <c r="G441" i="8"/>
  <c r="G440" i="8"/>
  <c r="G439" i="8"/>
  <c r="G438" i="8"/>
  <c r="G437" i="8"/>
  <c r="G436" i="8"/>
  <c r="G435" i="8"/>
  <c r="G434" i="8"/>
  <c r="G433" i="8"/>
  <c r="G432" i="8"/>
  <c r="G431" i="8"/>
  <c r="G430" i="8"/>
  <c r="G429" i="8"/>
  <c r="G428" i="8"/>
  <c r="G427" i="8"/>
  <c r="G426" i="8"/>
  <c r="G425" i="8"/>
  <c r="G424" i="8"/>
  <c r="G423" i="8"/>
  <c r="G422" i="8"/>
  <c r="G421" i="8"/>
  <c r="G420" i="8"/>
  <c r="G419" i="8"/>
  <c r="G418" i="8"/>
  <c r="G417" i="8"/>
  <c r="G416" i="8"/>
  <c r="G415" i="8"/>
  <c r="G414" i="8"/>
  <c r="G413" i="8"/>
  <c r="G412" i="8"/>
  <c r="G411" i="8"/>
  <c r="G410" i="8"/>
  <c r="G409" i="8"/>
  <c r="G408" i="8"/>
  <c r="G407" i="8"/>
  <c r="G406" i="8"/>
  <c r="G405" i="8"/>
  <c r="G404" i="8"/>
  <c r="G403" i="8"/>
  <c r="G402" i="8"/>
  <c r="G401" i="8"/>
  <c r="G400" i="8"/>
  <c r="G399" i="8"/>
  <c r="G398" i="8"/>
  <c r="G397" i="8"/>
  <c r="G396" i="8"/>
  <c r="G395" i="8"/>
  <c r="G394" i="8"/>
  <c r="G393" i="8"/>
  <c r="G392" i="8"/>
  <c r="G391" i="8"/>
  <c r="G390" i="8"/>
  <c r="G389" i="8"/>
  <c r="G388" i="8"/>
  <c r="G387" i="8"/>
  <c r="G386" i="8"/>
  <c r="G385" i="8"/>
  <c r="G384" i="8"/>
  <c r="G383" i="8"/>
  <c r="G382" i="8"/>
  <c r="G381" i="8"/>
  <c r="G380" i="8"/>
  <c r="G379" i="8"/>
  <c r="G378" i="8"/>
  <c r="G377" i="8"/>
  <c r="G376" i="8"/>
  <c r="G375" i="8"/>
  <c r="G374" i="8"/>
  <c r="G373" i="8"/>
  <c r="G372" i="8"/>
  <c r="G371" i="8"/>
  <c r="G370" i="8"/>
  <c r="G369" i="8"/>
  <c r="G368" i="8"/>
  <c r="G367" i="8"/>
  <c r="G366" i="8"/>
  <c r="G365" i="8"/>
  <c r="G364" i="8"/>
  <c r="G363" i="8"/>
  <c r="G362" i="8"/>
  <c r="G361" i="8"/>
  <c r="G360" i="8"/>
  <c r="G359" i="8"/>
  <c r="G358" i="8"/>
  <c r="G357" i="8"/>
  <c r="G356" i="8"/>
  <c r="G355" i="8"/>
  <c r="G354" i="8"/>
  <c r="G353" i="8"/>
  <c r="G352" i="8"/>
  <c r="G351" i="8"/>
  <c r="G350" i="8"/>
  <c r="G349" i="8"/>
  <c r="G348" i="8"/>
  <c r="G347" i="8"/>
  <c r="G346" i="8"/>
  <c r="G345" i="8"/>
  <c r="G344" i="8"/>
  <c r="G343" i="8"/>
  <c r="G342" i="8"/>
  <c r="G341" i="8"/>
  <c r="G340" i="8"/>
  <c r="G339" i="8"/>
  <c r="G338" i="8"/>
  <c r="G337" i="8"/>
  <c r="G336" i="8"/>
  <c r="G335" i="8"/>
  <c r="G334" i="8"/>
  <c r="G333" i="8"/>
  <c r="G332" i="8"/>
  <c r="G331" i="8"/>
  <c r="G330" i="8"/>
  <c r="G329" i="8"/>
  <c r="G328" i="8"/>
  <c r="G327" i="8"/>
  <c r="G326" i="8"/>
  <c r="G325" i="8"/>
  <c r="G324" i="8"/>
  <c r="G323" i="8"/>
  <c r="G322" i="8"/>
  <c r="G321" i="8"/>
  <c r="G320" i="8"/>
  <c r="G319" i="8"/>
  <c r="G318" i="8"/>
  <c r="G317" i="8"/>
  <c r="G316" i="8"/>
  <c r="G315" i="8"/>
  <c r="G314" i="8"/>
  <c r="G313" i="8"/>
  <c r="G312" i="8"/>
  <c r="G311" i="8"/>
  <c r="G310" i="8"/>
  <c r="G309" i="8"/>
  <c r="G308" i="8"/>
  <c r="G307" i="8"/>
  <c r="G306" i="8"/>
  <c r="G305" i="8"/>
  <c r="G304" i="8"/>
  <c r="G303" i="8"/>
  <c r="G302" i="8"/>
  <c r="G301" i="8"/>
  <c r="G300" i="8"/>
  <c r="G299" i="8"/>
  <c r="G298" i="8"/>
  <c r="G297" i="8"/>
  <c r="G296" i="8"/>
  <c r="G295" i="8"/>
  <c r="G294" i="8"/>
  <c r="G293" i="8"/>
  <c r="G292" i="8"/>
  <c r="G291" i="8"/>
  <c r="G290" i="8"/>
  <c r="G289" i="8"/>
  <c r="G288" i="8"/>
  <c r="G287" i="8"/>
  <c r="G286" i="8"/>
  <c r="G285" i="8"/>
  <c r="G284" i="8"/>
  <c r="G283" i="8"/>
  <c r="G282" i="8"/>
  <c r="G281" i="8"/>
  <c r="G280" i="8"/>
  <c r="G279" i="8"/>
  <c r="G278" i="8"/>
  <c r="G277" i="8"/>
  <c r="G276" i="8"/>
  <c r="G275" i="8"/>
  <c r="G274" i="8"/>
  <c r="G273" i="8"/>
  <c r="G272" i="8"/>
  <c r="G271" i="8"/>
  <c r="G270" i="8"/>
  <c r="G269" i="8"/>
  <c r="G268" i="8"/>
  <c r="G267" i="8"/>
  <c r="G266" i="8"/>
  <c r="G265" i="8"/>
  <c r="G264" i="8"/>
  <c r="G263" i="8"/>
  <c r="G262" i="8"/>
  <c r="G261" i="8"/>
  <c r="G260" i="8"/>
  <c r="G259" i="8"/>
  <c r="G258" i="8"/>
  <c r="G257" i="8"/>
  <c r="G256" i="8"/>
  <c r="G255" i="8"/>
  <c r="G254" i="8"/>
  <c r="G253" i="8"/>
  <c r="G252" i="8"/>
  <c r="G251" i="8"/>
  <c r="G250" i="8"/>
  <c r="G249" i="8"/>
  <c r="G248" i="8"/>
  <c r="G247" i="8"/>
  <c r="G246" i="8"/>
  <c r="G245" i="8"/>
  <c r="G244" i="8"/>
  <c r="G243" i="8"/>
  <c r="G242" i="8"/>
  <c r="G241" i="8"/>
  <c r="G240" i="8"/>
  <c r="G239" i="8"/>
  <c r="G238" i="8"/>
  <c r="G237" i="8"/>
  <c r="G236" i="8"/>
  <c r="G235" i="8"/>
  <c r="G234" i="8"/>
  <c r="G233" i="8"/>
  <c r="G232" i="8"/>
  <c r="G231" i="8"/>
  <c r="G230" i="8"/>
  <c r="G229" i="8"/>
  <c r="G228" i="8"/>
  <c r="G227" i="8"/>
  <c r="G226" i="8"/>
  <c r="G225" i="8"/>
  <c r="G224" i="8"/>
  <c r="G223" i="8"/>
  <c r="G222" i="8"/>
  <c r="G221" i="8"/>
  <c r="G220" i="8"/>
  <c r="G219" i="8"/>
  <c r="G218" i="8"/>
  <c r="G217" i="8"/>
  <c r="G216" i="8"/>
  <c r="G215" i="8"/>
  <c r="G214" i="8"/>
  <c r="G213" i="8"/>
  <c r="G212" i="8"/>
  <c r="G211" i="8"/>
  <c r="G210" i="8"/>
  <c r="G209" i="8"/>
  <c r="G208" i="8"/>
  <c r="G207" i="8"/>
  <c r="G206" i="8"/>
  <c r="G205" i="8"/>
  <c r="G204" i="8"/>
  <c r="G203" i="8"/>
  <c r="G202" i="8"/>
  <c r="G201" i="8"/>
  <c r="G200" i="8"/>
  <c r="G199" i="8"/>
  <c r="G198" i="8"/>
  <c r="G197" i="8"/>
  <c r="G196" i="8"/>
  <c r="G195" i="8"/>
  <c r="G194" i="8"/>
  <c r="G193" i="8"/>
  <c r="G192" i="8"/>
  <c r="G191" i="8"/>
  <c r="G190" i="8"/>
  <c r="G189" i="8"/>
  <c r="G188" i="8"/>
  <c r="G187" i="8"/>
  <c r="G186" i="8"/>
  <c r="G185" i="8"/>
  <c r="G184" i="8"/>
  <c r="G183" i="8"/>
  <c r="G182" i="8"/>
  <c r="G181" i="8"/>
  <c r="G180" i="8"/>
  <c r="G179" i="8"/>
  <c r="G178" i="8"/>
  <c r="G177" i="8"/>
  <c r="G176" i="8"/>
  <c r="G175" i="8"/>
  <c r="G174" i="8"/>
  <c r="G173" i="8"/>
  <c r="G172" i="8"/>
  <c r="G171" i="8"/>
  <c r="G170" i="8"/>
  <c r="G169" i="8"/>
  <c r="G168" i="8"/>
  <c r="G167" i="8"/>
  <c r="G166" i="8"/>
  <c r="G165" i="8"/>
  <c r="G164" i="8"/>
  <c r="G163" i="8"/>
  <c r="G162" i="8"/>
  <c r="G161" i="8"/>
  <c r="G160" i="8"/>
  <c r="G159" i="8"/>
  <c r="G158" i="8"/>
  <c r="G157" i="8"/>
  <c r="G156" i="8"/>
  <c r="G155" i="8"/>
  <c r="G154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I6" i="8"/>
  <c r="O6" i="8" s="1"/>
  <c r="H6" i="8"/>
  <c r="G493" i="9"/>
  <c r="G492" i="9"/>
  <c r="G491" i="9"/>
  <c r="G490" i="9"/>
  <c r="G489" i="9"/>
  <c r="G488" i="9"/>
  <c r="G487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G295" i="9"/>
  <c r="G294" i="9"/>
  <c r="G293" i="9"/>
  <c r="G292" i="9"/>
  <c r="G291" i="9"/>
  <c r="G290" i="9"/>
  <c r="G289" i="9"/>
  <c r="G288" i="9"/>
  <c r="G287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H6" i="9"/>
  <c r="S7" i="16" l="1"/>
  <c r="S22" i="16"/>
  <c r="S94" i="16"/>
  <c r="S115" i="16"/>
  <c r="S14" i="40"/>
  <c r="S10" i="40"/>
  <c r="S52" i="43"/>
  <c r="S68" i="43"/>
  <c r="S27" i="24"/>
  <c r="S14" i="24"/>
  <c r="S99" i="16"/>
  <c r="S24" i="16"/>
  <c r="S59" i="16"/>
  <c r="S66" i="16"/>
  <c r="S7" i="40"/>
  <c r="S34" i="24"/>
  <c r="S100" i="16"/>
  <c r="S126" i="16"/>
  <c r="S122" i="16"/>
  <c r="S12" i="40"/>
  <c r="S20" i="16"/>
  <c r="S63" i="16"/>
  <c r="S16" i="40"/>
  <c r="S66" i="43"/>
  <c r="S127" i="16"/>
  <c r="S128" i="16"/>
  <c r="S96" i="16"/>
  <c r="S30" i="16"/>
  <c r="S101" i="16"/>
  <c r="S58" i="16"/>
  <c r="S31" i="16"/>
  <c r="S14" i="16"/>
  <c r="S9" i="16"/>
  <c r="S11" i="40"/>
  <c r="S35" i="16"/>
  <c r="S76" i="16"/>
  <c r="S64" i="43"/>
  <c r="S9" i="40"/>
  <c r="S11" i="16"/>
  <c r="S20" i="40"/>
  <c r="S8" i="40"/>
  <c r="S121" i="16"/>
  <c r="S62" i="16"/>
  <c r="S110" i="16"/>
  <c r="S93" i="16"/>
  <c r="S36" i="16"/>
  <c r="S8" i="16"/>
  <c r="S120" i="16"/>
  <c r="S19" i="40"/>
  <c r="S18" i="40"/>
  <c r="S77" i="16"/>
  <c r="S102" i="16"/>
  <c r="S12" i="16"/>
  <c r="S59" i="24"/>
  <c r="S35" i="24"/>
  <c r="S23" i="24"/>
  <c r="S26" i="40"/>
  <c r="S47" i="16"/>
  <c r="S65" i="16"/>
  <c r="S114" i="16"/>
  <c r="S28" i="16"/>
  <c r="S22" i="24"/>
  <c r="S15" i="40"/>
  <c r="S98" i="16"/>
  <c r="S124" i="16"/>
  <c r="S10" i="16"/>
  <c r="S34" i="16"/>
  <c r="S27" i="16"/>
  <c r="S97" i="16"/>
  <c r="S23" i="16"/>
  <c r="S13" i="16"/>
  <c r="S17" i="40"/>
  <c r="S37" i="16"/>
  <c r="S19" i="16"/>
  <c r="S70" i="43"/>
  <c r="S109" i="16"/>
  <c r="S33" i="16"/>
  <c r="S95" i="16"/>
  <c r="S123" i="16"/>
  <c r="S21" i="16"/>
  <c r="S111" i="16"/>
  <c r="S50" i="24"/>
  <c r="S55" i="24"/>
  <c r="S31" i="24"/>
  <c r="S19" i="24"/>
  <c r="S18" i="16"/>
  <c r="S50" i="16"/>
  <c r="S125" i="16"/>
  <c r="S57" i="16"/>
  <c r="S89" i="16"/>
  <c r="S119" i="16"/>
  <c r="S90" i="16"/>
  <c r="S13" i="40"/>
  <c r="S67" i="16"/>
  <c r="S29" i="16"/>
  <c r="S34" i="40"/>
  <c r="S54" i="15"/>
  <c r="S70" i="15"/>
  <c r="S36" i="15"/>
  <c r="S23" i="15"/>
  <c r="S35" i="15"/>
  <c r="R57" i="31"/>
  <c r="G57" i="31" s="1"/>
  <c r="S11" i="24"/>
  <c r="S37" i="15"/>
  <c r="S42" i="15"/>
  <c r="S50" i="15"/>
  <c r="S38" i="15"/>
  <c r="S30" i="15"/>
  <c r="S71" i="15"/>
  <c r="S7" i="15"/>
  <c r="S56" i="15"/>
  <c r="Q20" i="7"/>
  <c r="Q18" i="7"/>
  <c r="Q57" i="31"/>
  <c r="F57" i="31" s="1"/>
  <c r="S12" i="22"/>
  <c r="S127" i="22"/>
  <c r="S51" i="22"/>
  <c r="S44" i="22"/>
  <c r="S42" i="22"/>
  <c r="S59" i="22"/>
  <c r="S37" i="22"/>
  <c r="S11" i="22"/>
  <c r="S9" i="22"/>
  <c r="S50" i="22"/>
  <c r="S48" i="22"/>
  <c r="S26" i="22"/>
  <c r="S24" i="22"/>
  <c r="S144" i="22"/>
  <c r="S49" i="22"/>
  <c r="S47" i="22"/>
  <c r="S27" i="22"/>
  <c r="S25" i="22"/>
  <c r="S23" i="22"/>
  <c r="S60" i="22"/>
  <c r="S54" i="22"/>
  <c r="S40" i="22"/>
  <c r="S38" i="22"/>
  <c r="S30" i="22"/>
  <c r="S20" i="22"/>
  <c r="S18" i="22"/>
  <c r="S7" i="22"/>
  <c r="S52" i="22"/>
  <c r="S46" i="22"/>
  <c r="S28" i="22"/>
  <c r="S22" i="22"/>
  <c r="S16" i="22"/>
  <c r="S65" i="22"/>
  <c r="S63" i="22"/>
  <c r="S55" i="22"/>
  <c r="S53" i="22"/>
  <c r="S45" i="22"/>
  <c r="S35" i="22"/>
  <c r="S33" i="22"/>
  <c r="S31" i="22"/>
  <c r="S29" i="22"/>
  <c r="S21" i="22"/>
  <c r="S15" i="22"/>
  <c r="S10" i="22"/>
  <c r="S8" i="22"/>
  <c r="S61" i="22"/>
  <c r="S57" i="22"/>
  <c r="S43" i="22"/>
  <c r="S41" i="22"/>
  <c r="S39" i="22"/>
  <c r="S19" i="22"/>
  <c r="S17" i="22"/>
  <c r="S13" i="22"/>
  <c r="S66" i="22"/>
  <c r="S64" i="22"/>
  <c r="S62" i="22"/>
  <c r="S58" i="22"/>
  <c r="S56" i="22"/>
  <c r="S36" i="22"/>
  <c r="S34" i="22"/>
  <c r="S32" i="22"/>
  <c r="S14" i="22"/>
  <c r="S15" i="24"/>
  <c r="S7" i="24"/>
  <c r="S10" i="24"/>
  <c r="S56" i="20"/>
  <c r="P57" i="31"/>
  <c r="E57" i="31" s="1"/>
  <c r="S27" i="40"/>
  <c r="S7" i="31"/>
  <c r="S12" i="31"/>
  <c r="S10" i="31"/>
  <c r="S39" i="23"/>
  <c r="S12" i="20"/>
  <c r="S36" i="40"/>
  <c r="S41" i="43"/>
  <c r="S21" i="23"/>
  <c r="S36" i="23"/>
  <c r="S20" i="23"/>
  <c r="S22" i="23"/>
  <c r="S19" i="23"/>
  <c r="Q17" i="7"/>
  <c r="Q19" i="7"/>
  <c r="Q21" i="7"/>
  <c r="S78" i="42"/>
  <c r="S62" i="42"/>
  <c r="S56" i="42"/>
  <c r="S40" i="42"/>
  <c r="S9" i="42"/>
  <c r="S76" i="42"/>
  <c r="S42" i="42"/>
  <c r="S16" i="42"/>
  <c r="S48" i="42"/>
  <c r="S77" i="42"/>
  <c r="S75" i="42"/>
  <c r="S69" i="42"/>
  <c r="S68" i="42"/>
  <c r="S26" i="24"/>
  <c r="S18" i="24"/>
  <c r="S10" i="39"/>
  <c r="S66" i="34"/>
  <c r="G66" i="34" s="1"/>
  <c r="O57" i="31"/>
  <c r="D57" i="31" s="1"/>
  <c r="R66" i="34"/>
  <c r="T56" i="34"/>
  <c r="S62" i="43"/>
  <c r="S54" i="43"/>
  <c r="S50" i="43"/>
  <c r="S46" i="43"/>
  <c r="N57" i="31"/>
  <c r="C57" i="31" s="1"/>
  <c r="T50" i="34"/>
  <c r="T34" i="34"/>
  <c r="S9" i="31"/>
  <c r="S13" i="31"/>
  <c r="S28" i="24"/>
  <c r="S24" i="24"/>
  <c r="S14" i="39"/>
  <c r="S59" i="40"/>
  <c r="S55" i="40"/>
  <c r="S73" i="43"/>
  <c r="S57" i="43"/>
  <c r="S10" i="43"/>
  <c r="S24" i="44"/>
  <c r="S11" i="31"/>
  <c r="S8" i="31"/>
  <c r="S7" i="27"/>
  <c r="S42" i="40"/>
  <c r="S30" i="40"/>
  <c r="S38" i="40"/>
  <c r="S28" i="40"/>
  <c r="Q65" i="23"/>
  <c r="R65" i="23"/>
  <c r="N65" i="23"/>
  <c r="P65" i="23"/>
  <c r="O65" i="23"/>
  <c r="D65" i="23" s="1"/>
  <c r="S14" i="23"/>
  <c r="S28" i="42"/>
  <c r="S81" i="42"/>
  <c r="S79" i="42"/>
  <c r="S73" i="42"/>
  <c r="S71" i="42"/>
  <c r="S57" i="42"/>
  <c r="S41" i="42"/>
  <c r="S25" i="42"/>
  <c r="S10" i="42"/>
  <c r="S52" i="42"/>
  <c r="S36" i="42"/>
  <c r="S34" i="42"/>
  <c r="S30" i="42"/>
  <c r="S24" i="42"/>
  <c r="S82" i="42"/>
  <c r="S60" i="42"/>
  <c r="S32" i="42"/>
  <c r="S65" i="42"/>
  <c r="S55" i="42"/>
  <c r="S49" i="42"/>
  <c r="S39" i="42"/>
  <c r="S33" i="42"/>
  <c r="S23" i="42"/>
  <c r="S17" i="42"/>
  <c r="S58" i="42"/>
  <c r="S20" i="42"/>
  <c r="S18" i="42"/>
  <c r="S70" i="42"/>
  <c r="S50" i="42"/>
  <c r="S46" i="42"/>
  <c r="S22" i="42"/>
  <c r="S80" i="42"/>
  <c r="S67" i="42"/>
  <c r="S63" i="42"/>
  <c r="S61" i="42"/>
  <c r="S59" i="42"/>
  <c r="S53" i="42"/>
  <c r="S51" i="42"/>
  <c r="S47" i="42"/>
  <c r="S45" i="42"/>
  <c r="S43" i="42"/>
  <c r="S37" i="42"/>
  <c r="S35" i="42"/>
  <c r="S31" i="42"/>
  <c r="S29" i="42"/>
  <c r="S27" i="42"/>
  <c r="S21" i="42"/>
  <c r="S19" i="42"/>
  <c r="S8" i="42"/>
  <c r="S74" i="42"/>
  <c r="S72" i="42"/>
  <c r="S64" i="42"/>
  <c r="S44" i="42"/>
  <c r="S26" i="42"/>
  <c r="S66" i="42"/>
  <c r="S54" i="42"/>
  <c r="S38" i="42"/>
  <c r="S7" i="42"/>
  <c r="O9" i="7"/>
  <c r="T57" i="34"/>
  <c r="T51" i="34"/>
  <c r="T59" i="34"/>
  <c r="T52" i="34"/>
  <c r="Q66" i="34"/>
  <c r="E66" i="34" s="1"/>
  <c r="O66" i="34"/>
  <c r="T54" i="34"/>
  <c r="T55" i="34"/>
  <c r="T33" i="34"/>
  <c r="T62" i="34"/>
  <c r="T53" i="34"/>
  <c r="T60" i="34"/>
  <c r="P66" i="34"/>
  <c r="T61" i="34"/>
  <c r="T58" i="34"/>
  <c r="T47" i="34"/>
  <c r="T45" i="34"/>
  <c r="T46" i="34"/>
  <c r="S36" i="24"/>
  <c r="S20" i="24"/>
  <c r="S8" i="24"/>
  <c r="S10" i="27"/>
  <c r="S73" i="21"/>
  <c r="S57" i="21"/>
  <c r="S41" i="21"/>
  <c r="S37" i="21"/>
  <c r="S33" i="21"/>
  <c r="S29" i="21"/>
  <c r="S75" i="24"/>
  <c r="S68" i="24"/>
  <c r="S60" i="24"/>
  <c r="S9" i="28"/>
  <c r="S29" i="44"/>
  <c r="S39" i="43"/>
  <c r="S47" i="43"/>
  <c r="S37" i="40"/>
  <c r="S39" i="40"/>
  <c r="S8" i="23"/>
  <c r="O7" i="4"/>
  <c r="P7" i="4"/>
  <c r="Q7" i="4"/>
  <c r="R7" i="4"/>
  <c r="S7" i="4"/>
  <c r="O9" i="4"/>
  <c r="S9" i="4"/>
  <c r="R9" i="4"/>
  <c r="P9" i="4"/>
  <c r="Q9" i="4"/>
  <c r="P11" i="4"/>
  <c r="R11" i="4"/>
  <c r="S11" i="4"/>
  <c r="O11" i="4"/>
  <c r="Q11" i="4"/>
  <c r="Q13" i="4"/>
  <c r="R13" i="4"/>
  <c r="O13" i="4"/>
  <c r="P13" i="4"/>
  <c r="S13" i="4"/>
  <c r="R15" i="4"/>
  <c r="Q15" i="4"/>
  <c r="S15" i="4"/>
  <c r="O15" i="4"/>
  <c r="P15" i="4"/>
  <c r="O17" i="4"/>
  <c r="S17" i="4"/>
  <c r="Q17" i="4"/>
  <c r="P17" i="4"/>
  <c r="R17" i="4"/>
  <c r="P19" i="4"/>
  <c r="Q19" i="4"/>
  <c r="R19" i="4"/>
  <c r="S19" i="4"/>
  <c r="O19" i="4"/>
  <c r="R21" i="4"/>
  <c r="Q21" i="4"/>
  <c r="O21" i="4"/>
  <c r="P21" i="4"/>
  <c r="S21" i="4"/>
  <c r="O23" i="4"/>
  <c r="S23" i="4"/>
  <c r="Q23" i="4"/>
  <c r="R23" i="4"/>
  <c r="P23" i="4"/>
  <c r="P25" i="4"/>
  <c r="Q25" i="4"/>
  <c r="O25" i="4"/>
  <c r="R25" i="4"/>
  <c r="S25" i="4"/>
  <c r="Q27" i="4"/>
  <c r="P27" i="4"/>
  <c r="R27" i="4"/>
  <c r="S27" i="4"/>
  <c r="O27" i="4"/>
  <c r="R29" i="4"/>
  <c r="P29" i="4"/>
  <c r="O29" i="4"/>
  <c r="Q29" i="4"/>
  <c r="S29" i="4"/>
  <c r="P31" i="4"/>
  <c r="Q31" i="4"/>
  <c r="R31" i="4"/>
  <c r="S31" i="4"/>
  <c r="O31" i="4"/>
  <c r="Q33" i="4"/>
  <c r="P33" i="4"/>
  <c r="O33" i="4"/>
  <c r="R33" i="4"/>
  <c r="S33" i="4"/>
  <c r="R35" i="4"/>
  <c r="P35" i="4"/>
  <c r="Q35" i="4"/>
  <c r="S35" i="4"/>
  <c r="O35" i="4"/>
  <c r="O37" i="4"/>
  <c r="S37" i="4"/>
  <c r="P37" i="4"/>
  <c r="Q37" i="4"/>
  <c r="R37" i="4"/>
  <c r="Q39" i="4"/>
  <c r="P39" i="4"/>
  <c r="R39" i="4"/>
  <c r="S39" i="4"/>
  <c r="O39" i="4"/>
  <c r="R41" i="4"/>
  <c r="P41" i="4"/>
  <c r="O41" i="4"/>
  <c r="Q41" i="4"/>
  <c r="S41" i="4"/>
  <c r="O43" i="4"/>
  <c r="S43" i="4"/>
  <c r="P43" i="4"/>
  <c r="Q43" i="4"/>
  <c r="R43" i="4"/>
  <c r="P45" i="4"/>
  <c r="O45" i="4"/>
  <c r="S45" i="4"/>
  <c r="Q45" i="4"/>
  <c r="R45" i="4"/>
  <c r="Q47" i="4"/>
  <c r="O47" i="4"/>
  <c r="P47" i="4"/>
  <c r="R47" i="4"/>
  <c r="S47" i="4"/>
  <c r="R49" i="4"/>
  <c r="O49" i="4"/>
  <c r="S49" i="4"/>
  <c r="P49" i="4"/>
  <c r="Q49" i="4"/>
  <c r="O51" i="4"/>
  <c r="S51" i="4"/>
  <c r="P51" i="4"/>
  <c r="Q51" i="4"/>
  <c r="R51" i="4"/>
  <c r="P53" i="4"/>
  <c r="S53" i="4"/>
  <c r="R53" i="4"/>
  <c r="O53" i="4"/>
  <c r="Q53" i="4"/>
  <c r="Q55" i="4"/>
  <c r="S55" i="4"/>
  <c r="O55" i="4"/>
  <c r="P55" i="4"/>
  <c r="R55" i="4"/>
  <c r="R57" i="4"/>
  <c r="S57" i="4"/>
  <c r="Q57" i="4"/>
  <c r="O57" i="4"/>
  <c r="P57" i="4"/>
  <c r="O59" i="4"/>
  <c r="S59" i="4"/>
  <c r="R59" i="4"/>
  <c r="P59" i="4"/>
  <c r="Q59" i="4"/>
  <c r="P61" i="4"/>
  <c r="R61" i="4"/>
  <c r="Q61" i="4"/>
  <c r="S61" i="4"/>
  <c r="O61" i="4"/>
  <c r="Q63" i="4"/>
  <c r="R63" i="4"/>
  <c r="O63" i="4"/>
  <c r="P63" i="4"/>
  <c r="S63" i="4"/>
  <c r="Q75" i="4"/>
  <c r="R75" i="4"/>
  <c r="O75" i="4"/>
  <c r="P75" i="4"/>
  <c r="S75" i="4"/>
  <c r="R77" i="4"/>
  <c r="Q77" i="4"/>
  <c r="S77" i="4"/>
  <c r="O77" i="4"/>
  <c r="P77" i="4"/>
  <c r="O82" i="4"/>
  <c r="S82" i="4"/>
  <c r="Q82" i="4"/>
  <c r="P82" i="4"/>
  <c r="R82" i="4"/>
  <c r="R86" i="4"/>
  <c r="Q86" i="4"/>
  <c r="O86" i="4"/>
  <c r="P86" i="4"/>
  <c r="S86" i="4"/>
  <c r="P88" i="4"/>
  <c r="O88" i="4"/>
  <c r="Q88" i="4"/>
  <c r="R88" i="4"/>
  <c r="S88" i="4"/>
  <c r="R90" i="4"/>
  <c r="P90" i="4"/>
  <c r="Q90" i="4"/>
  <c r="S90" i="4"/>
  <c r="O90" i="4"/>
  <c r="O92" i="4"/>
  <c r="S92" i="4"/>
  <c r="P92" i="4"/>
  <c r="Q92" i="4"/>
  <c r="R92" i="4"/>
  <c r="S29" i="40"/>
  <c r="S78" i="21"/>
  <c r="S50" i="21"/>
  <c r="S51" i="21"/>
  <c r="S13" i="21"/>
  <c r="S11" i="21"/>
  <c r="S9" i="21"/>
  <c r="S64" i="24"/>
  <c r="S56" i="24"/>
  <c r="S6" i="24"/>
  <c r="S13" i="39"/>
  <c r="S63" i="43"/>
  <c r="S25" i="44"/>
  <c r="S9" i="44"/>
  <c r="S6" i="23"/>
  <c r="S42" i="43"/>
  <c r="S32" i="40"/>
  <c r="S6" i="40"/>
  <c r="P8" i="4"/>
  <c r="R8" i="4"/>
  <c r="O8" i="4"/>
  <c r="Q8" i="4"/>
  <c r="S8" i="4"/>
  <c r="R10" i="4"/>
  <c r="S10" i="4"/>
  <c r="Q10" i="4"/>
  <c r="O10" i="4"/>
  <c r="P10" i="4"/>
  <c r="O12" i="4"/>
  <c r="S12" i="4"/>
  <c r="R12" i="4"/>
  <c r="P12" i="4"/>
  <c r="Q12" i="4"/>
  <c r="P14" i="4"/>
  <c r="R14" i="4"/>
  <c r="Q14" i="4"/>
  <c r="S14" i="4"/>
  <c r="O14" i="4"/>
  <c r="Q16" i="4"/>
  <c r="R16" i="4"/>
  <c r="O16" i="4"/>
  <c r="P16" i="4"/>
  <c r="S16" i="4"/>
  <c r="R18" i="4"/>
  <c r="Q18" i="4"/>
  <c r="P18" i="4"/>
  <c r="S18" i="4"/>
  <c r="O18" i="4"/>
  <c r="O20" i="4"/>
  <c r="S20" i="4"/>
  <c r="Q20" i="4"/>
  <c r="P20" i="4"/>
  <c r="R20" i="4"/>
  <c r="Q22" i="4"/>
  <c r="R22" i="4"/>
  <c r="P22" i="4"/>
  <c r="S22" i="4"/>
  <c r="O22" i="4"/>
  <c r="R24" i="4"/>
  <c r="Q24" i="4"/>
  <c r="O24" i="4"/>
  <c r="P24" i="4"/>
  <c r="S24" i="4"/>
  <c r="O26" i="4"/>
  <c r="S26" i="4"/>
  <c r="Q26" i="4"/>
  <c r="P26" i="4"/>
  <c r="R26" i="4"/>
  <c r="P28" i="4"/>
  <c r="Q28" i="4"/>
  <c r="S28" i="4"/>
  <c r="O28" i="4"/>
  <c r="R28" i="4"/>
  <c r="Q30" i="4"/>
  <c r="P30" i="4"/>
  <c r="O30" i="4"/>
  <c r="R30" i="4"/>
  <c r="S30" i="4"/>
  <c r="O32" i="4"/>
  <c r="S32" i="4"/>
  <c r="Q32" i="4"/>
  <c r="P32" i="4"/>
  <c r="R32" i="4"/>
  <c r="P34" i="4"/>
  <c r="Q34" i="4"/>
  <c r="O34" i="4"/>
  <c r="R34" i="4"/>
  <c r="S34" i="4"/>
  <c r="Q36" i="4"/>
  <c r="P36" i="4"/>
  <c r="S36" i="4"/>
  <c r="O36" i="4"/>
  <c r="R36" i="4"/>
  <c r="R38" i="4"/>
  <c r="P38" i="4"/>
  <c r="O38" i="4"/>
  <c r="Q38" i="4"/>
  <c r="S38" i="4"/>
  <c r="P40" i="4"/>
  <c r="Q40" i="4"/>
  <c r="S40" i="4"/>
  <c r="O40" i="4"/>
  <c r="R40" i="4"/>
  <c r="Q42" i="4"/>
  <c r="P42" i="4"/>
  <c r="O42" i="4"/>
  <c r="R42" i="4"/>
  <c r="S42" i="4"/>
  <c r="R44" i="4"/>
  <c r="P44" i="4"/>
  <c r="S44" i="4"/>
  <c r="O44" i="4"/>
  <c r="Q44" i="4"/>
  <c r="O46" i="4"/>
  <c r="S46" i="4"/>
  <c r="P46" i="4"/>
  <c r="Q46" i="4"/>
  <c r="R46" i="4"/>
  <c r="P48" i="4"/>
  <c r="O48" i="4"/>
  <c r="R48" i="4"/>
  <c r="S48" i="4"/>
  <c r="Q48" i="4"/>
  <c r="Q50" i="4"/>
  <c r="O50" i="4"/>
  <c r="P50" i="4"/>
  <c r="R50" i="4"/>
  <c r="S50" i="4"/>
  <c r="R52" i="4"/>
  <c r="O52" i="4"/>
  <c r="Q52" i="4"/>
  <c r="S52" i="4"/>
  <c r="P52" i="4"/>
  <c r="O54" i="4"/>
  <c r="S54" i="4"/>
  <c r="P54" i="4"/>
  <c r="Q54" i="4"/>
  <c r="R54" i="4"/>
  <c r="P56" i="4"/>
  <c r="S56" i="4"/>
  <c r="Q56" i="4"/>
  <c r="R56" i="4"/>
  <c r="O56" i="4"/>
  <c r="Q58" i="4"/>
  <c r="S58" i="4"/>
  <c r="O58" i="4"/>
  <c r="P58" i="4"/>
  <c r="R58" i="4"/>
  <c r="R60" i="4"/>
  <c r="S60" i="4"/>
  <c r="P60" i="4"/>
  <c r="Q60" i="4"/>
  <c r="O60" i="4"/>
  <c r="O62" i="4"/>
  <c r="S62" i="4"/>
  <c r="R62" i="4"/>
  <c r="P62" i="4"/>
  <c r="Q62" i="4"/>
  <c r="R72" i="4"/>
  <c r="Q72" i="4"/>
  <c r="O72" i="4"/>
  <c r="P72" i="4"/>
  <c r="S72" i="4"/>
  <c r="P76" i="4"/>
  <c r="R76" i="4"/>
  <c r="Q76" i="4"/>
  <c r="S76" i="4"/>
  <c r="O76" i="4"/>
  <c r="P81" i="4"/>
  <c r="Q81" i="4"/>
  <c r="R81" i="4"/>
  <c r="S81" i="4"/>
  <c r="O81" i="4"/>
  <c r="O85" i="4"/>
  <c r="S85" i="4"/>
  <c r="Q85" i="4"/>
  <c r="R85" i="4"/>
  <c r="P85" i="4"/>
  <c r="P87" i="4"/>
  <c r="Q87" i="4"/>
  <c r="O87" i="4"/>
  <c r="R87" i="4"/>
  <c r="S87" i="4"/>
  <c r="O89" i="4"/>
  <c r="S89" i="4"/>
  <c r="P89" i="4"/>
  <c r="Q89" i="4"/>
  <c r="R89" i="4"/>
  <c r="P91" i="4"/>
  <c r="O91" i="4"/>
  <c r="Q91" i="4"/>
  <c r="R91" i="4"/>
  <c r="S91" i="4"/>
  <c r="S71" i="24"/>
  <c r="S33" i="24"/>
  <c r="S21" i="24"/>
  <c r="S6" i="38"/>
  <c r="H53" i="38" s="1"/>
  <c r="S74" i="43"/>
  <c r="S58" i="43"/>
  <c r="S28" i="43"/>
  <c r="S8" i="44"/>
  <c r="S30" i="44"/>
  <c r="S34" i="44"/>
  <c r="S37" i="43"/>
  <c r="S43" i="43"/>
  <c r="S45" i="43"/>
  <c r="S65" i="21"/>
  <c r="S66" i="21"/>
  <c r="S25" i="21"/>
  <c r="S17" i="21"/>
  <c r="S76" i="24"/>
  <c r="S48" i="24"/>
  <c r="S44" i="24"/>
  <c r="S32" i="24"/>
  <c r="S16" i="24"/>
  <c r="S12" i="24"/>
  <c r="S9" i="39"/>
  <c r="S77" i="43"/>
  <c r="S65" i="43"/>
  <c r="S61" i="43"/>
  <c r="S53" i="43"/>
  <c r="P6" i="11"/>
  <c r="E90" i="11" s="1"/>
  <c r="E93" i="11" s="1"/>
  <c r="S7" i="25"/>
  <c r="S9" i="15"/>
  <c r="Q74" i="15"/>
  <c r="F74" i="15" s="1"/>
  <c r="P74" i="15"/>
  <c r="E74" i="15" s="1"/>
  <c r="S10" i="15"/>
  <c r="S6" i="15"/>
  <c r="R74" i="15"/>
  <c r="G74" i="15" s="1"/>
  <c r="S63" i="15"/>
  <c r="O74" i="15"/>
  <c r="D74" i="15" s="1"/>
  <c r="S14" i="15"/>
  <c r="N74" i="15"/>
  <c r="C74" i="15" s="1"/>
  <c r="S34" i="15"/>
  <c r="S26" i="15"/>
  <c r="S22" i="15"/>
  <c r="S13" i="15"/>
  <c r="O6" i="11"/>
  <c r="D90" i="11" s="1"/>
  <c r="D93" i="11" s="1"/>
  <c r="O22" i="7"/>
  <c r="O16" i="7"/>
  <c r="O28" i="7"/>
  <c r="O14" i="7"/>
  <c r="O20" i="7"/>
  <c r="O32" i="7"/>
  <c r="N7" i="7"/>
  <c r="N11" i="7"/>
  <c r="N18" i="7"/>
  <c r="N26" i="7"/>
  <c r="N30" i="7"/>
  <c r="O7" i="7"/>
  <c r="O11" i="7"/>
  <c r="O18" i="7"/>
  <c r="O26" i="7"/>
  <c r="O30" i="7"/>
  <c r="N9" i="7"/>
  <c r="N14" i="7"/>
  <c r="N16" i="7"/>
  <c r="N20" i="7"/>
  <c r="N22" i="7"/>
  <c r="N28" i="7"/>
  <c r="N32" i="7"/>
  <c r="S70" i="24"/>
  <c r="S66" i="24"/>
  <c r="S62" i="24"/>
  <c r="S40" i="24"/>
  <c r="S42" i="24"/>
  <c r="S13" i="28"/>
  <c r="S24" i="28"/>
  <c r="S20" i="28"/>
  <c r="S23" i="28"/>
  <c r="S19" i="28"/>
  <c r="S15" i="28"/>
  <c r="S11" i="28"/>
  <c r="S7" i="28"/>
  <c r="S18" i="28"/>
  <c r="S14" i="28"/>
  <c r="T21" i="29"/>
  <c r="T19" i="29"/>
  <c r="R16" i="33"/>
  <c r="G16" i="33" s="1"/>
  <c r="S6" i="33"/>
  <c r="T20" i="34"/>
  <c r="T25" i="34"/>
  <c r="T22" i="34"/>
  <c r="T11" i="34"/>
  <c r="T8" i="34"/>
  <c r="T27" i="34"/>
  <c r="T13" i="34"/>
  <c r="T9" i="34"/>
  <c r="T6" i="34"/>
  <c r="T14" i="34"/>
  <c r="T24" i="34"/>
  <c r="T17" i="34"/>
  <c r="T10" i="34"/>
  <c r="T16" i="34"/>
  <c r="T15" i="34"/>
  <c r="T12" i="34"/>
  <c r="S11" i="44"/>
  <c r="S26" i="44"/>
  <c r="S28" i="44"/>
  <c r="S33" i="44"/>
  <c r="S36" i="44"/>
  <c r="S32" i="44"/>
  <c r="S23" i="44"/>
  <c r="S7" i="44"/>
  <c r="S31" i="44"/>
  <c r="S6" i="44"/>
  <c r="S37" i="44"/>
  <c r="S20" i="44"/>
  <c r="S16" i="44"/>
  <c r="S19" i="44"/>
  <c r="S35" i="40"/>
  <c r="S31" i="40"/>
  <c r="S33" i="40"/>
  <c r="S54" i="40"/>
  <c r="S63" i="40"/>
  <c r="S62" i="40"/>
  <c r="S58" i="40"/>
  <c r="S50" i="40"/>
  <c r="S47" i="40"/>
  <c r="S65" i="40"/>
  <c r="S46" i="40"/>
  <c r="O68" i="20"/>
  <c r="D68" i="20" s="1"/>
  <c r="S10" i="17"/>
  <c r="S19" i="12"/>
  <c r="S12" i="12"/>
  <c r="O72" i="1"/>
  <c r="R29" i="1"/>
  <c r="R51" i="1"/>
  <c r="P29" i="1"/>
  <c r="R18" i="1"/>
  <c r="R37" i="1"/>
  <c r="O48" i="1"/>
  <c r="R21" i="1"/>
  <c r="O60" i="1"/>
  <c r="P21" i="1"/>
  <c r="P20" i="1"/>
  <c r="S13" i="1"/>
  <c r="O28" i="1"/>
  <c r="O18" i="1"/>
  <c r="O20" i="1"/>
  <c r="O21" i="1"/>
  <c r="O29" i="1"/>
  <c r="P11" i="1"/>
  <c r="P12" i="1"/>
  <c r="O36" i="1"/>
  <c r="S11" i="1"/>
  <c r="O25" i="1"/>
  <c r="R75" i="1"/>
  <c r="R25" i="1"/>
  <c r="P28" i="1"/>
  <c r="O7" i="1"/>
  <c r="O9" i="1"/>
  <c r="O15" i="1"/>
  <c r="O17" i="1"/>
  <c r="O24" i="1"/>
  <c r="O32" i="1"/>
  <c r="O56" i="1"/>
  <c r="R59" i="1"/>
  <c r="P7" i="1"/>
  <c r="P8" i="1"/>
  <c r="S9" i="1"/>
  <c r="P15" i="1"/>
  <c r="P16" i="1"/>
  <c r="O44" i="1"/>
  <c r="O64" i="1"/>
  <c r="O68" i="1"/>
  <c r="S7" i="1"/>
  <c r="O11" i="1"/>
  <c r="O13" i="1"/>
  <c r="S15" i="1"/>
  <c r="O37" i="1"/>
  <c r="O40" i="1"/>
  <c r="R43" i="1"/>
  <c r="O52" i="1"/>
  <c r="R64" i="1"/>
  <c r="R67" i="1"/>
  <c r="O76" i="1"/>
  <c r="S69" i="43"/>
  <c r="S49" i="43"/>
  <c r="S24" i="43"/>
  <c r="S44" i="43"/>
  <c r="S36" i="43"/>
  <c r="S76" i="43"/>
  <c r="S72" i="43"/>
  <c r="S60" i="43"/>
  <c r="S56" i="43"/>
  <c r="S6" i="43"/>
  <c r="Q78" i="43"/>
  <c r="S40" i="43"/>
  <c r="S75" i="43"/>
  <c r="S71" i="43"/>
  <c r="S67" i="43"/>
  <c r="S59" i="43"/>
  <c r="S55" i="43"/>
  <c r="S51" i="43"/>
  <c r="S32" i="43"/>
  <c r="S23" i="43"/>
  <c r="S16" i="43"/>
  <c r="S13" i="43"/>
  <c r="S38" i="43"/>
  <c r="P78" i="43"/>
  <c r="S14" i="43"/>
  <c r="O78" i="43"/>
  <c r="S9" i="43"/>
  <c r="S20" i="43"/>
  <c r="S7" i="43"/>
  <c r="S12" i="43"/>
  <c r="S8" i="43"/>
  <c r="S21" i="43"/>
  <c r="S15" i="43"/>
  <c r="S15" i="44"/>
  <c r="S22" i="44"/>
  <c r="S18" i="44"/>
  <c r="S14" i="44"/>
  <c r="S10" i="44"/>
  <c r="O60" i="44"/>
  <c r="S35" i="44"/>
  <c r="S27" i="44"/>
  <c r="S56" i="44"/>
  <c r="S52" i="44"/>
  <c r="S48" i="44"/>
  <c r="S44" i="44"/>
  <c r="S40" i="44"/>
  <c r="P60" i="44"/>
  <c r="S21" i="44"/>
  <c r="S17" i="44"/>
  <c r="S13" i="44"/>
  <c r="S12" i="44"/>
  <c r="R60" i="44"/>
  <c r="G60" i="44" s="1"/>
  <c r="S58" i="44"/>
  <c r="S54" i="44"/>
  <c r="S50" i="44"/>
  <c r="S46" i="44"/>
  <c r="S42" i="44"/>
  <c r="S38" i="44"/>
  <c r="O66" i="40"/>
  <c r="D66" i="40" s="1"/>
  <c r="P66" i="40"/>
  <c r="E66" i="40" s="1"/>
  <c r="Q66" i="40"/>
  <c r="F66" i="40" s="1"/>
  <c r="S56" i="40"/>
  <c r="S51" i="40"/>
  <c r="S43" i="40"/>
  <c r="S45" i="40"/>
  <c r="S48" i="40"/>
  <c r="R66" i="40"/>
  <c r="G66" i="40" s="1"/>
  <c r="S6" i="39"/>
  <c r="O19" i="39"/>
  <c r="S18" i="39"/>
  <c r="S16" i="39"/>
  <c r="Q19" i="39"/>
  <c r="P19" i="39"/>
  <c r="T26" i="34"/>
  <c r="T23" i="34"/>
  <c r="T19" i="34"/>
  <c r="T18" i="34"/>
  <c r="T28" i="34"/>
  <c r="T21" i="34"/>
  <c r="T7" i="34"/>
  <c r="S12" i="33"/>
  <c r="S8" i="33"/>
  <c r="S15" i="33"/>
  <c r="S11" i="33"/>
  <c r="S7" i="33"/>
  <c r="S14" i="33"/>
  <c r="S10" i="33"/>
  <c r="S13" i="33"/>
  <c r="S9" i="33"/>
  <c r="S6" i="32"/>
  <c r="S7" i="32" s="1"/>
  <c r="H7" i="32" s="1"/>
  <c r="T18" i="29"/>
  <c r="T14" i="29"/>
  <c r="P22" i="29"/>
  <c r="Q22" i="29"/>
  <c r="E22" i="29" s="1"/>
  <c r="T9" i="29"/>
  <c r="R25" i="28"/>
  <c r="G25" i="28" s="1"/>
  <c r="O25" i="28"/>
  <c r="Q25" i="28"/>
  <c r="S22" i="28"/>
  <c r="S12" i="28"/>
  <c r="S8" i="28"/>
  <c r="S21" i="28"/>
  <c r="S16" i="28"/>
  <c r="S10" i="28"/>
  <c r="Q11" i="27"/>
  <c r="S9" i="27"/>
  <c r="S8" i="27"/>
  <c r="R11" i="27"/>
  <c r="G11" i="27" s="1"/>
  <c r="O11" i="27"/>
  <c r="S6" i="27"/>
  <c r="P50" i="26"/>
  <c r="E50" i="26" s="1"/>
  <c r="Q8" i="25"/>
  <c r="O8" i="25"/>
  <c r="S6" i="22"/>
  <c r="S78" i="24"/>
  <c r="R79" i="24"/>
  <c r="G79" i="24" s="1"/>
  <c r="S73" i="24"/>
  <c r="S57" i="24"/>
  <c r="O79" i="24"/>
  <c r="S46" i="24"/>
  <c r="S38" i="24"/>
  <c r="S30" i="24"/>
  <c r="S72" i="24"/>
  <c r="S67" i="24"/>
  <c r="S63" i="24"/>
  <c r="S54" i="24"/>
  <c r="S37" i="24"/>
  <c r="S29" i="24"/>
  <c r="S25" i="24"/>
  <c r="S17" i="24"/>
  <c r="S13" i="24"/>
  <c r="S9" i="24"/>
  <c r="S65" i="24"/>
  <c r="S9" i="23"/>
  <c r="S7" i="23"/>
  <c r="S77" i="21"/>
  <c r="S68" i="21"/>
  <c r="S61" i="21"/>
  <c r="S52" i="21"/>
  <c r="S45" i="21"/>
  <c r="S36" i="21"/>
  <c r="S32" i="21"/>
  <c r="S28" i="21"/>
  <c r="S23" i="21"/>
  <c r="P80" i="21"/>
  <c r="E80" i="21" s="1"/>
  <c r="S15" i="21"/>
  <c r="S74" i="21"/>
  <c r="S71" i="21"/>
  <c r="S62" i="21"/>
  <c r="S58" i="21"/>
  <c r="O80" i="21"/>
  <c r="S76" i="21"/>
  <c r="S69" i="21"/>
  <c r="S60" i="21"/>
  <c r="S53" i="21"/>
  <c r="S49" i="21"/>
  <c r="S44" i="21"/>
  <c r="S38" i="21"/>
  <c r="S34" i="21"/>
  <c r="S30" i="21"/>
  <c r="S26" i="21"/>
  <c r="S19" i="21"/>
  <c r="S42" i="21"/>
  <c r="S75" i="21"/>
  <c r="S59" i="21"/>
  <c r="S55" i="21"/>
  <c r="S7" i="21"/>
  <c r="R68" i="20"/>
  <c r="G68" i="20" s="1"/>
  <c r="P68" i="20"/>
  <c r="E68" i="20" s="1"/>
  <c r="P61" i="19"/>
  <c r="E61" i="19" s="1"/>
  <c r="Q61" i="19"/>
  <c r="F61" i="19" s="1"/>
  <c r="S37" i="17"/>
  <c r="S27" i="17"/>
  <c r="S20" i="17"/>
  <c r="S17" i="17"/>
  <c r="S7" i="17"/>
  <c r="S22" i="17"/>
  <c r="S13" i="17"/>
  <c r="Q129" i="16"/>
  <c r="O129" i="16"/>
  <c r="S62" i="15"/>
  <c r="S17" i="15"/>
  <c r="S12" i="15"/>
  <c r="S8" i="15"/>
  <c r="S33" i="15"/>
  <c r="S25" i="15"/>
  <c r="S27" i="15"/>
  <c r="S11" i="15"/>
  <c r="S18" i="12"/>
  <c r="S8" i="12"/>
  <c r="S10" i="12"/>
  <c r="S22" i="12"/>
  <c r="O39" i="1"/>
  <c r="S43" i="1"/>
  <c r="R44" i="1"/>
  <c r="O47" i="1"/>
  <c r="S51" i="1"/>
  <c r="R52" i="1"/>
  <c r="O55" i="1"/>
  <c r="S59" i="1"/>
  <c r="R60" i="1"/>
  <c r="O63" i="1"/>
  <c r="S67" i="1"/>
  <c r="R68" i="1"/>
  <c r="O71" i="1"/>
  <c r="S75" i="1"/>
  <c r="R76" i="1"/>
  <c r="R39" i="1"/>
  <c r="R47" i="1"/>
  <c r="R55" i="1"/>
  <c r="R63" i="1"/>
  <c r="R71" i="1"/>
  <c r="P36" i="1"/>
  <c r="P37" i="1"/>
  <c r="R40" i="1"/>
  <c r="R48" i="1"/>
  <c r="R56" i="1"/>
  <c r="R72" i="1"/>
  <c r="O6" i="1"/>
  <c r="S8" i="1"/>
  <c r="P9" i="1"/>
  <c r="O10" i="1"/>
  <c r="S12" i="1"/>
  <c r="P13" i="1"/>
  <c r="O14" i="1"/>
  <c r="S16" i="1"/>
  <c r="P17" i="1"/>
  <c r="P18" i="1"/>
  <c r="O23" i="1"/>
  <c r="P24" i="1"/>
  <c r="P25" i="1"/>
  <c r="O31" i="1"/>
  <c r="P32" i="1"/>
  <c r="P6" i="1"/>
  <c r="P10" i="1"/>
  <c r="P14" i="1"/>
  <c r="S6" i="1"/>
  <c r="O8" i="1"/>
  <c r="S10" i="1"/>
  <c r="O12" i="1"/>
  <c r="S14" i="1"/>
  <c r="O16" i="1"/>
  <c r="O27" i="1"/>
  <c r="Q6" i="11"/>
  <c r="F90" i="11" s="1"/>
  <c r="F93" i="11" s="1"/>
  <c r="P6" i="7"/>
  <c r="P8" i="7"/>
  <c r="P10" i="7"/>
  <c r="P13" i="7"/>
  <c r="P15" i="7"/>
  <c r="P17" i="7"/>
  <c r="P19" i="7"/>
  <c r="P21" i="7"/>
  <c r="P23" i="7"/>
  <c r="P24" i="7"/>
  <c r="P25" i="7"/>
  <c r="P27" i="7"/>
  <c r="P29" i="7"/>
  <c r="P31" i="7"/>
  <c r="P33" i="7"/>
  <c r="R6" i="7"/>
  <c r="R10" i="7"/>
  <c r="R15" i="7"/>
  <c r="R21" i="7"/>
  <c r="R25" i="7"/>
  <c r="R27" i="7"/>
  <c r="N6" i="7"/>
  <c r="P7" i="7"/>
  <c r="N8" i="7"/>
  <c r="P9" i="7"/>
  <c r="N10" i="7"/>
  <c r="P11" i="7"/>
  <c r="N13" i="7"/>
  <c r="P14" i="7"/>
  <c r="N15" i="7"/>
  <c r="P16" i="7"/>
  <c r="N17" i="7"/>
  <c r="P18" i="7"/>
  <c r="N19" i="7"/>
  <c r="P20" i="7"/>
  <c r="N21" i="7"/>
  <c r="P22" i="7"/>
  <c r="N23" i="7"/>
  <c r="N24" i="7"/>
  <c r="N25" i="7"/>
  <c r="P26" i="7"/>
  <c r="N27" i="7"/>
  <c r="P28" i="7"/>
  <c r="N29" i="7"/>
  <c r="P30" i="7"/>
  <c r="N31" i="7"/>
  <c r="P32" i="7"/>
  <c r="N33" i="7"/>
  <c r="R8" i="7"/>
  <c r="R13" i="7"/>
  <c r="R17" i="7"/>
  <c r="R19" i="7"/>
  <c r="R23" i="7"/>
  <c r="R24" i="7"/>
  <c r="R29" i="7"/>
  <c r="R31" i="7"/>
  <c r="R33" i="7"/>
  <c r="O6" i="7"/>
  <c r="R7" i="7"/>
  <c r="O8" i="7"/>
  <c r="R9" i="7"/>
  <c r="O10" i="7"/>
  <c r="R11" i="7"/>
  <c r="O13" i="7"/>
  <c r="R14" i="7"/>
  <c r="O15" i="7"/>
  <c r="R16" i="7"/>
  <c r="O17" i="7"/>
  <c r="R18" i="7"/>
  <c r="O19" i="7"/>
  <c r="R20" i="7"/>
  <c r="O21" i="7"/>
  <c r="R22" i="7"/>
  <c r="O23" i="7"/>
  <c r="O24" i="7"/>
  <c r="O25" i="7"/>
  <c r="R26" i="7"/>
  <c r="O27" i="7"/>
  <c r="R28" i="7"/>
  <c r="O29" i="7"/>
  <c r="R30" i="7"/>
  <c r="O31" i="7"/>
  <c r="R32" i="7"/>
  <c r="O33" i="7"/>
  <c r="P6" i="8"/>
  <c r="S57" i="44"/>
  <c r="S53" i="44"/>
  <c r="S49" i="44"/>
  <c r="S45" i="44"/>
  <c r="S41" i="44"/>
  <c r="Q60" i="44"/>
  <c r="S59" i="44"/>
  <c r="S55" i="44"/>
  <c r="S51" i="44"/>
  <c r="S47" i="44"/>
  <c r="S43" i="44"/>
  <c r="S39" i="44"/>
  <c r="N60" i="44"/>
  <c r="S35" i="43"/>
  <c r="S19" i="43"/>
  <c r="R78" i="43"/>
  <c r="G78" i="43" s="1"/>
  <c r="S34" i="43"/>
  <c r="S30" i="43"/>
  <c r="S26" i="43"/>
  <c r="S22" i="43"/>
  <c r="S18" i="43"/>
  <c r="S25" i="43"/>
  <c r="N78" i="43"/>
  <c r="S31" i="43"/>
  <c r="S29" i="43"/>
  <c r="S11" i="43"/>
  <c r="S27" i="43"/>
  <c r="S33" i="43"/>
  <c r="S17" i="43"/>
  <c r="S6" i="42"/>
  <c r="S41" i="40"/>
  <c r="N66" i="40"/>
  <c r="C66" i="40" s="1"/>
  <c r="S52" i="40"/>
  <c r="S61" i="40"/>
  <c r="S57" i="40"/>
  <c r="S53" i="40"/>
  <c r="S49" i="40"/>
  <c r="S40" i="40"/>
  <c r="S60" i="40"/>
  <c r="S44" i="40"/>
  <c r="S64" i="40"/>
  <c r="S17" i="39"/>
  <c r="S12" i="39"/>
  <c r="S15" i="39"/>
  <c r="R19" i="39"/>
  <c r="G19" i="39" s="1"/>
  <c r="S7" i="39"/>
  <c r="N19" i="39"/>
  <c r="S8" i="39"/>
  <c r="S11" i="39"/>
  <c r="T29" i="34"/>
  <c r="O16" i="33"/>
  <c r="D16" i="33" s="1"/>
  <c r="N16" i="33"/>
  <c r="C16" i="33" s="1"/>
  <c r="P16" i="33"/>
  <c r="E16" i="33" s="1"/>
  <c r="P7" i="32"/>
  <c r="O7" i="32"/>
  <c r="N7" i="32"/>
  <c r="S6" i="31"/>
  <c r="T7" i="29"/>
  <c r="S22" i="29"/>
  <c r="G22" i="29" s="1"/>
  <c r="T10" i="29"/>
  <c r="T15" i="29"/>
  <c r="O22" i="29"/>
  <c r="T6" i="29"/>
  <c r="T11" i="29"/>
  <c r="T20" i="29"/>
  <c r="T16" i="29"/>
  <c r="T12" i="29"/>
  <c r="T8" i="29"/>
  <c r="R22" i="29"/>
  <c r="T17" i="29"/>
  <c r="T13" i="29"/>
  <c r="N25" i="28"/>
  <c r="P25" i="28"/>
  <c r="S6" i="28"/>
  <c r="N11" i="27"/>
  <c r="P11" i="27"/>
  <c r="E11" i="27" s="1"/>
  <c r="Q50" i="26"/>
  <c r="F50" i="26" s="1"/>
  <c r="R50" i="26"/>
  <c r="G50" i="26" s="1"/>
  <c r="N50" i="26"/>
  <c r="C50" i="26" s="1"/>
  <c r="S6" i="26"/>
  <c r="O50" i="26"/>
  <c r="D50" i="26" s="1"/>
  <c r="P8" i="25"/>
  <c r="N8" i="25"/>
  <c r="S6" i="25"/>
  <c r="R8" i="25"/>
  <c r="G8" i="25" s="1"/>
  <c r="S74" i="24"/>
  <c r="S77" i="24"/>
  <c r="N79" i="24"/>
  <c r="Q79" i="24"/>
  <c r="S51" i="24"/>
  <c r="S47" i="24"/>
  <c r="S43" i="24"/>
  <c r="S39" i="24"/>
  <c r="S69" i="24"/>
  <c r="S61" i="24"/>
  <c r="S58" i="24"/>
  <c r="S49" i="24"/>
  <c r="S45" i="24"/>
  <c r="S41" i="24"/>
  <c r="P79" i="24"/>
  <c r="E79" i="24" s="1"/>
  <c r="S52" i="24"/>
  <c r="S53" i="24"/>
  <c r="S10" i="23"/>
  <c r="S11" i="23"/>
  <c r="S12" i="23"/>
  <c r="S13" i="23"/>
  <c r="S64" i="21"/>
  <c r="S48" i="21"/>
  <c r="S47" i="21"/>
  <c r="S39" i="21"/>
  <c r="S22" i="21"/>
  <c r="S14" i="21"/>
  <c r="S79" i="21"/>
  <c r="R80" i="21"/>
  <c r="G80" i="21" s="1"/>
  <c r="S24" i="21"/>
  <c r="S16" i="21"/>
  <c r="S43" i="21"/>
  <c r="S63" i="21"/>
  <c r="S54" i="21"/>
  <c r="Q80" i="21"/>
  <c r="S67" i="21"/>
  <c r="S12" i="21"/>
  <c r="S10" i="21"/>
  <c r="S8" i="21"/>
  <c r="S6" i="21"/>
  <c r="N80" i="21"/>
  <c r="S72" i="21"/>
  <c r="S56" i="21"/>
  <c r="S40" i="21"/>
  <c r="S35" i="21"/>
  <c r="S31" i="21"/>
  <c r="S27" i="21"/>
  <c r="S70" i="21"/>
  <c r="S21" i="21"/>
  <c r="S46" i="21"/>
  <c r="S18" i="21"/>
  <c r="S20" i="21"/>
  <c r="N68" i="20"/>
  <c r="C68" i="20" s="1"/>
  <c r="S6" i="20"/>
  <c r="Q68" i="20"/>
  <c r="F68" i="20" s="1"/>
  <c r="R61" i="19"/>
  <c r="G61" i="19" s="1"/>
  <c r="O61" i="19"/>
  <c r="D61" i="19" s="1"/>
  <c r="S6" i="19"/>
  <c r="N61" i="19"/>
  <c r="C61" i="19" s="1"/>
  <c r="S12" i="17"/>
  <c r="S30" i="17"/>
  <c r="S21" i="17"/>
  <c r="S39" i="17"/>
  <c r="S29" i="17"/>
  <c r="S32" i="17"/>
  <c r="S24" i="17"/>
  <c r="Q40" i="17"/>
  <c r="S31" i="17"/>
  <c r="S23" i="17"/>
  <c r="S14" i="17"/>
  <c r="S8" i="17"/>
  <c r="S9" i="17"/>
  <c r="P40" i="17"/>
  <c r="E40" i="17" s="1"/>
  <c r="S36" i="17"/>
  <c r="S26" i="17"/>
  <c r="S16" i="17"/>
  <c r="N40" i="17"/>
  <c r="S6" i="17"/>
  <c r="O40" i="17"/>
  <c r="S34" i="17"/>
  <c r="S25" i="17"/>
  <c r="S18" i="17"/>
  <c r="S15" i="17"/>
  <c r="S11" i="17"/>
  <c r="S38" i="17"/>
  <c r="S28" i="17"/>
  <c r="S19" i="17"/>
  <c r="R40" i="17"/>
  <c r="G40" i="17" s="1"/>
  <c r="R129" i="16"/>
  <c r="N129" i="16"/>
  <c r="S6" i="16"/>
  <c r="P129" i="16"/>
  <c r="S61" i="15"/>
  <c r="S59" i="15"/>
  <c r="S32" i="15"/>
  <c r="S28" i="15"/>
  <c r="S24" i="15"/>
  <c r="S66" i="15"/>
  <c r="S52" i="15"/>
  <c r="S39" i="15"/>
  <c r="S65" i="15"/>
  <c r="S64" i="15"/>
  <c r="S21" i="15"/>
  <c r="S55" i="15"/>
  <c r="S69" i="15"/>
  <c r="S60" i="15"/>
  <c r="S20" i="15"/>
  <c r="S51" i="15"/>
  <c r="S16" i="15"/>
  <c r="S53" i="15"/>
  <c r="S15" i="15"/>
  <c r="S67" i="15"/>
  <c r="S58" i="15"/>
  <c r="S41" i="15"/>
  <c r="S73" i="15"/>
  <c r="S57" i="15"/>
  <c r="S49" i="15"/>
  <c r="S72" i="15"/>
  <c r="S19" i="15"/>
  <c r="S68" i="15"/>
  <c r="S18" i="15"/>
  <c r="S6" i="14"/>
  <c r="S13" i="12"/>
  <c r="S20" i="12"/>
  <c r="S6" i="12"/>
  <c r="S11" i="12"/>
  <c r="S15" i="12"/>
  <c r="S9" i="12"/>
  <c r="S17" i="12"/>
  <c r="R6" i="2"/>
  <c r="N6" i="2"/>
  <c r="P6" i="2"/>
  <c r="O6" i="2"/>
  <c r="Q6" i="2"/>
  <c r="R19" i="1"/>
  <c r="R22" i="1"/>
  <c r="S23" i="1"/>
  <c r="R26" i="1"/>
  <c r="S27" i="1"/>
  <c r="R30" i="1"/>
  <c r="S31" i="1"/>
  <c r="Q41" i="1"/>
  <c r="P41" i="1"/>
  <c r="Q45" i="1"/>
  <c r="P45" i="1"/>
  <c r="S46" i="1"/>
  <c r="Q49" i="1"/>
  <c r="P49" i="1"/>
  <c r="S50" i="1"/>
  <c r="Q53" i="1"/>
  <c r="P53" i="1"/>
  <c r="Q57" i="1"/>
  <c r="P57" i="1"/>
  <c r="Q61" i="1"/>
  <c r="P61" i="1"/>
  <c r="S62" i="1"/>
  <c r="Q65" i="1"/>
  <c r="P65" i="1"/>
  <c r="S66" i="1"/>
  <c r="Q69" i="1"/>
  <c r="P69" i="1"/>
  <c r="Q73" i="1"/>
  <c r="P73" i="1"/>
  <c r="Q77" i="1"/>
  <c r="P77" i="1"/>
  <c r="S26" i="1"/>
  <c r="Q38" i="1"/>
  <c r="P38" i="1"/>
  <c r="S30" i="1"/>
  <c r="Q42" i="1"/>
  <c r="P42" i="1"/>
  <c r="Q54" i="1"/>
  <c r="P54" i="1"/>
  <c r="Q58" i="1"/>
  <c r="P58" i="1"/>
  <c r="Q70" i="1"/>
  <c r="P70" i="1"/>
  <c r="Q74" i="1"/>
  <c r="P74" i="1"/>
  <c r="Q78" i="1"/>
  <c r="P78" i="1"/>
  <c r="Q6" i="1"/>
  <c r="Q7" i="1"/>
  <c r="Q8" i="1"/>
  <c r="Q9" i="1"/>
  <c r="Q10" i="1"/>
  <c r="Q11" i="1"/>
  <c r="Q12" i="1"/>
  <c r="Q13" i="1"/>
  <c r="Q14" i="1"/>
  <c r="Q15" i="1"/>
  <c r="Q16" i="1"/>
  <c r="R17" i="1"/>
  <c r="S18" i="1"/>
  <c r="O19" i="1"/>
  <c r="R20" i="1"/>
  <c r="S21" i="1"/>
  <c r="O22" i="1"/>
  <c r="P23" i="1"/>
  <c r="R24" i="1"/>
  <c r="S25" i="1"/>
  <c r="O26" i="1"/>
  <c r="P27" i="1"/>
  <c r="R28" i="1"/>
  <c r="S29" i="1"/>
  <c r="O30" i="1"/>
  <c r="P31" i="1"/>
  <c r="R32" i="1"/>
  <c r="R36" i="1"/>
  <c r="S37" i="1"/>
  <c r="O38" i="1"/>
  <c r="Q39" i="1"/>
  <c r="P39" i="1"/>
  <c r="R41" i="1"/>
  <c r="O42" i="1"/>
  <c r="Q43" i="1"/>
  <c r="P43" i="1"/>
  <c r="R45" i="1"/>
  <c r="Q47" i="1"/>
  <c r="P47" i="1"/>
  <c r="R49" i="1"/>
  <c r="Q51" i="1"/>
  <c r="P51" i="1"/>
  <c r="R53" i="1"/>
  <c r="O54" i="1"/>
  <c r="Q55" i="1"/>
  <c r="P55" i="1"/>
  <c r="R57" i="1"/>
  <c r="O58" i="1"/>
  <c r="Q59" i="1"/>
  <c r="P59" i="1"/>
  <c r="R61" i="1"/>
  <c r="Q63" i="1"/>
  <c r="P63" i="1"/>
  <c r="R65" i="1"/>
  <c r="Q67" i="1"/>
  <c r="P67" i="1"/>
  <c r="R69" i="1"/>
  <c r="O70" i="1"/>
  <c r="Q71" i="1"/>
  <c r="P71" i="1"/>
  <c r="R73" i="1"/>
  <c r="O74" i="1"/>
  <c r="Q75" i="1"/>
  <c r="P75" i="1"/>
  <c r="R77" i="1"/>
  <c r="O78" i="1"/>
  <c r="S19" i="1"/>
  <c r="S22" i="1"/>
  <c r="Q46" i="1"/>
  <c r="P46" i="1"/>
  <c r="Q50" i="1"/>
  <c r="P50" i="1"/>
  <c r="Q62" i="1"/>
  <c r="P62" i="1"/>
  <c r="Q66" i="1"/>
  <c r="P66" i="1"/>
  <c r="S17" i="1"/>
  <c r="P19" i="1"/>
  <c r="S20" i="1"/>
  <c r="P22" i="1"/>
  <c r="R23" i="1"/>
  <c r="S24" i="1"/>
  <c r="P26" i="1"/>
  <c r="R27" i="1"/>
  <c r="S28" i="1"/>
  <c r="P30" i="1"/>
  <c r="R31" i="1"/>
  <c r="S32" i="1"/>
  <c r="S36" i="1"/>
  <c r="R38" i="1"/>
  <c r="Q40" i="1"/>
  <c r="P40" i="1"/>
  <c r="S41" i="1"/>
  <c r="R42" i="1"/>
  <c r="Q44" i="1"/>
  <c r="P44" i="1"/>
  <c r="S45" i="1"/>
  <c r="R46" i="1"/>
  <c r="Q48" i="1"/>
  <c r="P48" i="1"/>
  <c r="S49" i="1"/>
  <c r="R50" i="1"/>
  <c r="Q52" i="1"/>
  <c r="P52" i="1"/>
  <c r="S53" i="1"/>
  <c r="R54" i="1"/>
  <c r="Q56" i="1"/>
  <c r="P56" i="1"/>
  <c r="S57" i="1"/>
  <c r="R58" i="1"/>
  <c r="Q60" i="1"/>
  <c r="P60" i="1"/>
  <c r="S61" i="1"/>
  <c r="R62" i="1"/>
  <c r="Q64" i="1"/>
  <c r="P64" i="1"/>
  <c r="S65" i="1"/>
  <c r="R66" i="1"/>
  <c r="Q68" i="1"/>
  <c r="P68" i="1"/>
  <c r="S69" i="1"/>
  <c r="R70" i="1"/>
  <c r="Q72" i="1"/>
  <c r="P72" i="1"/>
  <c r="S73" i="1"/>
  <c r="R74" i="1"/>
  <c r="Q76" i="1"/>
  <c r="P76" i="1"/>
  <c r="S77" i="1"/>
  <c r="R78" i="1"/>
  <c r="R6" i="11"/>
  <c r="G90" i="11" s="1"/>
  <c r="G93" i="11" s="1"/>
  <c r="N6" i="11"/>
  <c r="C90" i="11" s="1"/>
  <c r="C93" i="11" s="1"/>
  <c r="S6" i="4"/>
  <c r="O6" i="4"/>
  <c r="P6" i="4"/>
  <c r="Q6" i="4"/>
  <c r="Q6" i="8"/>
  <c r="N6" i="8"/>
  <c r="R6" i="8"/>
  <c r="G111" i="8" s="1"/>
  <c r="F61" i="2" l="1"/>
  <c r="F63" i="2" s="1"/>
  <c r="D61" i="2"/>
  <c r="D63" i="2" s="1"/>
  <c r="G61" i="2"/>
  <c r="E61" i="2"/>
  <c r="C61" i="2"/>
  <c r="C63" i="2" s="1"/>
  <c r="H252" i="22"/>
  <c r="S57" i="31"/>
  <c r="H57" i="31" s="1"/>
  <c r="H42" i="14"/>
  <c r="S65" i="23"/>
  <c r="H65" i="23" s="1"/>
  <c r="T66" i="34"/>
  <c r="H66" i="34" s="1"/>
  <c r="T25" i="1"/>
  <c r="S6" i="7"/>
  <c r="T91" i="4"/>
  <c r="T89" i="4"/>
  <c r="T56" i="4"/>
  <c r="T38" i="4"/>
  <c r="T30" i="4"/>
  <c r="T10" i="4"/>
  <c r="T57" i="4"/>
  <c r="T53" i="4"/>
  <c r="T19" i="4"/>
  <c r="T17" i="4"/>
  <c r="T87" i="4"/>
  <c r="T32" i="4"/>
  <c r="T8" i="4"/>
  <c r="T82" i="4"/>
  <c r="T13" i="4"/>
  <c r="T72" i="4"/>
  <c r="T62" i="4"/>
  <c r="T58" i="4"/>
  <c r="T54" i="4"/>
  <c r="T52" i="4"/>
  <c r="T46" i="4"/>
  <c r="T42" i="4"/>
  <c r="T40" i="4"/>
  <c r="T34" i="4"/>
  <c r="T22" i="4"/>
  <c r="T14" i="4"/>
  <c r="T90" i="4"/>
  <c r="T86" i="4"/>
  <c r="T77" i="4"/>
  <c r="T59" i="4"/>
  <c r="T45" i="4"/>
  <c r="T37" i="4"/>
  <c r="T29" i="4"/>
  <c r="T27" i="4"/>
  <c r="T25" i="4"/>
  <c r="T23" i="4"/>
  <c r="T11" i="4"/>
  <c r="T7" i="4"/>
  <c r="T81" i="4"/>
  <c r="T60" i="4"/>
  <c r="T50" i="4"/>
  <c r="T24" i="4"/>
  <c r="T16" i="4"/>
  <c r="T12" i="4"/>
  <c r="T92" i="4"/>
  <c r="T88" i="4"/>
  <c r="T75" i="4"/>
  <c r="T61" i="4"/>
  <c r="T51" i="4"/>
  <c r="T49" i="4"/>
  <c r="T43" i="4"/>
  <c r="T33" i="4"/>
  <c r="T31" i="4"/>
  <c r="T15" i="4"/>
  <c r="T9" i="4"/>
  <c r="T85" i="4"/>
  <c r="T76" i="4"/>
  <c r="T48" i="4"/>
  <c r="T44" i="4"/>
  <c r="T36" i="4"/>
  <c r="T28" i="4"/>
  <c r="T26" i="4"/>
  <c r="T20" i="4"/>
  <c r="T18" i="4"/>
  <c r="T63" i="4"/>
  <c r="T55" i="4"/>
  <c r="T47" i="4"/>
  <c r="T41" i="4"/>
  <c r="T39" i="4"/>
  <c r="T35" i="4"/>
  <c r="T21" i="4"/>
  <c r="S74" i="15"/>
  <c r="H74" i="15" s="1"/>
  <c r="S28" i="7"/>
  <c r="S22" i="7"/>
  <c r="S20" i="7"/>
  <c r="S16" i="7"/>
  <c r="S9" i="7"/>
  <c r="S11" i="7"/>
  <c r="S14" i="7"/>
  <c r="S26" i="7"/>
  <c r="S7" i="7"/>
  <c r="S18" i="7"/>
  <c r="S16" i="33"/>
  <c r="H16" i="33" s="1"/>
  <c r="S66" i="40"/>
  <c r="H66" i="40" s="1"/>
  <c r="T21" i="1"/>
  <c r="T67" i="1"/>
  <c r="T11" i="1"/>
  <c r="T16" i="1"/>
  <c r="T12" i="1"/>
  <c r="T7" i="1"/>
  <c r="T29" i="1"/>
  <c r="T18" i="1"/>
  <c r="T13" i="1"/>
  <c r="T8" i="1"/>
  <c r="T62" i="1"/>
  <c r="T27" i="1"/>
  <c r="T23" i="1"/>
  <c r="T61" i="1"/>
  <c r="T15" i="1"/>
  <c r="T73" i="1"/>
  <c r="T53" i="1"/>
  <c r="T76" i="1"/>
  <c r="T66" i="1"/>
  <c r="T51" i="1"/>
  <c r="T37" i="1"/>
  <c r="T65" i="1"/>
  <c r="T59" i="1"/>
  <c r="T47" i="1"/>
  <c r="T56" i="1"/>
  <c r="T52" i="1"/>
  <c r="T48" i="1"/>
  <c r="T44" i="1"/>
  <c r="T75" i="1"/>
  <c r="T43" i="1"/>
  <c r="T36" i="1"/>
  <c r="T28" i="1"/>
  <c r="T9" i="1"/>
  <c r="S78" i="43"/>
  <c r="H78" i="43" s="1"/>
  <c r="S60" i="44"/>
  <c r="H60" i="44" s="1"/>
  <c r="S19" i="39"/>
  <c r="H19" i="39" s="1"/>
  <c r="S11" i="27"/>
  <c r="H11" i="27" s="1"/>
  <c r="S79" i="24"/>
  <c r="H79" i="24" s="1"/>
  <c r="T71" i="1"/>
  <c r="T39" i="1"/>
  <c r="T72" i="1"/>
  <c r="T68" i="1"/>
  <c r="T40" i="1"/>
  <c r="T69" i="1"/>
  <c r="T64" i="1"/>
  <c r="T60" i="1"/>
  <c r="T46" i="1"/>
  <c r="T50" i="1"/>
  <c r="T77" i="1"/>
  <c r="T63" i="1"/>
  <c r="T55" i="1"/>
  <c r="T45" i="1"/>
  <c r="T41" i="1"/>
  <c r="T57" i="1"/>
  <c r="T49" i="1"/>
  <c r="T31" i="1"/>
  <c r="O79" i="1"/>
  <c r="P79" i="1"/>
  <c r="T14" i="1"/>
  <c r="T10" i="1"/>
  <c r="S79" i="1"/>
  <c r="T32" i="1"/>
  <c r="T24" i="1"/>
  <c r="T20" i="1"/>
  <c r="T17" i="1"/>
  <c r="R112" i="4"/>
  <c r="F112" i="4" s="1"/>
  <c r="S32" i="7"/>
  <c r="Q34" i="7"/>
  <c r="S30" i="7"/>
  <c r="R34" i="7"/>
  <c r="G34" i="7" s="1"/>
  <c r="S33" i="7"/>
  <c r="S29" i="7"/>
  <c r="S25" i="7"/>
  <c r="S23" i="7"/>
  <c r="S21" i="7"/>
  <c r="S17" i="7"/>
  <c r="S15" i="7"/>
  <c r="S10" i="7"/>
  <c r="P34" i="7"/>
  <c r="O34" i="7"/>
  <c r="S31" i="7"/>
  <c r="S27" i="7"/>
  <c r="S24" i="7"/>
  <c r="S19" i="7"/>
  <c r="S13" i="7"/>
  <c r="S8" i="7"/>
  <c r="S6" i="8"/>
  <c r="H111" i="8" s="1"/>
  <c r="T22" i="29"/>
  <c r="H22" i="29" s="1"/>
  <c r="S25" i="28"/>
  <c r="H25" i="28" s="1"/>
  <c r="S50" i="26"/>
  <c r="H50" i="26" s="1"/>
  <c r="S8" i="25"/>
  <c r="H8" i="25" s="1"/>
  <c r="S80" i="21"/>
  <c r="H80" i="21" s="1"/>
  <c r="S68" i="20"/>
  <c r="H68" i="20" s="1"/>
  <c r="S61" i="19"/>
  <c r="H61" i="19" s="1"/>
  <c r="S40" i="17"/>
  <c r="H40" i="17" s="1"/>
  <c r="S129" i="16"/>
  <c r="H129" i="16" s="1"/>
  <c r="S6" i="2"/>
  <c r="H61" i="2" s="1"/>
  <c r="Q79" i="1"/>
  <c r="T6" i="1"/>
  <c r="T58" i="1"/>
  <c r="T54" i="1"/>
  <c r="R79" i="1"/>
  <c r="T78" i="1"/>
  <c r="T74" i="1"/>
  <c r="T70" i="1"/>
  <c r="T42" i="1"/>
  <c r="T38" i="1"/>
  <c r="T30" i="1"/>
  <c r="T26" i="1"/>
  <c r="T22" i="1"/>
  <c r="T19" i="1"/>
  <c r="S6" i="11"/>
  <c r="H90" i="11" s="1"/>
  <c r="H93" i="11" s="1"/>
  <c r="P112" i="4"/>
  <c r="D112" i="4" s="1"/>
  <c r="O112" i="4"/>
  <c r="C112" i="4" s="1"/>
  <c r="T6" i="4"/>
  <c r="S112" i="4"/>
  <c r="G112" i="4" s="1"/>
  <c r="Q112" i="4"/>
  <c r="E112" i="4" s="1"/>
  <c r="N34" i="7"/>
  <c r="H7" i="5"/>
  <c r="H8" i="5"/>
  <c r="H9" i="5"/>
  <c r="H10" i="5"/>
  <c r="H11" i="5"/>
  <c r="H12" i="5"/>
  <c r="H13" i="5"/>
  <c r="H14" i="5"/>
  <c r="H16" i="5"/>
  <c r="H17" i="5"/>
  <c r="H18" i="5"/>
  <c r="H15" i="5"/>
  <c r="H6" i="5"/>
  <c r="D66" i="2" l="1"/>
  <c r="D67" i="2"/>
  <c r="F66" i="2"/>
  <c r="F67" i="2"/>
  <c r="C67" i="2"/>
  <c r="C66" i="2"/>
  <c r="C69" i="2" s="1"/>
  <c r="S34" i="7"/>
  <c r="H34" i="7" s="1"/>
  <c r="T79" i="1"/>
  <c r="H79" i="1" s="1"/>
  <c r="T112" i="4"/>
  <c r="H112" i="4" s="1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I6" i="5"/>
  <c r="R6" i="5" s="1"/>
  <c r="R9" i="5"/>
  <c r="I12" i="5"/>
  <c r="O12" i="5" s="1"/>
  <c r="I17" i="5"/>
  <c r="Q16" i="5" s="1"/>
  <c r="I18" i="5"/>
  <c r="I10" i="5"/>
  <c r="P10" i="5" s="1"/>
  <c r="I14" i="5"/>
  <c r="R14" i="5" s="1"/>
  <c r="I15" i="5"/>
  <c r="P15" i="5" s="1"/>
  <c r="I8" i="5"/>
  <c r="P8" i="5" s="1"/>
  <c r="I13" i="5"/>
  <c r="Q13" i="5" s="1"/>
  <c r="I7" i="5"/>
  <c r="R7" i="5" s="1"/>
  <c r="I11" i="5"/>
  <c r="O11" i="5" s="1"/>
  <c r="R17" i="5" l="1"/>
  <c r="O18" i="5"/>
  <c r="N15" i="5"/>
  <c r="N13" i="5"/>
  <c r="N8" i="5"/>
  <c r="N18" i="5"/>
  <c r="N7" i="5"/>
  <c r="N10" i="5"/>
  <c r="N17" i="5"/>
  <c r="N12" i="5"/>
  <c r="R8" i="5"/>
  <c r="O17" i="5"/>
  <c r="P14" i="5"/>
  <c r="P11" i="5"/>
  <c r="R15" i="5"/>
  <c r="O9" i="5"/>
  <c r="Q9" i="5"/>
  <c r="P18" i="5"/>
  <c r="R12" i="5"/>
  <c r="P13" i="5"/>
  <c r="O16" i="5"/>
  <c r="O10" i="5"/>
  <c r="Q7" i="5"/>
  <c r="N6" i="5"/>
  <c r="O6" i="5"/>
  <c r="N11" i="5"/>
  <c r="N14" i="5"/>
  <c r="N16" i="5"/>
  <c r="O8" i="5"/>
  <c r="Q17" i="5"/>
  <c r="Q14" i="5"/>
  <c r="Q11" i="5"/>
  <c r="O15" i="5"/>
  <c r="P9" i="5"/>
  <c r="R18" i="5"/>
  <c r="P12" i="5"/>
  <c r="O13" i="5"/>
  <c r="R16" i="5"/>
  <c r="R10" i="5"/>
  <c r="P7" i="5"/>
  <c r="Q6" i="5"/>
  <c r="Q8" i="5"/>
  <c r="P17" i="5"/>
  <c r="O14" i="5"/>
  <c r="R11" i="5"/>
  <c r="Q15" i="5"/>
  <c r="N9" i="5"/>
  <c r="Q18" i="5"/>
  <c r="Q12" i="5"/>
  <c r="R13" i="5"/>
  <c r="P16" i="5"/>
  <c r="Q10" i="5"/>
  <c r="O7" i="5"/>
  <c r="P6" i="5"/>
  <c r="S13" i="5" l="1"/>
  <c r="S18" i="5"/>
  <c r="S15" i="5"/>
  <c r="S8" i="5"/>
  <c r="P19" i="5"/>
  <c r="E62" i="2" s="1"/>
  <c r="R19" i="5"/>
  <c r="G62" i="2" s="1"/>
  <c r="G63" i="2" s="1"/>
  <c r="S6" i="5"/>
  <c r="N19" i="5"/>
  <c r="S9" i="5"/>
  <c r="Q19" i="5"/>
  <c r="S16" i="5"/>
  <c r="S12" i="5"/>
  <c r="S11" i="5"/>
  <c r="S17" i="5"/>
  <c r="S7" i="5"/>
  <c r="S14" i="5"/>
  <c r="O19" i="5"/>
  <c r="S10" i="5"/>
  <c r="G66" i="2" l="1"/>
  <c r="G67" i="2"/>
  <c r="H62" i="2"/>
  <c r="E63" i="2"/>
  <c r="S19" i="5"/>
  <c r="H19" i="5" s="1"/>
  <c r="I6" i="9"/>
  <c r="E66" i="2" l="1"/>
  <c r="H63" i="2"/>
  <c r="E67" i="2"/>
  <c r="P6" i="9"/>
  <c r="N6" i="9"/>
  <c r="Q6" i="9"/>
  <c r="R6" i="9"/>
  <c r="O6" i="9"/>
  <c r="H67" i="2" l="1"/>
  <c r="H66" i="2"/>
  <c r="S6" i="9"/>
  <c r="I7" i="12" l="1"/>
  <c r="I21" i="12"/>
  <c r="R21" i="12" l="1"/>
  <c r="P21" i="12"/>
  <c r="N21" i="12"/>
  <c r="Q21" i="12"/>
  <c r="O21" i="12"/>
  <c r="P7" i="12"/>
  <c r="N7" i="12"/>
  <c r="Q7" i="12"/>
  <c r="R7" i="12"/>
  <c r="O7" i="12"/>
  <c r="O14" i="12"/>
  <c r="Q16" i="12"/>
  <c r="P16" i="12"/>
  <c r="O16" i="12"/>
  <c r="R16" i="12"/>
  <c r="N16" i="12"/>
  <c r="N14" i="12"/>
  <c r="R14" i="12"/>
  <c r="P14" i="12"/>
  <c r="Q14" i="12"/>
  <c r="S21" i="12" l="1"/>
  <c r="O23" i="12"/>
  <c r="P23" i="12"/>
  <c r="S7" i="12"/>
  <c r="S16" i="12"/>
  <c r="R23" i="12"/>
  <c r="Q23" i="12"/>
  <c r="S14" i="12"/>
  <c r="N23" i="12"/>
  <c r="S23" i="12" l="1"/>
  <c r="H23" i="12" s="1"/>
  <c r="I59" i="48"/>
  <c r="I40" i="48"/>
  <c r="I45" i="48"/>
  <c r="I33" i="48"/>
  <c r="I18" i="48"/>
  <c r="I50" i="48"/>
  <c r="I57" i="48"/>
  <c r="I52" i="48"/>
  <c r="I42" i="48"/>
  <c r="I29" i="48"/>
  <c r="I53" i="48"/>
  <c r="I51" i="48"/>
  <c r="I36" i="48"/>
  <c r="I17" i="48"/>
  <c r="I38" i="48"/>
  <c r="I24" i="48"/>
  <c r="I58" i="48"/>
  <c r="I55" i="48"/>
  <c r="I41" i="48"/>
  <c r="I30" i="48"/>
  <c r="I6" i="48"/>
  <c r="I54" i="48"/>
  <c r="I49" i="48"/>
  <c r="I39" i="48"/>
  <c r="I35" i="48"/>
  <c r="I21" i="48"/>
  <c r="I15" i="48"/>
  <c r="I28" i="48"/>
  <c r="I13" i="48"/>
  <c r="I43" i="48"/>
  <c r="I31" i="48"/>
  <c r="I27" i="48"/>
  <c r="I7" i="48"/>
  <c r="I61" i="48"/>
  <c r="I32" i="48"/>
  <c r="I14" i="48"/>
  <c r="I47" i="48"/>
  <c r="I44" i="48"/>
  <c r="I48" i="48"/>
  <c r="I56" i="48"/>
  <c r="I22" i="48"/>
  <c r="I12" i="48"/>
  <c r="I23" i="48"/>
  <c r="I60" i="48"/>
  <c r="I11" i="48"/>
  <c r="I37" i="48"/>
  <c r="I19" i="48"/>
  <c r="I34" i="48"/>
  <c r="I46" i="48"/>
  <c r="O46" i="48" l="1"/>
  <c r="N46" i="48"/>
  <c r="R46" i="48"/>
  <c r="P46" i="48"/>
  <c r="Q46" i="48"/>
  <c r="N12" i="48"/>
  <c r="Q12" i="48"/>
  <c r="R12" i="48"/>
  <c r="O12" i="48"/>
  <c r="P12" i="48"/>
  <c r="O60" i="48"/>
  <c r="N60" i="48"/>
  <c r="P60" i="48"/>
  <c r="Q60" i="48"/>
  <c r="R60" i="48"/>
  <c r="P23" i="48"/>
  <c r="Q23" i="48"/>
  <c r="N23" i="48"/>
  <c r="O23" i="48"/>
  <c r="R23" i="48"/>
  <c r="O21" i="48"/>
  <c r="R21" i="48"/>
  <c r="P21" i="48"/>
  <c r="Q21" i="48"/>
  <c r="N21" i="48"/>
  <c r="N22" i="48"/>
  <c r="O22" i="48"/>
  <c r="P22" i="48"/>
  <c r="R22" i="48"/>
  <c r="Q22" i="48"/>
  <c r="R11" i="48"/>
  <c r="P11" i="48"/>
  <c r="Q11" i="48"/>
  <c r="N11" i="48"/>
  <c r="O11" i="48"/>
  <c r="P30" i="48"/>
  <c r="Q30" i="48"/>
  <c r="N30" i="48"/>
  <c r="R30" i="48"/>
  <c r="O30" i="48"/>
  <c r="Q37" i="48"/>
  <c r="N37" i="48"/>
  <c r="R37" i="48"/>
  <c r="O37" i="48"/>
  <c r="P37" i="48"/>
  <c r="Q45" i="48"/>
  <c r="N45" i="48"/>
  <c r="R45" i="48"/>
  <c r="O45" i="48"/>
  <c r="P45" i="48"/>
  <c r="N31" i="48"/>
  <c r="R31" i="48"/>
  <c r="O31" i="48"/>
  <c r="P31" i="48"/>
  <c r="Q31" i="48"/>
  <c r="O25" i="48"/>
  <c r="P25" i="48"/>
  <c r="Q25" i="48"/>
  <c r="R25" i="48"/>
  <c r="N25" i="48"/>
  <c r="N34" i="48"/>
  <c r="R34" i="48"/>
  <c r="O34" i="48"/>
  <c r="P34" i="48"/>
  <c r="Q34" i="48"/>
  <c r="N26" i="48"/>
  <c r="R26" i="48"/>
  <c r="O26" i="48"/>
  <c r="P26" i="48"/>
  <c r="Q26" i="48"/>
  <c r="N42" i="48"/>
  <c r="R42" i="48"/>
  <c r="O42" i="48"/>
  <c r="P42" i="48"/>
  <c r="Q42" i="48"/>
  <c r="N15" i="48"/>
  <c r="R15" i="48"/>
  <c r="O15" i="48"/>
  <c r="P15" i="48"/>
  <c r="Q15" i="48"/>
  <c r="O9" i="48"/>
  <c r="P9" i="48"/>
  <c r="Q9" i="48"/>
  <c r="N9" i="48"/>
  <c r="R9" i="48"/>
  <c r="N50" i="48"/>
  <c r="R50" i="48"/>
  <c r="O50" i="48"/>
  <c r="P50" i="48"/>
  <c r="Q50" i="48"/>
  <c r="O36" i="48"/>
  <c r="P36" i="48"/>
  <c r="R36" i="48"/>
  <c r="N36" i="48"/>
  <c r="Q36" i="48"/>
  <c r="P35" i="48"/>
  <c r="Q35" i="48"/>
  <c r="R35" i="48"/>
  <c r="N35" i="48"/>
  <c r="O35" i="48"/>
  <c r="N10" i="48"/>
  <c r="R10" i="48"/>
  <c r="O10" i="48"/>
  <c r="P10" i="48"/>
  <c r="Q10" i="48"/>
  <c r="Q8" i="48"/>
  <c r="N8" i="48"/>
  <c r="R8" i="48"/>
  <c r="O8" i="48"/>
  <c r="P8" i="48"/>
  <c r="Q32" i="48"/>
  <c r="N32" i="48"/>
  <c r="R32" i="48"/>
  <c r="O32" i="48"/>
  <c r="P32" i="48"/>
  <c r="Q13" i="48"/>
  <c r="N13" i="48"/>
  <c r="R13" i="48"/>
  <c r="O13" i="48"/>
  <c r="P13" i="48"/>
  <c r="N7" i="48"/>
  <c r="R7" i="48"/>
  <c r="O7" i="48"/>
  <c r="P7" i="48"/>
  <c r="Q7" i="48"/>
  <c r="N47" i="48"/>
  <c r="R47" i="48"/>
  <c r="O47" i="48"/>
  <c r="P47" i="48"/>
  <c r="Q47" i="48"/>
  <c r="O44" i="48"/>
  <c r="P44" i="48"/>
  <c r="Q44" i="48"/>
  <c r="N44" i="48"/>
  <c r="R44" i="48"/>
  <c r="O52" i="48"/>
  <c r="P52" i="48"/>
  <c r="R52" i="48"/>
  <c r="N52" i="48"/>
  <c r="Q52" i="48"/>
  <c r="Q48" i="48"/>
  <c r="N48" i="48"/>
  <c r="R48" i="48"/>
  <c r="O48" i="48"/>
  <c r="P48" i="48"/>
  <c r="P59" i="48"/>
  <c r="Q59" i="48"/>
  <c r="N59" i="48"/>
  <c r="O59" i="48"/>
  <c r="R59" i="48"/>
  <c r="P38" i="48"/>
  <c r="Q38" i="48"/>
  <c r="R38" i="48"/>
  <c r="N38" i="48"/>
  <c r="O38" i="48"/>
  <c r="O57" i="48"/>
  <c r="P57" i="48"/>
  <c r="Q57" i="48"/>
  <c r="R57" i="48"/>
  <c r="N57" i="48"/>
  <c r="N39" i="48"/>
  <c r="R39" i="48"/>
  <c r="O39" i="48"/>
  <c r="Q39" i="48"/>
  <c r="P39" i="48"/>
  <c r="P27" i="48"/>
  <c r="Q27" i="48"/>
  <c r="N27" i="48"/>
  <c r="R27" i="48"/>
  <c r="O27" i="48"/>
  <c r="Q56" i="48"/>
  <c r="N56" i="48"/>
  <c r="R56" i="48"/>
  <c r="O56" i="48"/>
  <c r="P56" i="48"/>
  <c r="P43" i="48"/>
  <c r="Q43" i="48"/>
  <c r="N43" i="48"/>
  <c r="O43" i="48"/>
  <c r="R43" i="48"/>
  <c r="Q16" i="48"/>
  <c r="N16" i="48"/>
  <c r="R16" i="48"/>
  <c r="O16" i="48"/>
  <c r="P16" i="48"/>
  <c r="P6" i="48"/>
  <c r="P19" i="48"/>
  <c r="Q19" i="48"/>
  <c r="R19" i="48"/>
  <c r="N19" i="48"/>
  <c r="O19" i="48"/>
  <c r="Q24" i="48"/>
  <c r="N24" i="48"/>
  <c r="R24" i="48"/>
  <c r="O24" i="48"/>
  <c r="P24" i="48"/>
  <c r="O33" i="48"/>
  <c r="P33" i="48"/>
  <c r="R33" i="48"/>
  <c r="N33" i="48"/>
  <c r="Q33" i="48"/>
  <c r="Q40" i="48"/>
  <c r="N40" i="48"/>
  <c r="R40" i="48"/>
  <c r="O40" i="48"/>
  <c r="P40" i="48"/>
  <c r="P14" i="48"/>
  <c r="Q14" i="48"/>
  <c r="N14" i="48"/>
  <c r="R14" i="48"/>
  <c r="O14" i="48"/>
  <c r="N55" i="48"/>
  <c r="R55" i="48"/>
  <c r="O55" i="48"/>
  <c r="Q55" i="48"/>
  <c r="P55" i="48"/>
  <c r="O28" i="48"/>
  <c r="P28" i="48"/>
  <c r="Q28" i="48"/>
  <c r="N28" i="48"/>
  <c r="R28" i="48"/>
  <c r="N18" i="48"/>
  <c r="R18" i="48"/>
  <c r="O18" i="48"/>
  <c r="P18" i="48"/>
  <c r="Q18" i="48"/>
  <c r="P51" i="48"/>
  <c r="Q51" i="48"/>
  <c r="R51" i="48"/>
  <c r="N51" i="48"/>
  <c r="O51" i="48"/>
  <c r="N58" i="48"/>
  <c r="R58" i="48"/>
  <c r="O58" i="48"/>
  <c r="Q58" i="48"/>
  <c r="P58" i="48"/>
  <c r="O41" i="48"/>
  <c r="P41" i="48"/>
  <c r="Q41" i="48"/>
  <c r="R41" i="48"/>
  <c r="N41" i="48"/>
  <c r="O20" i="48"/>
  <c r="P20" i="48"/>
  <c r="Q20" i="48"/>
  <c r="N20" i="48"/>
  <c r="R20" i="48"/>
  <c r="Q53" i="48"/>
  <c r="N53" i="48"/>
  <c r="R53" i="48"/>
  <c r="O53" i="48"/>
  <c r="P53" i="48"/>
  <c r="O49" i="48"/>
  <c r="P49" i="48"/>
  <c r="Q49" i="48"/>
  <c r="R49" i="48"/>
  <c r="N49" i="48"/>
  <c r="O17" i="48"/>
  <c r="P17" i="48"/>
  <c r="Q17" i="48"/>
  <c r="N17" i="48"/>
  <c r="R17" i="48"/>
  <c r="Q61" i="48"/>
  <c r="N61" i="48"/>
  <c r="R61" i="48"/>
  <c r="O61" i="48"/>
  <c r="P61" i="48"/>
  <c r="P54" i="48"/>
  <c r="Q54" i="48"/>
  <c r="R54" i="48"/>
  <c r="N54" i="48"/>
  <c r="O54" i="48"/>
  <c r="Q29" i="48"/>
  <c r="N29" i="48"/>
  <c r="R29" i="48"/>
  <c r="O29" i="48"/>
  <c r="P29" i="48"/>
  <c r="R6" i="48"/>
  <c r="O6" i="48"/>
  <c r="N6" i="48"/>
  <c r="Q6" i="48"/>
  <c r="S12" i="48" l="1"/>
  <c r="Q62" i="48"/>
  <c r="S19" i="48"/>
  <c r="S43" i="48"/>
  <c r="S39" i="48"/>
  <c r="S44" i="48"/>
  <c r="S32" i="48"/>
  <c r="S15" i="48"/>
  <c r="S46" i="48"/>
  <c r="S21" i="48"/>
  <c r="S22" i="48"/>
  <c r="S60" i="48"/>
  <c r="S29" i="48"/>
  <c r="S51" i="48"/>
  <c r="S28" i="48"/>
  <c r="S25" i="48"/>
  <c r="S30" i="48"/>
  <c r="S11" i="48"/>
  <c r="S23" i="48"/>
  <c r="S58" i="48"/>
  <c r="S13" i="48"/>
  <c r="S26" i="48"/>
  <c r="S45" i="48"/>
  <c r="S53" i="48"/>
  <c r="S56" i="48"/>
  <c r="S59" i="48"/>
  <c r="S47" i="48"/>
  <c r="S8" i="48"/>
  <c r="S9" i="48"/>
  <c r="S37" i="48"/>
  <c r="R62" i="48"/>
  <c r="G62" i="48" s="1"/>
  <c r="S20" i="48"/>
  <c r="S14" i="48"/>
  <c r="S33" i="48"/>
  <c r="S24" i="48"/>
  <c r="P62" i="48"/>
  <c r="E62" i="48" s="1"/>
  <c r="S16" i="48"/>
  <c r="S27" i="48"/>
  <c r="S52" i="48"/>
  <c r="S10" i="48"/>
  <c r="S35" i="48"/>
  <c r="S31" i="48"/>
  <c r="N62" i="48"/>
  <c r="S17" i="48"/>
  <c r="S41" i="48"/>
  <c r="S55" i="48"/>
  <c r="S34" i="48"/>
  <c r="O62" i="48"/>
  <c r="S54" i="48"/>
  <c r="S61" i="48"/>
  <c r="S49" i="48"/>
  <c r="S18" i="48"/>
  <c r="S40" i="48"/>
  <c r="S57" i="48"/>
  <c r="S38" i="48"/>
  <c r="S48" i="48"/>
  <c r="S7" i="48"/>
  <c r="S36" i="48"/>
  <c r="S50" i="48"/>
  <c r="S42" i="48"/>
  <c r="S6" i="48"/>
  <c r="S62" i="48" l="1"/>
  <c r="H62" i="48" s="1"/>
  <c r="N88" i="42"/>
  <c r="N98" i="42" s="1"/>
  <c r="R88" i="42"/>
  <c r="O88" i="42"/>
  <c r="O98" i="42" s="1"/>
  <c r="Q88" i="42"/>
  <c r="Q98" i="42" s="1"/>
  <c r="P88" i="42"/>
  <c r="P98" i="42" l="1"/>
  <c r="E97" i="42" s="1"/>
  <c r="R98" i="42"/>
  <c r="G97" i="42" s="1"/>
  <c r="S88" i="42"/>
  <c r="I6" i="13"/>
  <c r="R6" i="13" s="1"/>
  <c r="G237" i="13" s="1"/>
  <c r="S98" i="42" l="1"/>
  <c r="H97" i="42" s="1"/>
  <c r="P6" i="13"/>
  <c r="E237" i="13" s="1"/>
  <c r="Q6" i="13"/>
  <c r="F237" i="13" s="1"/>
  <c r="O6" i="13"/>
  <c r="D237" i="13" s="1"/>
  <c r="N6" i="13"/>
  <c r="C237" i="13" s="1"/>
  <c r="S6" i="13" l="1"/>
  <c r="H237" i="13" s="1"/>
  <c r="Q63" i="9" l="1"/>
  <c r="Q66" i="9"/>
  <c r="P63" i="9"/>
  <c r="P66" i="9"/>
  <c r="E66" i="9" s="1"/>
  <c r="R63" i="9"/>
  <c r="R66" i="9" s="1"/>
  <c r="G66" i="9" s="1"/>
  <c r="O63" i="9"/>
  <c r="O66" i="9" s="1"/>
  <c r="N63" i="9"/>
  <c r="N66" i="9"/>
  <c r="S63" i="9" l="1"/>
  <c r="S66" i="9" s="1"/>
  <c r="H66" i="9" s="1"/>
  <c r="I6" i="41"/>
  <c r="Q6" i="41" s="1"/>
  <c r="I31" i="41"/>
  <c r="I7" i="41"/>
  <c r="I23" i="41"/>
  <c r="I39" i="41"/>
  <c r="I15" i="41"/>
  <c r="I19" i="41"/>
  <c r="I11" i="41"/>
  <c r="I27" i="41"/>
  <c r="I43" i="41"/>
  <c r="I92" i="41"/>
  <c r="I93" i="41"/>
  <c r="I47" i="41"/>
  <c r="I51" i="41"/>
  <c r="I55" i="41"/>
  <c r="I59" i="41"/>
  <c r="I71" i="41"/>
  <c r="I79" i="41"/>
  <c r="I83" i="41"/>
  <c r="I87" i="41"/>
  <c r="I90" i="41"/>
  <c r="I86" i="41"/>
  <c r="I8" i="41"/>
  <c r="I12" i="41"/>
  <c r="I16" i="41"/>
  <c r="I20" i="41"/>
  <c r="I28" i="41"/>
  <c r="I32" i="41"/>
  <c r="I36" i="41"/>
  <c r="I40" i="41"/>
  <c r="I48" i="41"/>
  <c r="I52" i="41"/>
  <c r="I56" i="41"/>
  <c r="I60" i="41"/>
  <c r="I68" i="41"/>
  <c r="I72" i="41"/>
  <c r="I80" i="41"/>
  <c r="I84" i="41"/>
  <c r="I9" i="41"/>
  <c r="I21" i="41"/>
  <c r="I25" i="41"/>
  <c r="I29" i="41"/>
  <c r="I33" i="41"/>
  <c r="I37" i="41"/>
  <c r="I41" i="41"/>
  <c r="I45" i="41"/>
  <c r="I49" i="41"/>
  <c r="I53" i="41"/>
  <c r="I57" i="41"/>
  <c r="I61" i="41"/>
  <c r="I65" i="41"/>
  <c r="I69" i="41"/>
  <c r="I73" i="41"/>
  <c r="I77" i="41"/>
  <c r="I81" i="41"/>
  <c r="I89" i="41"/>
  <c r="I10" i="41"/>
  <c r="I22" i="41"/>
  <c r="I26" i="41"/>
  <c r="I30" i="41"/>
  <c r="I34" i="41"/>
  <c r="I38" i="41"/>
  <c r="I42" i="41"/>
  <c r="I46" i="41"/>
  <c r="I50" i="41"/>
  <c r="I54" i="41"/>
  <c r="I58" i="41"/>
  <c r="I62" i="41"/>
  <c r="I66" i="41"/>
  <c r="I70" i="41"/>
  <c r="I74" i="41"/>
  <c r="I78" i="41"/>
  <c r="O49" i="41" l="1"/>
  <c r="P49" i="41"/>
  <c r="N49" i="41"/>
  <c r="Q49" i="41"/>
  <c r="R49" i="41"/>
  <c r="N22" i="41"/>
  <c r="O22" i="41"/>
  <c r="P22" i="41"/>
  <c r="Q22" i="41"/>
  <c r="R22" i="41"/>
  <c r="R45" i="41"/>
  <c r="N45" i="41"/>
  <c r="O45" i="41"/>
  <c r="P45" i="41"/>
  <c r="Q45" i="41"/>
  <c r="O60" i="41"/>
  <c r="Q60" i="41"/>
  <c r="N60" i="41"/>
  <c r="P60" i="41"/>
  <c r="R60" i="41"/>
  <c r="O86" i="41"/>
  <c r="Q86" i="41"/>
  <c r="R86" i="41"/>
  <c r="N86" i="41"/>
  <c r="S86" i="41" s="1"/>
  <c r="P86" i="41"/>
  <c r="Q43" i="41"/>
  <c r="R43" i="41"/>
  <c r="P43" i="41"/>
  <c r="N43" i="41"/>
  <c r="O43" i="41"/>
  <c r="N11" i="41"/>
  <c r="O11" i="41"/>
  <c r="P11" i="41"/>
  <c r="Q11" i="41"/>
  <c r="R11" i="41"/>
  <c r="Q19" i="41"/>
  <c r="R19" i="41"/>
  <c r="N19" i="41"/>
  <c r="O19" i="41"/>
  <c r="P19" i="41"/>
  <c r="O15" i="41"/>
  <c r="P15" i="41"/>
  <c r="Q15" i="41"/>
  <c r="R15" i="41"/>
  <c r="N15" i="41"/>
  <c r="O74" i="41"/>
  <c r="P74" i="41"/>
  <c r="Q74" i="41"/>
  <c r="R74" i="41"/>
  <c r="N74" i="41"/>
  <c r="R27" i="41"/>
  <c r="N27" i="41"/>
  <c r="O27" i="41"/>
  <c r="P27" i="41"/>
  <c r="Q27" i="41"/>
  <c r="O87" i="41"/>
  <c r="P87" i="41"/>
  <c r="Q87" i="41"/>
  <c r="R87" i="41"/>
  <c r="N87" i="41"/>
  <c r="S87" i="41" s="1"/>
  <c r="N77" i="41"/>
  <c r="O77" i="41"/>
  <c r="Q77" i="41"/>
  <c r="P77" i="41"/>
  <c r="R77" i="41"/>
  <c r="N25" i="41"/>
  <c r="O25" i="41"/>
  <c r="P25" i="41"/>
  <c r="Q25" i="41"/>
  <c r="R25" i="41"/>
  <c r="P36" i="41"/>
  <c r="Q36" i="41"/>
  <c r="N36" i="41"/>
  <c r="O36" i="41"/>
  <c r="R36" i="41"/>
  <c r="R71" i="41"/>
  <c r="N71" i="41"/>
  <c r="P71" i="41"/>
  <c r="Q71" i="41"/>
  <c r="O71" i="41"/>
  <c r="O39" i="41"/>
  <c r="P39" i="41"/>
  <c r="Q39" i="41"/>
  <c r="R39" i="41"/>
  <c r="N39" i="41"/>
  <c r="O26" i="41"/>
  <c r="P26" i="41"/>
  <c r="Q26" i="41"/>
  <c r="R26" i="41"/>
  <c r="N26" i="41"/>
  <c r="S26" i="41" s="1"/>
  <c r="O90" i="41"/>
  <c r="N90" i="41"/>
  <c r="Q90" i="41"/>
  <c r="P90" i="41"/>
  <c r="R90" i="41"/>
  <c r="P52" i="41"/>
  <c r="Q52" i="41"/>
  <c r="R52" i="41"/>
  <c r="O52" i="41"/>
  <c r="N52" i="41"/>
  <c r="N48" i="41"/>
  <c r="O48" i="41"/>
  <c r="P48" i="41"/>
  <c r="Q48" i="41"/>
  <c r="R48" i="41"/>
  <c r="N29" i="41"/>
  <c r="P29" i="41"/>
  <c r="O29" i="41"/>
  <c r="Q29" i="41"/>
  <c r="R29" i="41"/>
  <c r="N46" i="41"/>
  <c r="O46" i="41"/>
  <c r="Q46" i="41"/>
  <c r="P46" i="41"/>
  <c r="R46" i="41"/>
  <c r="R21" i="41"/>
  <c r="Q21" i="41"/>
  <c r="P21" i="41"/>
  <c r="O21" i="41"/>
  <c r="N21" i="41"/>
  <c r="S21" i="41" s="1"/>
  <c r="R32" i="41"/>
  <c r="P32" i="41"/>
  <c r="Q32" i="41"/>
  <c r="N32" i="41"/>
  <c r="O32" i="41"/>
  <c r="N59" i="41"/>
  <c r="O59" i="41"/>
  <c r="Q59" i="41"/>
  <c r="P59" i="41"/>
  <c r="R59" i="41"/>
  <c r="O23" i="41"/>
  <c r="N23" i="41"/>
  <c r="S23" i="41" s="1"/>
  <c r="R23" i="41"/>
  <c r="P23" i="41"/>
  <c r="Q23" i="41"/>
  <c r="R8" i="41"/>
  <c r="P8" i="41"/>
  <c r="Q8" i="41"/>
  <c r="N8" i="41"/>
  <c r="S8" i="41" s="1"/>
  <c r="O8" i="41"/>
  <c r="R56" i="41"/>
  <c r="N56" i="41"/>
  <c r="P56" i="41"/>
  <c r="Q56" i="41"/>
  <c r="O56" i="41"/>
  <c r="N83" i="41"/>
  <c r="O83" i="41"/>
  <c r="Q83" i="41"/>
  <c r="P83" i="41"/>
  <c r="R83" i="41"/>
  <c r="N73" i="41"/>
  <c r="O73" i="41"/>
  <c r="P73" i="41"/>
  <c r="R73" i="41"/>
  <c r="Q73" i="41"/>
  <c r="O42" i="41"/>
  <c r="N42" i="41"/>
  <c r="P42" i="41"/>
  <c r="Q42" i="41"/>
  <c r="R42" i="41"/>
  <c r="P65" i="41"/>
  <c r="Q65" i="41"/>
  <c r="R65" i="41"/>
  <c r="N65" i="41"/>
  <c r="O65" i="41"/>
  <c r="N9" i="41"/>
  <c r="O9" i="41"/>
  <c r="P9" i="41"/>
  <c r="R9" i="41"/>
  <c r="Q9" i="41"/>
  <c r="P28" i="41"/>
  <c r="Q28" i="41"/>
  <c r="R28" i="41"/>
  <c r="N28" i="41"/>
  <c r="O28" i="41"/>
  <c r="O55" i="41"/>
  <c r="N55" i="41"/>
  <c r="R55" i="41"/>
  <c r="P55" i="41"/>
  <c r="Q55" i="41"/>
  <c r="N7" i="41"/>
  <c r="O7" i="41"/>
  <c r="P7" i="41"/>
  <c r="Q7" i="41"/>
  <c r="R7" i="41"/>
  <c r="N70" i="41"/>
  <c r="O70" i="41"/>
  <c r="P70" i="41"/>
  <c r="Q70" i="41"/>
  <c r="R70" i="41"/>
  <c r="P41" i="41"/>
  <c r="Q41" i="41"/>
  <c r="R41" i="41"/>
  <c r="O41" i="41"/>
  <c r="N41" i="41"/>
  <c r="P89" i="41"/>
  <c r="Q89" i="41"/>
  <c r="R89" i="41"/>
  <c r="N89" i="41"/>
  <c r="O89" i="41"/>
  <c r="N81" i="41"/>
  <c r="O81" i="41"/>
  <c r="P81" i="41"/>
  <c r="Q81" i="41"/>
  <c r="R81" i="41"/>
  <c r="Q54" i="41"/>
  <c r="R54" i="41"/>
  <c r="O54" i="41"/>
  <c r="N54" i="41"/>
  <c r="P54" i="41"/>
  <c r="O50" i="41"/>
  <c r="P50" i="41"/>
  <c r="Q50" i="41"/>
  <c r="R50" i="41"/>
  <c r="N50" i="41"/>
  <c r="O38" i="41"/>
  <c r="Q38" i="41"/>
  <c r="R38" i="41"/>
  <c r="P38" i="41"/>
  <c r="N38" i="41"/>
  <c r="N61" i="41"/>
  <c r="O61" i="41"/>
  <c r="P61" i="41"/>
  <c r="Q61" i="41"/>
  <c r="R61" i="41"/>
  <c r="Q84" i="41"/>
  <c r="N84" i="41"/>
  <c r="P84" i="41"/>
  <c r="O84" i="41"/>
  <c r="R84" i="41"/>
  <c r="N20" i="41"/>
  <c r="O20" i="41"/>
  <c r="P20" i="41"/>
  <c r="R20" i="41"/>
  <c r="Q20" i="41"/>
  <c r="R51" i="41"/>
  <c r="N51" i="41"/>
  <c r="O51" i="41"/>
  <c r="P51" i="41"/>
  <c r="Q51" i="41"/>
  <c r="N31" i="41"/>
  <c r="O31" i="41"/>
  <c r="R31" i="41"/>
  <c r="P31" i="41"/>
  <c r="Q31" i="41"/>
  <c r="N68" i="41"/>
  <c r="P68" i="41"/>
  <c r="O68" i="41"/>
  <c r="R68" i="41"/>
  <c r="Q68" i="41"/>
  <c r="N66" i="41"/>
  <c r="O66" i="41"/>
  <c r="P66" i="41"/>
  <c r="Q66" i="41"/>
  <c r="R66" i="41"/>
  <c r="N62" i="41"/>
  <c r="O62" i="41"/>
  <c r="P62" i="41"/>
  <c r="Q62" i="41"/>
  <c r="R62" i="41"/>
  <c r="N58" i="41"/>
  <c r="O58" i="41"/>
  <c r="P58" i="41"/>
  <c r="R58" i="41"/>
  <c r="Q58" i="41"/>
  <c r="N79" i="41"/>
  <c r="O79" i="41"/>
  <c r="Q79" i="41"/>
  <c r="P79" i="41"/>
  <c r="R79" i="41"/>
  <c r="N57" i="41"/>
  <c r="O57" i="41"/>
  <c r="P57" i="41"/>
  <c r="Q57" i="41"/>
  <c r="R57" i="41"/>
  <c r="R47" i="41"/>
  <c r="N47" i="41"/>
  <c r="O47" i="41"/>
  <c r="P47" i="41"/>
  <c r="Q47" i="41"/>
  <c r="N92" i="41"/>
  <c r="O92" i="41"/>
  <c r="P92" i="41"/>
  <c r="R92" i="41"/>
  <c r="Q92" i="41"/>
  <c r="O10" i="41"/>
  <c r="Q10" i="41"/>
  <c r="R10" i="41"/>
  <c r="P10" i="41"/>
  <c r="N10" i="41"/>
  <c r="N37" i="41"/>
  <c r="O37" i="41"/>
  <c r="P37" i="41"/>
  <c r="R37" i="41"/>
  <c r="Q37" i="41"/>
  <c r="N33" i="41"/>
  <c r="P33" i="41"/>
  <c r="O33" i="41"/>
  <c r="Q33" i="41"/>
  <c r="R33" i="41"/>
  <c r="N40" i="41"/>
  <c r="P40" i="41"/>
  <c r="O40" i="41"/>
  <c r="Q40" i="41"/>
  <c r="R40" i="41"/>
  <c r="R69" i="41"/>
  <c r="P69" i="41"/>
  <c r="N69" i="41"/>
  <c r="O69" i="41"/>
  <c r="Q69" i="41"/>
  <c r="O34" i="41"/>
  <c r="N34" i="41"/>
  <c r="P34" i="41"/>
  <c r="R34" i="41"/>
  <c r="Q34" i="41"/>
  <c r="R80" i="41"/>
  <c r="N80" i="41"/>
  <c r="Q80" i="41"/>
  <c r="O80" i="41"/>
  <c r="P80" i="41"/>
  <c r="N16" i="41"/>
  <c r="P16" i="41"/>
  <c r="Q16" i="41"/>
  <c r="R16" i="41"/>
  <c r="O16" i="41"/>
  <c r="Q78" i="41"/>
  <c r="R78" i="41"/>
  <c r="P78" i="41"/>
  <c r="O78" i="41"/>
  <c r="N78" i="41"/>
  <c r="S78" i="41" s="1"/>
  <c r="Q30" i="41"/>
  <c r="R30" i="41"/>
  <c r="N30" i="41"/>
  <c r="O30" i="41"/>
  <c r="P30" i="41"/>
  <c r="N53" i="41"/>
  <c r="P53" i="41"/>
  <c r="O53" i="41"/>
  <c r="Q53" i="41"/>
  <c r="R53" i="41"/>
  <c r="N72" i="41"/>
  <c r="O72" i="41"/>
  <c r="P72" i="41"/>
  <c r="R72" i="41"/>
  <c r="Q72" i="41"/>
  <c r="N12" i="41"/>
  <c r="O12" i="41"/>
  <c r="P12" i="41"/>
  <c r="Q12" i="41"/>
  <c r="R12" i="41"/>
  <c r="R93" i="41"/>
  <c r="N93" i="41"/>
  <c r="O93" i="41"/>
  <c r="P93" i="41"/>
  <c r="Q93" i="41"/>
  <c r="N6" i="41"/>
  <c r="P6" i="41"/>
  <c r="R6" i="41"/>
  <c r="O6" i="41"/>
  <c r="S45" i="41" l="1"/>
  <c r="D105" i="41"/>
  <c r="F105" i="41"/>
  <c r="S89" i="41"/>
  <c r="S60" i="41"/>
  <c r="G105" i="41"/>
  <c r="S12" i="41"/>
  <c r="S66" i="41"/>
  <c r="S84" i="41"/>
  <c r="S50" i="41"/>
  <c r="S9" i="41"/>
  <c r="S29" i="41"/>
  <c r="E105" i="41"/>
  <c r="C105" i="41"/>
  <c r="S33" i="41"/>
  <c r="S58" i="41"/>
  <c r="S81" i="41"/>
  <c r="S55" i="41"/>
  <c r="S15" i="41"/>
  <c r="S56" i="41"/>
  <c r="S69" i="41"/>
  <c r="S51" i="41"/>
  <c r="S65" i="41"/>
  <c r="S90" i="41"/>
  <c r="S57" i="41"/>
  <c r="S73" i="41"/>
  <c r="S11" i="41"/>
  <c r="S92" i="41"/>
  <c r="S68" i="41"/>
  <c r="S70" i="41"/>
  <c r="S28" i="41"/>
  <c r="S59" i="41"/>
  <c r="S25" i="41"/>
  <c r="S22" i="41"/>
  <c r="S16" i="41"/>
  <c r="S72" i="41"/>
  <c r="S61" i="41"/>
  <c r="S54" i="41"/>
  <c r="S48" i="41"/>
  <c r="S71" i="41"/>
  <c r="S43" i="41"/>
  <c r="S37" i="41"/>
  <c r="S62" i="41"/>
  <c r="S38" i="41"/>
  <c r="S32" i="41"/>
  <c r="S52" i="41"/>
  <c r="S27" i="41"/>
  <c r="S93" i="41"/>
  <c r="S10" i="41"/>
  <c r="S20" i="41"/>
  <c r="S41" i="41"/>
  <c r="S46" i="41"/>
  <c r="S49" i="41"/>
  <c r="S40" i="41"/>
  <c r="S79" i="41"/>
  <c r="S83" i="41"/>
  <c r="S74" i="41"/>
  <c r="S19" i="41"/>
  <c r="S30" i="41"/>
  <c r="S80" i="41"/>
  <c r="S53" i="41"/>
  <c r="S34" i="41"/>
  <c r="S47" i="41"/>
  <c r="S31" i="41"/>
  <c r="S7" i="41"/>
  <c r="S42" i="41"/>
  <c r="S39" i="41"/>
  <c r="S36" i="41"/>
  <c r="S77" i="41"/>
  <c r="S6" i="41"/>
  <c r="H105" i="41" l="1"/>
</calcChain>
</file>

<file path=xl/sharedStrings.xml><?xml version="1.0" encoding="utf-8"?>
<sst xmlns="http://schemas.openxmlformats.org/spreadsheetml/2006/main" count="4175" uniqueCount="2556">
  <si>
    <t>CAMPINA</t>
  </si>
  <si>
    <t>PESQUEIRA</t>
  </si>
  <si>
    <t>RECIFE</t>
  </si>
  <si>
    <t>NATAL</t>
  </si>
  <si>
    <t>TOTAL</t>
  </si>
  <si>
    <t>PRODUTOS</t>
  </si>
  <si>
    <t>PRAZO PAGAMENTO</t>
  </si>
  <si>
    <t>FECHADO</t>
  </si>
  <si>
    <t>DESC.</t>
  </si>
  <si>
    <t>%</t>
  </si>
  <si>
    <t>BONIF.</t>
  </si>
  <si>
    <t>TABELA</t>
  </si>
  <si>
    <t>MACEIÓ</t>
  </si>
  <si>
    <t>VALOR TOTAL</t>
  </si>
  <si>
    <t>CEVA BOVINOS</t>
  </si>
  <si>
    <t>CAIXA</t>
  </si>
  <si>
    <t>EMBARQUE</t>
  </si>
  <si>
    <r>
      <t xml:space="preserve">DESC. À VISTA:   </t>
    </r>
    <r>
      <rPr>
        <b/>
        <u/>
        <sz val="11"/>
        <color rgb="FFFF0000"/>
        <rFont val="Calibri"/>
        <family val="2"/>
        <scheme val="minor"/>
      </rPr>
      <t>3% (14 DIAS)</t>
    </r>
  </si>
  <si>
    <r>
      <t xml:space="preserve">PAGAMENTO À PRAZO:   </t>
    </r>
    <r>
      <rPr>
        <b/>
        <u/>
        <sz val="11"/>
        <color rgb="FFFF0000"/>
        <rFont val="Calibri"/>
        <family val="2"/>
        <scheme val="minor"/>
      </rPr>
      <t>30/60/90 DIAS</t>
    </r>
  </si>
  <si>
    <r>
      <t xml:space="preserve">PEDIDO MINIMO:   </t>
    </r>
    <r>
      <rPr>
        <b/>
        <u/>
        <sz val="11"/>
        <color rgb="FFFF0000"/>
        <rFont val="Calibri"/>
        <family val="2"/>
        <scheme val="minor"/>
      </rPr>
      <t>R$ 5.000,00</t>
    </r>
  </si>
  <si>
    <t>OBSERVAÇÕES:</t>
  </si>
  <si>
    <t>CEVA EQUINOS</t>
  </si>
  <si>
    <t>ELANCO</t>
  </si>
  <si>
    <t>FABIANI</t>
  </si>
  <si>
    <t>BOEHRINGER</t>
  </si>
  <si>
    <t>CALBOS</t>
  </si>
  <si>
    <t>AGENER</t>
  </si>
  <si>
    <t>SANTA MARINA</t>
  </si>
  <si>
    <t>FRESENIUS</t>
  </si>
  <si>
    <t>CITROMAX</t>
  </si>
  <si>
    <t>PINUS</t>
  </si>
  <si>
    <t>CHAMPION</t>
  </si>
  <si>
    <t>HIPRA</t>
  </si>
  <si>
    <t>LABOVET</t>
  </si>
  <si>
    <t>NOXON</t>
  </si>
  <si>
    <t>MICROSULLES</t>
  </si>
  <si>
    <t>LAPON</t>
  </si>
  <si>
    <t>VANSIL</t>
  </si>
  <si>
    <t>VETOQUINOL</t>
  </si>
  <si>
    <t>INDUBRAS</t>
  </si>
  <si>
    <t>VIRBAC</t>
  </si>
  <si>
    <t>LEMA</t>
  </si>
  <si>
    <t>ORGANACT</t>
  </si>
  <si>
    <t>BIOVET</t>
  </si>
  <si>
    <t>BOTUPHARMA</t>
  </si>
  <si>
    <t>BIOGENESIS</t>
  </si>
  <si>
    <r>
      <rPr>
        <b/>
        <sz val="11"/>
        <rFont val="Calibri"/>
        <family val="2"/>
        <scheme val="minor"/>
      </rPr>
      <t xml:space="preserve">OBSERVAÇÃO: </t>
    </r>
    <r>
      <rPr>
        <b/>
        <sz val="11"/>
        <color rgb="FFFF0000"/>
        <rFont val="Calibri"/>
        <family val="2"/>
        <scheme val="minor"/>
      </rPr>
      <t>NÃO RECEBEMOS PRODUTOS COM VALIDADES INFERIORES À 01 (UM) ANO.</t>
    </r>
  </si>
  <si>
    <t>CONDIÇÕES COMERCIAIS</t>
  </si>
  <si>
    <t>VALOR</t>
  </si>
  <si>
    <t>MSD/VALLÉE</t>
  </si>
  <si>
    <t>DECHRA</t>
  </si>
  <si>
    <t>VETNIL GRANDES</t>
  </si>
  <si>
    <t>VETNIL PET</t>
  </si>
  <si>
    <t>BRAVET</t>
  </si>
  <si>
    <t>UCB LOG</t>
  </si>
  <si>
    <t>ANAVAC B19 15D BR</t>
  </si>
  <si>
    <t>COMBO POUR ON 5L BR</t>
  </si>
  <si>
    <t>EPRECIS INJ 50ML</t>
  </si>
  <si>
    <t>INDIGEST 30ML</t>
  </si>
  <si>
    <t>PRO-CICLAR 10X10 BR</t>
  </si>
  <si>
    <t>RABMUNE 25D BR</t>
  </si>
  <si>
    <t>VELACTIS 5ML</t>
  </si>
  <si>
    <t>AGROVET 5.000.000</t>
  </si>
  <si>
    <t>VETIMAST PLUS VL</t>
  </si>
  <si>
    <t>VETIMAST PLUS VS</t>
  </si>
  <si>
    <t>MASTIJET FORTE 8X20INJ 150</t>
  </si>
  <si>
    <t>COVEXIN-9 100 ML 33 D</t>
  </si>
  <si>
    <t>COVEXIN-9 250 ML 83 D</t>
  </si>
  <si>
    <t>BIOBAC 34G</t>
  </si>
  <si>
    <t>CALCIO REF 200ML</t>
  </si>
  <si>
    <t>CB-30 TA 1000ML</t>
  </si>
  <si>
    <t>COLOSSO FC30 1000ML</t>
  </si>
  <si>
    <t>COLOSSO FC30 100ML</t>
  </si>
  <si>
    <t>COLOSSO FC30 250ML</t>
  </si>
  <si>
    <t>COLOSSO FC30 25ML</t>
  </si>
  <si>
    <t>COLOSSO POUR ON 1000ML</t>
  </si>
  <si>
    <t>COLOSSO POUR ON 2000 ML</t>
  </si>
  <si>
    <t>COLOSSO PULV 1000ML</t>
  </si>
  <si>
    <t>COLOSSO PULV 100ML</t>
  </si>
  <si>
    <t>COLOSSO PULV 250ML</t>
  </si>
  <si>
    <t>COLOSSO PULV 25ML</t>
  </si>
  <si>
    <t>CORTIFLAN 50ML</t>
  </si>
  <si>
    <t>CYPERMIL POUR ON 1000ML</t>
  </si>
  <si>
    <t>DESFLAN 50ML</t>
  </si>
  <si>
    <t>DICLOFENACO 50 50 ML</t>
  </si>
  <si>
    <t>ENFRENT 50ML</t>
  </si>
  <si>
    <t>EVOL 400ML</t>
  </si>
  <si>
    <t>FINADOR 50ML</t>
  </si>
  <si>
    <t>FLUATAC DUO 1000ML</t>
  </si>
  <si>
    <t>FLUATAC DUO 5000ML</t>
  </si>
  <si>
    <t>GENTRIN INF UTER 100ML</t>
  </si>
  <si>
    <t>LACTOFUR 100ML</t>
  </si>
  <si>
    <t>LACTOFUR 50ML</t>
  </si>
  <si>
    <t>MASTER LP 1000ML</t>
  </si>
  <si>
    <t>MASTER LP 200ML</t>
  </si>
  <si>
    <t>MASTER LP 500ML</t>
  </si>
  <si>
    <t>MASTER LP 50ML</t>
  </si>
  <si>
    <t>MAXICAM 2% 50ML</t>
  </si>
  <si>
    <t>NOKALT 1000ML</t>
  </si>
  <si>
    <t>NOKALT 40ML</t>
  </si>
  <si>
    <t>PAREUN 100ML</t>
  </si>
  <si>
    <t>PENFORT PPU 50ML</t>
  </si>
  <si>
    <t>RESOLUTOR 100ML</t>
  </si>
  <si>
    <t>RESOLUTOR 50ML</t>
  </si>
  <si>
    <t>SILAGE SEAL 10X50M</t>
  </si>
  <si>
    <t>SILAGE SEAL 12X50M</t>
  </si>
  <si>
    <t>SINCRO ECG 6000UI</t>
  </si>
  <si>
    <t>SINCROCIO 20ML</t>
  </si>
  <si>
    <t>SINCROCIO 4ML</t>
  </si>
  <si>
    <t>SINCROCP 50ML</t>
  </si>
  <si>
    <t>SINCROFORTE 20ML</t>
  </si>
  <si>
    <t>SINCROGEST DISP INTRV 10UN</t>
  </si>
  <si>
    <t>SUPERHION 1000ML</t>
  </si>
  <si>
    <t>SUPERHION 5000ML</t>
  </si>
  <si>
    <t>TRISSULFIN 100G</t>
  </si>
  <si>
    <t>TRISSULFIN 50G</t>
  </si>
  <si>
    <t>TRISSULFIN INJ 50ML</t>
  </si>
  <si>
    <t>OUROFINO</t>
  </si>
  <si>
    <t>AGEBENDAZOL INJ 15  X 1000ML</t>
  </si>
  <si>
    <t>AGEBENDAZOL SUS INJ 15  X 500ML</t>
  </si>
  <si>
    <t>AGEMOXI INJ F A X 100ML</t>
  </si>
  <si>
    <t>AGEMOXI INJ F A X 50ML</t>
  </si>
  <si>
    <t>AGESPIRIN PO X5000G</t>
  </si>
  <si>
    <t>AGESPIRIN SACHE 100G X 12</t>
  </si>
  <si>
    <t>ALIV V INJ 50ML X 1</t>
  </si>
  <si>
    <t>ANALGEX V INJ FA X 50ML</t>
  </si>
  <si>
    <t>ANIMAX DUO INJ 1000ML X 1</t>
  </si>
  <si>
    <t>ANIMAX DUO INJ 500ML X 1</t>
  </si>
  <si>
    <t>ANIMAX GEL DISP C 24 SERINGAS</t>
  </si>
  <si>
    <t>BUSCOFIN INJETAVEL 50ML X 1</t>
  </si>
  <si>
    <t>CALMIUN 2   INJ 10 ML IN35 2017</t>
  </si>
  <si>
    <t>CEF 50MG ML SUS INJ 100ML X 1</t>
  </si>
  <si>
    <t>CEF 50MG/ML SUS INJ 30ML</t>
  </si>
  <si>
    <t>DECATHRINE SUS CONC 2 5  30ML</t>
  </si>
  <si>
    <t>DEXTAR 2MG.ML INJ 10ML</t>
  </si>
  <si>
    <t>DEXTAR 2MG.ML INJ 50ML</t>
  </si>
  <si>
    <t>DORAX 1  INJETAVEL 1L</t>
  </si>
  <si>
    <t>DORAX 1  INJETAVEL 500ML</t>
  </si>
  <si>
    <t>DORAX INJ X 50ML C 18 FR</t>
  </si>
  <si>
    <t>DORAX PLUS PASTA CT</t>
  </si>
  <si>
    <t>DORMIUN V INJ X 5 ML IN35 2017</t>
  </si>
  <si>
    <t>FENZOL PASTA 20G DISP X 24 SER</t>
  </si>
  <si>
    <t>FORTGAL PLUS INJ X 50ML</t>
  </si>
  <si>
    <t>GENTAMASTI L DISP COM 12 SER DE 10G</t>
  </si>
  <si>
    <t>GENTAMASTI S DISP COM 12 SER DE 10G</t>
  </si>
  <si>
    <t>IZOOT B12 INJ X 15ML</t>
  </si>
  <si>
    <t>IZOOT B12 INJETAVEL X 50ML</t>
  </si>
  <si>
    <t>KETOJET 100MG ML INJ X 50ML FA</t>
  </si>
  <si>
    <t>MECTIMAX 3 15  GOLD INJX1000ML</t>
  </si>
  <si>
    <t>MECTIMAX 3 15   GOLD INJX500ML</t>
  </si>
  <si>
    <t>MECTIMAX DUO INJ X 1000ML</t>
  </si>
  <si>
    <t>MECTIMAX DUO INJ X 500ML</t>
  </si>
  <si>
    <t>MEGACILIN SUPER PLUS INJETAVEL</t>
  </si>
  <si>
    <t>MOD PLUS INJ X 1000ML</t>
  </si>
  <si>
    <t>MOD PLUS INJ X 500ML</t>
  </si>
  <si>
    <t>PLACENTEX INJ X 100ML</t>
  </si>
  <si>
    <t>PLACENTEX INJ X 50ML</t>
  </si>
  <si>
    <t>POTENFORT B12 ORAL X 1000ML IN35 2017</t>
  </si>
  <si>
    <t>REVIPLUS X 50ML</t>
  </si>
  <si>
    <t>ROFLIN INJ X 100ML</t>
  </si>
  <si>
    <t>ROFLIN 300MG/ML INJ X50ML</t>
  </si>
  <si>
    <t>TERRACAM PLUS INJ 50ML</t>
  </si>
  <si>
    <t>TERRACAM SPRAY 125ML DISP C 12</t>
  </si>
  <si>
    <t>THION C SOL TOP X FR 1L</t>
  </si>
  <si>
    <t>UBERLAC SUS INTRAMAMARIA X10ML</t>
  </si>
  <si>
    <t>UBERSEC SUS INTRAM X10ML DIS12</t>
  </si>
  <si>
    <t>ZELOTRIL 10  X 50ML INJ F A</t>
  </si>
  <si>
    <t>ZELOTRIL 10  AGENER X 500ML</t>
  </si>
  <si>
    <t>ZELOTRIL PLUS INJ X 100ML</t>
  </si>
  <si>
    <t>ZELOTRIL PLUS INJ X 50ML</t>
  </si>
  <si>
    <t>ACEPROVEN 1% INJ 20 ML</t>
  </si>
  <si>
    <t>ACEPROVEN 1% INJ 50 ML</t>
  </si>
  <si>
    <t>ENCEFALOGEN 10 DS</t>
  </si>
  <si>
    <t>HERPES HORSE 10 DS</t>
  </si>
  <si>
    <t>IGG CHECK</t>
  </si>
  <si>
    <t>INFLUENZA HORSE 10 DS</t>
  </si>
  <si>
    <t>IVERMECTINA 1% 50 ML</t>
  </si>
  <si>
    <t>IVERMECTINA 1% 500 ML</t>
  </si>
  <si>
    <t>KETOPROFENO 10% 10 ML</t>
  </si>
  <si>
    <t>KETOPROFENO 10% 50 ML</t>
  </si>
  <si>
    <t>LEPTO EQUUS 10 DS</t>
  </si>
  <si>
    <t>LEPTOVEN 10 50 ML 25 DS</t>
  </si>
  <si>
    <t>MASTER SORO 20 ML</t>
  </si>
  <si>
    <t>MILLENIUM 50 ML 10 DS</t>
  </si>
  <si>
    <t>PARAVEN 50 ML 16 DS</t>
  </si>
  <si>
    <t>SUIVEN 50 ML 25 DS</t>
  </si>
  <si>
    <t>SUPRAVAC LCH 50 ML 10 DS</t>
  </si>
  <si>
    <t>SUPRAVAC RESP 50 ML 25 DS</t>
  </si>
  <si>
    <t>TRISSULMAX 20 ML</t>
  </si>
  <si>
    <t>TRISSULMAX 50 ML</t>
  </si>
  <si>
    <t>VAC. ANTICARBUNCULOSA 100 ML</t>
  </si>
  <si>
    <t>VAC. ANTICARBUNCULOSA 50 ML</t>
  </si>
  <si>
    <t>VENCOSAT 5 ML</t>
  </si>
  <si>
    <t>XILAZINA 10% 20 ML</t>
  </si>
  <si>
    <t>XILAZINA 10% 50 ML</t>
  </si>
  <si>
    <t>ACEPRAN 1,0% 20ML</t>
  </si>
  <si>
    <t>ALANTOL BISNAGA 250G</t>
  </si>
  <si>
    <t>ALANTOL BISNAGA 25G</t>
  </si>
  <si>
    <t>ALANTOL BISNAGA 60G</t>
  </si>
  <si>
    <t>ALGIVET 50 ML</t>
  </si>
  <si>
    <t>AMINOMIX FORTE 2,5KG</t>
  </si>
  <si>
    <t>AMINOMIX FORTE 20KG</t>
  </si>
  <si>
    <t>AMINOMIX FORTE 5KG</t>
  </si>
  <si>
    <t>AMINOMIX HARAS 25KG</t>
  </si>
  <si>
    <t>AMINOMIX POTROS JCR 3 KG</t>
  </si>
  <si>
    <t>AMINOMIX POTROS JCR 8 KG</t>
  </si>
  <si>
    <t>AMPICILINA VETERIN. INJ. 2G</t>
  </si>
  <si>
    <t>AMPICILINA VETERIN. ORAL 50G</t>
  </si>
  <si>
    <t>ANAMASTIT S 8,5G</t>
  </si>
  <si>
    <t>BIO HOOF JCR 1L</t>
  </si>
  <si>
    <t>BIO-HOOF 500G</t>
  </si>
  <si>
    <t>BIO-HOOF JCR 500G</t>
  </si>
  <si>
    <t>BIO-HOOF LIQUIDO 1L</t>
  </si>
  <si>
    <t>BIONEW 100ML</t>
  </si>
  <si>
    <t>BIONEW 20ML</t>
  </si>
  <si>
    <t>BUTORFIN 1% 10ML</t>
  </si>
  <si>
    <t>CAL-D-MIX LIQUIDO (1L)</t>
  </si>
  <si>
    <t>CALM NEW 5000 400GR</t>
  </si>
  <si>
    <t>CONDROTON INJETAVEL 10ML</t>
  </si>
  <si>
    <t>CONDROTON PLUS 500G</t>
  </si>
  <si>
    <t>DM GEL 300G</t>
  </si>
  <si>
    <t>DM GEL BISNAGA 50G</t>
  </si>
  <si>
    <t>DMSO INJETAVEL 500ML</t>
  </si>
  <si>
    <t>ELETROLITICO 650G</t>
  </si>
  <si>
    <t>ELETROLITICO BOOSTER CENOURA</t>
  </si>
  <si>
    <t>ELETROLITICO BOOSTER JCR</t>
  </si>
  <si>
    <t>ENTEREX SACHE 8G</t>
  </si>
  <si>
    <t>E-S-E LIQUIDO 1L</t>
  </si>
  <si>
    <t>E-S-E SUPER 500G</t>
  </si>
  <si>
    <t>FURANIL BISNAGA 50G</t>
  </si>
  <si>
    <t>FURANIL POMADA 500G</t>
  </si>
  <si>
    <t>FURANIL SOLUCAO 500ML</t>
  </si>
  <si>
    <t>FURANIL SOLUCAO 60ML</t>
  </si>
  <si>
    <t>GELO FLEX BALDE 1,2 KG</t>
  </si>
  <si>
    <t>GELO FLEX BALDE 6 KG</t>
  </si>
  <si>
    <t>GELO PAN 100G</t>
  </si>
  <si>
    <t>GELO PAN 450G</t>
  </si>
  <si>
    <t>GLICOPAN ENERGY (1L)</t>
  </si>
  <si>
    <t>GLICOPAN ENERGY 5L (REFIL)</t>
  </si>
  <si>
    <t>GLICOPAN ENERGY JCR 1L</t>
  </si>
  <si>
    <t>HEMOLITAN 1L</t>
  </si>
  <si>
    <t>HEMOLITAN 5L (REFIL)</t>
  </si>
  <si>
    <t>HEMOLITAN JCR 1L</t>
  </si>
  <si>
    <t>HEPVET EQUINOS 500GR</t>
  </si>
  <si>
    <t>HEPVET EQUINOS PASTA 39GR</t>
  </si>
  <si>
    <t>HIDROVIT 250ML</t>
  </si>
  <si>
    <t>HIDROVIT 50ML</t>
  </si>
  <si>
    <t>HIPERVIT 20000 MCG</t>
  </si>
  <si>
    <t>LANDIC 20ML</t>
  </si>
  <si>
    <t>MELOXINEW 3% INJETAVEL 50 ML</t>
  </si>
  <si>
    <t>MUCOMUCIL XAROPE 500ML</t>
  </si>
  <si>
    <t>ORGANEW 1KG</t>
  </si>
  <si>
    <t>ORGANEW 20KG</t>
  </si>
  <si>
    <t>ORGANEW PASTA 32G</t>
  </si>
  <si>
    <t>ORNITIL 100ML</t>
  </si>
  <si>
    <t>PROBIOTICO VETNIL EQUINO 34G</t>
  </si>
  <si>
    <t>PROMATER 1 L</t>
  </si>
  <si>
    <t>PULMONIL PO ORAL 500G</t>
  </si>
  <si>
    <t>REPRODUCTIVE GARANHOES JCR 1L</t>
  </si>
  <si>
    <t>SEDANEW 10% - 50ML</t>
  </si>
  <si>
    <t>TONNUS JCR 40GR</t>
  </si>
  <si>
    <t>TONNUS JCR PO 2,5 KG</t>
  </si>
  <si>
    <t>TONNUS JCR PO 6 KG</t>
  </si>
  <si>
    <t>TONNUS VAQ JCR 2,5KG</t>
  </si>
  <si>
    <t>TONNUS VAQ JCR 6KG</t>
  </si>
  <si>
    <t>VETAGLOS POMADA 20G</t>
  </si>
  <si>
    <t>VETAGLOS POMADA 50G</t>
  </si>
  <si>
    <t>VITA-VET C PO 500G</t>
  </si>
  <si>
    <t>ACEPRAN 0,2% 20ML</t>
  </si>
  <si>
    <t>ACEPRAN GOTAS 10ML</t>
  </si>
  <si>
    <t>AMINOMIX GOLD 100G</t>
  </si>
  <si>
    <t>AMINOMIX GOLD 500G</t>
  </si>
  <si>
    <t>AMINOMIX GOLD COMPR</t>
  </si>
  <si>
    <t>AMINOMIX PET 100G</t>
  </si>
  <si>
    <t>AMINOMIX PET 500G</t>
  </si>
  <si>
    <t>AMINOMIX PET COMP</t>
  </si>
  <si>
    <t>AURIVET 13G</t>
  </si>
  <si>
    <t>AURIVET CLEAN 120 ML</t>
  </si>
  <si>
    <t>AURIVET CLEAN 50ML</t>
  </si>
  <si>
    <t>CAL-D-MIX 30 COMPRIMIDOS</t>
  </si>
  <si>
    <t>CONDROTON (1000MG-COMPR)</t>
  </si>
  <si>
    <t>CONDROTON (500MG-COMPR)</t>
  </si>
  <si>
    <t>ELETROLITICO PET 10G</t>
  </si>
  <si>
    <t>FUROLISIN 10MG 10 COMP</t>
  </si>
  <si>
    <t>FUROLISIN 10MG 120 COMP</t>
  </si>
  <si>
    <t>FUROLISIN 20MG 10 COMP</t>
  </si>
  <si>
    <t>FUROLISIN 20MG 120 COMP</t>
  </si>
  <si>
    <t>FUROLISIN 40MG 10 COMP</t>
  </si>
  <si>
    <t>GERIPET 30 COMPRIMIDOS</t>
  </si>
  <si>
    <t>GLICOPAN GOLD 125ML</t>
  </si>
  <si>
    <t>GLICOPAN GOLD 250ML</t>
  </si>
  <si>
    <t>GLICOPAN GOLD 30 COMPRIMIDOS</t>
  </si>
  <si>
    <t>GLICOPAN GOLD 30ML</t>
  </si>
  <si>
    <t>GLICOPAN PET 125ML</t>
  </si>
  <si>
    <t>GLICOPAN PET 250ML</t>
  </si>
  <si>
    <t>GLICOPAN PET GOTAS 30ML</t>
  </si>
  <si>
    <t>HEMOLITAN GOLD 30 COMPRIMIDOS</t>
  </si>
  <si>
    <t>HEMOLITAN GOLD 30ML</t>
  </si>
  <si>
    <t>HEMOLITAN GOLD 60ML</t>
  </si>
  <si>
    <t>HEMOLITAN PET 30 COMPRIMIDOS</t>
  </si>
  <si>
    <t>HEMOLITAN PET GOTAS 30ML</t>
  </si>
  <si>
    <t>HEMOLITAN PET GOTAS 60ML</t>
  </si>
  <si>
    <t>HEPVET 30 COMPRIMIDOS</t>
  </si>
  <si>
    <t>HEPVET SUSPENSAO 60ML</t>
  </si>
  <si>
    <t>KERAVIT 5G</t>
  </si>
  <si>
    <t>MEBENDAZOLE VETNIL COMPRIMIDOS</t>
  </si>
  <si>
    <t>MELOXINEW 0,5MG 10 COMP</t>
  </si>
  <si>
    <t>MELOXINEW 0,5MG 120 COMP</t>
  </si>
  <si>
    <t>MELOXINEW 1MG 10 COMP</t>
  </si>
  <si>
    <t>MELOXINEW 1MG 120 COMP</t>
  </si>
  <si>
    <t>MELOXINEW 2MG 10 COMP</t>
  </si>
  <si>
    <t>MELOXINEW 2MG 120 COMP</t>
  </si>
  <si>
    <t>MELOXINEW 4MG 10 COMP</t>
  </si>
  <si>
    <t>MUCOMUCIL XAROPE 50 ML</t>
  </si>
  <si>
    <t>NUTRALIFE 14 G</t>
  </si>
  <si>
    <t>NUTRALIFE INTENSIV 300G</t>
  </si>
  <si>
    <t>NUTRALOGIC (COMP) C/ 60</t>
  </si>
  <si>
    <t>OMEGA 3 SE 1100</t>
  </si>
  <si>
    <t>OMEGA 3 SE 550</t>
  </si>
  <si>
    <t>ORGANEW PET PASTA 12G</t>
  </si>
  <si>
    <t>PELO &amp; DERME GOLD 30 COMPRIMIDOS</t>
  </si>
  <si>
    <t>PELO &amp; DERME GOLD 60 COMPRIMIDOS</t>
  </si>
  <si>
    <t>PELO E DERME 1500MG DHA+EPA 30 CAP</t>
  </si>
  <si>
    <t>PELO E DERME 1500MG DHA+EPA 60 CAP</t>
  </si>
  <si>
    <t>PELO E DERME 750MG DHA+EPA 30 CAP</t>
  </si>
  <si>
    <t>PELO E DERME 750MG DHA+EPA 60 CAP</t>
  </si>
  <si>
    <t>PELO E DERME HIPOALERGENICO</t>
  </si>
  <si>
    <t>PERIOVET GEL 25 G</t>
  </si>
  <si>
    <t>PERIOVET SPRAY 100ML</t>
  </si>
  <si>
    <t>PET MILK SACHE 100G</t>
  </si>
  <si>
    <t>PET MILK SACHE 300G</t>
  </si>
  <si>
    <t>PETPRAZOL COMPR (100MG)</t>
  </si>
  <si>
    <t>PETPRAZOL COMPR (200MG)</t>
  </si>
  <si>
    <t>PROBIOTICO VETNIL C/G 14G</t>
  </si>
  <si>
    <t>QUETAMINA INJ. C E G 10 ML</t>
  </si>
  <si>
    <t>SEDANEW 2% VETNIL 10 ML</t>
  </si>
  <si>
    <t>SEDANEW 2% VETNIL 50 ML</t>
  </si>
  <si>
    <t>VETMAX PLUS (CX C/ 40 COMP)</t>
  </si>
  <si>
    <t>VETMAX PLUS SUSPENSAO 30ML</t>
  </si>
  <si>
    <t>VITA-VET C 30 ML</t>
  </si>
  <si>
    <t>SOL DE CLOR DE SODIO 0,9% 1000ML FRESENIUS</t>
  </si>
  <si>
    <t>SOL DE CLOR DE SODIO 0,9% 500ML FRESENIUS</t>
  </si>
  <si>
    <t>SOL DE GLICOSE 5% 1000ML FRESENIUS</t>
  </si>
  <si>
    <t>SOL DE GLICOSE 5% 500ML FRESENIUS</t>
  </si>
  <si>
    <t>SOL DE RINGER C/LACTATO 1000ML FRESENIUS</t>
  </si>
  <si>
    <t>SOL DE RINGER C/LACTATO 500ML FRESENIUS</t>
  </si>
  <si>
    <t>IVERMIC ORAL 250ML</t>
  </si>
  <si>
    <t>IVERMIC ORAL 1000ML</t>
  </si>
  <si>
    <t>ECTOSULES 15% 1000ML MICROSULES</t>
  </si>
  <si>
    <t>IVERMIC EQUINOS 12GR MICROSULES</t>
  </si>
  <si>
    <t>IVERMIC T MICROSULES</t>
  </si>
  <si>
    <t>IVERMIC+AD3E    20ML MICROSULES</t>
  </si>
  <si>
    <t>IVERMIC+AD3E    50ML MICROSULES</t>
  </si>
  <si>
    <t>IVERMIC+AD3E   250ML MICROSULES</t>
  </si>
  <si>
    <t>IVERMIC+AD3E   500ML MICROSULES</t>
  </si>
  <si>
    <t>IVERMIC+AD3E 1000ML MICROSULES</t>
  </si>
  <si>
    <t xml:space="preserve"> </t>
  </si>
  <si>
    <t>AMINOFORT 250ML</t>
  </si>
  <si>
    <t>ANESTÉSICO L 50ML</t>
  </si>
  <si>
    <t>HIPOTAC PASTA  30G</t>
  </si>
  <si>
    <t>IMICARB 15ML INJ.</t>
  </si>
  <si>
    <t>NEWMAST FR 100ML</t>
  </si>
  <si>
    <t>PULMODRAZIN PLUS SUS 25ML INJ</t>
  </si>
  <si>
    <t>PULMODRAZIN REF. 10ML</t>
  </si>
  <si>
    <t>TOPCEF 1G</t>
  </si>
  <si>
    <t>TOPCEF 4G</t>
  </si>
  <si>
    <t>UNGUENTO 250G</t>
  </si>
  <si>
    <t>UNGUENTO 700G</t>
  </si>
  <si>
    <t>UNGUENTO PLUS AER.400ML</t>
  </si>
  <si>
    <t>GENTAMOX 100ML HIPRA</t>
  </si>
  <si>
    <t>VAC FOOTGUARD 40 DS HIPRA</t>
  </si>
  <si>
    <t>ADE 100ML</t>
  </si>
  <si>
    <t>ADE 50ML</t>
  </si>
  <si>
    <t>ANEMOVIT   5ML LABOVET</t>
  </si>
  <si>
    <t>ANEMOVIT 10ML LABOVET</t>
  </si>
  <si>
    <t>ANEMOVIT 20ML LABOVET</t>
  </si>
  <si>
    <t>FLUIDO VETERINARIO SPRAY 100ML LABOVET</t>
  </si>
  <si>
    <t>FLUIDO VETERINARIO SPRAY 200ML LABOVET</t>
  </si>
  <si>
    <t>POMADA MAMIL 200GR LABOVET</t>
  </si>
  <si>
    <t>RUMIVET 100ML LABOVET</t>
  </si>
  <si>
    <t>RUMIVET 500ML LABOVET</t>
  </si>
  <si>
    <t>TRAUMEX 100GR LABOVET</t>
  </si>
  <si>
    <t>VAC PARATIFO LEITAO 50ML LABOVET</t>
  </si>
  <si>
    <t>VAC STARVAC 100ML LABOVET</t>
  </si>
  <si>
    <t>VAC STARVAC 50ML LABOVET</t>
  </si>
  <si>
    <t>VAC V11 ELEVENCELL 1ML LABOVET</t>
  </si>
  <si>
    <t>VAC PARATIFO BEZERRO</t>
  </si>
  <si>
    <t>VERMKILL PLUS COMP. HOSPITALAR LABOVET</t>
  </si>
  <si>
    <t>VERMKILL SUSPENSAO LABOVET</t>
  </si>
  <si>
    <t>CINCHONA (AGUA INGLESA) 450ML</t>
  </si>
  <si>
    <t>BIOAVES 50 GR</t>
  </si>
  <si>
    <t>ENXOFRE PEC 25Kg</t>
  </si>
  <si>
    <t>ESTANKASANGUE FRIEZOL 250ML PINUS</t>
  </si>
  <si>
    <t>ESTANKASANGUE FRIEZOL 30ML PINUS</t>
  </si>
  <si>
    <t>SABONETE TOY 80GR PINUS</t>
  </si>
  <si>
    <t>TINTURA DE IODO 10% 100ML PINUS</t>
  </si>
  <si>
    <t>TINTURA DE IODO 10% LT PINUS</t>
  </si>
  <si>
    <t>TINTURA DE IODO 2% 1LT</t>
  </si>
  <si>
    <t>TINTURA DE IODO 2% 100 ml</t>
  </si>
  <si>
    <t>UNGUENTO FRIEZOL 250GR PINUS</t>
  </si>
  <si>
    <t>CONTRALAC 20MG VIRBAC*</t>
  </si>
  <si>
    <t>CONTRALAC 5 VIRBAC*</t>
  </si>
  <si>
    <t>FORT UP 500ML VIRBAC</t>
  </si>
  <si>
    <t>FORT UP 50ML VIRBAC</t>
  </si>
  <si>
    <t>FOSFOSAL 100ML VIRBAC</t>
  </si>
  <si>
    <t>FOSFOSAL 500ML VIRBAC</t>
  </si>
  <si>
    <t>PANGRAM 10% 100ML VIRBAC</t>
  </si>
  <si>
    <t>RILEXINE 150 INJ 100ML VIRBAC</t>
  </si>
  <si>
    <t>RILEXINE 150 INJ 250ML VIRBAC</t>
  </si>
  <si>
    <t>RILEXINE 200 INJ 10ML VIRBAC</t>
  </si>
  <si>
    <t>RILEXINE 500 INJ 10ML VIRBAC</t>
  </si>
  <si>
    <t>TRIBRISSEN INJ 15ML VIBRAC</t>
  </si>
  <si>
    <t>VIRBAMEC PLATINUM 500ML VIRBAC</t>
  </si>
  <si>
    <t>DILUENTE OCULAR NEW VACIN 30ML BIOVET</t>
  </si>
  <si>
    <t>VAC AFTOMUNE 10DS 013/15 SET/15 SET/17</t>
  </si>
  <si>
    <t>VAC BIO AFTOVET 10DS P008/15 F06/15 V12/16 BIOVET</t>
  </si>
  <si>
    <t>VAC BOUBA FORTE 100DS BIOVET</t>
  </si>
  <si>
    <t>VAC BRUCEL-VET 15DS 30ML BIOVET</t>
  </si>
  <si>
    <t>VAC NEW VACIN LA SOTA 100DS BIOVET</t>
  </si>
  <si>
    <r>
      <t xml:space="preserve">PEDIDO MINIMO:   </t>
    </r>
    <r>
      <rPr>
        <b/>
        <sz val="11"/>
        <color rgb="FFFF0000"/>
        <rFont val="Calibri"/>
        <family val="2"/>
        <scheme val="minor"/>
      </rPr>
      <t>R$ 5.000,00</t>
    </r>
  </si>
  <si>
    <r>
      <t xml:space="preserve">DESC. À VISTA:   </t>
    </r>
    <r>
      <rPr>
        <b/>
        <sz val="11"/>
        <color rgb="FFFF0000"/>
        <rFont val="Calibri"/>
        <family val="2"/>
        <scheme val="minor"/>
      </rPr>
      <t>SEM DESCONTO</t>
    </r>
  </si>
  <si>
    <r>
      <t xml:space="preserve">PAGAMENTO À PRAZO: </t>
    </r>
    <r>
      <rPr>
        <b/>
        <sz val="11"/>
        <color rgb="FFFF0000"/>
        <rFont val="Calibri"/>
        <family val="2"/>
        <scheme val="minor"/>
      </rPr>
      <t>DEPENDE DO R$ DO PEDIDO</t>
    </r>
  </si>
  <si>
    <t>ACIMA DE R$11.001,00 -------- 28/35 DD</t>
  </si>
  <si>
    <t>ACIMA DE R$ 5.000,00 ---------- 28 DD</t>
  </si>
  <si>
    <t>ACIMA DE R$ 20.001,00 -------- 28/35/42DD</t>
  </si>
  <si>
    <t>ACIMA DE R$ 30.001,00 -------- 28/35/42/49DD</t>
  </si>
  <si>
    <t>ACIMA DE R$ 41.000,00 -------- 35/42/49DD</t>
  </si>
  <si>
    <r>
      <t xml:space="preserve">DESC. À VISTA:   </t>
    </r>
    <r>
      <rPr>
        <b/>
        <u/>
        <sz val="11"/>
        <color rgb="FFFF0000"/>
        <rFont val="Calibri"/>
        <family val="2"/>
        <scheme val="minor"/>
      </rPr>
      <t>2% (14 DIAS)</t>
    </r>
  </si>
  <si>
    <t>ADE INJ 100ML BR</t>
  </si>
  <si>
    <t>ADE INJ 200ML BR</t>
  </si>
  <si>
    <t>ADE INJ 50ML BR</t>
  </si>
  <si>
    <t>COMBO POUR ON 5L S/ APL. BR</t>
  </si>
  <si>
    <t>FLURON GOLD CX 6X2L</t>
  </si>
  <si>
    <t>PARTOMICINA 12X20ML BR</t>
  </si>
  <si>
    <t>TICSON 3,5% 1L BR</t>
  </si>
  <si>
    <t>TICSON 3.5% 500ML BR</t>
  </si>
  <si>
    <t>TILMICOVET 100ML BR</t>
  </si>
  <si>
    <t>TYLADEN INJETAVEL CX 12 X 100 ML</t>
  </si>
  <si>
    <t>TYLADEN INJETAVEL CX 12 X 50 ML</t>
  </si>
  <si>
    <t>VIVEDIUM 4G + DILUENTE 200 ML BR</t>
  </si>
  <si>
    <t>BENZOATO HC 50ML BR</t>
  </si>
  <si>
    <t>LUTEGLAN 20ML BR</t>
  </si>
  <si>
    <t>MARBOX 100ML CLAS BR</t>
  </si>
  <si>
    <t>DEXACORT INJ. 25MG 10ML BR</t>
  </si>
  <si>
    <t>DEXACORT INJ. 25MG 50ML BR</t>
  </si>
  <si>
    <t>EQUIPALAZONE INJ. 100ML BR</t>
  </si>
  <si>
    <t>EQUIPALAZONE PO 1x100X 1 GM BR</t>
  </si>
  <si>
    <t>FERTCOR 5000 UI X2 BR</t>
  </si>
  <si>
    <t>GARROTILHO 10D BR</t>
  </si>
  <si>
    <t>GASTROZOL PASTA 7.5G BR</t>
  </si>
  <si>
    <t>KETOFEN INJ 10% 50ML BR</t>
  </si>
  <si>
    <t>NGF-5 100G BR</t>
  </si>
  <si>
    <t>NGF-5 450G BR</t>
  </si>
  <si>
    <t>NIGLUMINE 100ML BR</t>
  </si>
  <si>
    <t>NIGLUMINE 50ML BR</t>
  </si>
  <si>
    <t>RETARDOESTEROIDE 50ML BR</t>
  </si>
  <si>
    <t>BONIFICAÇÕES</t>
  </si>
  <si>
    <t>ANTITOXICO, ANTICION,CORT TRAT</t>
  </si>
  <si>
    <t>ACIMA DE 50 CXS DE CADA 20% BONIFICADO</t>
  </si>
  <si>
    <t>ACIMA DE 100 CXS DE CADA 25% BONIFICADO</t>
  </si>
  <si>
    <t>QUALQUER QUANTIDADE 15% BONIFICAÇÃO</t>
  </si>
  <si>
    <t>BENZOCREOL</t>
  </si>
  <si>
    <t>DEMAIS ITENS</t>
  </si>
  <si>
    <t>15% BONIFICADO</t>
  </si>
  <si>
    <t>PEDIDO MINIMO 05 CXS COM 10% BONIFICADO</t>
  </si>
  <si>
    <t>METACAM 2% 100ML</t>
  </si>
  <si>
    <t>METACAM 2% 50ML</t>
  </si>
  <si>
    <r>
      <t xml:space="preserve">DESC. À VISTA:   </t>
    </r>
    <r>
      <rPr>
        <b/>
        <u/>
        <sz val="11"/>
        <color rgb="FFFF0000"/>
        <rFont val="Calibri"/>
        <family val="2"/>
        <scheme val="minor"/>
      </rPr>
      <t>3% (10 DIAS)</t>
    </r>
  </si>
  <si>
    <r>
      <t xml:space="preserve">PAGAMENTO À PRAZO:   </t>
    </r>
    <r>
      <rPr>
        <b/>
        <u/>
        <sz val="11"/>
        <color rgb="FFFF0000"/>
        <rFont val="Calibri"/>
        <family val="2"/>
        <scheme val="minor"/>
      </rPr>
      <t xml:space="preserve"> 30/60 DIAS</t>
    </r>
  </si>
  <si>
    <t>PRODUTOS EM VERMELHO SÃO PETS.</t>
  </si>
  <si>
    <t>AGROSIL 5 MEGA DISPLAY 25 FRASCOS</t>
  </si>
  <si>
    <t>AGROSIL 5 MEGA DISPLAY 6 FRASCOS</t>
  </si>
  <si>
    <t>AGROSIL 6.000.000</t>
  </si>
  <si>
    <t>AGROSIL 6.000.000 DISPLAY 6 FRASCOS</t>
  </si>
  <si>
    <t>AGROSIL PPU - 50ML</t>
  </si>
  <si>
    <t>ALUMEX 100G</t>
  </si>
  <si>
    <t>ALUMEX 500G</t>
  </si>
  <si>
    <t>ANESTESICO VANSIL 50ML INJETAVEL</t>
  </si>
  <si>
    <t>ARSENATROL 3 X 20ML</t>
  </si>
  <si>
    <t>BIOMASTER 2,5% 500G</t>
  </si>
  <si>
    <t>CALCIO REFORCADO 200ML</t>
  </si>
  <si>
    <t>CALCIO REFORCADO 500ML</t>
  </si>
  <si>
    <t>CICATRIZANTOL 50G</t>
  </si>
  <si>
    <t>CITRAX PO 200G</t>
  </si>
  <si>
    <t>CREATINA SUPER E 2KG</t>
  </si>
  <si>
    <t>CREATINA SUPER E 500G</t>
  </si>
  <si>
    <t>DAIRY DUNK 1KG</t>
  </si>
  <si>
    <t>DAIRY DUNK 20KG</t>
  </si>
  <si>
    <t>DAIRY DUNK SP 1KG</t>
  </si>
  <si>
    <t>DAIRY DUNK SP 20KG</t>
  </si>
  <si>
    <t>DEXFER B12 50ML</t>
  </si>
  <si>
    <t>ENERGYSI H 150G CX C/ 12 SACHES</t>
  </si>
  <si>
    <t>ENRO FLEC INJETAVEL 10ML</t>
  </si>
  <si>
    <t>ENRO FLEC INJETAVEL 50ML</t>
  </si>
  <si>
    <t>ENRO FLEC LIQUIDO 10% 100ML - ORAL</t>
  </si>
  <si>
    <t>IVERMECTINA 1% 500ML</t>
  </si>
  <si>
    <t>IVERMECTINA 1% 50ML</t>
  </si>
  <si>
    <t>AVEROL 50G</t>
  </si>
  <si>
    <t>CETAMIN 10ML</t>
  </si>
  <si>
    <t>XILAZIN 2% 10ML</t>
  </si>
  <si>
    <t>XILAZIN 2% 50ML</t>
  </si>
  <si>
    <t>ACIENDEL P.O. PLUS 1L</t>
  </si>
  <si>
    <t>ACIENDEL P.O. PLUS 2,5L (COM APL)</t>
  </si>
  <si>
    <t>ACIENDEL P.O. PLUS 2,5L (SEM APL)</t>
  </si>
  <si>
    <t>ACTIONGUARD BEZERRO PASTA 30G</t>
  </si>
  <si>
    <t>ACTIONGUARD BEZERRO PÓ 1KG</t>
  </si>
  <si>
    <t>ASPERSIN 17 ML</t>
  </si>
  <si>
    <t>ASPERSIN 1L</t>
  </si>
  <si>
    <t>ASPERSIN 250 ML</t>
  </si>
  <si>
    <t>BIOABORTOGEN H 125 ML (25 DOSES)</t>
  </si>
  <si>
    <t>BIOABORTOGEN H 250 ML (50 DOSES)</t>
  </si>
  <si>
    <t>BIOCLOSTRIGEN J5 125 ML (25 DOSES)</t>
  </si>
  <si>
    <t>BIOESTROGEN 100 ML</t>
  </si>
  <si>
    <t>BIOLEPTOGEN 125 ML (25 DOSES)</t>
  </si>
  <si>
    <t>BIOPERSOL FORTE MV</t>
  </si>
  <si>
    <t>BIOPOLIGEN HS 125 ML (25 DOSES)</t>
  </si>
  <si>
    <t>BIOPOLIGEN HS 250ML (50 DOSES)</t>
  </si>
  <si>
    <t>BIOQUERATOGEN OLEO 120ML (40 DOSES)</t>
  </si>
  <si>
    <t>BOTULINOGEN 100ML (20 DOSES)</t>
  </si>
  <si>
    <t>BOTULINOGEN 250ML (50 DOSES)</t>
  </si>
  <si>
    <t>CANTRIMOL 6.000.000 UI</t>
  </si>
  <si>
    <t>CEFTIOMAX 100 ML</t>
  </si>
  <si>
    <t>CRONI- CIP X 100ML</t>
  </si>
  <si>
    <t>CRONIBEN 20ML</t>
  </si>
  <si>
    <t>DOSIFICADOR POUR ON ACIENDEL PLUS 2,5L 30ML</t>
  </si>
  <si>
    <t>DOSIFICADOR POUR ON FORBOX 5L 30ML</t>
  </si>
  <si>
    <t>ECEGON 5.000 UI</t>
  </si>
  <si>
    <t>FLOK X 50 ML</t>
  </si>
  <si>
    <t>FLOK X 500ML</t>
  </si>
  <si>
    <t>FLOROXIN 100 ML</t>
  </si>
  <si>
    <t>FORBOX 1,0L</t>
  </si>
  <si>
    <t>FORBOX 5,0L (COM APLICADOR)</t>
  </si>
  <si>
    <t>FORBOX 5,0L (SEM APLICADOR)</t>
  </si>
  <si>
    <t>FORTIUM 12G SERINGA</t>
  </si>
  <si>
    <t>FORTIUM GEL EQUINO MULTIDOSES X 240GRS</t>
  </si>
  <si>
    <t>GALGOSANTEL ORAL 1 LT</t>
  </si>
  <si>
    <t>GONAXAL X 50ML</t>
  </si>
  <si>
    <t>IVERGEN 500 ML</t>
  </si>
  <si>
    <t>IVERGEN PLATINUM 500 ML</t>
  </si>
  <si>
    <t>IVERGEN PLATINUM 50ML</t>
  </si>
  <si>
    <t>IVERGEN PREMIUM 500 ML</t>
  </si>
  <si>
    <t>KIT ADAPTADORES MIN-VIT</t>
  </si>
  <si>
    <t>MAXIBIOTIC L.A 250 ML</t>
  </si>
  <si>
    <t>PLUSET 1000 UI - SEM INSCRIÇÃO ESTADUAL</t>
  </si>
  <si>
    <t>POLICOSTRIGEN 125 ML (25 DOSES)</t>
  </si>
  <si>
    <t>REPRO NEO (1,0G)</t>
  </si>
  <si>
    <t>REPRO ONE (0,5G)</t>
  </si>
  <si>
    <t>REPRO SYNC (2,0G)</t>
  </si>
  <si>
    <t>ROTATEC J5 120ML (40 DOSES)</t>
  </si>
  <si>
    <t>ROTATEC J5 45ML (15 DOSES)</t>
  </si>
  <si>
    <t>SIL-ALL 4X4 SACHE 250G</t>
  </si>
  <si>
    <t>STAND UP  100 ML</t>
  </si>
  <si>
    <t>STAND UP  20 ML</t>
  </si>
  <si>
    <t>SUPLENUT 500 ML</t>
  </si>
  <si>
    <t>UBRESAN SELANTE PC. 24 UNIDADES</t>
  </si>
  <si>
    <r>
      <t xml:space="preserve">DESC. À VISTA:   </t>
    </r>
    <r>
      <rPr>
        <b/>
        <u/>
        <sz val="11"/>
        <color rgb="FFFF0000"/>
        <rFont val="Calibri"/>
        <family val="2"/>
        <scheme val="minor"/>
      </rPr>
      <t>3% (7 DIAS)</t>
    </r>
  </si>
  <si>
    <r>
      <t xml:space="preserve">PAGAMENTO À PRAZO:   </t>
    </r>
    <r>
      <rPr>
        <b/>
        <u/>
        <sz val="11"/>
        <color rgb="FFFF0000"/>
        <rFont val="Calibri"/>
        <family val="2"/>
        <scheme val="minor"/>
      </rPr>
      <t>30/60 DIAS</t>
    </r>
  </si>
  <si>
    <r>
      <t xml:space="preserve">PEDIDO MINIMO:   </t>
    </r>
    <r>
      <rPr>
        <b/>
        <u/>
        <sz val="11"/>
        <color rgb="FFFF0000"/>
        <rFont val="Calibri"/>
        <family val="2"/>
        <scheme val="minor"/>
      </rPr>
      <t>R$ 3.000,00</t>
    </r>
  </si>
  <si>
    <t>*PROMOÇÃO</t>
  </si>
  <si>
    <t>VITAMINA A</t>
  </si>
  <si>
    <t>PEDIDOS ACIMA DE 10 CAIXAS</t>
  </si>
  <si>
    <t>TRATTO®PRIL CÃES 1 A 10 KG</t>
  </si>
  <si>
    <t>TRATTO®PRIL CÃES 10 A 20 KG</t>
  </si>
  <si>
    <t>TRATTO®PRIL CÃES 20 A 40 KG</t>
  </si>
  <si>
    <t>TRATTO®PRIL GATOS</t>
  </si>
  <si>
    <r>
      <t xml:space="preserve">PEDIDO MINIMO:   </t>
    </r>
    <r>
      <rPr>
        <b/>
        <u/>
        <sz val="11"/>
        <color rgb="FFFF0000"/>
        <rFont val="Calibri"/>
        <family val="2"/>
        <scheme val="minor"/>
      </rPr>
      <t>R$ 12.000,00</t>
    </r>
  </si>
  <si>
    <t>PRODUCE 1000ML</t>
  </si>
  <si>
    <t>SUPRAVAC10 50ML</t>
  </si>
  <si>
    <t>CALFON ORAL 350 ML</t>
  </si>
  <si>
    <t>AGECOX NEO X 100ML</t>
  </si>
  <si>
    <t>IVERMECTINA 1% 1000 ML</t>
  </si>
  <si>
    <t>MILLENIUM 100 ML 20 DS</t>
  </si>
  <si>
    <t>MILLENIUM 250 ML 50 DS</t>
  </si>
  <si>
    <t>SINCRORRELIN 30ML</t>
  </si>
  <si>
    <t>PULMO PLUS GEL 550G</t>
  </si>
  <si>
    <t>PULMONIL GEL 480G</t>
  </si>
  <si>
    <t>METILVET 10MG 10 COMP</t>
  </si>
  <si>
    <t>METILVET 10MG 120 COMP</t>
  </si>
  <si>
    <t>METILVET 20MG 10 COMP</t>
  </si>
  <si>
    <t>METILVET 20MG 120 COMP</t>
  </si>
  <si>
    <t>METILVET 40MG 10 COMP</t>
  </si>
  <si>
    <t>METILVET 5MG 10 COMP</t>
  </si>
  <si>
    <t>METILVET 5MG 120 COMP</t>
  </si>
  <si>
    <t>CAL-D-MIX PET LIQUIDO 100ML</t>
  </si>
  <si>
    <t>ORGANEW PET 100G</t>
  </si>
  <si>
    <t>PROMATER PET PO 100 G</t>
  </si>
  <si>
    <t>CAIXA DE EMBARQUE</t>
  </si>
  <si>
    <t>(ATENÇÂO)</t>
  </si>
  <si>
    <t>CITROMAX DOMESTICO SPRAY 240ML (12X240ML)</t>
  </si>
  <si>
    <t>CITROMAX DOMESTICO SPRAY 30ML (24X30ML)</t>
  </si>
  <si>
    <t>CITROMAX DOMESTICO SPRAY 500ML (12X500ML)</t>
  </si>
  <si>
    <t>CITROMAX DOMESTICO SPRAY 50ML (12X50ML)</t>
  </si>
  <si>
    <t>CITROMAX SPRAY PLUS 5% 100ML (12X100ML)</t>
  </si>
  <si>
    <t>CITROMAX SPRAY PLUS 5% 240ML (12X240ML)</t>
  </si>
  <si>
    <t>CITROMAX SPRAY PLUS 5% 30ML (24X30ML)</t>
  </si>
  <si>
    <t>CITROMAX SPRAY PLUS 5% 500ML (09X500ML)</t>
  </si>
  <si>
    <t>CITROMAX SPRAY PLUS 5% 50ML (12X50ML)</t>
  </si>
  <si>
    <t>CUPINICIDA LIQUIDO TOP MAX 1L IMIDA (12X1L)</t>
  </si>
  <si>
    <t>CUPINICIDA TERMIMAX 100ML FIPRONIL (24X100ML)</t>
  </si>
  <si>
    <t>CUPINICIDA TERMIMAX 1L FIPRONIL (12X1L)</t>
  </si>
  <si>
    <t>CUPINICIDA TOPMAX CIPERMETRINA 500ML (09X500ML)</t>
  </si>
  <si>
    <t>DDVP POWER CE TERMIMAX 1L (4X1L)</t>
  </si>
  <si>
    <t>DDVP POWER TERMIMAX 100ML (24X100ML)</t>
  </si>
  <si>
    <t>FORMICIDA PÓ 40 ROSA CITROMAX 20KG (20X1KG)</t>
  </si>
  <si>
    <t>FORMICIDA PÓ 40 ROSA PIKA PAU 20KG (20X1KG)</t>
  </si>
  <si>
    <t>FORMICIDA PÓ 40 TOP MAX 20KG (20X1KG)</t>
  </si>
  <si>
    <t>FORMICIDA PÓ 50 ROSA CITROMAX 20KG (20X1KG)</t>
  </si>
  <si>
    <t>FORMICIDA PÓ 50 ROSA PIKA PAU 20KG (20X1KG)</t>
  </si>
  <si>
    <t>FORMICIDA PÓ 50 S TOP MAX 20KG (20X1KG)</t>
  </si>
  <si>
    <t>FORMICIDA PÓ FIPRONIL TALQUEIRA CITROMAX 100G (24X100G)</t>
  </si>
  <si>
    <t>GLIFOSATO CITROMAX 1L (12X1L)</t>
  </si>
  <si>
    <t>GLIFOSATO CONCENTRADO PIKA PAU 50ML (24X50ML)</t>
  </si>
  <si>
    <t>HERBICIDA GLIFOSATO CITROMAX 1L (12X1L)</t>
  </si>
  <si>
    <t>HERBICIDA GLIFOSATO CITROMAX 50ML (24X50ML)</t>
  </si>
  <si>
    <t>INSETICIDA CITROMAX CIPER 250 SC 1L (12X1L) A</t>
  </si>
  <si>
    <t>INSETICIDA CITROMAX PLENO FIPRONIL 1L (12X1L)</t>
  </si>
  <si>
    <t>INSETICIDA CITROMAX PLENO FIPRONIL 200ML (12X200ML)</t>
  </si>
  <si>
    <t>INSETICIDA FORMIMAX DELTAMETRINA 100ML (24X100ML)</t>
  </si>
  <si>
    <t>INSETICIDA FORMIMAX DELTAMETRINA 1L (12X1L)</t>
  </si>
  <si>
    <t>INSETICIDA FORMIMAX DELTAMETRINA 30ML (24X30ML)</t>
  </si>
  <si>
    <t>INSETICIDA TERMIMAX DDVP 500CE 100ML (24X100ML)</t>
  </si>
  <si>
    <t>INSETICIDA TERMIMAX DDVP 500CE 1L (12X1L)</t>
  </si>
  <si>
    <t>INSETICIDA TERMIMAX DELTAMETRINA 100ML (24X100ML)</t>
  </si>
  <si>
    <t>INSETICIDA TERMIMAX DELTAMETRINA 1L (12X1L)</t>
  </si>
  <si>
    <t>INSETICIDA TERMIMAX DELTAMETRINA 30ML (24X30ML)</t>
  </si>
  <si>
    <t>INSETICIDA TERMIMAX FIPRONIL 250 100ML (24X100ML)</t>
  </si>
  <si>
    <t>INSETICIDA TERMIMAX FIPRONIL 250 1L (12X1L)</t>
  </si>
  <si>
    <t>INSETICIDA TERMIMAX MALATHION 500 100ML (24X100ML)</t>
  </si>
  <si>
    <t>INSETICIDA TOPMAX DELTAMETRINA 100ML (24X100ML)</t>
  </si>
  <si>
    <t>INSETICIDA TOPMAX DELTAMETRINA 1L (12X1L)</t>
  </si>
  <si>
    <t>INSETICIDA TOPMAX DELTAMETRINA 30ML (24X30ML)</t>
  </si>
  <si>
    <t>ISCA PARA FORMIGAS FORMIMAX 21KG (70X300G)</t>
  </si>
  <si>
    <t>MALATHION POWER CE TERMIMAX 1L (4X1L)</t>
  </si>
  <si>
    <t>MOSQUICIDA LIQ. CITROMAX 100ML IMIDACLOPRID (12X100ML)</t>
  </si>
  <si>
    <t>MOSQUICIDA LIQ. CITROMAX 500ML IMIDACLOPRID (09X500ML)</t>
  </si>
  <si>
    <t>ORIGINAL NEEM CITROMAX 200ML (12X200ML)</t>
  </si>
  <si>
    <t>PO PARA BARATAS CITROMAX 10G (12X10G)</t>
  </si>
  <si>
    <t>RALO LIMPO CITROMAX 150G (12X150G)</t>
  </si>
  <si>
    <t>RALO LIMPO CITROMAX 70G (12X70G)</t>
  </si>
  <si>
    <r>
      <rPr>
        <b/>
        <sz val="11"/>
        <rFont val="Calibri"/>
        <family val="1"/>
      </rPr>
      <t>ADE 10 X 1KG</t>
    </r>
  </si>
  <si>
    <r>
      <rPr>
        <b/>
        <sz val="11"/>
        <rFont val="Calibri"/>
        <family val="1"/>
      </rPr>
      <t>ANCYLEX COMPRIMIDO 4X1</t>
    </r>
  </si>
  <si>
    <r>
      <rPr>
        <b/>
        <sz val="11"/>
        <rFont val="Calibri"/>
        <family val="1"/>
      </rPr>
      <t>ANCYLEX INJETÁVEL</t>
    </r>
  </si>
  <si>
    <r>
      <rPr>
        <b/>
        <sz val="11"/>
        <rFont val="Calibri"/>
        <family val="1"/>
      </rPr>
      <t>CURUMBI 250ML</t>
    </r>
  </si>
  <si>
    <r>
      <rPr>
        <b/>
        <sz val="11"/>
        <rFont val="Calibri"/>
        <family val="1"/>
      </rPr>
      <t>DIFLY 300G</t>
    </r>
  </si>
  <si>
    <r>
      <rPr>
        <b/>
        <sz val="11"/>
        <rFont val="Calibri"/>
        <family val="1"/>
      </rPr>
      <t>DIFLY S3 1 KG</t>
    </r>
  </si>
  <si>
    <r>
      <rPr>
        <b/>
        <sz val="11"/>
        <rFont val="Calibri"/>
        <family val="1"/>
      </rPr>
      <t>DIFLY S3 6KG</t>
    </r>
  </si>
  <si>
    <r>
      <rPr>
        <b/>
        <sz val="11"/>
        <rFont val="Calibri"/>
        <family val="1"/>
      </rPr>
      <t xml:space="preserve">RUMIVAC ORAL TABLETE </t>
    </r>
    <r>
      <rPr>
        <b/>
        <sz val="10"/>
        <rFont val="Calibri"/>
        <family val="1"/>
      </rPr>
      <t>(CX C/ 12 UND)</t>
    </r>
  </si>
  <si>
    <r>
      <rPr>
        <b/>
        <sz val="11"/>
        <rFont val="Calibri"/>
        <family val="1"/>
      </rPr>
      <t>VERMISAL 1,1KG</t>
    </r>
  </si>
  <si>
    <r>
      <rPr>
        <b/>
        <sz val="11"/>
        <rFont val="Calibri"/>
        <family val="1"/>
      </rPr>
      <t>VERMISAL 10KG</t>
    </r>
  </si>
  <si>
    <t>AGROSIL 6.000.000 DISPLAY 25 FRASCOS</t>
  </si>
  <si>
    <t>ESTREPTOMICIN DISPLAY 6 FRASCOS</t>
  </si>
  <si>
    <t>EVOLUTION BEZERROS 6 X 15G</t>
  </si>
  <si>
    <t>EVOLUTION M.O. 2 X 40G</t>
  </si>
  <si>
    <t>FLUIDO REUMATOSOL 100ML</t>
  </si>
  <si>
    <t>FORTLOZIN 100ML</t>
  </si>
  <si>
    <t>FORTLOZIN 50ML</t>
  </si>
  <si>
    <t>GENTASIL 100ML</t>
  </si>
  <si>
    <t>GLICOSE VITAMINADA 100ML</t>
  </si>
  <si>
    <t>HIPROSIL - 7 X 30G</t>
  </si>
  <si>
    <t>IODOFARM 1 L</t>
  </si>
  <si>
    <t>IVERMECTINA PREMIX 0,6% 333G</t>
  </si>
  <si>
    <t>IVERMECTINA PREMIX 0,6% 33G DP C/24</t>
  </si>
  <si>
    <t>MAX PRATA 500ML</t>
  </si>
  <si>
    <t>NEOCOLIN LIQUIDO 480ML</t>
  </si>
  <si>
    <t>OLEO CANFORADO 20ML DP C/ 12 FRASCOS</t>
  </si>
  <si>
    <t>OXI VANSIL LA 50ML</t>
  </si>
  <si>
    <t>PLACEN-P 20ML</t>
  </si>
  <si>
    <t>RICINUS 120ML SPRAY</t>
  </si>
  <si>
    <t>RICINUS 90G</t>
  </si>
  <si>
    <t>RICINUS PASTA 250G</t>
  </si>
  <si>
    <t>SILCORT 10ML</t>
  </si>
  <si>
    <t>SILCORT 50 ML</t>
  </si>
  <si>
    <t>SILMAST BALDE 24 X 5G</t>
  </si>
  <si>
    <t>SILVERM 125G</t>
  </si>
  <si>
    <t>SILVERM 20G DISPLAY C/25 SACHES</t>
  </si>
  <si>
    <t>SULFAQUINOXALINA LIQUIDA 20% 250ML</t>
  </si>
  <si>
    <t>SULFAQUINOXALINA LIQUIDA 20% LITRO</t>
  </si>
  <si>
    <t>TINTURA DE IODO 10% VANSIL 100ML</t>
  </si>
  <si>
    <t>TINTURA DE IODO 10% VANSIL LITRO</t>
  </si>
  <si>
    <t>TRICLORSIL 150G</t>
  </si>
  <si>
    <t>TRICLORSIL 20G DISPLAY C/ 25 SACHES</t>
  </si>
  <si>
    <t>TRICLORSIL 500G</t>
  </si>
  <si>
    <t>TRICLORSIL PASTA 30G</t>
  </si>
  <si>
    <t>TRIDIAZIN 15ML</t>
  </si>
  <si>
    <t>TRIDIAZIN 5 X 30</t>
  </si>
  <si>
    <t>TRIDIAZIN 50ML</t>
  </si>
  <si>
    <t>UBRECILIN 100ML</t>
  </si>
  <si>
    <t>VETOMIL 250ML</t>
  </si>
  <si>
    <t>VETOMIL GALÃO 5 LTS</t>
  </si>
  <si>
    <t>VETOMIL LITRO</t>
  </si>
  <si>
    <t>V-FERTIL 1 LITRO</t>
  </si>
  <si>
    <t>VITASIL ENERGY 5 LITROS</t>
  </si>
  <si>
    <t>VITASIL ENERGY LITRO</t>
  </si>
  <si>
    <t>VITASIL MIX 2,5KG</t>
  </si>
  <si>
    <r>
      <t xml:space="preserve">PEDIDO MINIMO:   </t>
    </r>
    <r>
      <rPr>
        <b/>
        <u/>
        <sz val="11"/>
        <color rgb="FFFF0000"/>
        <rFont val="Calibri"/>
        <family val="2"/>
        <scheme val="minor"/>
      </rPr>
      <t>R$ 1.000,00</t>
    </r>
  </si>
  <si>
    <r>
      <t xml:space="preserve">DESC. À VISTA:   </t>
    </r>
    <r>
      <rPr>
        <b/>
        <u/>
        <sz val="11"/>
        <color rgb="FFFF0000"/>
        <rFont val="Calibri"/>
        <family val="2"/>
        <scheme val="minor"/>
      </rPr>
      <t>0%</t>
    </r>
  </si>
  <si>
    <t>SYNTEC GRANDES</t>
  </si>
  <si>
    <t xml:space="preserve">DESC. À VISTA:   </t>
  </si>
  <si>
    <t>DIMESOL INJETAVEL 1L BR</t>
  </si>
  <si>
    <t>DIMESOL INJETAVEL 500 ML BR</t>
  </si>
  <si>
    <t>PAIN_OXX</t>
  </si>
  <si>
    <t>PURITEC GOLD INJ 6x1000ML</t>
  </si>
  <si>
    <t>PURITEC GOLD INJ 6x500ML</t>
  </si>
  <si>
    <t>ZELERIS 100ML CLAS BR</t>
  </si>
  <si>
    <t>OUROTETRA PLUS 50ML</t>
  </si>
  <si>
    <t>SILAGE SEAL 14X100M</t>
  </si>
  <si>
    <t>SILAGE SEAL 8X50M</t>
  </si>
  <si>
    <t>MECTIMAX PLUS PASTA CT</t>
  </si>
  <si>
    <t>CIPIOTEC INJ X 60ML</t>
  </si>
  <si>
    <t>ESTRON INJ X 60ML</t>
  </si>
  <si>
    <t>ESTRON 20ML INJ</t>
  </si>
  <si>
    <t>PRIMER COM 10 DISPOSITIVOS</t>
  </si>
  <si>
    <t>PRIMER MONODOSE COM 10 DISPOSITIVOS</t>
  </si>
  <si>
    <t>PRIMER PR COM 25 DISPOSITIVOS</t>
  </si>
  <si>
    <t>PROGECIO 70MG.ML SOL INJ X 100ML</t>
  </si>
  <si>
    <t>RIC BE INJ 50ML</t>
  </si>
  <si>
    <t>RIC BE INJ X100ML</t>
  </si>
  <si>
    <t>TEC-RELIN 0.025MG ML SOL.INJ X 20 ML</t>
  </si>
  <si>
    <t>BOVECTO POUR-ON LT 1000 ML X 6</t>
  </si>
  <si>
    <t>CICLORFÓS PULV. 1L</t>
  </si>
  <si>
    <t>CICLORFÓS PULV. 200 ML</t>
  </si>
  <si>
    <t>DORAMEC 500ML</t>
  </si>
  <si>
    <t>ECTONIL PULVERIZAÇÃO 1000 ML X 6</t>
  </si>
  <si>
    <t>GENESIS IVER POUR ON 2 FR 5L</t>
  </si>
  <si>
    <t>GLEPTOFERRIL 100ML</t>
  </si>
  <si>
    <t>ISACORT INJ 10ML NF</t>
  </si>
  <si>
    <t>PROATAC 1GL 1000ML IPA</t>
  </si>
  <si>
    <t>PROATAC 1GL 5000ML IPA</t>
  </si>
  <si>
    <t>TETRAPEN PPU 50ML</t>
  </si>
  <si>
    <t>BERTAC 1L (LATA)</t>
  </si>
  <si>
    <t>BERTAC 500 ML (LATA)</t>
  </si>
  <si>
    <t>MATABICHEIRA LAB 500ML</t>
  </si>
  <si>
    <t>SILVERBAC 300ML</t>
  </si>
  <si>
    <t>SILVERBAC 500ML</t>
  </si>
  <si>
    <t>GINOVET</t>
  </si>
  <si>
    <t>HEMOLITAN BOOSTER JCR PASTA 40G</t>
  </si>
  <si>
    <t>TERGENVET 250ML (GR)</t>
  </si>
  <si>
    <t>GERIPET MASTIGAVEIS 30 COMP</t>
  </si>
  <si>
    <t>HEPVET MASTIGAVEIS 30 COMP</t>
  </si>
  <si>
    <t>NUTRALOGIC MASTIGAVEIS 60 COMP</t>
  </si>
  <si>
    <t>TERGENVET PET SPRAY 125ML</t>
  </si>
  <si>
    <t>ACATAK 1 LT</t>
  </si>
  <si>
    <t>ACATAK 5 LT</t>
  </si>
  <si>
    <t>AGITA 10WG 1 KG</t>
  </si>
  <si>
    <t>AGITA 10WG 100 GR</t>
  </si>
  <si>
    <t>AGITA 10WG 250 GR</t>
  </si>
  <si>
    <t>AGITA 1GB 20 GR</t>
  </si>
  <si>
    <t>AGROVET PLUS 50 ML</t>
  </si>
  <si>
    <t>BAYCOX SUSPENSION 5% 1 LT</t>
  </si>
  <si>
    <t>BAYCOX SUSPENSION 5% 100 ML</t>
  </si>
  <si>
    <t>BAYCOX SUSPENSION 5% 250 ML</t>
  </si>
  <si>
    <t>BAYMEC DE 1 LT</t>
  </si>
  <si>
    <t>BAYMEC DE 500 ML</t>
  </si>
  <si>
    <t>BAYMEC INJ 1 LT</t>
  </si>
  <si>
    <t>BAYMEC INJ 500 ML</t>
  </si>
  <si>
    <t>BAYTRIL INJ 10% 10 ML</t>
  </si>
  <si>
    <t>BAYTRIL INJ 10% 50 ML</t>
  </si>
  <si>
    <t>BOLFO 1 KG</t>
  </si>
  <si>
    <t>BOLFO 20 KG</t>
  </si>
  <si>
    <t>BOLFO 200 GR</t>
  </si>
  <si>
    <t>BOVIGAM INJ 5G 15 ML</t>
  </si>
  <si>
    <t>CALFON INJ 20% 200 ML</t>
  </si>
  <si>
    <t>CALFON INJ 20% 500 ML</t>
  </si>
  <si>
    <t>CATOSAL B12 100 ML</t>
  </si>
  <si>
    <t>CATOSAL B12 20 ML</t>
  </si>
  <si>
    <t>FLUNAMINE 50 ML</t>
  </si>
  <si>
    <t>FUSOGARD 20 ML</t>
  </si>
  <si>
    <t>GANASEG 7% 30 ML</t>
  </si>
  <si>
    <t>GLUTELLAC 50 ML</t>
  </si>
  <si>
    <t>KINETOMAX 100 ML</t>
  </si>
  <si>
    <t>KINETOMAX 20 ML</t>
  </si>
  <si>
    <t>KINETOMAX 50 ML</t>
  </si>
  <si>
    <t>MICOTIL INJ 10 ML</t>
  </si>
  <si>
    <t>MICOTIL INJ 50 ML</t>
  </si>
  <si>
    <t>MINOXEL 8G 100 ML</t>
  </si>
  <si>
    <t>MINOXEL PLUS 5G 100 ML</t>
  </si>
  <si>
    <t>NEPOREX 500 GR</t>
  </si>
  <si>
    <t>ROMPUN - (10ML)</t>
  </si>
  <si>
    <t>RUK 1% INJ 1 LT</t>
  </si>
  <si>
    <t>TANIDIL 2 KG</t>
  </si>
  <si>
    <t>TANIDIL 200 GR</t>
  </si>
  <si>
    <t>TIGUVON 150 ML</t>
  </si>
  <si>
    <t>TIGUVON SPOT ON 1 LT</t>
  </si>
  <si>
    <t>TRUCID INJ 1% 1 LT</t>
  </si>
  <si>
    <t>TRUCID INJ 1% 50 ML</t>
  </si>
  <si>
    <t>TRUCID INJ 1% 500 ML</t>
  </si>
  <si>
    <t>TYLAN INJ 100 ML</t>
  </si>
  <si>
    <t>TYLAN INJ 50 ML</t>
  </si>
  <si>
    <t>VIGANTOL ADE 100 ML</t>
  </si>
  <si>
    <t>VIGANTOL ADE 500 ML</t>
  </si>
  <si>
    <t>J A SAUDE ANIMAL</t>
  </si>
  <si>
    <t>APROMAZIN 1% INJETAVEL 20ML</t>
  </si>
  <si>
    <t>CIKADOL 50GR</t>
  </si>
  <si>
    <t>FARMADEX 10ML</t>
  </si>
  <si>
    <t>K-SPOT 2ML</t>
  </si>
  <si>
    <t>K-SPOT 4ML</t>
  </si>
  <si>
    <t>K-SPOT 6ML</t>
  </si>
  <si>
    <t>K-SPOT 8ML</t>
  </si>
  <si>
    <t>AGROLEM</t>
  </si>
  <si>
    <t>AMITRAZ - 20 ML</t>
  </si>
  <si>
    <t>ATROVENE 20 ML</t>
  </si>
  <si>
    <t>BIO MAX - BÁSICA</t>
  </si>
  <si>
    <t>BIO MAX - RASG &amp; APLIK</t>
  </si>
  <si>
    <t>CALFORT - 200 ML</t>
  </si>
  <si>
    <r>
      <t xml:space="preserve">CALFORT - 500ML " </t>
    </r>
    <r>
      <rPr>
        <b/>
        <sz val="9"/>
        <color rgb="FFFF0000"/>
        <rFont val="Calibri  "/>
      </rPr>
      <t>SEM EQUIPO"</t>
    </r>
  </si>
  <si>
    <t>CINO - GLOBULIN - Multíplo 20</t>
  </si>
  <si>
    <t>DEXAFLAN - 10 ML</t>
  </si>
  <si>
    <t>DEXAFLAN - 100ML</t>
  </si>
  <si>
    <t>DEXAFLAN - 50 ML</t>
  </si>
  <si>
    <r>
      <t xml:space="preserve">DIARRETRON PÓ 10 g - </t>
    </r>
    <r>
      <rPr>
        <b/>
        <sz val="9"/>
        <color rgb="FFFF0000"/>
        <rFont val="Calibri  "/>
      </rPr>
      <t>ATACADO</t>
    </r>
  </si>
  <si>
    <r>
      <t xml:space="preserve">DIARRETRON PÓ 10 g - </t>
    </r>
    <r>
      <rPr>
        <b/>
        <sz val="9"/>
        <color rgb="FFFF0000"/>
        <rFont val="Calibri  "/>
      </rPr>
      <t>REVENDA</t>
    </r>
  </si>
  <si>
    <t>ENTERO - GLOBULIN - Múltiplo 20</t>
  </si>
  <si>
    <t>FEBRAX INJETAVÉL</t>
  </si>
  <si>
    <t>FEBRAX ORAL</t>
  </si>
  <si>
    <t>GARROTILHO</t>
  </si>
  <si>
    <t>INIBIDEX-CARTELA 50x1 - 01 a 49</t>
  </si>
  <si>
    <t>INSEMAX POUR ON 1 L</t>
  </si>
  <si>
    <t>ORACINA 10 ML</t>
  </si>
  <si>
    <t>ORACINA 50 ML</t>
  </si>
  <si>
    <t>POLY 10 - BÁSICA</t>
  </si>
  <si>
    <t>POLY 10 - RASG &amp; APLIK</t>
  </si>
  <si>
    <t>RAIVA I CÃES E GATOS</t>
  </si>
  <si>
    <t>RAIVA I HERBÍVOROS</t>
  </si>
  <si>
    <t>SARNATIL 100 G - 01 A 05 CAIXAS</t>
  </si>
  <si>
    <t>SORO ANTIOFÍDICO</t>
  </si>
  <si>
    <t>SORO ANTITETÂNICO</t>
  </si>
  <si>
    <t>TETANOVAC</t>
  </si>
  <si>
    <t>TORCIFLEX</t>
  </si>
  <si>
    <t>TRATTO®PRIL CÃES ACIMA 40 KG</t>
  </si>
  <si>
    <t>TRATTO COLEIRA</t>
  </si>
  <si>
    <t>TRATTO DESINFETANTE</t>
  </si>
  <si>
    <t>TRATTO SHAMPOO - 300ML</t>
  </si>
  <si>
    <t>TRATTO SPRAY</t>
  </si>
  <si>
    <t>TRATTO TALCO</t>
  </si>
  <si>
    <t>TRI BABY VAC - BÁSICA</t>
  </si>
  <si>
    <t>TRI BABY VAC - RASG &amp; APLIK</t>
  </si>
  <si>
    <t>TRIDOXIN 40</t>
  </si>
  <si>
    <t>VERMOTRIX - 96 cpr</t>
  </si>
  <si>
    <t>VERMOTRIX - Plus 4 cpr</t>
  </si>
  <si>
    <t>VERMOTRIX - Plus 48 cpr</t>
  </si>
  <si>
    <t>VERMOTRIX - PLUS BABY</t>
  </si>
  <si>
    <t>VETOL INJETAVÉL -  6 X 2ml</t>
  </si>
  <si>
    <t>VETOL INJETAVÉL - 50 x 2ml</t>
  </si>
  <si>
    <t>VETOL ORAL - 20ml</t>
  </si>
  <si>
    <t>LAVIZOO</t>
  </si>
  <si>
    <t>TOPLINE 1 LITRO</t>
  </si>
  <si>
    <t>VACINA BIOFFEL PCH 1DS GATOS</t>
  </si>
  <si>
    <t>VACINA IMUNOCAN V8 1DS CAES</t>
  </si>
  <si>
    <t>GRASCON</t>
  </si>
  <si>
    <r>
      <rPr>
        <b/>
        <sz val="10"/>
        <rFont val="Calibri  "/>
      </rPr>
      <t xml:space="preserve">OBSERVAÇÃO: </t>
    </r>
    <r>
      <rPr>
        <b/>
        <sz val="10"/>
        <color rgb="FFFF0000"/>
        <rFont val="Calibri  "/>
      </rPr>
      <t>NÃO RECEBEMOS PRODUTOS COM VALIDADES INFERIORES À 01 (UM) ANO.</t>
    </r>
  </si>
  <si>
    <t>EXCELL 10 100 ML 20 DS</t>
  </si>
  <si>
    <t>EXCELL 10 250 ML 50 DS</t>
  </si>
  <si>
    <t>EXCELL 10 50 ML 10 DS</t>
  </si>
  <si>
    <t>OSPHOS 60MG/ML</t>
  </si>
  <si>
    <t>LEXINGTON GOLD</t>
  </si>
  <si>
    <t>COMBATT3 POUR ON X 1L</t>
  </si>
  <si>
    <t>COMBATT3 POUR ON X 5L</t>
  </si>
  <si>
    <t>MEGACILIN PPU INJ X 50 ML</t>
  </si>
  <si>
    <t>ROFLIN 100MG.ML SOL ORAL X 1L</t>
  </si>
  <si>
    <t>COMBO POUR ON 1L (NEW)</t>
  </si>
  <si>
    <t>PPD TUBERCULINA 2ML</t>
  </si>
  <si>
    <t>ROBOFORTE INJ 1L BR</t>
  </si>
  <si>
    <t>ROBOFORTE INJ 250ML BR</t>
  </si>
  <si>
    <t>ROBOFORTE INJ 500ML BR</t>
  </si>
  <si>
    <t>ANTITOXICO UCB INJETAVEL 24X100mL</t>
  </si>
  <si>
    <t>COLENTIM 20X05mL</t>
  </si>
  <si>
    <t>CORTVET 24X10mL</t>
  </si>
  <si>
    <t>CORTVET 24X50mL</t>
  </si>
  <si>
    <t>CURSOTRAT 24X10mL</t>
  </si>
  <si>
    <t>FLUNIXINA INJETAVEL UCB 12X50mL</t>
  </si>
  <si>
    <t>FLUNIXINA INJETAVEL UCB 24X10mL</t>
  </si>
  <si>
    <t>FORTBIOTICO PLUS SUPERFORTE DILUENTE 24X8,4G + 15mL</t>
  </si>
  <si>
    <t>IVERMECTAN 12X500mL</t>
  </si>
  <si>
    <t>IVERMECTAN 24X50mL</t>
  </si>
  <si>
    <t>MASTIZONE 24X10G</t>
  </si>
  <si>
    <t>MASTIZONE PLUS LACTACAO 24X10G</t>
  </si>
  <si>
    <t>MASTIZONE V.S. 24X10G</t>
  </si>
  <si>
    <t>OCITOCINA FORTE UCB 24X100mL</t>
  </si>
  <si>
    <t>OCITOCINA FORTE UCB 24X50mL</t>
  </si>
  <si>
    <t>OCITOCINA PROMOBOX 38X100mL</t>
  </si>
  <si>
    <t>PHENODRAL BLISTER 12X3X15mL</t>
  </si>
  <si>
    <t>PLATELMIN EQUINO PASTA 20X30G</t>
  </si>
  <si>
    <t>POMADOL 12X50G</t>
  </si>
  <si>
    <t>SOROVITA COMPLEX 12X500mL</t>
  </si>
  <si>
    <t>TETRALONG LA 24X50mL</t>
  </si>
  <si>
    <t>TRISTEZINA 24X20mL</t>
  </si>
  <si>
    <t>TRISTEZINA 24X30mL</t>
  </si>
  <si>
    <t>VERRUTRAT 24X20mL</t>
  </si>
  <si>
    <t>FLUNIXINA INJETAVEL UCB 12X100mL</t>
  </si>
  <si>
    <t>OLEO CANFORADO 24X20mL</t>
  </si>
  <si>
    <t>CURSOTRAT 12X50ML</t>
  </si>
  <si>
    <t>SOROLINA 14X2X10ML</t>
  </si>
  <si>
    <t>PLACENTINA FORTE 24X10 ML</t>
  </si>
  <si>
    <t>ANTICION 36X01mL</t>
  </si>
  <si>
    <t>ANTICION BLISTER 30X01mL</t>
  </si>
  <si>
    <t>ANTITOXICO UCB ORAL 24X20mL</t>
  </si>
  <si>
    <t>CARRAPATICIDA E SARNICIDA CHARMDOG 25X20mL</t>
  </si>
  <si>
    <t>COLIRIO UCB 24X15mL</t>
  </si>
  <si>
    <t>SARTOP SPRAY 12X100mL</t>
  </si>
  <si>
    <t>TIMBACO 12X100mL</t>
  </si>
  <si>
    <t>CARRAPATICIDA SAPONIFICADA CHARMDOG 12X250ML</t>
  </si>
  <si>
    <t>OTOLIN 12X15ML</t>
  </si>
  <si>
    <t>VERRUCLIN 30ML</t>
  </si>
  <si>
    <t>PEDIDO MINIMO:</t>
  </si>
  <si>
    <t xml:space="preserve">DESC. À VISTA: </t>
  </si>
  <si>
    <t xml:space="preserve">PAGAMENTO À PRAZO:  </t>
  </si>
  <si>
    <t>LABORCLIN</t>
  </si>
  <si>
    <t>CMT SOLUCAO 500ML TADABRAS</t>
  </si>
  <si>
    <t>TADABRAS</t>
  </si>
  <si>
    <t>KAPELLI HORSE CONDICIONADOR BLACK 1LT * (C)</t>
  </si>
  <si>
    <t>KAPELLI HORSE CONDICIONADOR NEUTRO 1LT * (C)</t>
  </si>
  <si>
    <t>KAPELLI HORSE CONDICIONADOR PLATINUM 1LT * (C)</t>
  </si>
  <si>
    <t>KAPELLI HORSE OLEO DE COCO 1LT * (C)</t>
  </si>
  <si>
    <t>KAPELLI HORSE SHAMPOO BLACK 1LT * (C)</t>
  </si>
  <si>
    <t>KAPELLI HORSE SHAMPOO BLACK 5LT (C)</t>
  </si>
  <si>
    <t>KAPELLI HORSE SHAMPOO NEUTRO 1LT * (C)</t>
  </si>
  <si>
    <t>KAPELLI HORSE SHAMPOO NEUTRO 5LT (C)</t>
  </si>
  <si>
    <t>KAPELLI HORSE SHAMPOO PLATINUM 1LT * (C)</t>
  </si>
  <si>
    <t>KAPELLI HORSE SHAMPOO PLATINUM 5LT * (C</t>
  </si>
  <si>
    <t>KAPELLI HORSE SHINE 1LT * (C)</t>
  </si>
  <si>
    <t>KAPELLI</t>
  </si>
  <si>
    <t>CIDENTAL LIQUIDO 250ML BIMEDA</t>
  </si>
  <si>
    <t>CIDENTAL UNGUENTO 250GR BIMEDA</t>
  </si>
  <si>
    <t>CIDENTAL UNGUENTO 50GR BIMEDA</t>
  </si>
  <si>
    <t>TRIGENTAL 40GR BIMEDA</t>
  </si>
  <si>
    <t>ALKAPLUS LT 20KG PRADO</t>
  </si>
  <si>
    <t>ATOXIN 10KG PRADO</t>
  </si>
  <si>
    <t>CLORETO DE SODIO 7% 1000ML PRADO</t>
  </si>
  <si>
    <t>DIGEVET 500ML C/EQUIPO PRADO</t>
  </si>
  <si>
    <t>DIPIRONA 25% 20ML PRADO</t>
  </si>
  <si>
    <t>GLICOSE 50% 500ML PRADO</t>
  </si>
  <si>
    <t>PLAVET INJ. 50ML PRADO</t>
  </si>
  <si>
    <t>PRADOTIN 50ML PRADO</t>
  </si>
  <si>
    <t>PRADOVILLATE 500ML PRADO</t>
  </si>
  <si>
    <t>SOLUÇAO BICARBONATO DE SODIO 500ML PRADO</t>
  </si>
  <si>
    <t>28/45D</t>
  </si>
  <si>
    <t xml:space="preserve"> 28/56 D</t>
  </si>
  <si>
    <t>35/42/49 D</t>
  </si>
  <si>
    <t>COURO LIMPO PRATA 200ML</t>
  </si>
  <si>
    <t>COURO LIMPO PRATA 500ML</t>
  </si>
  <si>
    <t>PEGASUS 9GR</t>
  </si>
  <si>
    <r>
      <t xml:space="preserve">PEDIDO MINIMO:   </t>
    </r>
    <r>
      <rPr>
        <b/>
        <u/>
        <sz val="10"/>
        <color rgb="FFFF0000"/>
        <rFont val="Calibri  "/>
      </rPr>
      <t>R$ 5.000,00</t>
    </r>
  </si>
  <si>
    <r>
      <t xml:space="preserve">DESC. À VISTA:   </t>
    </r>
    <r>
      <rPr>
        <b/>
        <u/>
        <sz val="10"/>
        <color rgb="FFFF0000"/>
        <rFont val="Calibri  "/>
      </rPr>
      <t>3% (14 DIAS)</t>
    </r>
  </si>
  <si>
    <r>
      <t xml:space="preserve">PAGAMENTO À PRAZO:   </t>
    </r>
    <r>
      <rPr>
        <b/>
        <u/>
        <sz val="10"/>
        <color rgb="FFFF0000"/>
        <rFont val="Calibri  "/>
      </rPr>
      <t>30/60/90 DIAS</t>
    </r>
  </si>
  <si>
    <t>PHENODRAL 30X15mL</t>
  </si>
  <si>
    <t>CIPROVET DELTAVET 5 ml</t>
  </si>
  <si>
    <t>CREMA 6A EQUINOS 100 g</t>
  </si>
  <si>
    <t>OSTEOCART EQUINOS 700 g</t>
  </si>
  <si>
    <t>OSTEOCREM 100 g</t>
  </si>
  <si>
    <t>HEPATOMAX 500 ml</t>
  </si>
  <si>
    <t>CONDROITIN 10 IM x 5 ml x 4 u</t>
  </si>
  <si>
    <t>EMBRAMEC 12X500 ML</t>
  </si>
  <si>
    <t>EMBRAMEC 24X50 ML</t>
  </si>
  <si>
    <t>ANABOLIC 500ML</t>
  </si>
  <si>
    <t>CATOL + 100ML</t>
  </si>
  <si>
    <t>60/90/120</t>
  </si>
  <si>
    <t>Pro-ciclar 10x10 S/ Aplicador</t>
  </si>
  <si>
    <t>TILDREN 10X50MG+10 SOLV BR</t>
  </si>
  <si>
    <t>ZIMBRIA 6ML BR</t>
  </si>
  <si>
    <t>LANIRAT GIRASSOL 200GR</t>
  </si>
  <si>
    <t>VALLEECALCIO 1X250ML   150</t>
  </si>
  <si>
    <t>VALLEECALCIO 1X500ML   150</t>
  </si>
  <si>
    <t>ADE VALLEE INJ 1X50ML  150</t>
  </si>
  <si>
    <t>RAIVACEL MULTI 1X50ML  150</t>
  </si>
  <si>
    <r>
      <rPr>
        <b/>
        <sz val="8"/>
        <color rgb="FF0E233D"/>
        <rFont val="Trebuchet MS"/>
        <family val="2"/>
      </rPr>
      <t>R$                          72,92</t>
    </r>
  </si>
  <si>
    <r>
      <rPr>
        <b/>
        <sz val="8"/>
        <color rgb="FF0E233D"/>
        <rFont val="Trebuchet MS"/>
        <family val="2"/>
      </rPr>
      <t>R$                            7,49</t>
    </r>
  </si>
  <si>
    <r>
      <rPr>
        <b/>
        <sz val="8"/>
        <color rgb="FF0E233D"/>
        <rFont val="Trebuchet MS"/>
        <family val="2"/>
      </rPr>
      <t>R$                          15,94</t>
    </r>
  </si>
  <si>
    <r>
      <rPr>
        <b/>
        <sz val="8"/>
        <color rgb="FF0E233D"/>
        <rFont val="Trebuchet MS"/>
        <family val="2"/>
      </rPr>
      <t>R$                          74,08</t>
    </r>
  </si>
  <si>
    <r>
      <rPr>
        <b/>
        <sz val="8"/>
        <color rgb="FF0E233D"/>
        <rFont val="Trebuchet MS"/>
        <family val="2"/>
      </rPr>
      <t>R$                          41,44</t>
    </r>
  </si>
  <si>
    <r>
      <rPr>
        <b/>
        <sz val="8"/>
        <color rgb="FF0E233D"/>
        <rFont val="Trebuchet MS"/>
        <family val="2"/>
      </rPr>
      <t>R$                        178,25</t>
    </r>
  </si>
  <si>
    <r>
      <rPr>
        <b/>
        <sz val="8"/>
        <color rgb="FF0E233D"/>
        <rFont val="Trebuchet MS"/>
        <family val="2"/>
      </rPr>
      <t>R$                          15,31</t>
    </r>
  </si>
  <si>
    <r>
      <rPr>
        <b/>
        <sz val="8"/>
        <color rgb="FF0E233D"/>
        <rFont val="Trebuchet MS"/>
        <family val="2"/>
      </rPr>
      <t>R$                          33,85</t>
    </r>
  </si>
  <si>
    <r>
      <rPr>
        <b/>
        <sz val="8"/>
        <color rgb="FF0E233D"/>
        <rFont val="Trebuchet MS"/>
        <family val="2"/>
      </rPr>
      <t>R$                          82,69</t>
    </r>
  </si>
  <si>
    <r>
      <rPr>
        <b/>
        <sz val="8"/>
        <color rgb="FF0E233D"/>
        <rFont val="Trebuchet MS"/>
        <family val="2"/>
      </rPr>
      <t>R$                        141,54</t>
    </r>
  </si>
  <si>
    <r>
      <rPr>
        <b/>
        <sz val="8"/>
        <color rgb="FF0E233D"/>
        <rFont val="Trebuchet MS"/>
        <family val="2"/>
      </rPr>
      <t>R$                            7,71</t>
    </r>
  </si>
  <si>
    <r>
      <rPr>
        <b/>
        <sz val="8"/>
        <color rgb="FF0E233D"/>
        <rFont val="Trebuchet MS"/>
        <family val="2"/>
      </rPr>
      <t>R$                     2.189,38</t>
    </r>
  </si>
  <si>
    <r>
      <rPr>
        <b/>
        <sz val="8"/>
        <color rgb="FF0E233D"/>
        <rFont val="Trebuchet MS"/>
        <family val="2"/>
      </rPr>
      <t>R$                     2.522,82</t>
    </r>
  </si>
  <si>
    <r>
      <rPr>
        <b/>
        <sz val="8"/>
        <color rgb="FF0E233D"/>
        <rFont val="Trebuchet MS"/>
        <family val="2"/>
      </rPr>
      <t>R$                     6.006,25</t>
    </r>
  </si>
  <si>
    <r>
      <rPr>
        <b/>
        <sz val="8"/>
        <color rgb="FF0E233D"/>
        <rFont val="Trebuchet MS"/>
        <family val="2"/>
      </rPr>
      <t>R$                     1.785,17</t>
    </r>
  </si>
  <si>
    <r>
      <rPr>
        <b/>
        <sz val="8"/>
        <color rgb="FF0E233D"/>
        <rFont val="Trebuchet MS"/>
        <family val="2"/>
      </rPr>
      <t>R$                        288,22</t>
    </r>
  </si>
  <si>
    <r>
      <rPr>
        <b/>
        <sz val="8"/>
        <color rgb="FF0E233D"/>
        <rFont val="Trebuchet MS"/>
        <family val="2"/>
      </rPr>
      <t>R$                        479,32</t>
    </r>
  </si>
  <si>
    <r>
      <rPr>
        <b/>
        <sz val="8"/>
        <color rgb="FF0E233D"/>
        <rFont val="Trebuchet MS"/>
        <family val="2"/>
      </rPr>
      <t>R$                        148,69</t>
    </r>
  </si>
  <si>
    <r>
      <rPr>
        <b/>
        <sz val="8"/>
        <color rgb="FF0E233D"/>
        <rFont val="Trebuchet MS"/>
        <family val="2"/>
      </rPr>
      <t>R$                        186,84</t>
    </r>
  </si>
  <si>
    <r>
      <rPr>
        <b/>
        <sz val="8"/>
        <color rgb="FF0E233D"/>
        <rFont val="Trebuchet MS"/>
        <family val="2"/>
      </rPr>
      <t>R$                        198,50</t>
    </r>
  </si>
  <si>
    <r>
      <rPr>
        <b/>
        <sz val="8"/>
        <color rgb="FF0E233D"/>
        <rFont val="Trebuchet MS"/>
        <family val="2"/>
      </rPr>
      <t>R$                        796,17</t>
    </r>
  </si>
  <si>
    <r>
      <rPr>
        <b/>
        <sz val="8"/>
        <color rgb="FF0E233D"/>
        <rFont val="Trebuchet MS"/>
        <family val="2"/>
      </rPr>
      <t>R$                          61,58</t>
    </r>
  </si>
  <si>
    <r>
      <rPr>
        <b/>
        <sz val="8"/>
        <color rgb="FF0E233D"/>
        <rFont val="Trebuchet MS"/>
        <family val="2"/>
      </rPr>
      <t>R$                          10,55</t>
    </r>
  </si>
  <si>
    <r>
      <rPr>
        <b/>
        <sz val="8"/>
        <color rgb="FF0E233D"/>
        <rFont val="Trebuchet MS"/>
        <family val="2"/>
      </rPr>
      <t>R$                        498,68</t>
    </r>
  </si>
  <si>
    <r>
      <rPr>
        <b/>
        <sz val="8"/>
        <color rgb="FF0E233D"/>
        <rFont val="Trebuchet MS"/>
        <family val="2"/>
      </rPr>
      <t>R$                        265,82</t>
    </r>
  </si>
  <si>
    <t>COLOSSO POUR ON 5000ML</t>
  </si>
  <si>
    <t>EPMOX SOL INJ X 1L</t>
  </si>
  <si>
    <t>EPMOX SOL INJ X 500ML</t>
  </si>
  <si>
    <t>FORTGAL SOL INJ X 50ML</t>
  </si>
  <si>
    <t>FORTGAL SOL INJ X 100ML</t>
  </si>
  <si>
    <t>PROVIDEAN REPRO 12 X 125ML C/ 25 DOSES</t>
  </si>
  <si>
    <t>PROVIDEAN RESPIRATORIA X250ML C/50 DOSES</t>
  </si>
  <si>
    <t>PROVIDEAN RESPIRATORIA X125ML C/25 DOSES</t>
  </si>
  <si>
    <t>PROVIDEAN ENTERO PLUS 7 125ML C/25 DOSES</t>
  </si>
  <si>
    <t>PROVIDEAN ENTERO PLUS 7 250ML C/50 DOSES</t>
  </si>
  <si>
    <t>AGECOX NEO SUSPENSAO ORAL X 1L</t>
  </si>
  <si>
    <t>TOPLINE SPRAY</t>
  </si>
  <si>
    <t>TOPLINE 5 LITROS</t>
  </si>
  <si>
    <t>TOPLINE 5 LITROS (SEM APLICADOR)</t>
  </si>
  <si>
    <t>IVOMEC 1% 50ML</t>
  </si>
  <si>
    <t>IVOMEC 1% 500ML</t>
  </si>
  <si>
    <t>IVOMEC 1% 1000ML</t>
  </si>
  <si>
    <t>IVOMEC GOLD 50 ML</t>
  </si>
  <si>
    <t>IVOMEC GOLD 500 ML</t>
  </si>
  <si>
    <t>IVOMEC GOLD 1000 ML</t>
  </si>
  <si>
    <t>EQVALAN GOLD</t>
  </si>
  <si>
    <t>EQVALAN</t>
  </si>
  <si>
    <t>MAMYZIN S 5ML</t>
  </si>
  <si>
    <t>J-VAC 10ML 10DS</t>
  </si>
  <si>
    <t>UBROLEXIN INJ INTRAMAMA 20 DOSES</t>
  </si>
  <si>
    <t>CREATINA 500G</t>
  </si>
  <si>
    <t>CREATINA JCR 2 KG</t>
  </si>
  <si>
    <t>CREATINA JCR 2 KG BALDE</t>
  </si>
  <si>
    <t>DESCONTRAX - 100ML</t>
  </si>
  <si>
    <t>DORAEQUI PLUS 35G</t>
  </si>
  <si>
    <t>DORAEQUI PLUS 7G</t>
  </si>
  <si>
    <t>FIROCOXIB VETNIL GEL 35G</t>
  </si>
  <si>
    <t>MELOXINEW GEL 35G</t>
  </si>
  <si>
    <t>FIROCOXIB 150MG 7 COMP</t>
  </si>
  <si>
    <t>FIROCOXIB 25MG 14 COMP</t>
  </si>
  <si>
    <t>FIROCOXIB 50MG 14 COMP</t>
  </si>
  <si>
    <t>OPTIVET TEARS 10 ML - MA: 102/2017</t>
  </si>
  <si>
    <t>VETNIL SKIN CARE</t>
  </si>
  <si>
    <t>AVANCE HORSE 2,5G CX C/6</t>
  </si>
  <si>
    <t xml:space="preserve">ANESTT 50ML INJETÁVEL </t>
  </si>
  <si>
    <t>APROMAZIN 0,2% INJETAVEL 20ML</t>
  </si>
  <si>
    <t>APROMAZIN ORAL 1% 10ML</t>
  </si>
  <si>
    <t>APROMAZIN ORAL 1% 30ML</t>
  </si>
  <si>
    <t>AURITEC 100ML</t>
  </si>
  <si>
    <t>BANHO PET 500ML</t>
  </si>
  <si>
    <t>CETAMIN 50ML (12 UN/CX)</t>
  </si>
  <si>
    <t>CIPRO-OTIC</t>
  </si>
  <si>
    <t>CONDROTEC FACIL 1,5G (Lançamento)</t>
  </si>
  <si>
    <t>CONDROTEC FACIL 2,8G (Lançamento)</t>
  </si>
  <si>
    <t>DIAZIPRIM ORAL 20ML</t>
  </si>
  <si>
    <t>DOXITEC 100MG</t>
  </si>
  <si>
    <t>DOXITEC 200MG</t>
  </si>
  <si>
    <t>DOXITEC 50MG</t>
  </si>
  <si>
    <t>FLOBIOTIC 5% 10ML</t>
  </si>
  <si>
    <t>FLOBIOTIC COMPRIMIDOS 150MG</t>
  </si>
  <si>
    <t>FLOBIOTIC COMPRIMIDOS 250MG</t>
  </si>
  <si>
    <t>FLOBIOTIC COMPRIMIDOS 50MG</t>
  </si>
  <si>
    <t>GELTEC 30ML</t>
  </si>
  <si>
    <t>GLIOCIDE 1L</t>
  </si>
  <si>
    <t>ISOFLURANO 100ML (Lançamento)</t>
  </si>
  <si>
    <t>KENOVET 20ML</t>
  </si>
  <si>
    <t>KIT GELTEC (Lançamento)</t>
  </si>
  <si>
    <t>KIT OTOLOGICO</t>
  </si>
  <si>
    <t>MAXITEC ORAL 20ML</t>
  </si>
  <si>
    <t>MICODINE 1L</t>
  </si>
  <si>
    <t>MICODINE 225ML</t>
  </si>
  <si>
    <t>MICODINE 500ML</t>
  </si>
  <si>
    <t>MICODINE 5L</t>
  </si>
  <si>
    <t>MULTITEC 1200MG DISPLAY</t>
  </si>
  <si>
    <t>MULTITEC 400MG DISPLAY</t>
  </si>
  <si>
    <t>MULTITEC 800MG DISPLAY</t>
  </si>
  <si>
    <t>NUTREPACK FACIL 2,8G (Lançamento)</t>
  </si>
  <si>
    <t>PEROILA 125ML</t>
  </si>
  <si>
    <t>PEROILA 500 ML</t>
  </si>
  <si>
    <t>PRESOLONA 10MG - 10 COMPRIMIDOS</t>
  </si>
  <si>
    <t>SILITEC FACIL 1,5G (Lançamento)</t>
  </si>
  <si>
    <t>SMART LITTER 7KG</t>
  </si>
  <si>
    <t>SUPREGATOS 90G</t>
  </si>
  <si>
    <t>SYROX 228MG (Lançamento)</t>
  </si>
  <si>
    <t>SYROX 57MG (Lançamento)</t>
  </si>
  <si>
    <t>TOBRASYN COLIRIO 5ML</t>
  </si>
  <si>
    <t>SYNTEC PET</t>
  </si>
  <si>
    <t>EM FALTA</t>
  </si>
  <si>
    <t>DORAMEC 50ML</t>
  </si>
  <si>
    <t>TILOFOR 20% INJ FA  50ML</t>
  </si>
  <si>
    <t>TILOFOR 20% INJ FA 100ML</t>
  </si>
  <si>
    <t>PEARSON</t>
  </si>
  <si>
    <t>BROMY-L 20 G - DISPLAY COM 50 SACHES</t>
  </si>
  <si>
    <t>CITRAX PO 2KG</t>
  </si>
  <si>
    <t>FENILVET 100ML</t>
  </si>
  <si>
    <t>FENILVET 20ML</t>
  </si>
  <si>
    <t>SULFAQUINOXALINA VANSIL 100G</t>
  </si>
  <si>
    <t>SULFAQUINOXALINA VANSIL 1KG</t>
  </si>
  <si>
    <t>HIPRALONA ENRO-S 1000ML HIPRA</t>
  </si>
  <si>
    <t>HIPRALONA ENRO-S 100ML HIPRA</t>
  </si>
  <si>
    <t>HIPRALONA ENRO-S 10ML HIPRA</t>
  </si>
  <si>
    <t xml:space="preserve">DIFLY S3 300G </t>
  </si>
  <si>
    <t>DIFLY WP 300GR</t>
  </si>
  <si>
    <t>RUMIVAC ORAL 1 LITRO</t>
  </si>
  <si>
    <t>RUMIVAC 250ML</t>
  </si>
  <si>
    <t>SELECT MICROS 1 KG</t>
  </si>
  <si>
    <t>STROGYCID 40GR</t>
  </si>
  <si>
    <t>ACATAK 5 L W/O APP</t>
  </si>
  <si>
    <t>Ezatect Inj. 50mL(BR)</t>
  </si>
  <si>
    <t>Ezatect Inj. 500mL(BR)</t>
  </si>
  <si>
    <t>Ezatect Inj. 1L(BR)</t>
  </si>
  <si>
    <t>REPIDERMA SPRAY 250ML X1CAN BL</t>
  </si>
  <si>
    <t>AFASTA GATO CITROMAX 300G</t>
  </si>
  <si>
    <t>AFASTA GATO SPRAY CITROMAX 500ML (09x500ML)</t>
  </si>
  <si>
    <t>BARATICIDA GEL PIKA PAU 10G</t>
  </si>
  <si>
    <t>CALPIK SULFATO DE COBRE PIKA PAU 100ML</t>
  </si>
  <si>
    <t>CALPIK SULFATO DE COBRE PIKA PAU 1L</t>
  </si>
  <si>
    <t>CARTELA PEGA RATO CITROMAX (144UN)</t>
  </si>
  <si>
    <t>CARTELA PEGA RATO CITROMAX (CX12UN)</t>
  </si>
  <si>
    <t>CITROMAX DOMESTICO DELTAMETRINA 25ce 100ML</t>
  </si>
  <si>
    <t xml:space="preserve">CITROMAX DOMESTICO DELTAMETRINA 25ce 1L (12X1L) </t>
  </si>
  <si>
    <t>CITROMAX DOMESTICO DELTAMETRINA 25ce 30ML (24X30ML)</t>
  </si>
  <si>
    <t>CITROMAX DOMESTICO SPRAY 100ML (12X100ML</t>
  </si>
  <si>
    <t>CITROMAX SPRAY - Formicida Líquido 100ML (12X100ML)</t>
  </si>
  <si>
    <t>CITROMAX SPRAY - Formicida Líquido 240ML (12X240ML)</t>
  </si>
  <si>
    <t xml:space="preserve">CITROMAX SPRAY - Formicida Líquido 30ML (24X30ML) </t>
  </si>
  <si>
    <t>CITROMAX SPRAY - Formicida Líquido 500ML (09X500ML)</t>
  </si>
  <si>
    <t>CITROMAX SPRAY - Formicida Líquido 50ML (12X50ML)</t>
  </si>
  <si>
    <t>CITRONELA CITROMAX SPRAY - Repelente 500ML (09X500ML)</t>
  </si>
  <si>
    <t>CITROPIROL DESALOJANTE PARA MORCEGOS CITROMAX 200ML (12X200ML)</t>
  </si>
  <si>
    <t>CITROPIROL GEL DESALOJANTE PARA MORCEGOS CITROMAX 280G (08X280g)</t>
  </si>
  <si>
    <t>CUPINICIDA CITROMAX 100ML CIPER 25sc (24X100ML)</t>
  </si>
  <si>
    <t>CUPINICIDA CITROMAX 100ML IMIDA 100ce (12X100ML)</t>
  </si>
  <si>
    <t>CUPINICIDA CITROMAX 1L CIPER 25sc (12X1L)</t>
  </si>
  <si>
    <t>CUPINICIDA CITROMAX 1L IMIDA 100ce (12X1L)</t>
  </si>
  <si>
    <t>CUPINICIDA LIQUIDO PIKA PAU 1L CIPER</t>
  </si>
  <si>
    <t>CUPINICIDA LIQUIDO TOP MAX 100ml (24X100ML)</t>
  </si>
  <si>
    <t>Fertilizante para Flores Allgreen Citromax 8KG (08pctx1kg)</t>
  </si>
  <si>
    <t>Fertilizante para Frutas Allgreen Citromax 8KG (08pctx1kg)</t>
  </si>
  <si>
    <t>Fertilizante para Rosas do Deserto Allgreen Citromax 8KG (08pctx1kg)</t>
  </si>
  <si>
    <t>Fertilizante Super Grama Allgreen Citromax 8KG (08pctx1kg)</t>
  </si>
  <si>
    <t>FITA COLA MOSCA CITROMAX 78cm (24X04UN)</t>
  </si>
  <si>
    <t>FORMICIDA CITROMAX CIPER 250sc 100ML (24X100ML)</t>
  </si>
  <si>
    <t>FORMICIDA CITROMAX CIPER 250sc 1L (12X1L)</t>
  </si>
  <si>
    <t>FORMICIDA CITROMAX IMIDA 100ce 100ML (12X100ML)</t>
  </si>
  <si>
    <t>FORMICIDA CITROMAX IMIDA 100ce 1L (12X1L)</t>
  </si>
  <si>
    <t>FORMICIDA GEL MIX PIKA PAU 10G</t>
  </si>
  <si>
    <t>FORMICIDA LIQUIDO CIPER PIKA PAU 100ML</t>
  </si>
  <si>
    <t>FORMICIDA LIQUIDO CIPER PIKA PAU 1L</t>
  </si>
  <si>
    <t>FORMICIDA LIQUIDO CIPER TOP MAX 100ML (24X100ML)</t>
  </si>
  <si>
    <t>FORMICIDA LIQUIDO CIPER TOP MAX 1L (12X1L)</t>
  </si>
  <si>
    <t>FORMIMAX DEDETIZAÇÃO PLUS Liquido 100ML (24X100ML)</t>
  </si>
  <si>
    <t>FORMIMAX DEDETIZAÇÃO PLUS Liquido 1L (06X1L)</t>
  </si>
  <si>
    <t>FORMIMAX DEDETIZAÇÃO PLUS Liquido 1L (12X1L)</t>
  </si>
  <si>
    <t>FORMIMAX DEDETIZAÇÃO PLUS Liquido 200ML (12X200ML)</t>
  </si>
  <si>
    <t>FORMIMAX DEDETIZAÇÃO PLUS Liquido 30ML (24X30ML)</t>
  </si>
  <si>
    <t>FORMIMAX DEDETIZAÇÃO PLUS Liquido 50ML (24X50ML) C</t>
  </si>
  <si>
    <t>FORMIMAX SPRAY - Formicida Líquido 100ML (12X100ML)</t>
  </si>
  <si>
    <t>FORMIMAX SPRAY - Formicida Líquido 240ML (12X240ML)</t>
  </si>
  <si>
    <t>FORMIMAX SPRAY - Formicida Líquido 30ML (24X30ML)</t>
  </si>
  <si>
    <t>FORMIMAX SPRAY - Formicida Líquido 500ML (09X500ML)</t>
  </si>
  <si>
    <t>FORMIMAX SPRAY - Formicida Líquido 50ML (12X50ML)</t>
  </si>
  <si>
    <t>FORMIMAX SPRAY MIX 500ML (09X500ML)</t>
  </si>
  <si>
    <t>FORMIMAX SPRAY MIX 50ML (12X50ML)</t>
  </si>
  <si>
    <t>GEL PARA BARATAS CITROMAX SERINGA 10G</t>
  </si>
  <si>
    <t>GEL PARA BARATAS PROFISSIONAL TERMIMAX 30G (cx 24un)</t>
  </si>
  <si>
    <t>GEL PARA FORMIGAS CITROMAX SERINGA 10G</t>
  </si>
  <si>
    <t>GEL PARA FORMIGAS PROFISSIONAL TERMIMAX 30G (cx 24un)</t>
  </si>
  <si>
    <t>GEL PARA MOSCAS CITROMAX 10G (cx 12un)</t>
  </si>
  <si>
    <t>GLIFOSATO CITROMAX 500ml (12X500ML)</t>
  </si>
  <si>
    <t>GLIFOSATO PLUS PIKA PAU 100ML</t>
  </si>
  <si>
    <t>GLIFOSATO PLUS PIKA PAU 1L</t>
  </si>
  <si>
    <t>GLIFOSATO POWER CITROMAX ADJUVANTE 100ml</t>
  </si>
  <si>
    <t>GLIFOSATO POWER MAX 20 ADJUVANTE CITROMAX 1L</t>
  </si>
  <si>
    <t>GLIFOSATO TOP MAX 100ML (24X100ML)</t>
  </si>
  <si>
    <t>GLIFOSATO TOP MAX 1L (12X1L)</t>
  </si>
  <si>
    <t>GRAMIZAP IMAZAPIR CITROMAX 1L</t>
  </si>
  <si>
    <t>GRAMIZAP IMAZAPIR CITROMAX 500ml (12X500ML)</t>
  </si>
  <si>
    <t>GRAMIZAP MAX 20 IMAZAPIR CITROMAX 1L</t>
  </si>
  <si>
    <t>HERBICIDA GLIFOSATO 10% CITROMAX 100ml (24x100ml)</t>
  </si>
  <si>
    <t>INSETICIDA CITROMAX CIPER 250ce 100ML (12X100ML)</t>
  </si>
  <si>
    <t>INSETICIDA CITROMAX CIPER 250ce 1L (12X1L) S</t>
  </si>
  <si>
    <t>INSETICIDA CITROMAX IMIDA 200ce 1L (12X1L)</t>
  </si>
  <si>
    <t>INSETICIDA CITROMAX IMIDA 200ce 200ML (12X200ML)</t>
  </si>
  <si>
    <t>INSETICIDA MAXTARION BIFENTRINA CITROMAX 100ML</t>
  </si>
  <si>
    <t>INSETICIDA MAXTOXAN TIAMETOXAM 25% GRANULADO CITROMAX 150G (12x150G)</t>
  </si>
  <si>
    <t>INSETICIDA MAXTOXAN TIAMETOXAM 25% GRANULADO CITROMAX 1KG (06x1KG)</t>
  </si>
  <si>
    <t>INSETICIDA PIKA PAU PIKTHRINE CIPERMETRINA 250SC 1L (12X1L)</t>
  </si>
  <si>
    <t>INSETICIDA PIKA PAU PIKTHRINE DELTAMETRINA 30ML (24X30ML)</t>
  </si>
  <si>
    <t>INSETICIDA TERMIMAX ALFA 1L (06X1L)</t>
  </si>
  <si>
    <t>INSETICIDA TERMIMAX LAMBDA 10,6 SC 100ML (24x100ML)</t>
  </si>
  <si>
    <t>INSETICIDA TERMIMAX LAMBDA 10,6 SC 1L</t>
  </si>
  <si>
    <t>INSETICIDA TERMIMAX LAMBDA MICROENCAPSULADO 10,6 SC 1L (4X1L)</t>
  </si>
  <si>
    <t>INSETICIDA TERMIMAX MALATHION 500 1L</t>
  </si>
  <si>
    <t>INSETICIDA TERMIMAX MALATHION 500CE 100ML</t>
  </si>
  <si>
    <t>INSETICIDA TRITOMAX CITROMAX 100ML (12X100ML)</t>
  </si>
  <si>
    <t>INSETICIDA TRITOMAX CITROMAX 1L (06X1L)</t>
  </si>
  <si>
    <t>ISCA PARA FORMIGAS CITROMAX 10KG (20X500g)</t>
  </si>
  <si>
    <t>ISCA PARA FORMIGAS CITROMAX 21KG (70x300g)</t>
  </si>
  <si>
    <t>ISCA PELETIZADA PARA FORMIGAS FORMIMAX 20kg (40x500g)</t>
  </si>
  <si>
    <t>LESMICIDA CITROMAX RESISTENTE UMIDADE 10KG (10cx X 1kg / 20 x 50g)</t>
  </si>
  <si>
    <t>LESMICIDA CITROMAX RESISTENTE UMIDADE 10KG (10pct 01kg / 20 x 50g)</t>
  </si>
  <si>
    <t>LESMICIDA CITROMAX RESISTENTE UMIDADE 4KG (04pctx1kg)</t>
  </si>
  <si>
    <t>LESMICIDA CITROMAX RESISTENTE UMIDADE 6KG (06fc X 1kg)</t>
  </si>
  <si>
    <t>LESMICIDA CITROMAX RESISTENTE UMIDADE KG (Fardo de 20KG)</t>
  </si>
  <si>
    <t>LESMICIDA CITROMAX TRADICIONAL 10KG (10cx X 1kg / 20 x 50g)</t>
  </si>
  <si>
    <t>LESMICIDA PIKA PAU RESISTENTE UMIDADE 10KG (10pct X 1KG)</t>
  </si>
  <si>
    <t>LESMICIDA PIKA PAU RESISTENTE UMIDADE 20KG (20cx X 1KG)</t>
  </si>
  <si>
    <t>LESMICIDA PIKA PAU TRADICIONAL 20KG (20cx X 1KG)</t>
  </si>
  <si>
    <t>MADALDRIN FIPRONIL 250sc PIKA PAU 100ML (24X100ML)</t>
  </si>
  <si>
    <t>MADALDRIN FIPRONIL 250sc PIKA PAU 1L (12X1L)</t>
  </si>
  <si>
    <t>MADALDRIN FIPRONIL 250sc PIKA PAU 200ML (12X200ML)</t>
  </si>
  <si>
    <t>MADALDRIN FIPRONIL 250sc PIKA PAU 50ML (24X50ML)</t>
  </si>
  <si>
    <t>MADALDRIN PÓ PM 400 FIPRONIL PIKA PAU 10KG (20X500g)</t>
  </si>
  <si>
    <t>MADALDRIN PÓ PM 400 FIPRONIL PIKA PAU 500G</t>
  </si>
  <si>
    <t>MADALDRIN SPRAY PIKA PAU - Formicida Líquido 100ML (12X100ML)</t>
  </si>
  <si>
    <t>MADALDRIN SPRAY PIKA PAU - Formicida Líquido 240ML (12X240ML )</t>
  </si>
  <si>
    <t>MADALDRIN SPRAY PIKA PAU - Formicida Líquido 30ML (24X30ML)</t>
  </si>
  <si>
    <t>MADALDRIN SPRAY PIKA PAU - Formicida Líquido 500ML (12X500ML)</t>
  </si>
  <si>
    <t>MADALDRIN SPRAY PIKA PAU - Formicida Líquido 50ML (12X50ML)</t>
  </si>
  <si>
    <t>MALATHION POWER CE TERMIMAX 100ML</t>
  </si>
  <si>
    <t>MOSKITRIN CITROMAX - Liquido 100ML IMIDACLOPRID (24X100ML)</t>
  </si>
  <si>
    <t>MOSKITRIN CITROMAX - Liquido 1L IMIDACLOPRID (06X1L)</t>
  </si>
  <si>
    <t>MOSKITRIN CITROMAX 300G (12X300G)</t>
  </si>
  <si>
    <t>MOSKITRIN CITROMAX SPRAY 100ML BIFENTRINA (12X100ML)</t>
  </si>
  <si>
    <t>MOSKITRIN CITROMAX SPRAY 500ML BIFENTRINA (09X500ML)</t>
  </si>
  <si>
    <t>MOSQUICIDA LIQ. CITROMAX 1L IMIDACLOPRID (12X1L)</t>
  </si>
  <si>
    <t>MOSQUICIDA PIKTHRINE BIFENTRINA SPRAY 500ML PIKA PAU (09X500ML)</t>
  </si>
  <si>
    <t>NEUTRALIZADOR DE ODOR CITROMAX 70G (12X70G)</t>
  </si>
  <si>
    <t>NUTRIPIROL EXTRATO PIROLENHOSO CITROMAX 100ML</t>
  </si>
  <si>
    <t>NUTRIPIROL EXTRATO PIROLENHOSO CITROMAX 1L (06X1L)</t>
  </si>
  <si>
    <t>NUTRIPIROL EXTRATO PIROLENHOSO CITROMAX 200ML</t>
  </si>
  <si>
    <t>ORIGINAL NEEM CITROMAX 100ML</t>
  </si>
  <si>
    <t>ORIGINAL NEEM CITROMAX 1L</t>
  </si>
  <si>
    <t>ORIGINAL NEEM GARDEN CITROMAX 500ML (09X500ML)</t>
  </si>
  <si>
    <t>PELCÃO CITROMAX 500ML (09X500ML)</t>
  </si>
  <si>
    <t>PIK NEEM CONCENTRADO PIKA PAU 100ML (12X100ML)</t>
  </si>
  <si>
    <t>PIK NEEM PRONTO USO PIKA PAU 500ML (09X500ML)</t>
  </si>
  <si>
    <t>PIK PULGA FIPRONIL PIKA PAU BALDE 10KG (100X100g)</t>
  </si>
  <si>
    <t>PIK PULGA FIPRONIL PIKA PAU TALQUEIRA 100G (24X100G)</t>
  </si>
  <si>
    <t>PIK RATO GIRASSOL PIKA PAU 10KG (10cx c/ 40X25g)</t>
  </si>
  <si>
    <t>PIK RATO GRANULADO ROSA 25g PIKA PAU BARRICA 8KG (320x25g)</t>
  </si>
  <si>
    <t>PIK RATO MIX CEREAIS PIKA PAU 10KG (10cx c/ 40X25g)</t>
  </si>
  <si>
    <t>PIK RATO PÓ PIKA PAU 200G (12X200G)</t>
  </si>
  <si>
    <t>PIK RATO PÓ PIKA PAU 6KG (6X1KG)</t>
  </si>
  <si>
    <t>PIK RATO PÓ TALQUEIRA PIKA PAU 100G (24X100G)</t>
  </si>
  <si>
    <t>PO PARA BARATAS FIM MAX CITROMAX 200G (20sache de 10G)</t>
  </si>
  <si>
    <t>PO PARA BARATAS FIM MAX CITROMAX 600G (03cx c/ 20sache de 10G)</t>
  </si>
  <si>
    <t>PO PARA BARATAS PIKA PAU PIKTHRINE 10G (12X10G)</t>
  </si>
  <si>
    <t>PO PARA PULGA FIPRONIL CITROMAX 10KG (20X500g)</t>
  </si>
  <si>
    <t>PO PARA PULGA FIPRONIL CITROMAX BALDE 10KG (100X100G)</t>
  </si>
  <si>
    <t>PO PARA PULGA TALQUEIRA 100G FIPRONIL CITROMAX</t>
  </si>
  <si>
    <t>PULGALINE CITROMAX SPRAY 500ML (09x500ML)</t>
  </si>
  <si>
    <t>PULGALINE CITROMAX SPRAY 50ML (12x50ML)</t>
  </si>
  <si>
    <t>RATICIDA BLOCO AMENDOA CITROMAX 6kg (12X500G C/ 135 amendoas)</t>
  </si>
  <si>
    <t>RATICIDA BLOCO CITROMAX 600G (12X600G)</t>
  </si>
  <si>
    <t>RATICIDA BLOCO SOFT BAIT TERMIMAX 3KG (15PCTX200G)</t>
  </si>
  <si>
    <t>RATICIDA BLOCO SOFT BAIT TERMIMAX 4KG (04X1KG)</t>
  </si>
  <si>
    <t>RATICIDA DE GIRASSOL 25g CITROMAX BARRICA 5KG (200x25g)</t>
  </si>
  <si>
    <t>RATICIDA DE GIRASSOL CITROMAX 10kg (10cx/40x25g)</t>
  </si>
  <si>
    <t>RATICIDA DE GIRASSOL CITROMAX 4KG (04cx/40x25g)</t>
  </si>
  <si>
    <t>RATICIDA GRANULADO ROSA 25g CITROMAX 10KG (10pct c/ 40x25g)</t>
  </si>
  <si>
    <t>RATICIDA GRANULADO ROSA 25g CITROMAX 4,5KG (180x25g)</t>
  </si>
  <si>
    <t>RATICIDA GRANULADO ROSA 25g CITROMAX BARRICA 3KG (120x25g)</t>
  </si>
  <si>
    <t>RATICIDA GRANULADO ROSA 25g CITROMAX BARRICA 5KG (200x25g)</t>
  </si>
  <si>
    <t>RATICIDA GRANULADO ROSA 25g CITROMAX BARRICA 8KG (320x25g)</t>
  </si>
  <si>
    <t>RATICIDA MIX CEREAIS 25g CITROMAX BARRICA 5KG (200x25g)</t>
  </si>
  <si>
    <t>RATICIDA MIX CEREAIS CITROMAX 10KG (10cx/40x25g)</t>
  </si>
  <si>
    <t>RATICIDA MIX CEREAIS CITROMAX 4KG (04cx c/ 40x25g)</t>
  </si>
  <si>
    <t>RATICIDA PO DE CONTATO CITROMAX 2,4KG (12X200G)</t>
  </si>
  <si>
    <t>RATICIDA PO DE CONTATO CITROMAX 6kg (06x1kg)</t>
  </si>
  <si>
    <t>RATICIDA TERMIMAX PO DE CONTATO TALQUEIRA 100G (24X100G)</t>
  </si>
  <si>
    <t>XO PASSAROS CITROMAX 300G</t>
  </si>
  <si>
    <t>XO PASSAROS CITROMAX 500g</t>
  </si>
  <si>
    <t>XO PASSAROS CITROMAX GEL 250G (08X250G)</t>
  </si>
  <si>
    <t>XO RATO CITROMAX 300G (12x300g)</t>
  </si>
  <si>
    <t>CUPINICIDA LIQUIDO PIKA PAU 100ML CIPER</t>
  </si>
  <si>
    <t>INSETICIDA TERMIMAX LAMBDA 10,6 SC 30ML (24x30ML)</t>
  </si>
  <si>
    <t>INSETICIDA MAXTARION BIFENTRINA CITROMAX 1L (06X1L)</t>
  </si>
  <si>
    <t>PRADO</t>
  </si>
  <si>
    <t>VILA VET</t>
  </si>
  <si>
    <t>BIMEDA</t>
  </si>
  <si>
    <t>Caixa c/ 12 Display´s</t>
  </si>
  <si>
    <t>Caixa c/ 6 Display´s</t>
  </si>
  <si>
    <t>Caixa c/ 14 Cartuchos</t>
  </si>
  <si>
    <t>Caixa c/ 12 Cartuchos</t>
  </si>
  <si>
    <t>Caixa c/ 42 Cartuchos</t>
  </si>
  <si>
    <t>Caixa c/12 Display´s</t>
  </si>
  <si>
    <t>Caixa c/ 48 Cartuchos</t>
  </si>
  <si>
    <t>Caixa c/ 06 Display´s</t>
  </si>
  <si>
    <t>Cx 12 Unid / 500 mL</t>
  </si>
  <si>
    <t xml:space="preserve"> Cx 24 Unid / 80g</t>
  </si>
  <si>
    <t xml:space="preserve"> Cx 24 Unid  / 80g</t>
  </si>
  <si>
    <t>Cx 12 Unid / 17g</t>
  </si>
  <si>
    <t>Cx 12 Unid / 19g</t>
  </si>
  <si>
    <t>Cx 12 Unid / 25g</t>
  </si>
  <si>
    <t>ANTIOX E-C SELENIO 6X500 GR</t>
  </si>
  <si>
    <t>CASCO &amp; PELO 4X500G</t>
  </si>
  <si>
    <t>CASCO &amp; PELO TURBO 4X1L</t>
  </si>
  <si>
    <t>COMPPLET MAX 15KG POUCH</t>
  </si>
  <si>
    <t>COMPPLET MAX 4X2KG</t>
  </si>
  <si>
    <t>COMPPLET MAX 6KG</t>
  </si>
  <si>
    <t>CONDRIX EQUI 4X500G</t>
  </si>
  <si>
    <t>CORPORE BABY SUSTAG PELLETS 10 KG</t>
  </si>
  <si>
    <t>CORPORE POTROS 10KG</t>
  </si>
  <si>
    <t>CORPORE POTROS 3KG</t>
  </si>
  <si>
    <t>CORPORE POTROS PELLETS 10KG</t>
  </si>
  <si>
    <t>CREATINE ATP 2X2KG</t>
  </si>
  <si>
    <t>CREATINE ATP 4X500G</t>
  </si>
  <si>
    <t>DENTALFIX SPRAY 6X250ML</t>
  </si>
  <si>
    <t>ELETRO EQUI GEL 24X100GR</t>
  </si>
  <si>
    <t>ELETRO EQUI PÓ 4X500G</t>
  </si>
  <si>
    <t>FITOCLEAN 6X250ML</t>
  </si>
  <si>
    <t>GLICOL TURBO 5L</t>
  </si>
  <si>
    <t>HEMO TURBO 4X1L</t>
  </si>
  <si>
    <t>HEMO TURBO 5L</t>
  </si>
  <si>
    <t>HEPHORSE 6X500ML</t>
  </si>
  <si>
    <t>LACTOBAC BOVIS 24X35G</t>
  </si>
  <si>
    <t>LACTOBAC EQUI 24X88G</t>
  </si>
  <si>
    <t>LAMINACT TURBO 4,5KG</t>
  </si>
  <si>
    <t>MUSCLE HORSE TURBO 15KG</t>
  </si>
  <si>
    <t>MUSCLE HORSE TURBO 15KG POUCH</t>
  </si>
  <si>
    <t>MUSCLE HORSE TURBO 6KG</t>
  </si>
  <si>
    <t>MUSCLE HORSE TURBO 6KG POUCH</t>
  </si>
  <si>
    <t>NEUTRALATIC TURBO 4X1L</t>
  </si>
  <si>
    <t>NUTRIFULL EQUI 3,6L</t>
  </si>
  <si>
    <t>NUTRIFULL EQUI 6X500ML</t>
  </si>
  <si>
    <t>O2 FITOFLU TURBO 6X500ML</t>
  </si>
  <si>
    <t>ORGANNACT PRATA 12X500ML</t>
  </si>
  <si>
    <t>ORTHO POTROS 1X5000ML</t>
  </si>
  <si>
    <t>ORTHO POTROS 6X500ML</t>
  </si>
  <si>
    <t>PROMUN EQUI 4X500G</t>
  </si>
  <si>
    <t>RELAX ICE 12X100ML</t>
  </si>
  <si>
    <t>RELAX ICE 12X350ML</t>
  </si>
  <si>
    <t>RELAX ICE BARRO 6KG</t>
  </si>
  <si>
    <t>RELAX ICE GEL 1000KG 6X1KG</t>
  </si>
  <si>
    <t>SPONGE EQUI 24X70G</t>
  </si>
  <si>
    <t>ANAVAC B19 10D BR</t>
  </si>
  <si>
    <t>CEVARELIN 50 ML</t>
  </si>
  <si>
    <t>CIPIONATO 50 ML</t>
  </si>
  <si>
    <t>Eprecis INJ 500 ML</t>
  </si>
  <si>
    <t>FIPROLINE DUO 1L BR</t>
  </si>
  <si>
    <t>FIPROLINE DUO 1L SEM APLIC BR</t>
  </si>
  <si>
    <t>FIPROLINE DUO 250ML BR</t>
  </si>
  <si>
    <t>FIPROLINE DUO 5L BR</t>
  </si>
  <si>
    <t>FOLIC-REC LIQUIDO 30 ML</t>
  </si>
  <si>
    <t>KIT APLICADOR FIPROLINE DUO</t>
  </si>
  <si>
    <t>CORTA CURSO 50ML</t>
  </si>
  <si>
    <t>MAX PRATA 300ML</t>
  </si>
  <si>
    <t>CATOL + 20ML</t>
  </si>
  <si>
    <t>AMOCLOX CX 30 X 7 GR</t>
  </si>
  <si>
    <t>ANASEDAN DP 24x10ML</t>
  </si>
  <si>
    <t>CEFAVET 30 X 10 ML BR</t>
  </si>
  <si>
    <t>CYPERCLOR PLUS PULV CX 6 X 1 LT</t>
  </si>
  <si>
    <t>DOPALEN PEC 24X10ML</t>
  </si>
  <si>
    <t>FLURON GOLD CX 6X1L</t>
  </si>
  <si>
    <t>PPD TUBERCULINA 5ML</t>
  </si>
  <si>
    <t>PADOCK GEL CX 24 X 6 GR</t>
  </si>
  <si>
    <t>PADOCK NF DISPLAY CX 24 X 6 GR</t>
  </si>
  <si>
    <t>BOVIGAM XTRA</t>
  </si>
  <si>
    <t>AMOX L.A 100 ML (CX. 20 FRASCOS)</t>
  </si>
  <si>
    <t>ATIVE A.D.E. 250 ML (CX. 8 FRASCOS)</t>
  </si>
  <si>
    <t>ATIVE A.D.E. 50 ML (CX. 12 FRASCOS)</t>
  </si>
  <si>
    <t>BENZAFORT 50 ML (CX. 24 FRASCOS)</t>
  </si>
  <si>
    <t>BENZOGEST 100 ML (CX. 20 FRASCOS)</t>
  </si>
  <si>
    <t>BLOC 100 ML (CX. 20 FRASCOS)</t>
  </si>
  <si>
    <t>BLOC 50 ML (CX. 24 FRASCOS)</t>
  </si>
  <si>
    <t>CALFOMAG 500 ML (CX. 12 FRASCOS)</t>
  </si>
  <si>
    <t>CALFOMAG 200 ML (CX. 24 FRASCOS)</t>
  </si>
  <si>
    <t>CATOFÓS B12 KIT PROMOCIONAL 500ML (24 FRASCOS + 3 FACAS)</t>
  </si>
  <si>
    <t>CATOFÓS B13 KIT PROMOCIONAL 250ML (24 FRASCOS + 4 COPOS)</t>
  </si>
  <si>
    <t>CATOFÓS B14 500 ML (CX. 8 FRASCOS)</t>
  </si>
  <si>
    <t>CATOFÓS B15 250 ML (CX. 8 FRASCOS)</t>
  </si>
  <si>
    <t>CATOFÓS B16 100 ML (CX. 20 FRASCOS)</t>
  </si>
  <si>
    <t>CATOFÓS B17 20 ML (CX. 12 FRASCOS)</t>
  </si>
  <si>
    <t>CETOFUR KIT PROMOCIONAL (16 FRASCOS 100 ML+ 2 CANECAS)</t>
  </si>
  <si>
    <t>CETOFUR 100 ML (CX. 20 FRASCOS)</t>
  </si>
  <si>
    <t>CETOFUR 50 ML (CX. 24 FRASCOS)</t>
  </si>
  <si>
    <t>CIOTON 50 ML (CX. 24 FRASCOS)</t>
  </si>
  <si>
    <t>CIOTON 20 ML (CX. 12 FRASCOS)</t>
  </si>
  <si>
    <t>CURSOTRIL 100 ML (CX. 20 FRASCOS)</t>
  </si>
  <si>
    <t>CURSOTRIL 50 ML (CX. 24 FRASCOS)</t>
  </si>
  <si>
    <t>CURSOTRIL 20 ML (CX. 12 FRASCOS)</t>
  </si>
  <si>
    <t>DETTOVET 5 ML (CX. 12 FRASCOS)</t>
  </si>
  <si>
    <t>DEXA-JA 100 ML (CX. 20 FRASCOS)</t>
  </si>
  <si>
    <t>DEXA-JA 50 ML (CX. 24 FRASCOS)</t>
  </si>
  <si>
    <t>DEXA-JA 10 ML (CX. 12 FRASCOS)</t>
  </si>
  <si>
    <t>DICLOFENACO 100 ML (CX. 30 FRASCOS)</t>
  </si>
  <si>
    <t>DICLOFENACO 50 ML (CX. 24 FRASCOS)</t>
  </si>
  <si>
    <t>DICLOPEN 10 MILHÕES 10 MILHÕES (CX. 20 FRASCOS)</t>
  </si>
  <si>
    <t>DICLOPEN 5 MILHÕES 5 MILHÕES (CX. 72 FRASCOS-DISPLAY 12)</t>
  </si>
  <si>
    <t>DICLOTRIL 250 ML (CX. 8 FRASCOS)</t>
  </si>
  <si>
    <t>DICLOTRIL 100 ML (CX. 20 FRASCOS)</t>
  </si>
  <si>
    <t>DICLOTRIL 50 ML (CX. 24 FRASCOS)</t>
  </si>
  <si>
    <t>DORAGOLD 500 ML (CX. 8 FRASCOS)</t>
  </si>
  <si>
    <t>DORAGOLD 50 ML (CX. 24 FRASCOS)</t>
  </si>
  <si>
    <t>DRENCH JA 1 KG (CX. 10 PACOTES)</t>
  </si>
  <si>
    <t>DUPLATAK 5000 ML (CX. 4 FRASCOS)</t>
  </si>
  <si>
    <t>DUPLATAK 1000 ML (CX. 12 FRASCOS)</t>
  </si>
  <si>
    <t>EGG-PPU 500 ML (CX. 12 FRASCOS)</t>
  </si>
  <si>
    <t>ENRO 10 500 ML (CX. 8 FRASCOS)</t>
  </si>
  <si>
    <t>ENRO 11 100 ML (CX. 20 FRASCOS)</t>
  </si>
  <si>
    <t>EPRIGOLD POUR ON 5000 ML (CX. 4 FRASCOS)</t>
  </si>
  <si>
    <t>EPRIGOLD POUR ON 1000 ML (CX. 12 FRASCOS)</t>
  </si>
  <si>
    <t>EQUIJET 25G (CX. 24 UNIDADES)</t>
  </si>
  <si>
    <t>EQUISEDAN 50 ML (CX. 24 FRASCOS)</t>
  </si>
  <si>
    <t>EQUISEDAN 20 ML (CX. 12 FRASCOS)</t>
  </si>
  <si>
    <t>FLUMAX KIT PROMOCIONAL (24 FRASCOS 100 ML+ 6 BONÉS)</t>
  </si>
  <si>
    <t>FLUMAX 100 ML (CX. 20 FRASCOS)</t>
  </si>
  <si>
    <t>FLUMAX 50 ML (CX. 24 FRASCOS)</t>
  </si>
  <si>
    <t>FLUMAX 20 ML (CX. 12 FRASCOS)</t>
  </si>
  <si>
    <t>FRIGOBOI FACILITE PACK 4 FRASCOS 5000 ML+1 PISTOLA POUR ON</t>
  </si>
  <si>
    <t>FRIGOBOI FACILITE 5000 ML (CX. 4 FRASCOS)</t>
  </si>
  <si>
    <t>FRIGOBOI FACILITE 1000 ML (CX. 12 FRASCOS)</t>
  </si>
  <si>
    <t>FRIGOBOI PRODUÇÃO 1000 ML (CX. 6 FRASCOS)</t>
  </si>
  <si>
    <t>FRIGOBOI PRODUÇÃO 500 ML (CX. 8 FRASCOS)</t>
  </si>
  <si>
    <t>GANAVET PLUS 50 ML (CX. 12 FRASCOS)</t>
  </si>
  <si>
    <t>GANAVET PLUS 30 ML (CX. 24 FRASCOS)</t>
  </si>
  <si>
    <t>GENTOPEN 20 MILHÕES (CX. 48 FRASCOS-DISPLAY 6)</t>
  </si>
  <si>
    <t>GLICOTON B12 1.000 ML (CX. 6 FRASCOS)</t>
  </si>
  <si>
    <t>GLICOTON B12 500 ML (CX. 12 FRASCOS)</t>
  </si>
  <si>
    <t>HIDRALAC 500 ML (CX. 8 FRASCOS)</t>
  </si>
  <si>
    <t>HIDRALAC 50 ML (CX. 60 FRASCOS-DISPLAY 30)</t>
  </si>
  <si>
    <t>IMIDOVET 50 ML (CX. 12 FRASCOS)</t>
  </si>
  <si>
    <t>IMIDOVET 15 ML (CX. 24 FRASCOS)</t>
  </si>
  <si>
    <t>INSEMAX POUR ON PACK 4 FRASCOS 5000 ML+1 PISTOLA POUR ON</t>
  </si>
  <si>
    <t>INSEMAX POUR ON 5000 ML (CX. 4 FRASCOS)</t>
  </si>
  <si>
    <t>INSEMAX POUR ON 1000 ML (CX. 12 FRASCOS)</t>
  </si>
  <si>
    <t>INTRASEC VS BALDE COM 100 SERINGAS</t>
  </si>
  <si>
    <t>INTRASEC VS 8G  (CX. 144 SERINGAS-DISPLAY 24)</t>
  </si>
  <si>
    <t>IVERMECTINA 1%
LACTOCINA 1000 ML (CX. 6 FRASCOS)</t>
  </si>
  <si>
    <t>IVERMECTINA 1%
LACTOCINA 500 ML (CX. 8 FRASCOS)</t>
  </si>
  <si>
    <t>IVERMECTINA 1%
LACTOCINA 100 ML (CX. 30 FRASCOS)</t>
  </si>
  <si>
    <t>LONGAMECTINA 3,5% 1000 ML (CX. 6 FRASCOS)</t>
  </si>
  <si>
    <t>LONGAMECTINA 3,5% 500 ML (CX. 8 FRASCOS)</t>
  </si>
  <si>
    <t>LONGAMECTINA 3,5% 50 ML (CX. 24 FRASCOS)</t>
  </si>
  <si>
    <t>MASTCLIN BALDE COM 100 SERINGAS</t>
  </si>
  <si>
    <t>MASTCLIN 10 ML (CX. 144 SERINGAS-DISPLAY 24)</t>
  </si>
  <si>
    <t>MASTITE CLINICA VL BALDE COM 100 SERINGAS</t>
  </si>
  <si>
    <t>MASTITE CLINICA VL 8G  (CX. 144 SERINGAS-DISPLAY 24)</t>
  </si>
  <si>
    <t>METRIFIM 100 ML (CX. 36 FRASCOS-DISPLAY 3)</t>
  </si>
  <si>
    <t>PRADOR KIT PROMOCIONAL (24 FRASCOS 100 ML+ 6 BONÉS)</t>
  </si>
  <si>
    <t>PRADOR 100 ML (CX. 20 FRASCOS)</t>
  </si>
  <si>
    <t>PRADOR 50 ML (CX. 24 FRASCOS)</t>
  </si>
  <si>
    <t>PRÓ-BEZERRO 50 ML (CX. 24 FRASCOS)</t>
  </si>
  <si>
    <t>PRÓ-BEZERRO SERINGA 5ML (CX. 144 UN-DISPLAY 12)</t>
  </si>
  <si>
    <t>PRONTOSTREP 100 ML (CX. 20 FRASCOS)</t>
  </si>
  <si>
    <t>PRONTOSTREP 50 ML (CX. 24 FRASCOS)</t>
  </si>
  <si>
    <t>PROVERME INJETÁVEL 1000 ML (CX. 6 FRASCOS)</t>
  </si>
  <si>
    <t>PROVERME INJETÁVEL 500 ML (CX. 8 FRASCOS)</t>
  </si>
  <si>
    <t>PROVERME INJETÁVEL 250 ML (CX. 12 FRASCOS)</t>
  </si>
  <si>
    <t>PROVERME INJETÁVEL 100 ML (CX. 12 FRASCOS)</t>
  </si>
  <si>
    <t>RAMBO PULVEIRIZAÇÃO 1000 ML (CX. 6 FRASCOS)</t>
  </si>
  <si>
    <t>RAMBO PULVEIRIZAÇÃO 100 ML (CX. 20 FRASCOS)</t>
  </si>
  <si>
    <t>RAMBO PULVEIRIZAÇÃO 20 ML (CX. 108 FRASCOS-DISPLAY 36)</t>
  </si>
  <si>
    <t>SILOBOV INOCULANTE 100 G (CX. 20 FRASCOS)</t>
  </si>
  <si>
    <t>TETRA-MICINA 100 ML (CX. 20 FRASCOS)</t>
  </si>
  <si>
    <t>TETRA-MICINA 50 ML (CX. 24 FRASCOS)</t>
  </si>
  <si>
    <t>TURBO CÁLCIO 500 ML (CX. 12 FRASCOS)</t>
  </si>
  <si>
    <t>TURBOVIT B12 20 ML (CX. 12 FRASCOS)</t>
  </si>
  <si>
    <t>VETFLOR 100 ML (CX. 20 FRASCOS)</t>
  </si>
  <si>
    <t>VETIMAX 8G  (CX. 120 SERINGAS-DISPLAY 20)</t>
  </si>
  <si>
    <t>VETIPEN LA 50 ML (CX. 24 FRASCOS)</t>
  </si>
  <si>
    <t>VETSULFA 100 ML (CX. 8 FRASCOS)</t>
  </si>
  <si>
    <t>VETSULFA 50 ML (CX. 24 FRASCOS)</t>
  </si>
  <si>
    <t>ADETHOR 250 ML (CX. 6 FRASCOS)</t>
  </si>
  <si>
    <t>ADETHOR 50 ML (CX. 12 FRASCOS)</t>
  </si>
  <si>
    <t>AGROTHAL 30 ML (CX. 24 FRASCOS)</t>
  </si>
  <si>
    <t>ALBENDATHOR 10 ORAL 200 ML (CX. 6 FRASCOS)</t>
  </si>
  <si>
    <t>ALBENDATHOR 10 ORAL 1.000 ML (CX 4 FRASCOS)</t>
  </si>
  <si>
    <t>ALBENDATHOR 10 ORAL 5.000 ML (CX. 4 GALÕES)</t>
  </si>
  <si>
    <t>ALBENDATHOR INJETÁVEL 500 ML (CX. 4 FRASCOS)</t>
  </si>
  <si>
    <t>FERRODEX B12 50 ML (CX. 12 FRASCOS)</t>
  </si>
  <si>
    <t>FERRODEX 250 ML (CX. 6 FRASCOS)</t>
  </si>
  <si>
    <t>FERRODEX 50 ML (CX. 12 FRASCOS)</t>
  </si>
  <si>
    <t>FERRODEX 10 ML (CX. 24 FRASCOS)</t>
  </si>
  <si>
    <t>IVEREQUI PASTA SERINGA 6G (CX. 24 SERINGAS)</t>
  </si>
  <si>
    <t>PARACURSO 10 ML (CX. 24 FRASCOS)</t>
  </si>
  <si>
    <t>PARACURSO 50 ML (CX. 12 FRASCOS)</t>
  </si>
  <si>
    <t>PROFERTIL 5 ML (CX. 10 FRASCOS)</t>
  </si>
  <si>
    <t>PROFERTIL 20 ML (CX. 20 FRASCOS)</t>
  </si>
  <si>
    <t>PROLACTON 10 ML (CX. 24 FRASCOS)</t>
  </si>
  <si>
    <t>PROVERME SACHÊ 28G (CX. 100 SACHÊS)</t>
  </si>
  <si>
    <t>TIRA-BERNE 1.000 ML (CX. 4 FRASCOS)</t>
  </si>
  <si>
    <t>TORMICINA 100 50 ML (CX. 12 FRASCOS)</t>
  </si>
  <si>
    <t>TORMICINA 101 10 ML (CX. 24 FRASCOS)</t>
  </si>
  <si>
    <t>TORMICINA L.A 50 ML (CX. 12 FRASCOS)</t>
  </si>
  <si>
    <t>VITAGOLD AVÍCOLA 1.000 ML (CX. 4 FRASCOS)</t>
  </si>
  <si>
    <t>VITAGOLD POTENCIADO 1.000 ML (CX. 4 FRASCOS)</t>
  </si>
  <si>
    <t>VITAGOLD POTENCIADO 250 ML (CX. 6 FRASCOS)</t>
  </si>
  <si>
    <t>VITAGOLD POTENCIADO 50 ML (CX. 12 FRASCOS)</t>
  </si>
  <si>
    <t>VITAGOLD POTENCIADO 20 ML (CX. 12 FRASCOS)</t>
  </si>
  <si>
    <t>FERRODEX 50 ML (CX. 72 FRASCOS) - EMB. EC</t>
  </si>
  <si>
    <t>AEROCID T SPRAY X 200ML C 12</t>
  </si>
  <si>
    <t>AEROCID T SPRAY X 500ML C 12</t>
  </si>
  <si>
    <t>BIOVIT SOL INJ X 500ML</t>
  </si>
  <si>
    <t>ECTOCID PULVERIZACAO X 1L</t>
  </si>
  <si>
    <t>ANESTRON SM 3X1 ML</t>
  </si>
  <si>
    <t>ANESTRON SM CARTELA 72X1 ML</t>
  </si>
  <si>
    <t>ANTITÓXICO SM 100 ML</t>
  </si>
  <si>
    <t>ANTITÓXICO SM 20 ML</t>
  </si>
  <si>
    <t>ANTITÓXICO SM 50 ML</t>
  </si>
  <si>
    <t>ANTITÓXICO SM ORAL 20 ML</t>
  </si>
  <si>
    <t>BEDOZE SM 20 ML</t>
  </si>
  <si>
    <t>BENZOCREOL 12X1000 ML</t>
  </si>
  <si>
    <t>BENZOCREOL 20 LTS</t>
  </si>
  <si>
    <t>BENZOCREOL 24X500 ML</t>
  </si>
  <si>
    <t>CALCIOTRAT SM ORAL 100 ML</t>
  </si>
  <si>
    <t>CALCIOTRAT SM ORAL 1000 ML</t>
  </si>
  <si>
    <t>CALCIOTRAT SM ORAL 250 ML</t>
  </si>
  <si>
    <t>CALCIOTRAT SM ORAL 500 ML</t>
  </si>
  <si>
    <t>CORT-TRAT SM 10 ML</t>
  </si>
  <si>
    <t>CORT-TRAT SM 20 COMPR</t>
  </si>
  <si>
    <t>CORT-TRAT SM 50 ML</t>
  </si>
  <si>
    <t>ECTOMOSOL SM 30 ML</t>
  </si>
  <si>
    <t>ECTOMOSOL SM AEROSSOL 120 ML</t>
  </si>
  <si>
    <t>FERRO SM 100 ML</t>
  </si>
  <si>
    <t>FERRO SM 1000 ML</t>
  </si>
  <si>
    <t>FERRO SM 20 ML</t>
  </si>
  <si>
    <t>IOGAD SM 100 ML</t>
  </si>
  <si>
    <t>NEO SULMETINA SM 15 ML</t>
  </si>
  <si>
    <t>NEOTOPIC SM SPRAY 125 ML</t>
  </si>
  <si>
    <t>OTODOG SM 20 ML</t>
  </si>
  <si>
    <t>TYLOTRAT SM ORAL 20 ML</t>
  </si>
  <si>
    <t>UNGÜENTO SM SPRAY 400 ML</t>
  </si>
  <si>
    <t>VETOCOC SM 20X4 GRS</t>
  </si>
  <si>
    <t>VITAKÁ SM INJETÁVEL 20 ML</t>
  </si>
  <si>
    <t>INFLUENZA H1/4 10 DS</t>
  </si>
  <si>
    <t>ANESTÉSICO 50 ML</t>
  </si>
  <si>
    <t>BOCIODO 100 ML</t>
  </si>
  <si>
    <t>CICLORVET POUR ON 1000 ML</t>
  </si>
  <si>
    <t>COBALZAN 100 ML</t>
  </si>
  <si>
    <t>DEXAVET 10 ML</t>
  </si>
  <si>
    <t>DEXAVET COMPR. 20 CP</t>
  </si>
  <si>
    <t>DICLOFENACO 50 ML</t>
  </si>
  <si>
    <t>DORNIL 50 ML</t>
  </si>
  <si>
    <t>FERRO 100ML 100 ML</t>
  </si>
  <si>
    <t>FERRO 50ML 50 ML</t>
  </si>
  <si>
    <t>GASEL  SOLUÇÃO 20 ML</t>
  </si>
  <si>
    <t>GASEL  SOLUÇÃO 50 ML</t>
  </si>
  <si>
    <t>IVERTOP 3,5% 1000 ML</t>
  </si>
  <si>
    <t>IVERTOP 3,5% 50 ML</t>
  </si>
  <si>
    <t>IVERTOP 3,5% 500 ML</t>
  </si>
  <si>
    <t>LIDOVET 50 ML</t>
  </si>
  <si>
    <t>MARFIX 200 ML</t>
  </si>
  <si>
    <t>MERCEPTON 100 ML</t>
  </si>
  <si>
    <t>MERCEPTON 20 ML</t>
  </si>
  <si>
    <t>MERCEPTON ORAL 20 ML</t>
  </si>
  <si>
    <t>MONOVIN A 20 ML</t>
  </si>
  <si>
    <t>MONOVIN B1 20 ML</t>
  </si>
  <si>
    <t>MONOVIN C 20 ML</t>
  </si>
  <si>
    <t>MONOVIN E 20 ML</t>
  </si>
  <si>
    <t>MONOVIN K 20 ML</t>
  </si>
  <si>
    <t>MONOVINB12 20 ML</t>
  </si>
  <si>
    <t>OTODERMIN 20 ML</t>
  </si>
  <si>
    <t>POLIVIN ADE 50 ML</t>
  </si>
  <si>
    <t>POLIVIN B12 20 ML</t>
  </si>
  <si>
    <t>QUINOLON 10% 50 ML</t>
  </si>
  <si>
    <t>QUINOLON 2,5% 20 ML</t>
  </si>
  <si>
    <t>QUINOLON COMPR. 10 CP</t>
  </si>
  <si>
    <t>SARNARREX TÓP 5% 100 ML</t>
  </si>
  <si>
    <t>SULFAPRIM COMPR. 10 CP</t>
  </si>
  <si>
    <t>Bezeguard 12x72g</t>
  </si>
  <si>
    <t>Bovibacter 12x34 G</t>
  </si>
  <si>
    <t>BOVICALCIO 12X500mL</t>
  </si>
  <si>
    <t>Equiflan 24x7,32 G</t>
  </si>
  <si>
    <t xml:space="preserve">MASTIGEN V.L 24X10G </t>
  </si>
  <si>
    <t>OXCINT 24X100mL</t>
  </si>
  <si>
    <t>PEDIDO MINIMO:   R$ 10.000,00</t>
  </si>
  <si>
    <t>CREOLINA 1 L</t>
  </si>
  <si>
    <t>CREOLINA 100ml</t>
  </si>
  <si>
    <t>CREOLINA 20L</t>
  </si>
  <si>
    <t>CREOLINA 500ml</t>
  </si>
  <si>
    <t>CREOLINA 50ml</t>
  </si>
  <si>
    <t>CRUZWALDINA</t>
  </si>
  <si>
    <t>ECTONIL 20 ML 1 CX X 2 DSP X 30 FR X 20 ML</t>
  </si>
  <si>
    <t xml:space="preserve">GENESIS IVER POUR ON 1 L </t>
  </si>
  <si>
    <t>MAST BEST L 50 SER</t>
  </si>
  <si>
    <t>TACPLUS BANHEIRO 1,6L+6KG IPA</t>
  </si>
  <si>
    <t>TACPLUS PULV 1000ML</t>
  </si>
  <si>
    <t>TACPLUS PULV 200ML</t>
  </si>
  <si>
    <t>TACPLUS PULV 40 ML DISPLAY COM 20 FRA</t>
  </si>
  <si>
    <r>
      <rPr>
        <sz val="9"/>
        <rFont val="Segoe UI"/>
        <family val="2"/>
      </rPr>
      <t>ADE OURO 10 ML</t>
    </r>
  </si>
  <si>
    <r>
      <rPr>
        <sz val="9"/>
        <rFont val="Segoe UI"/>
        <family val="2"/>
      </rPr>
      <t>ADE OURO 100 ML</t>
    </r>
  </si>
  <si>
    <r>
      <rPr>
        <sz val="9"/>
        <rFont val="Segoe UI"/>
        <family val="2"/>
      </rPr>
      <t>ADE OURO 200 ML</t>
    </r>
  </si>
  <si>
    <r>
      <rPr>
        <sz val="9"/>
        <rFont val="Segoe UI"/>
        <family val="2"/>
      </rPr>
      <t>ADE OURO 50 ML</t>
    </r>
  </si>
  <si>
    <r>
      <rPr>
        <sz val="9"/>
        <rFont val="Segoe UI"/>
        <family val="2"/>
      </rPr>
      <t>ADE PLUS VILAVET 1 KG</t>
    </r>
  </si>
  <si>
    <r>
      <rPr>
        <sz val="9"/>
        <rFont val="Segoe UI"/>
        <family val="2"/>
      </rPr>
      <t>ADE PLUS VILAVET 10 KG</t>
    </r>
  </si>
  <si>
    <r>
      <rPr>
        <sz val="9"/>
        <rFont val="Segoe UI"/>
        <family val="2"/>
      </rPr>
      <t>ADE PLUS VILAVET 20 KG</t>
    </r>
  </si>
  <si>
    <r>
      <rPr>
        <sz val="9"/>
        <rFont val="Segoe UI"/>
        <family val="2"/>
      </rPr>
      <t>AVEFORTE 1 KG</t>
    </r>
  </si>
  <si>
    <r>
      <rPr>
        <sz val="9"/>
        <rFont val="Segoe UI"/>
        <family val="2"/>
      </rPr>
      <t>BOVALBEN 10 1 L</t>
    </r>
  </si>
  <si>
    <r>
      <rPr>
        <sz val="9"/>
        <rFont val="Segoe UI"/>
        <family val="2"/>
      </rPr>
      <t>BOVALBEN 10 200 ML</t>
    </r>
  </si>
  <si>
    <r>
      <rPr>
        <sz val="9"/>
        <rFont val="Segoe UI"/>
        <family val="2"/>
      </rPr>
      <t>BOVIFORT CORTE 10 KG</t>
    </r>
  </si>
  <si>
    <r>
      <rPr>
        <sz val="9"/>
        <rFont val="Segoe UI"/>
        <family val="2"/>
      </rPr>
      <t>BOVIFORT CORTE 20 KG</t>
    </r>
  </si>
  <si>
    <r>
      <rPr>
        <sz val="9"/>
        <rFont val="Segoe UI"/>
        <family val="2"/>
      </rPr>
      <t>BOVIFORT LEITE 10 KG</t>
    </r>
  </si>
  <si>
    <r>
      <rPr>
        <sz val="9"/>
        <rFont val="Segoe UI"/>
        <family val="2"/>
      </rPr>
      <t>BOVIFORT LEITE 20 KG</t>
    </r>
  </si>
  <si>
    <r>
      <rPr>
        <sz val="9"/>
        <rFont val="Segoe UI"/>
        <family val="2"/>
      </rPr>
      <t>BOVIFORT PASTA PROBIOTICA 35 G</t>
    </r>
  </si>
  <si>
    <r>
      <rPr>
        <sz val="9"/>
        <rFont val="Segoe UI"/>
        <family val="2"/>
      </rPr>
      <t>BOVIFORT RF 1 L</t>
    </r>
  </si>
  <si>
    <r>
      <rPr>
        <sz val="9"/>
        <rFont val="Segoe UI"/>
        <family val="2"/>
      </rPr>
      <t>BOVIFORT RF 200 ML</t>
    </r>
  </si>
  <si>
    <r>
      <rPr>
        <sz val="9"/>
        <rFont val="Segoe UI"/>
        <family val="2"/>
      </rPr>
      <t>BOVIFORT RF 50 ML</t>
    </r>
  </si>
  <si>
    <r>
      <rPr>
        <sz val="9"/>
        <rFont val="Segoe UI"/>
        <family val="2"/>
      </rPr>
      <t>BOVIFORT RF 500 ML</t>
    </r>
  </si>
  <si>
    <r>
      <rPr>
        <sz val="9"/>
        <rFont val="Segoe UI"/>
        <family val="2"/>
      </rPr>
      <t>BOVIFORT ULTIMATO 1 L</t>
    </r>
  </si>
  <si>
    <r>
      <rPr>
        <sz val="9"/>
        <rFont val="Segoe UI"/>
        <family val="2"/>
      </rPr>
      <t>BOVIFORT ULTIMATO 200 ML</t>
    </r>
  </si>
  <si>
    <r>
      <rPr>
        <sz val="9"/>
        <rFont val="Segoe UI"/>
        <family val="2"/>
      </rPr>
      <t>BOVIFORT ULTIMATO 50 ML</t>
    </r>
  </si>
  <si>
    <r>
      <rPr>
        <sz val="9"/>
        <rFont val="Segoe UI"/>
        <family val="2"/>
      </rPr>
      <t>BOVIFORT ULTIMATO 500 ML</t>
    </r>
  </si>
  <si>
    <r>
      <rPr>
        <sz val="9"/>
        <rFont val="Segoe UI"/>
        <family val="2"/>
      </rPr>
      <t>CALBOV 5 KG</t>
    </r>
  </si>
  <si>
    <r>
      <rPr>
        <sz val="9"/>
        <rFont val="Segoe UI"/>
        <family val="2"/>
      </rPr>
      <t>CALDEXTAN 200 ML</t>
    </r>
  </si>
  <si>
    <r>
      <rPr>
        <sz val="9"/>
        <rFont val="Segoe UI"/>
        <family val="2"/>
      </rPr>
      <t>CALDEXTAN 500 ML + EQUIPO</t>
    </r>
  </si>
  <si>
    <r>
      <rPr>
        <sz val="9"/>
        <rFont val="Segoe UI"/>
        <family val="2"/>
      </rPr>
      <t>CALGOLD AVICOLA 1 L</t>
    </r>
  </si>
  <si>
    <r>
      <rPr>
        <sz val="9"/>
        <rFont val="Segoe UI"/>
        <family val="2"/>
      </rPr>
      <t>CALGOLD AVICOLA 50 ML</t>
    </r>
  </si>
  <si>
    <r>
      <rPr>
        <sz val="9"/>
        <rFont val="Segoe UI"/>
        <family val="2"/>
      </rPr>
      <t>CALGOLD POTENCIADO 1 L</t>
    </r>
  </si>
  <si>
    <r>
      <rPr>
        <sz val="9"/>
        <rFont val="Segoe UI"/>
        <family val="2"/>
      </rPr>
      <t>CALGOLD POTENCIADO 20 ML</t>
    </r>
  </si>
  <si>
    <r>
      <rPr>
        <sz val="9"/>
        <rFont val="Segoe UI"/>
        <family val="2"/>
      </rPr>
      <t>CALGOLD POTENCIADO 200 ML</t>
    </r>
  </si>
  <si>
    <r>
      <rPr>
        <sz val="9"/>
        <rFont val="Segoe UI"/>
        <family val="2"/>
      </rPr>
      <t>CALGOLD POTENCIADO 50 ML</t>
    </r>
  </si>
  <si>
    <r>
      <rPr>
        <sz val="9"/>
        <rFont val="Segoe UI"/>
        <family val="2"/>
      </rPr>
      <t>CAVALO CAMPEAO 5 KG</t>
    </r>
  </si>
  <si>
    <r>
      <rPr>
        <sz val="9"/>
        <rFont val="Segoe UI"/>
        <family val="2"/>
      </rPr>
      <t>CEVADOR 300 G</t>
    </r>
  </si>
  <si>
    <r>
      <rPr>
        <sz val="9"/>
        <rFont val="Segoe UI"/>
        <family val="2"/>
      </rPr>
      <t>CEVIT 30 ML</t>
    </r>
  </si>
  <si>
    <r>
      <rPr>
        <sz val="9"/>
        <rFont val="Segoe UI"/>
        <family val="2"/>
      </rPr>
      <t>CIOVET 20 ML</t>
    </r>
  </si>
  <si>
    <r>
      <rPr>
        <sz val="9"/>
        <rFont val="Segoe UI"/>
        <family val="2"/>
      </rPr>
      <t>CIOVET CX COM 2 AMPOLAS 2 ML</t>
    </r>
  </si>
  <si>
    <r>
      <rPr>
        <sz val="9"/>
        <rFont val="Segoe UI"/>
        <family val="2"/>
      </rPr>
      <t>COMPLEXO MINERAL VILAVET 1 KG</t>
    </r>
  </si>
  <si>
    <r>
      <rPr>
        <sz val="9"/>
        <rFont val="Segoe UI"/>
        <family val="2"/>
      </rPr>
      <t>FERROFORT 100 ML</t>
    </r>
  </si>
  <si>
    <r>
      <rPr>
        <sz val="9"/>
        <rFont val="Segoe UI"/>
        <family val="2"/>
      </rPr>
      <t>FERROFORT 50 ML</t>
    </r>
  </si>
  <si>
    <r>
      <rPr>
        <sz val="9"/>
        <rFont val="Segoe UI"/>
        <family val="2"/>
      </rPr>
      <t>FLUIDO ICEVET SPRAY 120 ML</t>
    </r>
  </si>
  <si>
    <r>
      <rPr>
        <sz val="9"/>
        <rFont val="Segoe UI"/>
        <family val="2"/>
      </rPr>
      <t>HEMOVET PET 30 ML</t>
    </r>
  </si>
  <si>
    <r>
      <rPr>
        <sz val="9"/>
        <rFont val="Segoe UI"/>
        <family val="2"/>
      </rPr>
      <t>HIDRADERM 200 G</t>
    </r>
  </si>
  <si>
    <r>
      <rPr>
        <sz val="9"/>
        <rFont val="Segoe UI"/>
        <family val="2"/>
      </rPr>
      <t>HYDRAFORT 1 L</t>
    </r>
  </si>
  <si>
    <r>
      <rPr>
        <sz val="9"/>
        <rFont val="Segoe UI"/>
        <family val="2"/>
      </rPr>
      <t>HYDRAFORT 50 ML</t>
    </r>
  </si>
  <si>
    <r>
      <rPr>
        <sz val="9"/>
        <rFont val="Segoe UI"/>
        <family val="2"/>
      </rPr>
      <t>HYDRAFORT 500 ML</t>
    </r>
  </si>
  <si>
    <r>
      <rPr>
        <sz val="9"/>
        <rFont val="Segoe UI"/>
        <family val="2"/>
      </rPr>
      <t>IVERMECTINA PASTA ORAL VILAVET 6 G</t>
    </r>
  </si>
  <si>
    <r>
      <rPr>
        <sz val="9"/>
        <rFont val="Segoe UI"/>
        <family val="2"/>
      </rPr>
      <t>LA LEITE E CARNE 5 KG</t>
    </r>
  </si>
  <si>
    <r>
      <rPr>
        <sz val="9"/>
        <rFont val="Segoe UI"/>
        <family val="2"/>
      </rPr>
      <t>MAT GERMS 600 1 L</t>
    </r>
  </si>
  <si>
    <r>
      <rPr>
        <sz val="9"/>
        <rFont val="Segoe UI"/>
        <family val="2"/>
      </rPr>
      <t>MAT GERMS 600 100 ML</t>
    </r>
  </si>
  <si>
    <r>
      <rPr>
        <sz val="9"/>
        <rFont val="Segoe UI"/>
        <family val="2"/>
      </rPr>
      <t>MAT GERMS 600 100 ML DISPLAY COM 24</t>
    </r>
  </si>
  <si>
    <r>
      <rPr>
        <sz val="9"/>
        <rFont val="Segoe UI"/>
        <family val="2"/>
      </rPr>
      <t>MICRO CIS 1 KG</t>
    </r>
  </si>
  <si>
    <r>
      <rPr>
        <sz val="9"/>
        <rFont val="Segoe UI"/>
        <family val="2"/>
      </rPr>
      <t>OCITOFORT VILAVET 10 ML</t>
    </r>
  </si>
  <si>
    <r>
      <rPr>
        <sz val="9"/>
        <rFont val="Segoe UI"/>
        <family val="2"/>
      </rPr>
      <t>OCITOFORT VILAVET 100 ML</t>
    </r>
  </si>
  <si>
    <r>
      <rPr>
        <sz val="9"/>
        <rFont val="Segoe UI"/>
        <family val="2"/>
      </rPr>
      <t>OCITOFORT VILAVET 200 ML</t>
    </r>
  </si>
  <si>
    <r>
      <rPr>
        <sz val="9"/>
        <rFont val="Segoe UI"/>
        <family val="2"/>
      </rPr>
      <t>OCITOFORT VILAVET 50 ML</t>
    </r>
  </si>
  <si>
    <r>
      <rPr>
        <sz val="9"/>
        <rFont val="Segoe UI"/>
        <family val="2"/>
      </rPr>
      <t>OXITETRA VILAVET 10 ML</t>
    </r>
  </si>
  <si>
    <r>
      <rPr>
        <sz val="9"/>
        <rFont val="Segoe UI"/>
        <family val="2"/>
      </rPr>
      <t>OXITETRA VILAVET 50 ML</t>
    </r>
  </si>
  <si>
    <r>
      <rPr>
        <sz val="9"/>
        <rFont val="Segoe UI"/>
        <family val="2"/>
      </rPr>
      <t>POTENVET 7000 B12 1 L</t>
    </r>
  </si>
  <si>
    <r>
      <rPr>
        <sz val="9"/>
        <rFont val="Segoe UI"/>
        <family val="2"/>
      </rPr>
      <t>POTENVET 7000 B12 100 ML</t>
    </r>
  </si>
  <si>
    <r>
      <rPr>
        <sz val="9"/>
        <rFont val="Segoe UI"/>
        <family val="2"/>
      </rPr>
      <t>PROMASTIC BALDE COM 60 SERINGAS</t>
    </r>
  </si>
  <si>
    <r>
      <rPr>
        <sz val="9"/>
        <rFont val="Segoe UI"/>
        <family val="2"/>
      </rPr>
      <t>PROMASTIC CAIXA COM 20 SERINGAS</t>
    </r>
  </si>
  <si>
    <r>
      <rPr>
        <sz val="9"/>
        <rFont val="Segoe UI"/>
        <family val="2"/>
      </rPr>
      <t>SORBUS 100 ML</t>
    </r>
  </si>
  <si>
    <r>
      <rPr>
        <sz val="9"/>
        <rFont val="Segoe UI"/>
        <family val="2"/>
      </rPr>
      <t>SORBUS 200 ML</t>
    </r>
  </si>
  <si>
    <r>
      <rPr>
        <sz val="9"/>
        <rFont val="Segoe UI"/>
        <family val="2"/>
      </rPr>
      <t>STRONG HORSE 1 KG</t>
    </r>
  </si>
  <si>
    <r>
      <rPr>
        <sz val="9"/>
        <rFont val="Segoe UI"/>
        <family val="2"/>
      </rPr>
      <t>STRONG HORSE CREATINA 500 G</t>
    </r>
  </si>
  <si>
    <r>
      <rPr>
        <sz val="9"/>
        <rFont val="Segoe UI"/>
        <family val="2"/>
      </rPr>
      <t>STRONG HORSE ELECTROLYTIC 500 G</t>
    </r>
  </si>
  <si>
    <r>
      <rPr>
        <sz val="9"/>
        <rFont val="Segoe UI"/>
        <family val="2"/>
      </rPr>
      <t>STRONG HORSE GASTRIC 1 L</t>
    </r>
  </si>
  <si>
    <r>
      <rPr>
        <sz val="9"/>
        <rFont val="Segoe UI"/>
        <family val="2"/>
      </rPr>
      <t>STRONG HORSE GLICO ENERGY 1 L</t>
    </r>
  </si>
  <si>
    <r>
      <rPr>
        <sz val="9"/>
        <rFont val="Segoe UI"/>
        <family val="2"/>
      </rPr>
      <t>STRONG HORSE HEMO 1 L</t>
    </r>
  </si>
  <si>
    <r>
      <rPr>
        <sz val="9"/>
        <rFont val="Segoe UI"/>
        <family val="2"/>
      </rPr>
      <t>STRONG HORSE MUSCLE 10 KG</t>
    </r>
  </si>
  <si>
    <r>
      <rPr>
        <sz val="9"/>
        <rFont val="Segoe UI"/>
        <family val="2"/>
      </rPr>
      <t>STRONG HORSE MUSCLE 2 KG</t>
    </r>
  </si>
  <si>
    <r>
      <rPr>
        <sz val="9"/>
        <rFont val="Segoe UI"/>
        <family val="2"/>
      </rPr>
      <t>STRONG HORSE SUPER CASCO 500 G</t>
    </r>
  </si>
  <si>
    <r>
      <rPr>
        <sz val="9"/>
        <rFont val="Segoe UI"/>
        <family val="2"/>
      </rPr>
      <t>STRONG PIG AMINO 1 KG</t>
    </r>
  </si>
  <si>
    <r>
      <rPr>
        <sz val="9"/>
        <rFont val="Segoe UI"/>
        <family val="2"/>
      </rPr>
      <t>STRONG PIG AMINO 20 KG</t>
    </r>
  </si>
  <si>
    <r>
      <rPr>
        <sz val="9"/>
        <rFont val="Segoe UI"/>
        <family val="2"/>
      </rPr>
      <t>SULFATRIM 100 ML</t>
    </r>
  </si>
  <si>
    <r>
      <rPr>
        <sz val="9"/>
        <rFont val="Segoe UI"/>
        <family val="2"/>
      </rPr>
      <t>SULFATRIM 15 ML</t>
    </r>
  </si>
  <si>
    <r>
      <rPr>
        <sz val="9"/>
        <rFont val="Segoe UI"/>
        <family val="2"/>
      </rPr>
      <t>SULFATRIM 30 ML</t>
    </r>
  </si>
  <si>
    <r>
      <rPr>
        <sz val="9"/>
        <rFont val="Segoe UI"/>
        <family val="2"/>
      </rPr>
      <t>SULFATRIM 50 ML</t>
    </r>
  </si>
  <si>
    <r>
      <rPr>
        <sz val="9"/>
        <rFont val="Segoe UI"/>
        <family val="2"/>
      </rPr>
      <t>SUPLENATE 250 G</t>
    </r>
  </si>
  <si>
    <r>
      <rPr>
        <sz val="9"/>
        <rFont val="Segoe UI"/>
        <family val="2"/>
      </rPr>
      <t>SUPRACAL P 100 ML</t>
    </r>
  </si>
  <si>
    <r>
      <rPr>
        <sz val="9"/>
        <rFont val="Segoe UI"/>
        <family val="2"/>
      </rPr>
      <t>TIROVER 20 ML</t>
    </r>
  </si>
  <si>
    <r>
      <rPr>
        <sz val="9"/>
        <rFont val="Segoe UI"/>
        <family val="2"/>
      </rPr>
      <t>TIROVER 50 ML</t>
    </r>
  </si>
  <si>
    <r>
      <rPr>
        <sz val="9"/>
        <rFont val="Segoe UI"/>
        <family val="2"/>
      </rPr>
      <t>TONIC B12 10 ML</t>
    </r>
  </si>
  <si>
    <r>
      <rPr>
        <sz val="9"/>
        <rFont val="Segoe UI"/>
        <family val="2"/>
      </rPr>
      <t>TONIC B12 200 ML</t>
    </r>
  </si>
  <si>
    <r>
      <rPr>
        <sz val="9"/>
        <rFont val="Segoe UI"/>
        <family val="2"/>
      </rPr>
      <t>TONIC B12 50 ML</t>
    </r>
  </si>
  <si>
    <r>
      <rPr>
        <sz val="9"/>
        <rFont val="Segoe UI"/>
        <family val="2"/>
      </rPr>
      <t>VET PHOS LEITE 5 KG</t>
    </r>
  </si>
  <si>
    <r>
      <rPr>
        <sz val="9"/>
        <rFont val="Segoe UI"/>
        <family val="2"/>
      </rPr>
      <t>ZUMM 1 KG</t>
    </r>
  </si>
  <si>
    <r>
      <rPr>
        <sz val="9"/>
        <rFont val="Segoe UI"/>
        <family val="2"/>
      </rPr>
      <t>ZUMM 10 KG</t>
    </r>
  </si>
  <si>
    <r>
      <rPr>
        <sz val="9"/>
        <rFont val="Segoe UI"/>
        <family val="2"/>
      </rPr>
      <t>ZUMM 20 KG</t>
    </r>
  </si>
  <si>
    <t>BRINCO MOSQ NA MOSCA 20X15G</t>
  </si>
  <si>
    <t>CIPROLAC 10G V1</t>
  </si>
  <si>
    <t>CIPROLAC VACA SECA 10G V1</t>
  </si>
  <si>
    <t>EQDOMIN 5ML</t>
  </si>
  <si>
    <t>FEEDLOT PLUS </t>
  </si>
  <si>
    <t>FERAPPEASE BOVINO 300ML </t>
  </si>
  <si>
    <t>FERAPPEASE BOVINO 4L </t>
  </si>
  <si>
    <t>FORTEMIL 500 ML</t>
  </si>
  <si>
    <t>FOSBION B12 100ML</t>
  </si>
  <si>
    <t>FOSBION B12 250ML</t>
  </si>
  <si>
    <t>HIDRAT FRESH 1KG</t>
  </si>
  <si>
    <t>HIDRAT UP 100G</t>
  </si>
  <si>
    <t>ISOCOX 1000ML</t>
  </si>
  <si>
    <t>ISOCOX 100ML (24UN)</t>
  </si>
  <si>
    <t>ISOCOX 250ML (12UN)</t>
  </si>
  <si>
    <t>IVER GEL COMPOSTO 9,6G DIPY</t>
  </si>
  <si>
    <t>IVER OF 1000ML</t>
  </si>
  <si>
    <t>IVER OF 500ML</t>
  </si>
  <si>
    <t>IVER OF 50ML</t>
  </si>
  <si>
    <t>KIT APLICADOR SINCROGEST BILINGUE</t>
  </si>
  <si>
    <t>LEPECID BR SPRAY 400ML</t>
  </si>
  <si>
    <t>MASTIFIN 10G</t>
  </si>
  <si>
    <t>MASTIFIN VACA SECA 10G V1</t>
  </si>
  <si>
    <t>MAXICAM GEL 30G DIPY V1</t>
  </si>
  <si>
    <t>MOXI DUO 9,6G DIPY</t>
  </si>
  <si>
    <t>PENFORT REF 8,4G/15ML CART</t>
  </si>
  <si>
    <t>SELLAT 4,0G DIPY</t>
  </si>
  <si>
    <t>SILAGE SEAL 10X100M</t>
  </si>
  <si>
    <t>SILOSOLVE AS 100G</t>
  </si>
  <si>
    <t>SILOSOLVE FC </t>
  </si>
  <si>
    <t>SILOSOLVE MC 100G</t>
  </si>
  <si>
    <t>SINCRO ECG 6000</t>
  </si>
  <si>
    <t>SINCROCIO 50ML V1</t>
  </si>
  <si>
    <t>SINCRODIOL 50ML V1</t>
  </si>
  <si>
    <t>SINCROGEST INJ 50ML V1</t>
  </si>
  <si>
    <t>TULAXX 100ML</t>
  </si>
  <si>
    <t>TULAXX 50ML</t>
  </si>
  <si>
    <t>ABANOX 1.000ML</t>
  </si>
  <si>
    <t>ABANOX 500ML</t>
  </si>
  <si>
    <t>ANABOLIC 200ML</t>
  </si>
  <si>
    <t>ANABOLIC 50ML</t>
  </si>
  <si>
    <t>BIATACK 1.000ML</t>
  </si>
  <si>
    <t>BIATACK 5.000ML</t>
  </si>
  <si>
    <t>CATOL + 250ML</t>
  </si>
  <si>
    <t>COURO LIMPO 1.000ML</t>
  </si>
  <si>
    <t>COURO LIMPO 100ML</t>
  </si>
  <si>
    <t>COURO LIMPO 250ML</t>
  </si>
  <si>
    <t>COURO LIMPO 25ML</t>
  </si>
  <si>
    <t>COURO LIMPO PO 1.000ML</t>
  </si>
  <si>
    <t>COURO LIMPO PO 5.000ML</t>
  </si>
  <si>
    <t>FORTICILINA 4GR</t>
  </si>
  <si>
    <t>FOS +ZN 100ML</t>
  </si>
  <si>
    <t>FOS +ZN 500ML</t>
  </si>
  <si>
    <t>FUSION 1.000ML</t>
  </si>
  <si>
    <t>FUSION 5.000ML</t>
  </si>
  <si>
    <t>GOLDMAC 1.000ML</t>
  </si>
  <si>
    <t>GOLDMAC 500ML</t>
  </si>
  <si>
    <t>GOLDMEC 1.000ML</t>
  </si>
  <si>
    <t>GOLDMEC 500ML</t>
  </si>
  <si>
    <t>GOLDMEC 50ML</t>
  </si>
  <si>
    <t>HORSENOX 9GR</t>
  </si>
  <si>
    <t>IVONOX 1.000ML</t>
  </si>
  <si>
    <t>IVONOX 500ML</t>
  </si>
  <si>
    <t>IVONOX 50ML</t>
  </si>
  <si>
    <t>LACTUS 1.000ML</t>
  </si>
  <si>
    <t>LEVAMISOL 1.000ML</t>
  </si>
  <si>
    <t>LEVAMISOL 250ML</t>
  </si>
  <si>
    <t>LEVAMISOL 500ML</t>
  </si>
  <si>
    <t>MITRANOX 1.000ML</t>
  </si>
  <si>
    <t>MITRANOX 200ML</t>
  </si>
  <si>
    <t>MITRANOX 40ML</t>
  </si>
  <si>
    <t>PIROSEG 30ML</t>
  </si>
  <si>
    <t>PRO BEZERRO PLUS 34GR</t>
  </si>
  <si>
    <t>PRO HORSE 34GR</t>
  </si>
  <si>
    <t>PRO HORSE POTROS 34GR</t>
  </si>
  <si>
    <t>PRO MILK 34GR</t>
  </si>
  <si>
    <t>PRO RUMEN 34GR</t>
  </si>
  <si>
    <t>RICOBEN 250ML</t>
  </si>
  <si>
    <t>RICOBEN 500ML</t>
  </si>
  <si>
    <t>SELAMAST</t>
  </si>
  <si>
    <t>SUPER CALCIO 200ML</t>
  </si>
  <si>
    <t>SUPER CALCIO 500ML</t>
  </si>
  <si>
    <t>SUPREMO 3,5% 1.000ML</t>
  </si>
  <si>
    <t>SUPREMO 3,5% 500ML</t>
  </si>
  <si>
    <t>SUPREMO 3,5% 50ML</t>
  </si>
  <si>
    <t>TERRAMAX 100ML</t>
  </si>
  <si>
    <t>TERRAMAX 50ML</t>
  </si>
  <si>
    <t>TOPMAST 10ML</t>
  </si>
  <si>
    <t>ZOL 1.000ML</t>
  </si>
  <si>
    <t>ZOL 5.000ML</t>
  </si>
  <si>
    <r>
      <rPr>
        <sz val="11"/>
        <rFont val="Calibri"/>
        <family val="1"/>
      </rPr>
      <t>ADE SYNTEC 250ML</t>
    </r>
  </si>
  <si>
    <r>
      <rPr>
        <sz val="11"/>
        <rFont val="Calibri"/>
        <family val="1"/>
      </rPr>
      <t>ADE SYNTEC 50ML</t>
    </r>
  </si>
  <si>
    <r>
      <rPr>
        <sz val="11"/>
        <rFont val="Calibri"/>
        <family val="1"/>
      </rPr>
      <t>ALNOR 10% 1L</t>
    </r>
  </si>
  <si>
    <r>
      <rPr>
        <sz val="11"/>
        <rFont val="Calibri"/>
        <family val="1"/>
      </rPr>
      <t>ALNOR 10% 250 ML</t>
    </r>
  </si>
  <si>
    <r>
      <rPr>
        <sz val="11.5"/>
        <rFont val="Calibri"/>
        <family val="1"/>
      </rPr>
      <t>ANEQUIM PLUS 30G</t>
    </r>
  </si>
  <si>
    <r>
      <rPr>
        <sz val="11.5"/>
        <rFont val="Calibri"/>
        <family val="1"/>
      </rPr>
      <t>ANESTT 50ML INJETÁVEL</t>
    </r>
  </si>
  <si>
    <r>
      <rPr>
        <sz val="11.5"/>
        <rFont val="Calibri"/>
        <family val="1"/>
      </rPr>
      <t>APROMAZIN 1% INJETAVEL 20ML</t>
    </r>
  </si>
  <si>
    <r>
      <rPr>
        <sz val="11.5"/>
        <rFont val="Calibri"/>
        <family val="1"/>
      </rPr>
      <t>BIOTINA F 500G</t>
    </r>
  </si>
  <si>
    <r>
      <rPr>
        <sz val="11.5"/>
        <rFont val="Calibri"/>
        <family val="1"/>
      </rPr>
      <t>CETAMIN 10ML</t>
    </r>
  </si>
  <si>
    <r>
      <rPr>
        <sz val="11.5"/>
        <rFont val="Calibri"/>
        <family val="1"/>
      </rPr>
      <t>CETAMIN 50ML</t>
    </r>
  </si>
  <si>
    <r>
      <rPr>
        <sz val="11.5"/>
        <rFont val="Calibri"/>
        <family val="1"/>
      </rPr>
      <t>CIKADOL 50GR</t>
    </r>
  </si>
  <si>
    <r>
      <rPr>
        <sz val="11"/>
        <rFont val="Calibri"/>
        <family val="1"/>
      </rPr>
      <t>CIPER DUO 1L</t>
    </r>
  </si>
  <si>
    <r>
      <rPr>
        <sz val="11.5"/>
        <rFont val="Calibri"/>
        <family val="1"/>
      </rPr>
      <t>CREATINA 90 SYNTEC 2KG</t>
    </r>
  </si>
  <si>
    <r>
      <rPr>
        <sz val="11.5"/>
        <rFont val="Calibri"/>
        <family val="1"/>
      </rPr>
      <t>CREATINA 90 SYNTEC 500G</t>
    </r>
  </si>
  <si>
    <r>
      <rPr>
        <sz val="11.5"/>
        <rFont val="Calibri"/>
        <family val="1"/>
      </rPr>
      <t>DETOMIDIN 10ML</t>
    </r>
  </si>
  <si>
    <r>
      <rPr>
        <sz val="11.5"/>
        <rFont val="Calibri"/>
        <family val="1"/>
      </rPr>
      <t>DETOMIDIN 5ML</t>
    </r>
  </si>
  <si>
    <r>
      <rPr>
        <sz val="11"/>
        <rFont val="Calibri"/>
        <family val="1"/>
      </rPr>
      <t>DICLOFENACO SYNTEC 5% 50ML</t>
    </r>
  </si>
  <si>
    <r>
      <rPr>
        <sz val="11"/>
        <rFont val="Calibri"/>
        <family val="1"/>
      </rPr>
      <t>DOSECAL 250ML</t>
    </r>
  </si>
  <si>
    <r>
      <rPr>
        <sz val="11"/>
        <rFont val="Calibri"/>
        <family val="1"/>
      </rPr>
      <t>DOSECAL 500ML</t>
    </r>
  </si>
  <si>
    <r>
      <rPr>
        <sz val="11"/>
        <rFont val="Calibri"/>
        <family val="1"/>
      </rPr>
      <t>DOSEFER 100ML</t>
    </r>
  </si>
  <si>
    <r>
      <rPr>
        <sz val="11"/>
        <rFont val="Calibri"/>
        <family val="1"/>
      </rPr>
      <t>DOSEFER 50ML</t>
    </r>
  </si>
  <si>
    <r>
      <rPr>
        <sz val="11"/>
        <rFont val="Calibri"/>
        <family val="1"/>
      </rPr>
      <t>DUOFOR 1L</t>
    </r>
  </si>
  <si>
    <r>
      <rPr>
        <sz val="11.5"/>
        <rFont val="Calibri"/>
        <family val="1"/>
      </rPr>
      <t>EQUI-BOOST 10ML</t>
    </r>
  </si>
  <si>
    <r>
      <rPr>
        <sz val="11.5"/>
        <rFont val="Calibri"/>
        <family val="1"/>
      </rPr>
      <t>EQUI-BOOST 50ML</t>
    </r>
  </si>
  <si>
    <r>
      <rPr>
        <sz val="11.5"/>
        <rFont val="Calibri"/>
        <family val="1"/>
      </rPr>
      <t>EQUIMECTIN 12G</t>
    </r>
  </si>
  <si>
    <r>
      <rPr>
        <sz val="11.5"/>
        <rFont val="Calibri"/>
        <family val="1"/>
      </rPr>
      <t>EVIGEST INJETAVEL</t>
    </r>
  </si>
  <si>
    <r>
      <rPr>
        <sz val="11.5"/>
        <rFont val="Calibri"/>
        <family val="1"/>
      </rPr>
      <t>FENILBUTAZONA 100ML</t>
    </r>
  </si>
  <si>
    <r>
      <rPr>
        <sz val="11.5"/>
        <rFont val="Calibri"/>
        <family val="1"/>
      </rPr>
      <t>FENILBUTAZONA 50ML</t>
    </r>
  </si>
  <si>
    <r>
      <rPr>
        <sz val="11"/>
        <rFont val="Calibri"/>
        <family val="1"/>
      </rPr>
      <t>FLOBIOTIC 10% 50 ML</t>
    </r>
  </si>
  <si>
    <r>
      <rPr>
        <sz val="11"/>
        <rFont val="Calibri"/>
        <family val="1"/>
      </rPr>
      <t>FLOBIOTIC 10% 500ML</t>
    </r>
  </si>
  <si>
    <r>
      <rPr>
        <sz val="11"/>
        <rFont val="Calibri"/>
        <family val="1"/>
      </rPr>
      <t>GENTOMICIN 4% INJETAVEL 100ML</t>
    </r>
  </si>
  <si>
    <r>
      <rPr>
        <sz val="11"/>
        <rFont val="Calibri"/>
        <family val="1"/>
      </rPr>
      <t>GENTOMICIN MASTITE 250MG (4 DISPLAYS 20 UN)</t>
    </r>
  </si>
  <si>
    <r>
      <rPr>
        <sz val="11.5"/>
        <rFont val="Calibri"/>
        <family val="1"/>
      </rPr>
      <t>GET-VACINA SYNTEC 2ML C/10 UNIDADES</t>
    </r>
  </si>
  <si>
    <r>
      <rPr>
        <sz val="11.5"/>
        <rFont val="Calibri"/>
        <family val="1"/>
      </rPr>
      <t>ISOFLURANO 100ML</t>
    </r>
  </si>
  <si>
    <r>
      <rPr>
        <sz val="11.5"/>
        <rFont val="Calibri"/>
        <family val="1"/>
      </rPr>
      <t>LUXOL 100G</t>
    </r>
  </si>
  <si>
    <r>
      <rPr>
        <sz val="11"/>
        <rFont val="Calibri"/>
        <family val="1"/>
      </rPr>
      <t>OCITOCINA SYNTEC 100ML</t>
    </r>
  </si>
  <si>
    <r>
      <rPr>
        <sz val="11"/>
        <rFont val="Calibri"/>
        <family val="1"/>
      </rPr>
      <t>OCITOCINA SYNTEC 50ML</t>
    </r>
  </si>
  <si>
    <r>
      <rPr>
        <sz val="11"/>
        <rFont val="Calibri"/>
        <family val="1"/>
      </rPr>
      <t>OXITETRACICLINA LA 20% INJETAVEL 100ML</t>
    </r>
  </si>
  <si>
    <r>
      <rPr>
        <sz val="11"/>
        <rFont val="Calibri"/>
        <family val="1"/>
      </rPr>
      <t>OXITETRACICLINA LA 20% INJETAVEL 50ML</t>
    </r>
  </si>
  <si>
    <r>
      <rPr>
        <sz val="11"/>
        <rFont val="Calibri"/>
        <family val="1"/>
      </rPr>
      <t>PROPEN (DISPLAY 24 UND)</t>
    </r>
  </si>
  <si>
    <r>
      <rPr>
        <sz val="11.5"/>
        <rFont val="Calibri"/>
        <family val="1"/>
      </rPr>
      <t>REPOGEL EQUINOS 30G</t>
    </r>
  </si>
  <si>
    <r>
      <rPr>
        <sz val="11"/>
        <rFont val="Calibri"/>
        <family val="1"/>
      </rPr>
      <t>SEAL UP 4G  (DISPLAY 36 UND)</t>
    </r>
  </si>
  <si>
    <r>
      <rPr>
        <sz val="11"/>
        <rFont val="Calibri"/>
        <family val="1"/>
      </rPr>
      <t>SULFATROX 15ML</t>
    </r>
  </si>
  <si>
    <r>
      <rPr>
        <sz val="11"/>
        <rFont val="Calibri"/>
        <family val="1"/>
      </rPr>
      <t>SULFATROX 50ML</t>
    </r>
  </si>
  <si>
    <r>
      <rPr>
        <sz val="11"/>
        <rFont val="Calibri"/>
        <family val="1"/>
      </rPr>
      <t>SYNMECTIN 1L</t>
    </r>
  </si>
  <si>
    <r>
      <rPr>
        <sz val="11"/>
        <rFont val="Calibri"/>
        <family val="1"/>
      </rPr>
      <t>SYNMECTIN 500ML CAIXA C/6 UNID</t>
    </r>
  </si>
  <si>
    <r>
      <rPr>
        <sz val="11"/>
        <rFont val="Calibri"/>
        <family val="1"/>
      </rPr>
      <t>SYNMECTIN 50ML</t>
    </r>
  </si>
  <si>
    <r>
      <rPr>
        <sz val="11"/>
        <rFont val="Calibri"/>
        <family val="1"/>
      </rPr>
      <t>TAURUS SR 1L</t>
    </r>
  </si>
  <si>
    <r>
      <rPr>
        <sz val="11"/>
        <rFont val="Calibri"/>
        <family val="1"/>
      </rPr>
      <t>TAURUS SR 500 ML</t>
    </r>
  </si>
  <si>
    <r>
      <rPr>
        <sz val="11"/>
        <rFont val="Calibri"/>
        <family val="1"/>
      </rPr>
      <t>TAURUS SR 50ML</t>
    </r>
  </si>
  <si>
    <r>
      <rPr>
        <sz val="11.5"/>
        <rFont val="Calibri"/>
        <family val="1"/>
      </rPr>
      <t>VITAPULMIN GEL</t>
    </r>
  </si>
  <si>
    <r>
      <rPr>
        <sz val="11.5"/>
        <rFont val="Calibri"/>
        <family val="1"/>
      </rPr>
      <t>WHEY PROTEIN SYNTEC 1KG</t>
    </r>
  </si>
  <si>
    <r>
      <rPr>
        <sz val="11.5"/>
        <rFont val="Calibri"/>
        <family val="1"/>
      </rPr>
      <t>WHEY PROTEIN SYNTEC 4KG</t>
    </r>
  </si>
  <si>
    <r>
      <rPr>
        <sz val="11.5"/>
        <rFont val="Calibri"/>
        <family val="1"/>
      </rPr>
      <t>XILAZIN 10% 20ML</t>
    </r>
  </si>
  <si>
    <r>
      <rPr>
        <sz val="11.5"/>
        <rFont val="Calibri"/>
        <family val="1"/>
      </rPr>
      <t>XILAZIN 2% 10ML</t>
    </r>
  </si>
  <si>
    <r>
      <rPr>
        <sz val="11.5"/>
        <rFont val="Calibri"/>
        <family val="1"/>
      </rPr>
      <t>XILAZIN 2% 50ML</t>
    </r>
  </si>
  <si>
    <t>ADE VALLEE INJ 1X250ML  150</t>
  </si>
  <si>
    <t>AGRISEPT-TABLETE DISPL.100 CPS</t>
  </si>
  <si>
    <t>ANTIDIARREICO VALLEE 1X10SCT   150</t>
  </si>
  <si>
    <t>AZIUM SOLUCAO 10ML</t>
  </si>
  <si>
    <t>BANAMINE INJETAVEL 50MG 1X100ML 150</t>
  </si>
  <si>
    <t>BANAMINE INJETAVEL 50MG 1X10ML 150</t>
  </si>
  <si>
    <t>BANAMINE INJETAVEL 50MG 1X50ML 150</t>
  </si>
  <si>
    <t>BIOXAN COMPOSTO VALLEE 1X500ML  150</t>
  </si>
  <si>
    <t>BIOXELL 1X100ML   150</t>
  </si>
  <si>
    <t>BOOSTIN 500 MG</t>
  </si>
  <si>
    <t>BORGAL 24% 1X10ML 150</t>
  </si>
  <si>
    <t>BORGAL 24% 1X50ML 150</t>
  </si>
  <si>
    <t>BOVGUARD 1L</t>
  </si>
  <si>
    <t>BOVGUARD 5L</t>
  </si>
  <si>
    <t>BOVGUARD 5L PROMOCIONAL CX.4FRS+PISTOLA</t>
  </si>
  <si>
    <t>BOVILIS POLI-STAR T 1X100ML 150</t>
  </si>
  <si>
    <t>BOVILIS POLI-STAR T 1X250ML 150</t>
  </si>
  <si>
    <t>BOVILIS VISTA ONCE SQ 1X10DS/20ML 150</t>
  </si>
  <si>
    <t>BOVILIS VISTA ONCE SQ 1X50DS/100ML 150</t>
  </si>
  <si>
    <t>BRUCELLA ABORTUS RB-51 1X5DS 150</t>
  </si>
  <si>
    <t>BRUCELLA ABORTUS RB51 25DS  150</t>
  </si>
  <si>
    <t>BUTOX P CE 25 1 L</t>
  </si>
  <si>
    <t>BUTOX PCE CX.C/4 DISPLAY X 25FR X 20 ML</t>
  </si>
  <si>
    <t>CALMINEX 1X100G VET</t>
  </si>
  <si>
    <t>CALMINEX 1X30G VET</t>
  </si>
  <si>
    <t>CEPRAVIN DC 20X1SYR 150</t>
  </si>
  <si>
    <t>CHORULON 5X5000 UI+5X5ML SOLV 150</t>
  </si>
  <si>
    <t>CIOSIN CL 1X100ML 150</t>
  </si>
  <si>
    <t>CIOSIN CL 1X20ML 150</t>
  </si>
  <si>
    <t>COBACTAN 2.5% 1X100ML 150</t>
  </si>
  <si>
    <t>COBACTAN 2.5% 1X50ML 150</t>
  </si>
  <si>
    <t>COBACTAN VL 15X1INJ 150</t>
  </si>
  <si>
    <t>EXCELLER 1X500ML   150</t>
  </si>
  <si>
    <t>EXCELLER 1X50ML     150</t>
  </si>
  <si>
    <t>EXPERT-BRINCO (EAR TAGS) 5X20  150</t>
  </si>
  <si>
    <t>FERTAGYL 1X50ML 150</t>
  </si>
  <si>
    <t>FERTAGYL 1X5ML 150</t>
  </si>
  <si>
    <t>FERTIGUARD SELENIUM MAX 1X20DS  150</t>
  </si>
  <si>
    <t>FERTIGUARD SELENIUM MAX 1X50DS  150</t>
  </si>
  <si>
    <t>FERTILCARE BENZ. SINCRONIZ. 1X100ML 792</t>
  </si>
  <si>
    <t>FERTILCARE CIPIONATO OVULACAO 100ML 150</t>
  </si>
  <si>
    <t>FERTILCARE IMPLANTE 0,6G 10 DISPOS. 792</t>
  </si>
  <si>
    <t>FERTILCARE IMPLANTE 1,2G 10 DISPOS. 792</t>
  </si>
  <si>
    <t>FOLLIGON 5000 UI+25ML DIL 150</t>
  </si>
  <si>
    <t>HALOCUR 1X490ML 150</t>
  </si>
  <si>
    <t>HEPATOXAN VALLEE 1X100ML    150</t>
  </si>
  <si>
    <t>IMIZOL 100ML</t>
  </si>
  <si>
    <t>IMIZOL 15ML</t>
  </si>
  <si>
    <t>MASTIJET VACA SECA 6X20INJ 150</t>
  </si>
  <si>
    <t>MASTIPLAN LC 1X20INJ 150</t>
  </si>
  <si>
    <t>MASTI-SEAL 100X1INJ 150</t>
  </si>
  <si>
    <t>METRICURE 1X10 INJ 150</t>
  </si>
  <si>
    <t>MOV - MOD. ORGANICO VALLEE 1X100ML 150</t>
  </si>
  <si>
    <t>MOV - MOD. ORGANICO VALLEE 1X500ML 150</t>
  </si>
  <si>
    <t>NAQUASONE 24X10ML 150</t>
  </si>
  <si>
    <t>NEOCIDOL B 40 2X10    150</t>
  </si>
  <si>
    <t>NUFLOR INJECTABLE 1X100ML 150</t>
  </si>
  <si>
    <t>NUFLOR INJECTABLE 1X50ML 150</t>
  </si>
  <si>
    <t>OXITRAT LA 1X50ML   150</t>
  </si>
  <si>
    <t>OXITRAT LA PLUS 1X100ML   150</t>
  </si>
  <si>
    <t>OXITRAT LA PLUS 1X50ML   150</t>
  </si>
  <si>
    <t>PANACOXX 1X1000ML  150</t>
  </si>
  <si>
    <t>PANACOXX 1X250ML  150</t>
  </si>
  <si>
    <t>PANACOXX 6X1000ML W/2 APPLICATOR GUN 150</t>
  </si>
  <si>
    <t>PANACUR SUSP. 10% 1X10L 150</t>
  </si>
  <si>
    <t>PANACUR SUSP. 10% 1X1LT  150</t>
  </si>
  <si>
    <t>PENCIVET PLUS PPU 1X30ML 150</t>
  </si>
  <si>
    <t>PENCIVET PLUS PPU 1X50ML 150</t>
  </si>
  <si>
    <t>POLIGUARD 1X20DS  150</t>
  </si>
  <si>
    <t>POLIGUARD 1X50DS  150</t>
  </si>
  <si>
    <t>POLI-STAR 1X100ML  150</t>
  </si>
  <si>
    <t>POLI-STAR 1X250ML  150</t>
  </si>
  <si>
    <t>POTENTY 1X1L 150</t>
  </si>
  <si>
    <t>POTENTY 1X300ML 150</t>
  </si>
  <si>
    <t>POTENTY 1X5L 150</t>
  </si>
  <si>
    <t>QUINOTRIL 1X50ML  150</t>
  </si>
  <si>
    <t>RANGER 1X500ML  150</t>
  </si>
  <si>
    <t>RANGER 1X50ML   150</t>
  </si>
  <si>
    <t>RANGER LA 3.5% 15X500ML PROM KIT 150</t>
  </si>
  <si>
    <t>RANGER LA 3.5% 1X500ML   150</t>
  </si>
  <si>
    <t>RANGER LA 3.5% 1X50ML   150</t>
  </si>
  <si>
    <t>RESFLOR GOLD 1X100ML 150</t>
  </si>
  <si>
    <t>ROTAVEC CORONA 1X40ML 150</t>
  </si>
  <si>
    <t>SOLUTION 3.5% LA 1X1000ML  150</t>
  </si>
  <si>
    <t>SOLUTION 3.5% LA 1X500ML  150</t>
  </si>
  <si>
    <t>SUPRAMEC GEL 24X6.42 G</t>
  </si>
  <si>
    <t>SUPRAMEC POUR ON 5X1 L</t>
  </si>
  <si>
    <t>TICK GARD 1X1L 150</t>
  </si>
  <si>
    <t>TICK GARD 1X5L 150</t>
  </si>
  <si>
    <t>TICK GARD 1X5L REFILL 150</t>
  </si>
  <si>
    <t>TRIATOX 12X200ML</t>
  </si>
  <si>
    <t>TRIATOX 6X1L</t>
  </si>
  <si>
    <t>TRYPAMIZOL 50ML</t>
  </si>
  <si>
    <t>VAMPIRICID TOPICO VALLEE 5X50GR   150</t>
  </si>
  <si>
    <t>ZUPREVO 18% 1X100ML 150</t>
  </si>
  <si>
    <t>ZUPREVO 18% 1X250ML 150</t>
  </si>
  <si>
    <t>ZUPREVO 18% 1X50ML 150</t>
  </si>
  <si>
    <t xml:space="preserve">ABRILHANTADOR CALBOS 1 L                                    </t>
  </si>
  <si>
    <t xml:space="preserve">ABRILHANTADOR CALBOS 500 ML                                 </t>
  </si>
  <si>
    <t xml:space="preserve">ACERTA PET BIOX 120 ML REPELENTE SANITARIO                  </t>
  </si>
  <si>
    <t xml:space="preserve">ACERTA PET BIOX 500 ML REPELENTE SANITARIO                  </t>
  </si>
  <si>
    <t xml:space="preserve">ADE BIOX 1 KG                                               </t>
  </si>
  <si>
    <t xml:space="preserve">ADE BIOX 1 KG POUCH                                         </t>
  </si>
  <si>
    <t xml:space="preserve">ADE BIOX 10 KG                                              </t>
  </si>
  <si>
    <t xml:space="preserve">ADE BIOX 20 KG                                              </t>
  </si>
  <si>
    <t xml:space="preserve">ADE CALBOV 1 KG                                             </t>
  </si>
  <si>
    <t xml:space="preserve">ADE CALBOV 10 KG                                            </t>
  </si>
  <si>
    <t xml:space="preserve">ADE CALBOV 20 KG                                            </t>
  </si>
  <si>
    <t xml:space="preserve">ADE PHOS CALBOV 1 KG                                        </t>
  </si>
  <si>
    <t xml:space="preserve">ADE PHOS CALBOV 10 KG                                       </t>
  </si>
  <si>
    <t xml:space="preserve">ADE PHOS CALBOV 2 KG POTE                                   </t>
  </si>
  <si>
    <t xml:space="preserve">ADE PHOS CALBOV 20 KG                                       </t>
  </si>
  <si>
    <t xml:space="preserve">ALIFLEX GEL 500 G                                           </t>
  </si>
  <si>
    <t xml:space="preserve">ALIFLEX SPRAY 120 ML                                        </t>
  </si>
  <si>
    <t xml:space="preserve">ALLIUM 10 KG                                                </t>
  </si>
  <si>
    <t xml:space="preserve">ALLIUM 20 KG                                                </t>
  </si>
  <si>
    <t xml:space="preserve">AMINOBIOX PET 30 ML                                         </t>
  </si>
  <si>
    <t xml:space="preserve">AMITRAZ CALBOS 1 L                                          </t>
  </si>
  <si>
    <t xml:space="preserve">AMITRAZ CALBOS 20 ML                                        </t>
  </si>
  <si>
    <t xml:space="preserve">AMITRAZ CALBOS 20 ML DISPLAY COM 25                         </t>
  </si>
  <si>
    <t xml:space="preserve">AMITRAZ CALBOS 200 ML                                       </t>
  </si>
  <si>
    <t xml:space="preserve">ANTEC CAES CX 120 COMPRIMIDOS                               </t>
  </si>
  <si>
    <t xml:space="preserve">ANTEC CAES CX 4 COMPRIMIDOS                                 </t>
  </si>
  <si>
    <t xml:space="preserve">ATROPINA CALBOS 10 ML                                       </t>
  </si>
  <si>
    <t xml:space="preserve">ATROPINA CALBOS 50 ML                                       </t>
  </si>
  <si>
    <t xml:space="preserve">AVESIL 100 PS 20 ML                                         </t>
  </si>
  <si>
    <t xml:space="preserve">AVESIL CALCIO 20 ML                                         </t>
  </si>
  <si>
    <t xml:space="preserve">AVESIL CANTO 20 ML                                          </t>
  </si>
  <si>
    <t xml:space="preserve">AVESIL FERRO 20 ML                                          </t>
  </si>
  <si>
    <t xml:space="preserve">AVESIL MUDA 20 ML                                           </t>
  </si>
  <si>
    <t xml:space="preserve">AVESIL PLUMAS 20 ML                                         </t>
  </si>
  <si>
    <t xml:space="preserve">AVESIL POLIVITAMINICO 20 ML                                 </t>
  </si>
  <si>
    <t xml:space="preserve">AVESIL REPRODUCAO 100 G                                     </t>
  </si>
  <si>
    <t xml:space="preserve">AVESIL REVIGORA 20 ML                                       </t>
  </si>
  <si>
    <t xml:space="preserve">BIOFLUNIXINA COMPRIMIDOS 20 MG                              </t>
  </si>
  <si>
    <t xml:space="preserve">BIOFLUNIXINA COMPRIMIDOS 5 MG                               </t>
  </si>
  <si>
    <t xml:space="preserve">BIOFORT AVICOLA SOLUVEL 100 G                               </t>
  </si>
  <si>
    <t xml:space="preserve">BIOFORT EQUINOS E BOVINOS 1 L                               </t>
  </si>
  <si>
    <t xml:space="preserve">BIOX PHOS OVINOS E CAPRINOS 5 KG                            </t>
  </si>
  <si>
    <t xml:space="preserve">CALBENDAZOLE 10 1 L                                         </t>
  </si>
  <si>
    <t xml:space="preserve">CALBENDAZOLE 10 200 ML                                      </t>
  </si>
  <si>
    <t xml:space="preserve">CALBENDAZOLE 10 5 L                                         </t>
  </si>
  <si>
    <t xml:space="preserve">CALBIOTICO CX COM 14 FRASCOS                                </t>
  </si>
  <si>
    <t xml:space="preserve">CALBIOTICO CX COM 25 FRASCOS                                </t>
  </si>
  <si>
    <t xml:space="preserve">CALCIOBIOX 100 ML                                           </t>
  </si>
  <si>
    <t xml:space="preserve">CALCIOPAN B 12 1 L                                          </t>
  </si>
  <si>
    <t xml:space="preserve">CALCIOPAN B 12 100 ML                                       </t>
  </si>
  <si>
    <t xml:space="preserve">CALFOZ 200 ML                                               </t>
  </si>
  <si>
    <t xml:space="preserve">CALFOZ 500 ML + EQUIPO                                      </t>
  </si>
  <si>
    <t xml:space="preserve">CALFOZ 500 ML CAIXA COM 18 FR (SEM EQUIPO)                  </t>
  </si>
  <si>
    <t xml:space="preserve">CALFOZ HORSE MAX 1 L                                        </t>
  </si>
  <si>
    <t xml:space="preserve">CALFOZ HORSE MAX 5 L                                        </t>
  </si>
  <si>
    <t xml:space="preserve">CANTAXANTINA BIOX 10 X 6 G                                  </t>
  </si>
  <si>
    <t xml:space="preserve">CARIJO 1 KG                                                 </t>
  </si>
  <si>
    <t xml:space="preserve">CARIJO 10 KG                                                </t>
  </si>
  <si>
    <t xml:space="preserve">CARIJO 20 KG                                                </t>
  </si>
  <si>
    <t xml:space="preserve">CASCOMAX 500 G                                              </t>
  </si>
  <si>
    <t xml:space="preserve">CEBIOX 100 ML                                               </t>
  </si>
  <si>
    <t xml:space="preserve">CEBIOX 30 ML                                                </t>
  </si>
  <si>
    <t xml:space="preserve">CEVAFORT 200 G                                              </t>
  </si>
  <si>
    <t xml:space="preserve">CIPERFON 1 L                                                </t>
  </si>
  <si>
    <t xml:space="preserve">CIPERFON 100 ML                                             </t>
  </si>
  <si>
    <t xml:space="preserve">CIPERMETRINA CALBOS 1 L                                     </t>
  </si>
  <si>
    <t xml:space="preserve">COMPLEXO MINERAL CALBOS 1 KG                                </t>
  </si>
  <si>
    <t xml:space="preserve">CONDICIONADOR PET ALOE VERA E CALENDULA 500 ML              </t>
  </si>
  <si>
    <t xml:space="preserve">CONDROITINA P CALBOS 1 G 60 COMPRIMIDOS                     </t>
  </si>
  <si>
    <t xml:space="preserve">CONDROITINA P CALBOS 500 MG 60 COMPRIMIDOS                  </t>
  </si>
  <si>
    <t xml:space="preserve">CONDROITINA PET BIOX 60 COMPRIMIDOS  1 G                    </t>
  </si>
  <si>
    <t xml:space="preserve">CONDROITINA PET BIOX 60 COMPRIMIDOS 500 MG                  </t>
  </si>
  <si>
    <t xml:space="preserve">CORDEIRO NOBRE 1 KG                                         </t>
  </si>
  <si>
    <t xml:space="preserve">CORDEIRO NOBRE 10 KG                                        </t>
  </si>
  <si>
    <t xml:space="preserve">CORDEIRO NOBRE 20 KG                                        </t>
  </si>
  <si>
    <t xml:space="preserve">CREATINA DOG 200 ML                                         </t>
  </si>
  <si>
    <t xml:space="preserve">CREATINA MAX 2 KG                                           </t>
  </si>
  <si>
    <t xml:space="preserve">CREATINA MAX 250 G                                          </t>
  </si>
  <si>
    <t xml:space="preserve">CREATINA MAX 500 G                                          </t>
  </si>
  <si>
    <t xml:space="preserve">CRISTAL CLEAN 100 ML                                        </t>
  </si>
  <si>
    <t xml:space="preserve">CRISTAL CLEAN 500 ML                                        </t>
  </si>
  <si>
    <t xml:space="preserve">DERMIOX FRAGRANCE BABY BIOX 100 ML                          </t>
  </si>
  <si>
    <t xml:space="preserve">DEXAMETASONA CALBOS 10 ML                                   </t>
  </si>
  <si>
    <t xml:space="preserve">DEXAMETASONA CALBOS 100 ML                                  </t>
  </si>
  <si>
    <t xml:space="preserve">DEXAMETASONA CALBOS 200 ML                                  </t>
  </si>
  <si>
    <t xml:space="preserve">DEXAMETASONA CALBOS 50 ML                                   </t>
  </si>
  <si>
    <t xml:space="preserve">DIASTIN 20 ML                                               </t>
  </si>
  <si>
    <t xml:space="preserve">DIAZIL 100 ML                                               </t>
  </si>
  <si>
    <t xml:space="preserve">DIAZIL 15 ML                                                </t>
  </si>
  <si>
    <t xml:space="preserve">DIAZIL 30 ML                                                </t>
  </si>
  <si>
    <t xml:space="preserve">DIAZIL 50 ML                                                </t>
  </si>
  <si>
    <t xml:space="preserve">ELETROLIFE FAST CENOURA 50G                                 </t>
  </si>
  <si>
    <t xml:space="preserve">ELETROLIFE PET 10X10 G                                      </t>
  </si>
  <si>
    <t xml:space="preserve">ELIMINADOR DE ODORES EUCALIPTO 2 L                          </t>
  </si>
  <si>
    <t xml:space="preserve">ELIMINADOR DE ODORES EUCALIPTO 500 ML                       </t>
  </si>
  <si>
    <t xml:space="preserve">ENDOSTAC 25 G                                               </t>
  </si>
  <si>
    <t xml:space="preserve">FARINHA DE CALCIO AVICOLA 1 KG                              </t>
  </si>
  <si>
    <t xml:space="preserve">FARINHA DE CALCIO MULTI 1 KG                                </t>
  </si>
  <si>
    <t xml:space="preserve">FARINHA DE CALCIO MULTI 10 KG                               </t>
  </si>
  <si>
    <t xml:space="preserve">FARINHA DE CALCIO MULTI 20 KG                               </t>
  </si>
  <si>
    <t xml:space="preserve">FEMME LIFE 300 G                                            </t>
  </si>
  <si>
    <t xml:space="preserve">FERRON B12 10 ML                                            </t>
  </si>
  <si>
    <t xml:space="preserve">FERRON B12 100 ML                                           </t>
  </si>
  <si>
    <t xml:space="preserve">FERRON B12 50 ML                                            </t>
  </si>
  <si>
    <t xml:space="preserve">FILHOTE LIFE 300 G                                          </t>
  </si>
  <si>
    <t xml:space="preserve">GADO LIMPO 100 ML                                           </t>
  </si>
  <si>
    <t xml:space="preserve">GADO LIMPO 200 ML                                           </t>
  </si>
  <si>
    <t xml:space="preserve">GADO LIMPO 250 ML                                           </t>
  </si>
  <si>
    <t xml:space="preserve">GADO LIMPO 50 ML                                            </t>
  </si>
  <si>
    <t xml:space="preserve">GARANHAO MAX 10 KG                                          </t>
  </si>
  <si>
    <t xml:space="preserve">GARANHAO MAX 2 KG                                           </t>
  </si>
  <si>
    <t xml:space="preserve">GEMA MIX 1 KG                                               </t>
  </si>
  <si>
    <t xml:space="preserve">GEMA MIX 10 KG                                              </t>
  </si>
  <si>
    <t xml:space="preserve">GEMA MIX 20 KG                                              </t>
  </si>
  <si>
    <t xml:space="preserve">GLICOCALBOS 200 ML                                          </t>
  </si>
  <si>
    <t xml:space="preserve">GLICOCALBOS 500 ML + EQUIPO                                 </t>
  </si>
  <si>
    <t xml:space="preserve">GLICOCALBOS 500 ML CAIXA COM 18 FR (SEM EQUIPO)             </t>
  </si>
  <si>
    <t xml:space="preserve">GLICOMAX 1 L                                                </t>
  </si>
  <si>
    <t xml:space="preserve">GLICOMAX 200 ML                                             </t>
  </si>
  <si>
    <t xml:space="preserve">GLICOMAX 30 ML                                              </t>
  </si>
  <si>
    <t xml:space="preserve">GLICOMAX 5 L                                                </t>
  </si>
  <si>
    <t xml:space="preserve">HEMOBIOX P 100 ML                                           </t>
  </si>
  <si>
    <t xml:space="preserve">HEMOBIOX P 30 ML                                            </t>
  </si>
  <si>
    <t xml:space="preserve">HEMOCELL 1 L                                                </t>
  </si>
  <si>
    <t xml:space="preserve">HEMOCELL 5 L                                                </t>
  </si>
  <si>
    <t xml:space="preserve">HEMOCELL 500 ML                                             </t>
  </si>
  <si>
    <t xml:space="preserve">HEMOCELL PET 100 ML                                         </t>
  </si>
  <si>
    <t xml:space="preserve">HEMOCELL PET 30 ML                                          </t>
  </si>
  <si>
    <t xml:space="preserve">HEPATOL 20 ML                                               </t>
  </si>
  <si>
    <t xml:space="preserve">HIPOFEN 20 G                                                </t>
  </si>
  <si>
    <t xml:space="preserve">HP 500 1 KG                                                 </t>
  </si>
  <si>
    <t xml:space="preserve">HP 500 10 KG                                                </t>
  </si>
  <si>
    <t xml:space="preserve">HP 500 2 KG                                                 </t>
  </si>
  <si>
    <t xml:space="preserve">IVERMIN 10 ML                                               </t>
  </si>
  <si>
    <t xml:space="preserve">IVERMIN 200 ML                                              </t>
  </si>
  <si>
    <t xml:space="preserve">IVERMIN 50 ML                                               </t>
  </si>
  <si>
    <t xml:space="preserve">IVERMIN 500 ML                                              </t>
  </si>
  <si>
    <t xml:space="preserve">IVERMIN CX COM 50 AMPOLAS 1 ML                              </t>
  </si>
  <si>
    <t xml:space="preserve">IVERMIN PASTA ORAL 6 G                                      </t>
  </si>
  <si>
    <t xml:space="preserve">KIT POS PARTO CALBOS                                        </t>
  </si>
  <si>
    <t xml:space="preserve">LIMP DENT 30 ML                                             </t>
  </si>
  <si>
    <t xml:space="preserve">MASTER CANIS 300 G                                          </t>
  </si>
  <si>
    <t xml:space="preserve">MASTICAL BALDE 36 SERINGAS                                  </t>
  </si>
  <si>
    <t xml:space="preserve">MO PERFORMANCE COM 2 SERINGAS 40 G                          </t>
  </si>
  <si>
    <t xml:space="preserve">MUSCLE BUILDER 2 KG                                         </t>
  </si>
  <si>
    <t xml:space="preserve">MUSTANG 5 KG                                                </t>
  </si>
  <si>
    <t xml:space="preserve">NEOCIDINE H 1,7 L                                           </t>
  </si>
  <si>
    <t xml:space="preserve">OTOLIMP BIOX 100 ML                                         </t>
  </si>
  <si>
    <t xml:space="preserve">PATA NEGRA 1 KG                                             </t>
  </si>
  <si>
    <t xml:space="preserve">PATA NEGRA 10 KG                                            </t>
  </si>
  <si>
    <t xml:space="preserve">PATA NEGRA 20 KG                                            </t>
  </si>
  <si>
    <t xml:space="preserve">PENCIL PRONTO 10 ML                                         </t>
  </si>
  <si>
    <t xml:space="preserve">PENCIL PRONTO 100 ML                                        </t>
  </si>
  <si>
    <t xml:space="preserve">PENCIL PRONTO 25 ML                                         </t>
  </si>
  <si>
    <t xml:space="preserve">PENCIL PRONTO 50 ML                                         </t>
  </si>
  <si>
    <t xml:space="preserve">PIROSAN 200 ML                                              </t>
  </si>
  <si>
    <t xml:space="preserve">PIROSAN 30 ML                                               </t>
  </si>
  <si>
    <t xml:space="preserve">PLACENCAL 10 ML                                             </t>
  </si>
  <si>
    <t xml:space="preserve">PLACENCAL 100 ML                                            </t>
  </si>
  <si>
    <t xml:space="preserve">PLACENCAL 200 ML                                            </t>
  </si>
  <si>
    <t xml:space="preserve">PLACENCAL 50 ML                                             </t>
  </si>
  <si>
    <t xml:space="preserve">POLI CAL SOLUVEL 100 G                                      </t>
  </si>
  <si>
    <t xml:space="preserve">POMADA PARA ORDENHA CALBOS 200 G                            </t>
  </si>
  <si>
    <t xml:space="preserve">POTRUM L 1 L                                                </t>
  </si>
  <si>
    <t xml:space="preserve">POTRUM L 5 L                                                </t>
  </si>
  <si>
    <t xml:space="preserve">PROLIFE BOVIS 35 G                                          </t>
  </si>
  <si>
    <t xml:space="preserve">PROLIFE EQUI 35 G                                           </t>
  </si>
  <si>
    <t xml:space="preserve">PROLIFE PET 15 G                                            </t>
  </si>
  <si>
    <t xml:space="preserve">PROVECTO 1 G 30 COMPRIMIDOS                                 </t>
  </si>
  <si>
    <t xml:space="preserve">PULMOVET REFORCADO                                          </t>
  </si>
  <si>
    <t xml:space="preserve">RUBRALAN 10 ML                                              </t>
  </si>
  <si>
    <t xml:space="preserve">RUBRALAN 100 ML                                             </t>
  </si>
  <si>
    <t xml:space="preserve">RUBRALAN 200 ML                                             </t>
  </si>
  <si>
    <t xml:space="preserve">RUBRALAN 50 ML                                              </t>
  </si>
  <si>
    <t xml:space="preserve">RUBRALAN BIOX 500 G                                         </t>
  </si>
  <si>
    <t xml:space="preserve">RUBRALAN EQUINOS 300 G                                      </t>
  </si>
  <si>
    <t xml:space="preserve">RUBRALAN MIX 10 ML                                          </t>
  </si>
  <si>
    <t xml:space="preserve">RUBRALAN MIX 100 ML                                         </t>
  </si>
  <si>
    <t xml:space="preserve">SEDACOL 100 ML                                              </t>
  </si>
  <si>
    <t xml:space="preserve">SEDACOL 200 ML                                              </t>
  </si>
  <si>
    <t xml:space="preserve">SERENE HORSE 35 G                                           </t>
  </si>
  <si>
    <t xml:space="preserve">SERENE PET 15 G                                             </t>
  </si>
  <si>
    <t xml:space="preserve">SINCRONIZE 20 ML                                            </t>
  </si>
  <si>
    <t xml:space="preserve">SINCRONIZE CX COM 2 AMPOLAS 2 ML                            </t>
  </si>
  <si>
    <t xml:space="preserve">SPRAY CITRONELA 15 CALBOS 5 L                               </t>
  </si>
  <si>
    <t xml:space="preserve">SPRAY CITRONELA 15 CALBOS 500 ML                            </t>
  </si>
  <si>
    <t xml:space="preserve">SPRAY CITRONELA PET BIOX 120 ML                             </t>
  </si>
  <si>
    <t xml:space="preserve">SPRAY CITRONELA PET BIOX 500 ML                             </t>
  </si>
  <si>
    <t xml:space="preserve">STOMACARE 100 ML                                            </t>
  </si>
  <si>
    <t xml:space="preserve">STOP ANTIDIARREICO 500 G                                    </t>
  </si>
  <si>
    <t xml:space="preserve">STOP ANTIDIARREICO CX COM 10 SACHES 10 G                    </t>
  </si>
  <si>
    <t xml:space="preserve">TAITEC ORAL 1 L                                             </t>
  </si>
  <si>
    <t xml:space="preserve">TAITEC ORAL 200 ML                                          </t>
  </si>
  <si>
    <t xml:space="preserve">TRAT ANTIPULGAS PULLTRAT 5 L                                </t>
  </si>
  <si>
    <t xml:space="preserve">TRAT ANTIPULGAS PULLTRAT 500 ML                             </t>
  </si>
  <si>
    <t xml:space="preserve">TRAT BABY BIOX 5 L                                          </t>
  </si>
  <si>
    <t xml:space="preserve">TRAT BABY BIOX 500 ML                                       </t>
  </si>
  <si>
    <t xml:space="preserve">TRAT BRANQUEADOR BIOX 5 L                                   </t>
  </si>
  <si>
    <t xml:space="preserve">TRAT BRANQUEADOR BIOX 500 ML                                </t>
  </si>
  <si>
    <t xml:space="preserve">TRAT BRANQUEADOR EQ E BOV 1 L                               </t>
  </si>
  <si>
    <t xml:space="preserve">TRAT CITRONELA EQUINOS CALBOS 1 L                           </t>
  </si>
  <si>
    <t xml:space="preserve">TRAT CITRONELA EQUINOS CALBOS 5 L                           </t>
  </si>
  <si>
    <t xml:space="preserve">TRAT CITRONELA PET CALBOS 1 L                               </t>
  </si>
  <si>
    <t xml:space="preserve">TRAT CITRONELA PET CALBOS 500 ML                            </t>
  </si>
  <si>
    <t xml:space="preserve">TRAT CONDICIONADOR EQUINOS CALBOS 1 L                       </t>
  </si>
  <si>
    <t xml:space="preserve">TRAT DERMIOX CARE 500 ML                                    </t>
  </si>
  <si>
    <t xml:space="preserve">TRAT DERMIOX HIPOALERGENICO 500 ML                          </t>
  </si>
  <si>
    <t xml:space="preserve">TRAT EQ E BOV CALBOS 1 L                                    </t>
  </si>
  <si>
    <t xml:space="preserve">TRAT EQ E BOV CALBOS 5 L                                    </t>
  </si>
  <si>
    <t xml:space="preserve">TRAT FEMME BIOX 5 L                                         </t>
  </si>
  <si>
    <t xml:space="preserve">TRAT FEMME BIOX 500 ML                                      </t>
  </si>
  <si>
    <t xml:space="preserve">TRAT FLORES DO CAMPO CALBOS 500 ML                          </t>
  </si>
  <si>
    <t xml:space="preserve">TRAT PET BIOX ALOE VERA E CALENDULA 5 L                     </t>
  </si>
  <si>
    <t xml:space="preserve">TRAT PET BIOX ALOE VERA E CALENDULA 500 ML                  </t>
  </si>
  <si>
    <t xml:space="preserve">VERMICAL 1 KG                                               </t>
  </si>
  <si>
    <t xml:space="preserve">VERMICAL CX COM 10 SACHES 10 G                              </t>
  </si>
  <si>
    <t xml:space="preserve">VERMICAL SACHE 50 G                                         </t>
  </si>
  <si>
    <t xml:space="preserve">VERMIOX 30 ML                                               </t>
  </si>
  <si>
    <t xml:space="preserve">VIT ADE 10 ML                                               </t>
  </si>
  <si>
    <t xml:space="preserve">VIT ADE 100 ML                                              </t>
  </si>
  <si>
    <t xml:space="preserve">VIT ADE 200 ML                                              </t>
  </si>
  <si>
    <t xml:space="preserve">VIT ADE 50 ML                                               </t>
  </si>
  <si>
    <t xml:space="preserve">VIT ADE ORAL 1 KG                                           </t>
  </si>
  <si>
    <t xml:space="preserve">VIT ADE ORAL 10 KG                                          </t>
  </si>
  <si>
    <t xml:space="preserve">VIT ADE ORAL 2 KG                                           </t>
  </si>
  <si>
    <t xml:space="preserve">VIT ADE ORAL 20 KG                                          </t>
  </si>
  <si>
    <t xml:space="preserve">VITACALBOS 1 L                                              </t>
  </si>
  <si>
    <t xml:space="preserve">VITACALBOS 20 ML                                            </t>
  </si>
  <si>
    <t xml:space="preserve">VITACALBOS 200 ML                                           </t>
  </si>
  <si>
    <t xml:space="preserve">VITACALBOS 50 ML                                            </t>
  </si>
  <si>
    <t xml:space="preserve">XIXI DOG 20 ML                                              </t>
  </si>
  <si>
    <t xml:space="preserve">8 FR </t>
  </si>
  <si>
    <t xml:space="preserve">11 FR </t>
  </si>
  <si>
    <t xml:space="preserve">18 FR </t>
  </si>
  <si>
    <t xml:space="preserve">12 FR </t>
  </si>
  <si>
    <t xml:space="preserve">25 SC </t>
  </si>
  <si>
    <t xml:space="preserve">6 SC </t>
  </si>
  <si>
    <t xml:space="preserve">1 BD </t>
  </si>
  <si>
    <t xml:space="preserve">6 PT </t>
  </si>
  <si>
    <t xml:space="preserve">25 FR </t>
  </si>
  <si>
    <t xml:space="preserve">6 FR </t>
  </si>
  <si>
    <t>1 DIS</t>
  </si>
  <si>
    <t xml:space="preserve">15 FR </t>
  </si>
  <si>
    <t>10 DIS</t>
  </si>
  <si>
    <t xml:space="preserve">48 UN </t>
  </si>
  <si>
    <t xml:space="preserve">30 FR </t>
  </si>
  <si>
    <t xml:space="preserve">16 FR </t>
  </si>
  <si>
    <t xml:space="preserve">16 PT </t>
  </si>
  <si>
    <t xml:space="preserve">96 CX </t>
  </si>
  <si>
    <t xml:space="preserve">15 UN </t>
  </si>
  <si>
    <t xml:space="preserve">10 FR </t>
  </si>
  <si>
    <t xml:space="preserve">5 SC </t>
  </si>
  <si>
    <t xml:space="preserve">2 FR </t>
  </si>
  <si>
    <t xml:space="preserve">1 CX </t>
  </si>
  <si>
    <t xml:space="preserve">1 UN </t>
  </si>
  <si>
    <t xml:space="preserve">20 FR </t>
  </si>
  <si>
    <t xml:space="preserve">22 FR </t>
  </si>
  <si>
    <t xml:space="preserve">4 FR </t>
  </si>
  <si>
    <t xml:space="preserve">12 CX </t>
  </si>
  <si>
    <t xml:space="preserve">3 PT </t>
  </si>
  <si>
    <t xml:space="preserve">14 UN </t>
  </si>
  <si>
    <t xml:space="preserve">30 PT </t>
  </si>
  <si>
    <t xml:space="preserve">2 PT </t>
  </si>
  <si>
    <t xml:space="preserve">8 PT </t>
  </si>
  <si>
    <t xml:space="preserve">24 FR </t>
  </si>
  <si>
    <t xml:space="preserve">24 UN </t>
  </si>
  <si>
    <t xml:space="preserve">17 CX </t>
  </si>
  <si>
    <t xml:space="preserve">12 PT </t>
  </si>
  <si>
    <t xml:space="preserve">14 FR </t>
  </si>
  <si>
    <t xml:space="preserve">4 SC </t>
  </si>
  <si>
    <t xml:space="preserve">2 UN </t>
  </si>
  <si>
    <t>8 DIS</t>
  </si>
  <si>
    <t xml:space="preserve">6 UN </t>
  </si>
  <si>
    <t xml:space="preserve">33 FR </t>
  </si>
  <si>
    <t xml:space="preserve">9 PT </t>
  </si>
  <si>
    <t xml:space="preserve">4 BD </t>
  </si>
  <si>
    <t xml:space="preserve">12 UN </t>
  </si>
  <si>
    <t xml:space="preserve">32 FR </t>
  </si>
  <si>
    <t>24 BIS</t>
  </si>
  <si>
    <t>28 BIS</t>
  </si>
  <si>
    <t xml:space="preserve">7 FR </t>
  </si>
  <si>
    <t xml:space="preserve">36 UN </t>
  </si>
  <si>
    <t xml:space="preserve">9 FR </t>
  </si>
  <si>
    <t xml:space="preserve">18 UN </t>
  </si>
  <si>
    <t xml:space="preserve">9 CX </t>
  </si>
  <si>
    <t xml:space="preserve">5 UN </t>
  </si>
  <si>
    <t xml:space="preserve">5 FR </t>
  </si>
  <si>
    <t xml:space="preserve">30 UN </t>
  </si>
  <si>
    <t xml:space="preserve">36 FR </t>
  </si>
  <si>
    <t>LACTOTROPIN</t>
  </si>
  <si>
    <t>POSILAC</t>
  </si>
  <si>
    <t>LINHA AGENER</t>
  </si>
  <si>
    <t>LACTROTOPIN</t>
  </si>
  <si>
    <t>EQUI UP M</t>
  </si>
  <si>
    <t>FIROCOXIB VETNIL INJETAVEL</t>
  </si>
  <si>
    <t>MEBENDAZOLE VETNIL AVES 30G</t>
  </si>
  <si>
    <t>DOXICICLINA VETNIL COMP. 100MG</t>
  </si>
  <si>
    <t>DOXICICLINA VETNIL COMP. 25MG</t>
  </si>
  <si>
    <t>DOXICICLINA VETNIL COMP. 50MG</t>
  </si>
  <si>
    <t>DOXICICLINA VETNIL INJETAVEL 20ML</t>
  </si>
  <si>
    <t>MELOXINEW 0,2% INJETAVEL 30ML</t>
  </si>
  <si>
    <t>OPTIVET CLEAN 100 ML</t>
  </si>
  <si>
    <t>VETMAX PLUS DISPLAY 4 COMP</t>
  </si>
  <si>
    <t>VETNIDAZOL 300MG 10 COMP</t>
  </si>
  <si>
    <t>VETNIDAZOL 75MG 10 COMP</t>
  </si>
  <si>
    <r>
      <rPr>
        <sz val="11"/>
        <rFont val="Calibri"/>
        <family val="1"/>
      </rPr>
      <t>ACURA 25 ML</t>
    </r>
  </si>
  <si>
    <r>
      <rPr>
        <sz val="11"/>
        <rFont val="Calibri"/>
        <family val="1"/>
      </rPr>
      <t>ACURA MAX 25 ML</t>
    </r>
  </si>
  <si>
    <r>
      <rPr>
        <sz val="11"/>
        <rFont val="Calibri"/>
        <family val="1"/>
      </rPr>
      <t>BULLMEC GOLD 50 ML</t>
    </r>
  </si>
  <si>
    <r>
      <rPr>
        <sz val="11"/>
        <rFont val="Calibri"/>
        <family val="1"/>
      </rPr>
      <t>DIAZITOP PM</t>
    </r>
  </si>
  <si>
    <r>
      <rPr>
        <sz val="11"/>
        <rFont val="Calibri"/>
        <family val="1"/>
      </rPr>
      <t>FARMARON PREMIUM DERMO C/ 200 G</t>
    </r>
  </si>
  <si>
    <r>
      <rPr>
        <sz val="11"/>
        <rFont val="Calibri"/>
        <family val="1"/>
      </rPr>
      <t>FARMAZOLE OVI E CAP. FR C/ 1 L</t>
    </r>
  </si>
  <si>
    <r>
      <rPr>
        <sz val="11"/>
        <rFont val="Calibri"/>
        <family val="1"/>
      </rPr>
      <t>FARMAZOLE OVI E CAP. FR C/ 250 ML</t>
    </r>
  </si>
  <si>
    <r>
      <rPr>
        <sz val="11"/>
        <rFont val="Calibri"/>
        <family val="1"/>
      </rPr>
      <t>FLOP BISNAGA 100 G</t>
    </r>
  </si>
  <si>
    <r>
      <rPr>
        <sz val="11"/>
        <rFont val="Calibri"/>
        <family val="1"/>
      </rPr>
      <t>FLOXIN ORAL 20% FR C/  50 ML</t>
    </r>
  </si>
  <si>
    <r>
      <rPr>
        <sz val="11"/>
        <rFont val="Calibri"/>
        <family val="1"/>
      </rPr>
      <t>FLOXIN ORAL 20% FR C/ 20 ML</t>
    </r>
  </si>
  <si>
    <r>
      <rPr>
        <sz val="11"/>
        <rFont val="Calibri"/>
        <family val="1"/>
      </rPr>
      <t>FLYTION EC 50 1L</t>
    </r>
  </si>
  <si>
    <r>
      <rPr>
        <sz val="11"/>
        <rFont val="Calibri"/>
        <family val="1"/>
      </rPr>
      <t>FLYTION EC 50 33 mL</t>
    </r>
  </si>
  <si>
    <r>
      <rPr>
        <sz val="11"/>
        <rFont val="Calibri"/>
        <family val="1"/>
      </rPr>
      <t>PENJET PLUS PPU 24 FR X 50 ML</t>
    </r>
  </si>
  <si>
    <r>
      <rPr>
        <sz val="11"/>
        <rFont val="Calibri"/>
        <family val="1"/>
      </rPr>
      <t>PIRONAL FR AMP C/ 50 ML</t>
    </r>
  </si>
  <si>
    <r>
      <rPr>
        <sz val="11"/>
        <rFont val="Calibri"/>
        <family val="1"/>
      </rPr>
      <t>ROTOR 25 g 48 SH</t>
    </r>
  </si>
  <si>
    <r>
      <rPr>
        <sz val="11"/>
        <rFont val="Calibri"/>
        <family val="1"/>
      </rPr>
      <t>RUMINOL VTQ FR C/ 100 ML</t>
    </r>
  </si>
  <si>
    <r>
      <rPr>
        <sz val="11"/>
        <rFont val="Calibri"/>
        <family val="1"/>
      </rPr>
      <t>WORMEK TX 3,5% FR C/ 1 L</t>
    </r>
  </si>
  <si>
    <r>
      <rPr>
        <sz val="11"/>
        <rFont val="Calibri"/>
        <family val="1"/>
      </rPr>
      <t>WORMEK TX 3,5% FR C/ 500 ML</t>
    </r>
  </si>
  <si>
    <t>ATACADO (SOMENTE PESQUEIRA)</t>
  </si>
  <si>
    <r>
      <rPr>
        <sz val="11"/>
        <rFont val="Calibri"/>
        <family val="1"/>
      </rPr>
      <t>EQUISTRO - EXCELL E 1L</t>
    </r>
  </si>
  <si>
    <r>
      <rPr>
        <sz val="11"/>
        <rFont val="Calibri"/>
        <family val="1"/>
      </rPr>
      <t>EQUISTRO HAEMOLYTAN 400 IPALIGO 1L</t>
    </r>
  </si>
  <si>
    <r>
      <rPr>
        <sz val="11"/>
        <rFont val="Calibri"/>
        <family val="1"/>
      </rPr>
      <t>EQUISTRO KERABOL IPALIGO 1L</t>
    </r>
  </si>
  <si>
    <r>
      <rPr>
        <sz val="11"/>
        <rFont val="Calibri"/>
        <family val="1"/>
      </rPr>
      <t>EQUISTRO MEGA BASE 3 KG</t>
    </r>
  </si>
  <si>
    <r>
      <rPr>
        <sz val="11"/>
        <rFont val="Calibri"/>
        <family val="1"/>
      </rPr>
      <t>EQUISTRO ENERGY BOOSTER - SERINGA C/20 G</t>
    </r>
  </si>
  <si>
    <t>R$ 344,21</t>
  </si>
  <si>
    <t>R$ 404,17</t>
  </si>
  <si>
    <t>R$ 471,60</t>
  </si>
  <si>
    <t>R$ 23,71</t>
  </si>
  <si>
    <r>
      <rPr>
        <sz val="11"/>
        <rFont val="Calibri"/>
        <family val="1"/>
      </rPr>
      <t>ALTIS INJETÁVEL 1 L</t>
    </r>
  </si>
  <si>
    <r>
      <rPr>
        <sz val="11"/>
        <rFont val="Calibri"/>
        <family val="1"/>
      </rPr>
      <t>ALTIS POUR-ON  5 FR X 1L</t>
    </r>
  </si>
  <si>
    <r>
      <rPr>
        <sz val="11"/>
        <rFont val="Calibri"/>
        <family val="1"/>
      </rPr>
      <t>BULLMAX  6 FR X 500 ML</t>
    </r>
  </si>
  <si>
    <r>
      <rPr>
        <sz val="11"/>
        <rFont val="Calibri"/>
        <family val="1"/>
      </rPr>
      <t>BULLMAX 50 ML</t>
    </r>
  </si>
  <si>
    <r>
      <rPr>
        <sz val="11"/>
        <rFont val="Calibri"/>
        <family val="1"/>
      </rPr>
      <t>BULLMAX PREMIUM 6 FR X 500 ML</t>
    </r>
  </si>
  <si>
    <r>
      <rPr>
        <sz val="11"/>
        <rFont val="Calibri"/>
        <family val="1"/>
      </rPr>
      <t>BULLMEC GOLD 1L</t>
    </r>
  </si>
  <si>
    <r>
      <rPr>
        <sz val="11"/>
        <rFont val="Calibri"/>
        <family val="1"/>
      </rPr>
      <t>BULLMEC GOLD 500 ML</t>
    </r>
  </si>
  <si>
    <r>
      <rPr>
        <sz val="11"/>
        <rFont val="Calibri"/>
        <family val="1"/>
      </rPr>
      <t>CONTRATACK INJETÁVEL 6 FR X 1.000 ML</t>
    </r>
  </si>
  <si>
    <r>
      <rPr>
        <sz val="11"/>
        <rFont val="Calibri"/>
        <family val="1"/>
      </rPr>
      <t>CONTRATACK INJETÁVEL 6 FR X 500 ML</t>
    </r>
  </si>
  <si>
    <r>
      <rPr>
        <sz val="11"/>
        <rFont val="Calibri"/>
        <family val="1"/>
      </rPr>
      <t>CONTRATACK INJETÁVEL PLUS 1000 ML</t>
    </r>
  </si>
  <si>
    <r>
      <rPr>
        <sz val="11"/>
        <rFont val="Calibri"/>
        <family val="1"/>
      </rPr>
      <t>CONTRATACK INJETÁVEL PLUS 500 ML</t>
    </r>
  </si>
  <si>
    <r>
      <rPr>
        <sz val="11"/>
        <rFont val="Calibri"/>
        <family val="1"/>
      </rPr>
      <t>CONTRATACK PLUS POUR ON 4FR X 1L</t>
    </r>
  </si>
  <si>
    <r>
      <rPr>
        <sz val="11"/>
        <rFont val="Calibri"/>
        <family val="1"/>
      </rPr>
      <t>FIPROTACK 4 FR X 1L</t>
    </r>
  </si>
  <si>
    <r>
      <rPr>
        <sz val="11"/>
        <rFont val="Calibri"/>
        <family val="1"/>
      </rPr>
      <t>FIPROTAG 210 CAIXA MASTER</t>
    </r>
  </si>
  <si>
    <r>
      <rPr>
        <sz val="11"/>
        <rFont val="Calibri"/>
        <family val="1"/>
      </rPr>
      <t>FLYTION POUR ON 5 L</t>
    </r>
  </si>
  <si>
    <r>
      <rPr>
        <sz val="11"/>
        <rFont val="Calibri"/>
        <family val="1"/>
      </rPr>
      <t>FORCYL FR AMP C/ 100 ML</t>
    </r>
  </si>
  <si>
    <r>
      <rPr>
        <sz val="11"/>
        <rFont val="Calibri"/>
        <family val="1"/>
      </rPr>
      <t>FORCYL FR AMP C/ 50 ML</t>
    </r>
  </si>
  <si>
    <r>
      <rPr>
        <sz val="11"/>
        <rFont val="Calibri"/>
        <family val="1"/>
      </rPr>
      <t>ROTOR 1 Kg</t>
    </r>
  </si>
  <si>
    <r>
      <rPr>
        <sz val="11"/>
        <rFont val="Calibri"/>
        <family val="1"/>
      </rPr>
      <t>TOLFEDINE CS INJ C/ 100ML BR</t>
    </r>
  </si>
  <si>
    <t>REVENDA (DEMAIS LOJAS)</t>
  </si>
  <si>
    <t>AVEMIL CALCIO PLUS CART 20ML</t>
  </si>
  <si>
    <t>AVEMIL COMPLEXO VITAMINICO CART 20ML</t>
  </si>
  <si>
    <t>AVEMIL FERRO PLUS CART 20ML</t>
  </si>
  <si>
    <t>AVEMIL FORTE VITA CART 20ML</t>
  </si>
  <si>
    <t>AVEMIL MUDA CART 20ML</t>
  </si>
  <si>
    <t>AVEMIL PLUMAS CART 20ML</t>
  </si>
  <si>
    <t>AVEMIL PRONTOVIT CART 20ML</t>
  </si>
  <si>
    <t>AVEMIL REPRODUCAO CART 20ML</t>
  </si>
  <si>
    <t xml:space="preserve">AVEMIL SOLUVEL CART 100ML </t>
  </si>
  <si>
    <t>AVEMIL SOLUVEL CART 20ML</t>
  </si>
  <si>
    <t>BELTHRINE CART 20ML</t>
  </si>
  <si>
    <t>BELTOX C FRASCO 20ML</t>
  </si>
  <si>
    <t>BEUTIPLUS FRACO 400ML</t>
  </si>
  <si>
    <t>BEUTIPLUS FRASCO 180ML</t>
  </si>
  <si>
    <t>BIOGOLD CART 15ML</t>
  </si>
  <si>
    <t>BIOGOLD CART 50ML</t>
  </si>
  <si>
    <t>BRUMOLINE CART 75G</t>
  </si>
  <si>
    <t>BRUMOLINE SACHE 25G</t>
  </si>
  <si>
    <t>BRUMOLINE SACHE 75G</t>
  </si>
  <si>
    <t>CEVAVITA CART 200G</t>
  </si>
  <si>
    <t>COMPLEXO MINERAL SACHE 1KG</t>
  </si>
  <si>
    <t>DANETTRIL CARTUCHO C/10 COMP. ENRO 50MG</t>
  </si>
  <si>
    <t>DANETTRIL DISP C/25 BLISTER 10 COMP.</t>
  </si>
  <si>
    <t>FARCALCIO FOSFATADO SACHE 1KG</t>
  </si>
  <si>
    <t>FARINHA DE CALCIO SACHE 1KG</t>
  </si>
  <si>
    <t>HIGIENISAN SHAMPOO HORSE 500ML</t>
  </si>
  <si>
    <t>HIGIENISAN SHAMPOO INSET 250ML</t>
  </si>
  <si>
    <t>INDUCALCIO ORAL CART 100ML</t>
  </si>
  <si>
    <t>LINOPLUS FRASCO 180ML</t>
  </si>
  <si>
    <t xml:space="preserve">LINOPLUS FRASCO 400ML </t>
  </si>
  <si>
    <t>M. BICHEIRA INDU PRATA 200ML</t>
  </si>
  <si>
    <t xml:space="preserve">M. BICHEIRA INDU PRATA 500ML </t>
  </si>
  <si>
    <t>PROVERMIN PASTA CART 20G</t>
  </si>
  <si>
    <t>PROVERMIN PASTA DISPLAY C/12 SERINGAS</t>
  </si>
  <si>
    <t>PROVERMIN PLUS CART 28G</t>
  </si>
  <si>
    <t>PROVERMIN PLUS DISPLAY C/12 SERINGAS</t>
  </si>
  <si>
    <t>PROVERMIN PO DISP C/50 SACHES 20G</t>
  </si>
  <si>
    <t>PURGANTE SALINO SACHE 500G</t>
  </si>
  <si>
    <t>REUMASAY BISNAGA 80G</t>
  </si>
  <si>
    <t>SARNEN SABONETE CART 75G</t>
  </si>
  <si>
    <t>SARNEN SUSPENSAO CART 60ML</t>
  </si>
  <si>
    <t>SARNEN SUSPENSAO SPRAY CART 120ML</t>
  </si>
  <si>
    <t>STRONDAL CART C/4 COMP.</t>
  </si>
  <si>
    <t>STRONDAL PLUS CART C/4 COMP,.</t>
  </si>
  <si>
    <t>TALFON TOP BALDE 200X100G</t>
  </si>
  <si>
    <t>TALFON TOP BALDE 20X1KG</t>
  </si>
  <si>
    <t>TALFON TOP BALDE 80X250G</t>
  </si>
  <si>
    <t>TALFON TOP CAIXA 110X100G</t>
  </si>
  <si>
    <t>TALFON TOP CAIXA 11X1KG</t>
  </si>
  <si>
    <t>TALFON TOP CAIXA 44X250G</t>
  </si>
  <si>
    <t xml:space="preserve">TALFON TOP CART 100G </t>
  </si>
  <si>
    <t>TALFON TOP CART 1KG</t>
  </si>
  <si>
    <t>TALFON TOP CART 250G</t>
  </si>
  <si>
    <t>TALFON TOP TALQ 100G</t>
  </si>
  <si>
    <t>TANICID BALDE C/2 SACHES 1KG</t>
  </si>
  <si>
    <t xml:space="preserve">TANICID CART 1KG </t>
  </si>
  <si>
    <t>TANICID TALQ 200G</t>
  </si>
  <si>
    <t xml:space="preserve">VERMEX CART 20ML </t>
  </si>
  <si>
    <t>VERMEX PLUS CART 20ML</t>
  </si>
  <si>
    <t>VERMITRAT P DISCPLAY C/25 BLIST (6 COMP)</t>
  </si>
  <si>
    <t>ATP 87,5 GR</t>
  </si>
  <si>
    <t>BCAA 2X60G</t>
  </si>
  <si>
    <t>CORPORE POTROS 3KG POUCH</t>
  </si>
  <si>
    <t>CORPORE POTROS POUCH 10KG POUCH</t>
  </si>
  <si>
    <t>D-NITROX 100GR</t>
  </si>
  <si>
    <t>GASTRO EQUI 4X1KG</t>
  </si>
  <si>
    <t>GLICOL TURBO 1,5L</t>
  </si>
  <si>
    <t>KIT PRE-PROVA 277,5GR</t>
  </si>
  <si>
    <t>MO TURBO 2X40G</t>
  </si>
  <si>
    <t>MO TURBO DISPLAY 12X80G)</t>
  </si>
  <si>
    <t>MUSCLE HORSE TURBO 2,5 KG POUCH</t>
  </si>
  <si>
    <t>MUSCLE HORSE TURBO 2,5KG</t>
  </si>
  <si>
    <t>NUTRIFULL APETITE 24X34ML</t>
  </si>
  <si>
    <t>ORGA MILK  10KG</t>
  </si>
  <si>
    <t>PRE PROVA 3 EM 1 12X80ML</t>
  </si>
  <si>
    <t>PROMUN RECEM NASCIDO 24X30ML</t>
  </si>
  <si>
    <t>RELAX ICE BARRO 1,2KG</t>
  </si>
  <si>
    <t>RESISTANCE 1KG</t>
  </si>
  <si>
    <t>TURBO 90G</t>
  </si>
  <si>
    <t>17 BETA 50ML</t>
  </si>
  <si>
    <t xml:space="preserve">AGULHA / PONTEIRA PARA SORO EM INOX </t>
  </si>
  <si>
    <t xml:space="preserve">AGULHA DE PUNÇÃO </t>
  </si>
  <si>
    <t>ALTRENGEST 50ML</t>
  </si>
  <si>
    <t>BOTU - BOV (MÍNIMO 2 UNIDADES) 500ML</t>
  </si>
  <si>
    <t>BOTU - BOV (MÍNIMO 7 UNIDADES) 100ML</t>
  </si>
  <si>
    <t xml:space="preserve">BOTU - BOX </t>
  </si>
  <si>
    <t>BOTU - CRIO (MÍNIMO 15 UNIDADES) 25ML</t>
  </si>
  <si>
    <t>BOTU - EMBRYO - BISNAGA (CX COM 5 UNID.) 5FR8ML</t>
  </si>
  <si>
    <t>BOTU - EMBRYO UP - BISNAGA (CX COM 5 UNID.) 5FR8ML</t>
  </si>
  <si>
    <t xml:space="preserve">BOTU - FLEX </t>
  </si>
  <si>
    <t>BOTU - MIX ELETRORACE C15UNIDSERINGA50G</t>
  </si>
  <si>
    <t>BOTU - MIX ENTRIN HORSE 43G</t>
  </si>
  <si>
    <t>BOTU - MIX ENTRIN POTRO 34G</t>
  </si>
  <si>
    <t>BOTU - MIX GARANHÃO 15L</t>
  </si>
  <si>
    <t>BOTU - MIX GARANHÃO PLUS 15L</t>
  </si>
  <si>
    <t>BOTU - MIX MARATHON 21L</t>
  </si>
  <si>
    <t>BOTU - MIX MEGA POWER CREATINE 05KG</t>
  </si>
  <si>
    <t>BOTU - MIX MEGA POWER CREATINE 10KG</t>
  </si>
  <si>
    <t>BOTU - MIX MEGA POWER CREATINE 25KG</t>
  </si>
  <si>
    <t>BOTU - MIX MIOPROX 10L</t>
  </si>
  <si>
    <t>BOTU - MIX NEONATO 43G</t>
  </si>
  <si>
    <t>BOTU - MIX POS RACING C15UNIDSERINGA40G</t>
  </si>
  <si>
    <t>BOTU - MIX POTROS 10KG</t>
  </si>
  <si>
    <t>BOTU - MIX POTROS 3KG</t>
  </si>
  <si>
    <t>BOTU - MIX PRÉ-RACING 38G</t>
  </si>
  <si>
    <t>BOTU - MIX PRÉ-RACING 40G</t>
  </si>
  <si>
    <t>BOTU - MIX PRO SPEED - LÍQUIDO - 2,1L 21L</t>
  </si>
  <si>
    <t>BOTU - MIX PRO SPEED EM PÓ 12KG 12KG</t>
  </si>
  <si>
    <t>BOTU - MIX PRO SPEED EM PÓ 2,1KG 21KG</t>
  </si>
  <si>
    <t>BOTU - MIX PRO SPEED EM PÓ 5KG 5KG</t>
  </si>
  <si>
    <t>BOTU - MIX RED UP 10L</t>
  </si>
  <si>
    <t>BOTU - MIX RED UP 15L</t>
  </si>
  <si>
    <t>BOTU - MIX REPRODUTORA 15L</t>
  </si>
  <si>
    <t>BOTU - MIX REPRODUTORA PLUS 15L</t>
  </si>
  <si>
    <t>BOTU - MIX REVITALIZE 10L</t>
  </si>
  <si>
    <t>BOTU - MIX REVITALIZE 15L</t>
  </si>
  <si>
    <t>BOTU - MIX STOMEX 43G</t>
  </si>
  <si>
    <t>BOTU - SÊMEN 10FR100ML</t>
  </si>
  <si>
    <t>BOTU - SÊMEN GOLD 10FR100ML</t>
  </si>
  <si>
    <t>BOTU - SÊMEN SPECIAL 10FR100ML</t>
  </si>
  <si>
    <t>BOTU - TURBO 10FR100ML</t>
  </si>
  <si>
    <t>BOTU - VITAL 10ML</t>
  </si>
  <si>
    <t>BOTU DOG 2FR20ML</t>
  </si>
  <si>
    <t>BOTU DOG FREEZING 8ML</t>
  </si>
  <si>
    <t>BOTU DOG TURBO 2FR20ML</t>
  </si>
  <si>
    <t>BOTU I.A. C30UNIDADES</t>
  </si>
  <si>
    <t xml:space="preserve">BOTUKILLER - 90 mL </t>
  </si>
  <si>
    <t>BOTU-MIX ARTROPLUS DE500G</t>
  </si>
  <si>
    <t>BOTU-MIX ARTROPLUS PREMIUM DE500G</t>
  </si>
  <si>
    <t>BOTUMIX TOURO 21L</t>
  </si>
  <si>
    <t xml:space="preserve">BOTUTAINER </t>
  </si>
  <si>
    <t>CAMISINHA 5UNID</t>
  </si>
  <si>
    <t xml:space="preserve">COPO COLETOR </t>
  </si>
  <si>
    <t>EQUIPURE (PARCERIA NIDACON) 100ML</t>
  </si>
  <si>
    <t>FIROVET INJETAVEL HORSE 25ML</t>
  </si>
  <si>
    <t>FIROVET PASTA ORAL HORSE 35G</t>
  </si>
  <si>
    <t xml:space="preserve">GELO AVULSO 400ML (BOTUFLEX) </t>
  </si>
  <si>
    <t xml:space="preserve">GRADE E SUPORTE CONGELAÇÃO </t>
  </si>
  <si>
    <t>LACTOFULL HORSE 15-BI 40G</t>
  </si>
  <si>
    <t>LACZIN C15UNIDSERINGA35G</t>
  </si>
  <si>
    <t xml:space="preserve">MUCOSA EQUINA DE LÁTEX NAT. </t>
  </si>
  <si>
    <t xml:space="preserve">MUCOSA LATEX (BOVINO E CAPRINO) </t>
  </si>
  <si>
    <t>MUCOSA PLÁSTICA 10UNID</t>
  </si>
  <si>
    <t>P4-300 100ML</t>
  </si>
  <si>
    <t xml:space="preserve">PINÇA BIOPSIA BOVINA </t>
  </si>
  <si>
    <t xml:space="preserve">PINÇA BIOPSIA EQUINA </t>
  </si>
  <si>
    <t xml:space="preserve">PINÇA DE CITOLOGIA </t>
  </si>
  <si>
    <t>PIPETA DE INSEMINACAO ARTIFICIAL E TRANSFERENCIA DE EMBRIAO - PCT COM 25 UNID. C14PCTS25UNIDPORPCT</t>
  </si>
  <si>
    <t>PIPETA DE INSEMINACAO ARTIFICIAL E TRANSFERENCIA DE EMBRIAO - PCT COM 25 UNID. C30PCTS25UNIDPORPCT</t>
  </si>
  <si>
    <t>PRO-JOINT - SERINGA 2ML - L.P. 168/2024 2ML</t>
  </si>
  <si>
    <t>RED CUSHION 100ML</t>
  </si>
  <si>
    <t>RED CUSHION 20ML</t>
  </si>
  <si>
    <t>RESET - IOIMBINA 1,0% INJETAVEL 50ML</t>
  </si>
  <si>
    <t>SEDACOMBO 50ML</t>
  </si>
  <si>
    <t xml:space="preserve">SPERMFILTER - FILTRO CONCENT. SÊMEN </t>
  </si>
  <si>
    <t>STRELIN 10ML</t>
  </si>
  <si>
    <t>TEST DILUENTES DE SEMEN (1 DILUENTE DE CADA) 4FR100ML</t>
  </si>
  <si>
    <t xml:space="preserve">TUBO VAGINA ARTIFICIAL BOVINA </t>
  </si>
  <si>
    <t xml:space="preserve">TUBO VAGINA ARTIFICIAL EQUINA </t>
  </si>
  <si>
    <t xml:space="preserve">TUBO VAGINA ARTIFICIAL EQUINA ABERTA 2 LADOS </t>
  </si>
  <si>
    <t xml:space="preserve">TUBO VAGINA ARTIFICIAL FRACIONADA CURTA </t>
  </si>
  <si>
    <r>
      <rPr>
        <sz val="11"/>
        <rFont val="Calibri"/>
        <family val="1"/>
      </rPr>
      <t>AMINO 3R (5 LITROS)</t>
    </r>
  </si>
  <si>
    <r>
      <rPr>
        <sz val="11"/>
        <rFont val="Calibri"/>
        <family val="1"/>
      </rPr>
      <t>AMINO EQUUS SPORT 10KG + BRINDE</t>
    </r>
  </si>
  <si>
    <r>
      <rPr>
        <sz val="11"/>
        <rFont val="Calibri"/>
        <family val="1"/>
      </rPr>
      <t>AMINO EQUUS SPORT 10KG+ CADEIR</t>
    </r>
  </si>
  <si>
    <r>
      <rPr>
        <sz val="11"/>
        <rFont val="Calibri"/>
        <family val="1"/>
      </rPr>
      <t>AMINO EQUUS SPORT 10KG+CAPA</t>
    </r>
  </si>
  <si>
    <r>
      <rPr>
        <sz val="11"/>
        <rFont val="Calibri"/>
        <family val="1"/>
      </rPr>
      <t>AMINO EQUUS SPORT 10KG+COLETE</t>
    </r>
  </si>
  <si>
    <r>
      <rPr>
        <sz val="11"/>
        <rFont val="Calibri"/>
        <family val="1"/>
      </rPr>
      <t>AMINO EQUUS SPORT 2,5KG+BRINDE</t>
    </r>
  </si>
  <si>
    <r>
      <rPr>
        <sz val="11"/>
        <rFont val="Calibri"/>
        <family val="1"/>
      </rPr>
      <t>AMINO EQUUS SPORT 6KG + BRINDE</t>
    </r>
  </si>
  <si>
    <r>
      <rPr>
        <sz val="11"/>
        <rFont val="Calibri"/>
        <family val="1"/>
      </rPr>
      <t>AMINOPAN FORTE (20KG)</t>
    </r>
  </si>
  <si>
    <r>
      <rPr>
        <sz val="11"/>
        <rFont val="Calibri"/>
        <family val="1"/>
      </rPr>
      <t>AMINOPAN FORTE (5KG)</t>
    </r>
  </si>
  <si>
    <r>
      <rPr>
        <sz val="11"/>
        <rFont val="Calibri"/>
        <family val="1"/>
      </rPr>
      <t>AMINOPAN HARAS (20KG)</t>
    </r>
  </si>
  <si>
    <r>
      <rPr>
        <sz val="11"/>
        <rFont val="Calibri"/>
        <family val="1"/>
      </rPr>
      <t>AMINOSAL CROMO (25KG)</t>
    </r>
  </si>
  <si>
    <r>
      <rPr>
        <sz val="11"/>
        <rFont val="Calibri"/>
        <family val="1"/>
      </rPr>
      <t>AMINOSAL CROMO (5KG)</t>
    </r>
  </si>
  <si>
    <r>
      <rPr>
        <sz val="11"/>
        <rFont val="Calibri"/>
        <family val="1"/>
      </rPr>
      <t>AMINOSOL (1L)</t>
    </r>
  </si>
  <si>
    <r>
      <rPr>
        <sz val="11"/>
        <rFont val="Calibri"/>
        <family val="1"/>
      </rPr>
      <t>AMINOSOL (5L)</t>
    </r>
  </si>
  <si>
    <r>
      <rPr>
        <sz val="11"/>
        <rFont val="Calibri"/>
        <family val="1"/>
      </rPr>
      <t>AMINOSOL PRO (1KG)</t>
    </r>
  </si>
  <si>
    <r>
      <rPr>
        <sz val="11"/>
        <rFont val="Calibri"/>
        <family val="1"/>
      </rPr>
      <t>AMINOSOL PRO (25KG)</t>
    </r>
  </si>
  <si>
    <r>
      <rPr>
        <sz val="11"/>
        <rFont val="Calibri"/>
        <family val="1"/>
      </rPr>
      <t>ATP RACE (35GR)</t>
    </r>
  </si>
  <si>
    <r>
      <rPr>
        <sz val="11"/>
        <rFont val="Calibri"/>
        <family val="1"/>
      </rPr>
      <t>BANHEX EQUUS CONDICIONADOR(5L)</t>
    </r>
  </si>
  <si>
    <r>
      <rPr>
        <sz val="11"/>
        <rFont val="Calibri"/>
        <family val="1"/>
      </rPr>
      <t>BARRO BRANCO LAVIZOO (1,2KG)</t>
    </r>
  </si>
  <si>
    <r>
      <rPr>
        <sz val="11"/>
        <rFont val="Calibri"/>
        <family val="1"/>
      </rPr>
      <t>BARRO BRANCO LAVIZOO (6KG)</t>
    </r>
  </si>
  <si>
    <r>
      <rPr>
        <sz val="11"/>
        <rFont val="Calibri"/>
        <family val="1"/>
      </rPr>
      <t>CARNITINA LAVIZOO (500G)</t>
    </r>
  </si>
  <si>
    <r>
      <rPr>
        <sz val="11"/>
        <rFont val="Calibri"/>
        <family val="1"/>
      </rPr>
      <t>CASK GOLD (1KG)</t>
    </r>
  </si>
  <si>
    <r>
      <rPr>
        <sz val="11"/>
        <rFont val="Calibri"/>
        <family val="1"/>
      </rPr>
      <t>CITRO OFF (1L)</t>
    </r>
  </si>
  <si>
    <r>
      <rPr>
        <sz val="11"/>
        <rFont val="Calibri"/>
        <family val="1"/>
      </rPr>
      <t>CITRO OFF (500ML)</t>
    </r>
  </si>
  <si>
    <r>
      <rPr>
        <sz val="11"/>
        <rFont val="Calibri"/>
        <family val="1"/>
      </rPr>
      <t>CITRO OFF (5L)</t>
    </r>
  </si>
  <si>
    <r>
      <rPr>
        <sz val="11"/>
        <rFont val="Calibri"/>
        <family val="1"/>
      </rPr>
      <t>CLENBUTEROL LAVIZOO (500ML)</t>
    </r>
  </si>
  <si>
    <r>
      <rPr>
        <sz val="11"/>
        <rFont val="Calibri"/>
        <family val="1"/>
      </rPr>
      <t>CREATINA ATP LAVIZOO (2KG)</t>
    </r>
  </si>
  <si>
    <r>
      <rPr>
        <sz val="11"/>
        <rFont val="Calibri"/>
        <family val="1"/>
      </rPr>
      <t>CREATINA LAVIZOO (2KG)</t>
    </r>
  </si>
  <si>
    <r>
      <rPr>
        <sz val="11"/>
        <rFont val="Calibri"/>
        <family val="1"/>
      </rPr>
      <t>CREATINA LAVIZOO (500GR)</t>
    </r>
  </si>
  <si>
    <r>
      <rPr>
        <sz val="11"/>
        <rFont val="Calibri"/>
        <family val="1"/>
      </rPr>
      <t>CURSO FYNN (30GR)</t>
    </r>
  </si>
  <si>
    <r>
      <rPr>
        <sz val="11"/>
        <rFont val="Calibri"/>
        <family val="1"/>
      </rPr>
      <t>DMG LAVIZOO (500GR)</t>
    </r>
  </si>
  <si>
    <r>
      <rPr>
        <sz val="11"/>
        <rFont val="Calibri"/>
        <family val="1"/>
      </rPr>
      <t>ELETROVITT (1L)</t>
    </r>
  </si>
  <si>
    <r>
      <rPr>
        <sz val="11"/>
        <rFont val="Calibri"/>
        <family val="1"/>
      </rPr>
      <t>ELETROVITT (5 LITROS)</t>
    </r>
  </si>
  <si>
    <r>
      <rPr>
        <sz val="11"/>
        <rFont val="Calibri"/>
        <family val="1"/>
      </rPr>
      <t>ELETROVITT GEL (50GR)</t>
    </r>
  </si>
  <si>
    <r>
      <rPr>
        <sz val="11"/>
        <rFont val="Calibri"/>
        <family val="1"/>
      </rPr>
      <t>EQUUS GUARD (500GR)</t>
    </r>
  </si>
  <si>
    <r>
      <rPr>
        <sz val="11"/>
        <rFont val="Calibri"/>
        <family val="1"/>
      </rPr>
      <t>FERTILY Z PLUS (1L)</t>
    </r>
  </si>
  <si>
    <r>
      <rPr>
        <sz val="11"/>
        <rFont val="Calibri"/>
        <family val="1"/>
      </rPr>
      <t>FIPRODERM 200G</t>
    </r>
  </si>
  <si>
    <r>
      <rPr>
        <sz val="11"/>
        <rFont val="Calibri"/>
        <family val="1"/>
      </rPr>
      <t>FORTFLEX (500 GR)</t>
    </r>
  </si>
  <si>
    <r>
      <rPr>
        <sz val="11"/>
        <rFont val="Calibri"/>
        <family val="1"/>
      </rPr>
      <t>FORTFLEX GEL (1KG)</t>
    </r>
  </si>
  <si>
    <r>
      <rPr>
        <sz val="11"/>
        <rFont val="Calibri"/>
        <family val="1"/>
      </rPr>
      <t>GAMA POWER (5L)</t>
    </r>
  </si>
  <si>
    <r>
      <rPr>
        <sz val="11"/>
        <rFont val="Calibri"/>
        <family val="1"/>
      </rPr>
      <t>GELOVET GEL (300GR)</t>
    </r>
  </si>
  <si>
    <r>
      <rPr>
        <sz val="11"/>
        <rFont val="Calibri"/>
        <family val="1"/>
      </rPr>
      <t>GELOVET GEL (900GR)</t>
    </r>
  </si>
  <si>
    <r>
      <rPr>
        <sz val="11"/>
        <rFont val="Calibri"/>
        <family val="1"/>
      </rPr>
      <t>GLICOSOL HORSE (1L)</t>
    </r>
  </si>
  <si>
    <r>
      <rPr>
        <sz val="11"/>
        <rFont val="Calibri"/>
        <family val="1"/>
      </rPr>
      <t>GLICOSOL HORSE (5L)</t>
    </r>
  </si>
  <si>
    <r>
      <rPr>
        <sz val="11"/>
        <rFont val="Calibri"/>
        <family val="1"/>
      </rPr>
      <t>GLICOSOL SPORT (1KG)</t>
    </r>
  </si>
  <si>
    <r>
      <rPr>
        <sz val="11"/>
        <rFont val="Calibri"/>
        <family val="1"/>
      </rPr>
      <t>HEP GEL (500G)</t>
    </r>
  </si>
  <si>
    <r>
      <rPr>
        <sz val="11"/>
        <rFont val="Calibri"/>
        <family val="1"/>
      </rPr>
      <t>LAVICOX MELOXICAM (30GR)</t>
    </r>
  </si>
  <si>
    <r>
      <rPr>
        <sz val="11"/>
        <rFont val="Calibri"/>
        <family val="1"/>
      </rPr>
      <t>LAVI-FEN (1L)</t>
    </r>
  </si>
  <si>
    <r>
      <rPr>
        <sz val="11"/>
        <rFont val="Calibri"/>
        <family val="1"/>
      </rPr>
      <t>LAVI-FEN (200ML)</t>
    </r>
  </si>
  <si>
    <r>
      <rPr>
        <sz val="11"/>
        <rFont val="Calibri"/>
        <family val="1"/>
      </rPr>
      <t>LAVI-FEN (5L)</t>
    </r>
  </si>
  <si>
    <r>
      <rPr>
        <sz val="11"/>
        <rFont val="Calibri"/>
        <family val="1"/>
      </rPr>
      <t>LAVIRON (20ML)</t>
    </r>
  </si>
  <si>
    <r>
      <rPr>
        <sz val="11"/>
        <rFont val="Calibri"/>
        <family val="1"/>
      </rPr>
      <t>LAVIT ESL (500GR)</t>
    </r>
  </si>
  <si>
    <r>
      <rPr>
        <sz val="11"/>
        <rFont val="Calibri"/>
        <family val="1"/>
      </rPr>
      <t>LAVIZ C HORSE (500GR)</t>
    </r>
  </si>
  <si>
    <r>
      <rPr>
        <sz val="11"/>
        <rFont val="Calibri"/>
        <family val="1"/>
      </rPr>
      <t>LAVIZ FORTE SOLUVEL (100GR)</t>
    </r>
  </si>
  <si>
    <r>
      <rPr>
        <sz val="11"/>
        <rFont val="Calibri"/>
        <family val="1"/>
      </rPr>
      <t>LAVIZ MO HORSE (2X40GR)</t>
    </r>
  </si>
  <si>
    <r>
      <rPr>
        <sz val="11"/>
        <rFont val="Calibri"/>
        <family val="1"/>
      </rPr>
      <t>LAVIZ PRO+PRE P/EQUIDEOS 40GR</t>
    </r>
  </si>
  <si>
    <r>
      <rPr>
        <sz val="11"/>
        <rFont val="Calibri"/>
        <family val="1"/>
      </rPr>
      <t>LAVIZ SACC (10KG)</t>
    </r>
  </si>
  <si>
    <r>
      <rPr>
        <sz val="11"/>
        <rFont val="Calibri"/>
        <family val="1"/>
      </rPr>
      <t>LAVIZ SACC (1KG)</t>
    </r>
  </si>
  <si>
    <r>
      <rPr>
        <sz val="11"/>
        <rFont val="Calibri"/>
        <family val="1"/>
      </rPr>
      <t>MEGA POTRUS GEL (1KG)</t>
    </r>
  </si>
  <si>
    <r>
      <rPr>
        <sz val="11"/>
        <rFont val="Calibri"/>
        <family val="1"/>
      </rPr>
      <t>MOSQUITOL (1L)</t>
    </r>
  </si>
  <si>
    <r>
      <rPr>
        <sz val="11"/>
        <rFont val="Calibri"/>
        <family val="1"/>
      </rPr>
      <t>MOSQUITOL (200ML)</t>
    </r>
  </si>
  <si>
    <r>
      <rPr>
        <sz val="11"/>
        <rFont val="Calibri"/>
        <family val="1"/>
      </rPr>
      <t>NEONATUS LAVIZOO (2X43G)</t>
    </r>
  </si>
  <si>
    <r>
      <rPr>
        <sz val="11"/>
        <rFont val="Calibri"/>
        <family val="1"/>
      </rPr>
      <t>NUTRIGAIN (1L)</t>
    </r>
  </si>
  <si>
    <r>
      <rPr>
        <sz val="11"/>
        <rFont val="Calibri"/>
        <family val="1"/>
      </rPr>
      <t>ORGANIC (1KG)</t>
    </r>
  </si>
  <si>
    <r>
      <rPr>
        <sz val="11"/>
        <rFont val="Calibri"/>
        <family val="1"/>
      </rPr>
      <t>OVERXICAM (50ML)</t>
    </r>
  </si>
  <si>
    <r>
      <rPr>
        <sz val="11"/>
        <rFont val="Calibri"/>
        <family val="1"/>
      </rPr>
      <t>OXYGEN (500ML)</t>
    </r>
  </si>
  <si>
    <r>
      <rPr>
        <sz val="11"/>
        <rFont val="Calibri"/>
        <family val="1"/>
      </rPr>
      <t>PELO CRINA E CASCO (500G)</t>
    </r>
  </si>
  <si>
    <r>
      <rPr>
        <sz val="11"/>
        <rFont val="Calibri"/>
        <family val="1"/>
      </rPr>
      <t>PENTAKEL (50ML)</t>
    </r>
  </si>
  <si>
    <r>
      <rPr>
        <sz val="11"/>
        <rFont val="Calibri"/>
        <family val="1"/>
      </rPr>
      <t>PIRAVERME GEL ORAL (25GR)</t>
    </r>
  </si>
  <si>
    <r>
      <rPr>
        <sz val="11"/>
        <rFont val="Calibri"/>
        <family val="1"/>
      </rPr>
      <t>POTRUS 10KG +BRINDE</t>
    </r>
  </si>
  <si>
    <r>
      <rPr>
        <sz val="11"/>
        <rFont val="Calibri"/>
        <family val="1"/>
      </rPr>
      <t>POTRUS 2,5KG + BRINDE</t>
    </r>
  </si>
  <si>
    <r>
      <rPr>
        <sz val="11"/>
        <rFont val="Calibri"/>
        <family val="1"/>
      </rPr>
      <t>POTRUS 6KG + BRINDE</t>
    </r>
  </si>
  <si>
    <r>
      <rPr>
        <sz val="11"/>
        <rFont val="Calibri"/>
        <family val="1"/>
      </rPr>
      <t>SH BANHEX EQUUS BRANQ (1L)</t>
    </r>
  </si>
  <si>
    <r>
      <rPr>
        <sz val="11"/>
        <rFont val="Calibri"/>
        <family val="1"/>
      </rPr>
      <t>SH BANHEX EQUUS BRANQ. (5L)</t>
    </r>
  </si>
  <si>
    <r>
      <rPr>
        <sz val="11"/>
        <rFont val="Calibri"/>
        <family val="1"/>
      </rPr>
      <t>SH BANHEX EQUUS CITRONELA (1L)</t>
    </r>
  </si>
  <si>
    <r>
      <rPr>
        <sz val="11"/>
        <rFont val="Calibri"/>
        <family val="1"/>
      </rPr>
      <t>SH BANHEX EQUUS CITRONELA (5L)</t>
    </r>
  </si>
  <si>
    <r>
      <rPr>
        <sz val="11"/>
        <rFont val="Calibri"/>
        <family val="1"/>
      </rPr>
      <t>SH BANHEX EQUUS COCO (1L)</t>
    </r>
  </si>
  <si>
    <r>
      <rPr>
        <sz val="11"/>
        <rFont val="Calibri"/>
        <family val="1"/>
      </rPr>
      <t>SH BANHEX EQUUS COCO (5L)</t>
    </r>
  </si>
  <si>
    <r>
      <rPr>
        <sz val="11"/>
        <rFont val="Calibri"/>
        <family val="1"/>
      </rPr>
      <t>SUPLECAL LIQUIDO (1L)</t>
    </r>
  </si>
  <si>
    <r>
      <rPr>
        <sz val="11"/>
        <rFont val="Calibri"/>
        <family val="1"/>
      </rPr>
      <t>SUPPORT (1 LITRO)</t>
    </r>
  </si>
  <si>
    <r>
      <rPr>
        <sz val="11"/>
        <rFont val="Calibri"/>
        <family val="1"/>
      </rPr>
      <t>SUPRAFER (1L)</t>
    </r>
  </si>
  <si>
    <r>
      <rPr>
        <sz val="11"/>
        <rFont val="Calibri"/>
        <family val="1"/>
      </rPr>
      <t>SUPRAFER (5L)</t>
    </r>
  </si>
  <si>
    <r>
      <rPr>
        <sz val="11"/>
        <rFont val="Calibri"/>
        <family val="1"/>
      </rPr>
      <t>SUPRAFER GEL (1 KG)</t>
    </r>
  </si>
  <si>
    <r>
      <rPr>
        <sz val="11"/>
        <rFont val="Calibri"/>
        <family val="1"/>
      </rPr>
      <t>TAMPONAX (1L)</t>
    </r>
  </si>
  <si>
    <r>
      <rPr>
        <sz val="11"/>
        <rFont val="Calibri"/>
        <family val="1"/>
      </rPr>
      <t>TRAUMA &amp; DOR (20ML)</t>
    </r>
  </si>
  <si>
    <r>
      <rPr>
        <sz val="11"/>
        <rFont val="Calibri"/>
        <family val="1"/>
      </rPr>
      <t>TRIPTOCALM GEL (35G)</t>
    </r>
  </si>
  <si>
    <r>
      <rPr>
        <sz val="11"/>
        <rFont val="Calibri"/>
        <family val="1"/>
      </rPr>
      <t>TRIPTOCALM PO (1KG)</t>
    </r>
  </si>
  <si>
    <r>
      <rPr>
        <sz val="11"/>
        <rFont val="Calibri"/>
        <family val="1"/>
      </rPr>
      <t>VASECLOX MAST AGUDA 10ML</t>
    </r>
  </si>
  <si>
    <r>
      <rPr>
        <sz val="11"/>
        <rFont val="Calibri"/>
        <family val="1"/>
      </rPr>
      <t>VASECLOX VACA SECA 10ML</t>
    </r>
  </si>
  <si>
    <r>
      <rPr>
        <sz val="11"/>
        <rFont val="Calibri"/>
        <family val="1"/>
      </rPr>
      <t>WHEY PROTEIN (1KG)</t>
    </r>
  </si>
  <si>
    <r>
      <rPr>
        <sz val="11"/>
        <rFont val="Calibri"/>
        <family val="1"/>
      </rPr>
      <t>WHEY PROTEIN (4KG)</t>
    </r>
  </si>
  <si>
    <t>EQUINOS</t>
  </si>
  <si>
    <t>80% META JANEIRO</t>
  </si>
  <si>
    <t>META JANEIRO</t>
  </si>
  <si>
    <t>24              ADE CORTE E LEITE 200ML</t>
  </si>
  <si>
    <t>24              ADE CORTE E LEITE 50ML</t>
  </si>
  <si>
    <t>72              DEXACORTE INJ 50ML</t>
  </si>
  <si>
    <t>1200         DOPALEN 10ML</t>
  </si>
  <si>
    <t>120           EQUIPALAZONE INJ 100ML</t>
  </si>
  <si>
    <t>72             NIGLUMINE INJ 50ML</t>
  </si>
  <si>
    <t>60             TICSON 3,5% INJ 1LT</t>
  </si>
  <si>
    <t>24             TYLADEN INJ 50ML.</t>
  </si>
  <si>
    <t>FALTA</t>
  </si>
  <si>
    <t xml:space="preserve">FALTA </t>
  </si>
  <si>
    <t>EXZOLT 5% 1 LITRO</t>
  </si>
  <si>
    <t>MEGA BASE JUNIOR</t>
  </si>
  <si>
    <t>BOTUMIX ARTROPLUS PREMIUM 500G</t>
  </si>
  <si>
    <t>BOTUMIX GARANHAO PLUS 1,5LT</t>
  </si>
  <si>
    <t>BOTUMIX MEGA POWER CREATINE 500G</t>
  </si>
  <si>
    <t>BOTUMIX RED UP 1,5L</t>
  </si>
  <si>
    <t>BOTUMIX REVITALIZANTE 1,5L</t>
  </si>
  <si>
    <t>CONDROBIO 10ML</t>
  </si>
  <si>
    <t>ISCA P/ FORMIGAS MIX-S FIPRONIL PEL 500GR</t>
  </si>
  <si>
    <t>RATICIDA DE CEREAIS MIX 25GR</t>
  </si>
  <si>
    <t>NAUSETRAT INJ 10ML</t>
  </si>
  <si>
    <t>NAUSETRAT  SOL ORAL 20ML</t>
  </si>
  <si>
    <t>QTD     UND   DESCRIÇÃO DO PRODUTO</t>
  </si>
  <si>
    <t>100       FR     AGROSIL 6.000.000</t>
  </si>
  <si>
    <t>60         TB     ALUMEX 100GR</t>
  </si>
  <si>
    <t>60         TB     EVOLUTION MO 2X40GR</t>
  </si>
  <si>
    <t>42         TB     HIPROSIL 30GR</t>
  </si>
  <si>
    <t>480       TB     MAX PRATA 200ML</t>
  </si>
  <si>
    <t>1200    TB      MAX PRATA 500ML</t>
  </si>
  <si>
    <t>24         LT     TINTURA DE IODO 10% 1LT</t>
  </si>
  <si>
    <t>48        TB     TRICLORSIL PASTA 30GR</t>
  </si>
  <si>
    <t>100      EV     TRICLORSIL SACHÊ 20GR</t>
  </si>
  <si>
    <t>24        TB     TRIDIAZIN 30GR</t>
  </si>
  <si>
    <t>48        FR     TRIDIAZIN 50ML.</t>
  </si>
  <si>
    <t>cruza</t>
  </si>
  <si>
    <t xml:space="preserve">INIBIDEX </t>
  </si>
  <si>
    <t>EQUISTRO MYO POWER PELLET 2,3 KG</t>
  </si>
  <si>
    <t>EQUISTRO MEGA BASE JUNIOR</t>
  </si>
  <si>
    <t>.10/26</t>
  </si>
  <si>
    <t>EXZOLT 5% 250 ML</t>
  </si>
  <si>
    <t>DESCONTINUADO</t>
  </si>
  <si>
    <t>BOTU - MIX CASCO 1L</t>
  </si>
  <si>
    <t>BOTUBOX - CX REFRIGERACAO DE SEMEN</t>
  </si>
  <si>
    <t>BOTUMIX CREATINA MONOHIDRATADA 100% PURA 2,5KG</t>
  </si>
  <si>
    <t>BOTUMIX CREATINA MONOHIDRATADA 100% PURA - 500 G</t>
  </si>
  <si>
    <t>MUCOSA EQUINA DE LATEX P/ VENDA</t>
  </si>
  <si>
    <t>MUCOSA PLASTICA PCT C/ 10 UN PARA COLETA DE SEMEN EQUINO</t>
  </si>
  <si>
    <t>DESCRIÇÃO</t>
  </si>
  <si>
    <t>BOTU-BOV 100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</si>
</sst>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[$R$ -416]* #,##0.00_);_([$R$ -416]* \(#,##0.00\);_([$R$ -416]* &quot;-&quot;??_);_(@_)"/>
    <numFmt numFmtId="166" formatCode="#,##0.00_ ;\-#,##0.00\ "/>
    <numFmt numFmtId="167" formatCode="0.000"/>
    <numFmt numFmtId="168" formatCode="0.000;[Red]0.000"/>
    <numFmt numFmtId="169" formatCode="#,##0.000"/>
    <numFmt numFmtId="170" formatCode="_-&quot;R$ &quot;* #,##0.00_-;&quot;-R$ &quot;* #,##0.00_-;_-&quot;R$ &quot;* \-??_-;_-@_-"/>
    <numFmt numFmtId="171" formatCode="_-&quot;R$&quot;* #,##0.00_-;&quot;-R$&quot;* #,##0.00_-;_-&quot;R$&quot;* \-??_-;_-@_-"/>
    <numFmt numFmtId="172" formatCode="_-* #,##0.00_-;\-* #,##0.00_-;_-* \-??_-;_-@_-"/>
    <numFmt numFmtId="173" formatCode="0.0%"/>
    <numFmt numFmtId="174" formatCode="[$R$]\ #,##0.00"/>
    <numFmt numFmtId="175" formatCode="[$R$-416]\ #,##0.00"/>
    <numFmt numFmtId="176" formatCode="#,##0.00_ ;[Red]\-#,##0.00\ "/>
  </numFmts>
  <fonts count="142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2"/>
      <color indexed="8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8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name val="Calibri  "/>
    </font>
    <font>
      <b/>
      <sz val="11"/>
      <name val="Calibri  "/>
    </font>
    <font>
      <sz val="10"/>
      <name val="Arial"/>
      <family val="2"/>
    </font>
    <font>
      <b/>
      <i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imes New Roman"/>
      <family val="1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Calibri"/>
      <family val="2"/>
      <scheme val="minor"/>
    </font>
    <font>
      <sz val="12"/>
      <name val="Calibri"/>
      <family val="2"/>
    </font>
    <font>
      <b/>
      <sz val="10"/>
      <color rgb="FFFF0000"/>
      <name val="Arial"/>
      <family val="2"/>
    </font>
    <font>
      <sz val="11"/>
      <name val="Calibri"/>
      <family val="2"/>
      <charset val="134"/>
      <scheme val="minor"/>
    </font>
    <font>
      <b/>
      <sz val="10"/>
      <color indexed="8"/>
      <name val="Calibri  "/>
    </font>
    <font>
      <b/>
      <sz val="10"/>
      <color rgb="FF000000"/>
      <name val="Calibri  "/>
    </font>
    <font>
      <b/>
      <sz val="11"/>
      <color theme="1"/>
      <name val="Calibri  "/>
    </font>
    <font>
      <b/>
      <sz val="10"/>
      <color rgb="FFFF0000"/>
      <name val="Calibri  "/>
    </font>
    <font>
      <sz val="11"/>
      <name val="Helvetica"/>
    </font>
    <font>
      <b/>
      <sz val="10"/>
      <name val="Calibri  "/>
    </font>
    <font>
      <b/>
      <sz val="6"/>
      <name val="Verdana"/>
      <family val="2"/>
    </font>
    <font>
      <sz val="11"/>
      <color indexed="8"/>
      <name val="Calibri"/>
      <family val="2"/>
    </font>
    <font>
      <sz val="10"/>
      <color indexed="8"/>
      <name val="Calibri  "/>
    </font>
    <font>
      <b/>
      <sz val="10"/>
      <color indexed="8"/>
      <name val="Arial"/>
      <family val="2"/>
    </font>
    <font>
      <b/>
      <sz val="9"/>
      <color indexed="8"/>
      <name val="Calibri  "/>
    </font>
    <font>
      <b/>
      <sz val="9"/>
      <color rgb="FFFF0000"/>
      <name val="Calibri  "/>
    </font>
    <font>
      <b/>
      <sz val="9"/>
      <name val="Calibri  "/>
    </font>
    <font>
      <b/>
      <sz val="1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1"/>
    </font>
    <font>
      <b/>
      <sz val="10"/>
      <name val="Calibri"/>
      <family val="1"/>
    </font>
    <font>
      <b/>
      <sz val="11"/>
      <color theme="0"/>
      <name val="Calibri"/>
      <family val="2"/>
      <scheme val="minor"/>
    </font>
    <font>
      <sz val="9"/>
      <color rgb="FF000000"/>
      <name val="Arial MT"/>
      <family val="2"/>
    </font>
    <font>
      <b/>
      <i/>
      <sz val="10"/>
      <color rgb="FF000000"/>
      <name val="Times New Roman"/>
      <family val="2"/>
    </font>
    <font>
      <b/>
      <sz val="9"/>
      <color theme="0"/>
      <name val="Calibri  "/>
    </font>
    <font>
      <b/>
      <sz val="12"/>
      <color theme="1"/>
      <name val="Calibri"/>
      <family val="2"/>
      <scheme val="minor"/>
    </font>
    <font>
      <b/>
      <sz val="10"/>
      <color theme="0"/>
      <name val="Calibri  "/>
    </font>
    <font>
      <sz val="11"/>
      <name val="Calibri"/>
      <family val="2"/>
    </font>
    <font>
      <b/>
      <sz val="9"/>
      <color rgb="FF000000"/>
      <name val="Calibri  "/>
    </font>
    <font>
      <b/>
      <sz val="9"/>
      <color rgb="FF000000"/>
      <name val="Arial"/>
      <family val="2"/>
    </font>
    <font>
      <b/>
      <i/>
      <sz val="11"/>
      <color rgb="FF000000"/>
      <name val="Times New Roman"/>
      <family val="2"/>
    </font>
    <font>
      <b/>
      <i/>
      <sz val="9"/>
      <color rgb="FF000000"/>
      <name val="Times New Roman"/>
      <family val="2"/>
    </font>
    <font>
      <b/>
      <sz val="8.5"/>
      <color rgb="FF000000"/>
      <name val="Calibri"/>
      <family val="2"/>
    </font>
    <font>
      <b/>
      <sz val="9"/>
      <color rgb="FF000000"/>
      <name val="Calibri"/>
      <family val="2"/>
    </font>
    <font>
      <b/>
      <sz val="10"/>
      <color rgb="FFFFFF00"/>
      <name val="Calibri  "/>
    </font>
    <font>
      <b/>
      <u/>
      <sz val="10"/>
      <color indexed="8"/>
      <name val="Calibri  "/>
    </font>
    <font>
      <b/>
      <sz val="12"/>
      <color indexed="8"/>
      <name val="Calibri   "/>
    </font>
    <font>
      <b/>
      <sz val="11"/>
      <color theme="0"/>
      <name val="Calibri   "/>
    </font>
    <font>
      <b/>
      <sz val="12"/>
      <color rgb="FFFF0000"/>
      <name val="Calibri   "/>
    </font>
    <font>
      <b/>
      <sz val="9"/>
      <name val="Calibri   "/>
    </font>
    <font>
      <b/>
      <sz val="9.5"/>
      <name val="Calibri  "/>
    </font>
    <font>
      <b/>
      <sz val="9.5"/>
      <color indexed="8"/>
      <name val="Calibri  "/>
    </font>
    <font>
      <sz val="12"/>
      <color indexed="8"/>
      <name val="Calibri  "/>
    </font>
    <font>
      <b/>
      <sz val="18"/>
      <color indexed="8"/>
      <name val="Calibri  "/>
    </font>
    <font>
      <b/>
      <sz val="12"/>
      <color theme="0"/>
      <name val="Calibri  "/>
    </font>
    <font>
      <b/>
      <sz val="12"/>
      <color indexed="8"/>
      <name val="Calibri  "/>
    </font>
    <font>
      <b/>
      <sz val="12"/>
      <color rgb="FFFFFF00"/>
      <name val="Calibri  "/>
    </font>
    <font>
      <b/>
      <sz val="11"/>
      <color theme="0"/>
      <name val="Calibri  "/>
    </font>
    <font>
      <b/>
      <sz val="9.5"/>
      <color rgb="FF000000"/>
      <name val="Calibri  "/>
    </font>
    <font>
      <b/>
      <u/>
      <sz val="11"/>
      <color indexed="8"/>
      <name val="Calibri  "/>
    </font>
    <font>
      <b/>
      <sz val="11"/>
      <color indexed="8"/>
      <name val="Calibri  "/>
    </font>
    <font>
      <b/>
      <sz val="9.5"/>
      <color theme="0"/>
      <name val="Calibri  "/>
    </font>
    <font>
      <b/>
      <sz val="9.5"/>
      <color rgb="FFFF0000"/>
      <name val="Calibri  "/>
    </font>
    <font>
      <b/>
      <u/>
      <sz val="10"/>
      <color rgb="FFFF0000"/>
      <name val="Calibri  "/>
    </font>
    <font>
      <b/>
      <sz val="9.5"/>
      <color indexed="8"/>
      <name val="Calibri   "/>
    </font>
    <font>
      <b/>
      <sz val="9.5"/>
      <color theme="0"/>
      <name val="Calibri   "/>
    </font>
    <font>
      <b/>
      <sz val="9.5"/>
      <color rgb="FFFF0000"/>
      <name val="Calibri   "/>
    </font>
    <font>
      <b/>
      <sz val="9.5"/>
      <color theme="1"/>
      <name val="Calibri   "/>
    </font>
    <font>
      <sz val="10"/>
      <color rgb="FF000000"/>
      <name val="Arial"/>
      <family val="2"/>
      <charset val="1"/>
    </font>
    <font>
      <sz val="10"/>
      <color rgb="FF000000"/>
      <name val="Times New Roman"/>
      <family val="1"/>
      <charset val="1"/>
    </font>
    <font>
      <sz val="11"/>
      <color rgb="FF000000"/>
      <name val="Calibri"/>
      <family val="2"/>
      <charset val="1"/>
    </font>
    <font>
      <sz val="11"/>
      <name val="Calibri"/>
      <family val="2"/>
      <charset val="134"/>
    </font>
    <font>
      <sz val="10"/>
      <name val="Arial"/>
      <family val="2"/>
      <charset val="1"/>
    </font>
    <font>
      <sz val="12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i/>
      <sz val="10"/>
      <color indexed="8"/>
      <name val="Arial"/>
      <family val="2"/>
    </font>
    <font>
      <b/>
      <sz val="8"/>
      <name val="Trebuchet MS"/>
      <family val="2"/>
    </font>
    <font>
      <b/>
      <sz val="8"/>
      <color rgb="FF0E233D"/>
      <name val="Trebuchet MS"/>
      <family val="2"/>
    </font>
    <font>
      <sz val="10"/>
      <name val="Calibri  "/>
    </font>
    <font>
      <sz val="7"/>
      <color rgb="FF000000"/>
      <name val="Calibri"/>
      <family val="2"/>
    </font>
    <font>
      <sz val="7"/>
      <name val="Calibri"/>
      <family val="2"/>
    </font>
    <font>
      <b/>
      <sz val="11"/>
      <color theme="1"/>
      <name val="Calibri"/>
      <family val="2"/>
      <scheme val="minor"/>
    </font>
    <font>
      <sz val="9.5"/>
      <color rgb="FF000000"/>
      <name val="Calibri"/>
      <family val="2"/>
    </font>
    <font>
      <sz val="9"/>
      <color rgb="FF000000"/>
      <name val="Calibri"/>
      <family val="2"/>
    </font>
    <font>
      <sz val="11"/>
      <name val="Calibri"/>
      <family val="1"/>
    </font>
    <font>
      <b/>
      <sz val="16"/>
      <color rgb="FFFF0000"/>
      <name val="Calibri"/>
      <family val="2"/>
      <scheme val="minor"/>
    </font>
    <font>
      <b/>
      <sz val="11"/>
      <color rgb="FF000000"/>
      <name val="Arial"/>
      <family val="2"/>
    </font>
    <font>
      <b/>
      <sz val="8"/>
      <color rgb="FF000000"/>
      <name val="Trebuchet MS"/>
      <family val="2"/>
      <charset val="1"/>
    </font>
    <font>
      <sz val="9"/>
      <color rgb="FF000000"/>
      <name val="Trebuchet MS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Calibri  "/>
    </font>
    <font>
      <b/>
      <sz val="10"/>
      <color theme="1"/>
      <name val="Calibri  "/>
    </font>
    <font>
      <sz val="11"/>
      <color theme="1"/>
      <name val="Helvetica"/>
    </font>
    <font>
      <sz val="9"/>
      <color rgb="FF000000"/>
      <name val="Segoe UI"/>
      <family val="2"/>
    </font>
    <font>
      <sz val="10"/>
      <color theme="1"/>
      <name val="Calibri"/>
      <family val="2"/>
      <scheme val="minor"/>
    </font>
    <font>
      <sz val="8"/>
      <name val="Calibri  "/>
    </font>
    <font>
      <i/>
      <sz val="9"/>
      <name val="Calibri"/>
      <family val="2"/>
    </font>
    <font>
      <i/>
      <sz val="9"/>
      <color rgb="FFFF0000"/>
      <name val="Calibri"/>
      <family val="1"/>
    </font>
    <font>
      <sz val="10"/>
      <color rgb="FF000000"/>
      <name val="Calibri  "/>
    </font>
    <font>
      <sz val="11"/>
      <name val="Arial"/>
      <family val="2"/>
    </font>
    <font>
      <sz val="11"/>
      <color theme="1"/>
      <name val="Arial"/>
      <family val="2"/>
    </font>
    <font>
      <sz val="9"/>
      <name val="Segoe UI"/>
      <family val="2"/>
    </font>
    <font>
      <sz val="10"/>
      <name val="Calibri"/>
      <family val="2"/>
    </font>
    <font>
      <sz val="12"/>
      <color rgb="FF000000"/>
      <name val="Aptos"/>
      <family val="2"/>
    </font>
    <font>
      <sz val="11.5"/>
      <name val="Calibri"/>
      <family val="2"/>
    </font>
    <font>
      <sz val="11.5"/>
      <name val="Calibri"/>
      <family val="1"/>
    </font>
    <font>
      <sz val="11.5"/>
      <color rgb="FF000000"/>
      <name val="Calibri"/>
      <family val="2"/>
    </font>
    <font>
      <sz val="9"/>
      <color indexed="8"/>
      <name val="Segoe UI"/>
      <family val="2"/>
    </font>
    <font>
      <b/>
      <sz val="9"/>
      <color indexed="8"/>
      <name val="Segoe UI"/>
      <family val="2"/>
    </font>
    <font>
      <sz val="9"/>
      <name val="Calibri  "/>
    </font>
    <font>
      <sz val="12"/>
      <color indexed="8"/>
      <name val="Aptos"/>
      <family val="2"/>
    </font>
    <font>
      <sz val="11"/>
      <color indexed="8"/>
      <name val="Calibri  "/>
    </font>
    <font>
      <b/>
      <sz val="11"/>
      <color rgb="FFFF0000"/>
      <name val="Calibri  "/>
    </font>
    <font>
      <b/>
      <sz val="11"/>
      <color rgb="FFFFFF00"/>
      <name val="Calibri  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theme="0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9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9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499984740745262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</patternFill>
    </fill>
    <fill>
      <patternFill patternType="solid">
        <fgColor rgb="FFCCFF99"/>
      </patternFill>
    </fill>
    <fill>
      <patternFill patternType="solid">
        <fgColor rgb="FF66FFFF"/>
      </patternFill>
    </fill>
    <fill>
      <patternFill patternType="solid">
        <fgColor theme="3" tint="-0.249977111117893"/>
        <bgColor indexed="9"/>
      </patternFill>
    </fill>
    <fill>
      <patternFill patternType="solid">
        <fgColor rgb="FFFFFFFF"/>
        <bgColor rgb="FFF2F2F2"/>
      </patternFill>
    </fill>
    <fill>
      <patternFill patternType="solid">
        <fgColor theme="4" tint="-0.499984740745262"/>
        <bgColor indexed="9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</patternFill>
    </fill>
    <fill>
      <patternFill patternType="solid">
        <fgColor rgb="FFE0E0FF"/>
        <bgColor rgb="FFD9E1F2"/>
      </patternFill>
    </fill>
    <fill>
      <patternFill patternType="solid">
        <fgColor theme="0"/>
        <bgColor theme="0"/>
      </patternFill>
    </fill>
    <fill>
      <patternFill patternType="solid">
        <fgColor theme="3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499984740745262"/>
        <bgColor indexed="9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3300"/>
      </right>
      <top style="medium">
        <color indexed="64"/>
      </top>
      <bottom/>
      <diagonal/>
    </border>
    <border>
      <left style="medium">
        <color rgb="FF003300"/>
      </left>
      <right style="medium">
        <color rgb="FF003300"/>
      </right>
      <top style="medium">
        <color indexed="64"/>
      </top>
      <bottom/>
      <diagonal/>
    </border>
    <border>
      <left style="medium">
        <color rgb="FF0033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1F487C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F1F1F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DCE6F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DCE6F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000000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0033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F1F1F1"/>
      </right>
      <top/>
      <bottom style="thin">
        <color rgb="FF000000"/>
      </bottom>
      <diagonal/>
    </border>
  </borders>
  <cellStyleXfs count="438">
    <xf numFmtId="0" fontId="0" fillId="0" borderId="0"/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4" fillId="0" borderId="0"/>
    <xf numFmtId="44" fontId="14" fillId="0" borderId="0" applyFont="0" applyFill="0" applyBorder="0" applyAlignment="0" applyProtection="0"/>
    <xf numFmtId="0" fontId="32" fillId="0" borderId="0"/>
    <xf numFmtId="0" fontId="18" fillId="0" borderId="0" applyNumberFormat="0" applyFill="0" applyBorder="0" applyAlignment="0" applyProtection="0"/>
    <xf numFmtId="0" fontId="14" fillId="0" borderId="0"/>
    <xf numFmtId="0" fontId="14" fillId="0" borderId="0"/>
    <xf numFmtId="0" fontId="35" fillId="0" borderId="0"/>
    <xf numFmtId="44" fontId="1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44" fontId="1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13" fillId="0" borderId="0"/>
    <xf numFmtId="0" fontId="41" fillId="0" borderId="0">
      <alignment vertical="center"/>
    </xf>
    <xf numFmtId="164" fontId="13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1" fillId="0" borderId="0"/>
    <xf numFmtId="44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96" fillId="0" borderId="0"/>
    <xf numFmtId="172" fontId="96" fillId="0" borderId="0" applyBorder="0" applyProtection="0"/>
    <xf numFmtId="170" fontId="96" fillId="0" borderId="0" applyBorder="0" applyProtection="0"/>
    <xf numFmtId="9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1" fontId="96" fillId="0" borderId="0" applyBorder="0" applyProtection="0"/>
    <xf numFmtId="170" fontId="96" fillId="0" borderId="0" applyBorder="0" applyProtection="0"/>
    <xf numFmtId="171" fontId="96" fillId="0" borderId="0" applyBorder="0" applyProtection="0"/>
    <xf numFmtId="170" fontId="96" fillId="0" borderId="0" applyBorder="0" applyProtection="0"/>
    <xf numFmtId="170" fontId="96" fillId="0" borderId="0" applyBorder="0" applyProtection="0"/>
    <xf numFmtId="171" fontId="96" fillId="0" borderId="0" applyBorder="0" applyProtection="0"/>
    <xf numFmtId="171" fontId="96" fillId="0" borderId="0" applyBorder="0" applyProtection="0"/>
    <xf numFmtId="170" fontId="96" fillId="0" borderId="0" applyBorder="0" applyProtection="0"/>
    <xf numFmtId="0" fontId="97" fillId="0" borderId="0"/>
    <xf numFmtId="0" fontId="96" fillId="0" borderId="0" applyBorder="0" applyProtection="0"/>
    <xf numFmtId="0" fontId="96" fillId="0" borderId="0" applyBorder="0" applyProtection="0"/>
    <xf numFmtId="0" fontId="98" fillId="0" borderId="0"/>
    <xf numFmtId="0" fontId="96" fillId="0" borderId="0" applyBorder="0" applyProtection="0"/>
    <xf numFmtId="0" fontId="96" fillId="0" borderId="0" applyBorder="0" applyProtection="0"/>
    <xf numFmtId="0" fontId="96" fillId="0" borderId="0" applyBorder="0" applyProtection="0"/>
    <xf numFmtId="0" fontId="98" fillId="0" borderId="0"/>
    <xf numFmtId="0" fontId="99" fillId="0" borderId="0">
      <alignment vertical="center"/>
    </xf>
    <xf numFmtId="0" fontId="98" fillId="0" borderId="0"/>
    <xf numFmtId="0" fontId="96" fillId="0" borderId="0" applyBorder="0" applyProtection="0"/>
    <xf numFmtId="0" fontId="98" fillId="0" borderId="0"/>
    <xf numFmtId="0" fontId="98" fillId="0" borderId="0"/>
    <xf numFmtId="0" fontId="98" fillId="0" borderId="0"/>
    <xf numFmtId="0" fontId="98" fillId="0" borderId="0"/>
    <xf numFmtId="0" fontId="96" fillId="0" borderId="0" applyBorder="0" applyProtection="0"/>
    <xf numFmtId="0" fontId="96" fillId="0" borderId="0" applyBorder="0" applyProtection="0"/>
    <xf numFmtId="0" fontId="98" fillId="0" borderId="0"/>
    <xf numFmtId="0" fontId="98" fillId="0" borderId="0"/>
    <xf numFmtId="0" fontId="98" fillId="0" borderId="0"/>
    <xf numFmtId="0" fontId="96" fillId="0" borderId="0" applyBorder="0" applyProtection="0"/>
    <xf numFmtId="0" fontId="100" fillId="0" borderId="0"/>
    <xf numFmtId="0" fontId="96" fillId="0" borderId="0" applyBorder="0" applyProtection="0"/>
    <xf numFmtId="0" fontId="96" fillId="0" borderId="0" applyBorder="0" applyProtection="0"/>
    <xf numFmtId="0" fontId="96" fillId="0" borderId="0" applyBorder="0" applyProtection="0"/>
    <xf numFmtId="0" fontId="96" fillId="0" borderId="0" applyBorder="0" applyProtection="0"/>
    <xf numFmtId="0" fontId="96" fillId="0" borderId="0" applyBorder="0" applyProtection="0"/>
    <xf numFmtId="0" fontId="96" fillId="0" borderId="0" applyBorder="0" applyProtection="0"/>
    <xf numFmtId="0" fontId="96" fillId="0" borderId="0" applyBorder="0" applyProtection="0"/>
    <xf numFmtId="0" fontId="98" fillId="0" borderId="0"/>
    <xf numFmtId="9" fontId="96" fillId="0" borderId="0" applyBorder="0" applyProtection="0"/>
    <xf numFmtId="9" fontId="96" fillId="0" borderId="0" applyBorder="0" applyProtection="0"/>
    <xf numFmtId="9" fontId="96" fillId="0" borderId="0" applyBorder="0" applyProtection="0"/>
    <xf numFmtId="9" fontId="96" fillId="0" borderId="0" applyBorder="0" applyProtection="0"/>
    <xf numFmtId="9" fontId="96" fillId="0" borderId="0" applyBorder="0" applyProtection="0"/>
    <xf numFmtId="9" fontId="96" fillId="0" borderId="0" applyBorder="0" applyProtection="0"/>
    <xf numFmtId="172" fontId="96" fillId="0" borderId="0" applyBorder="0" applyProtection="0"/>
    <xf numFmtId="172" fontId="96" fillId="0" borderId="0" applyBorder="0" applyProtection="0"/>
    <xf numFmtId="44" fontId="18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44" fontId="49" fillId="0" borderId="0" applyFont="0" applyFill="0" applyBorder="0" applyAlignment="0" applyProtection="0"/>
    <xf numFmtId="0" fontId="5" fillId="0" borderId="0"/>
    <xf numFmtId="44" fontId="34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43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171" fontId="96" fillId="0" borderId="0" applyBorder="0" applyProtection="0"/>
    <xf numFmtId="44" fontId="18" fillId="0" borderId="0" applyFont="0" applyFill="0" applyBorder="0" applyAlignment="0" applyProtection="0"/>
    <xf numFmtId="172" fontId="96" fillId="0" borderId="0" applyBorder="0" applyProtection="0"/>
    <xf numFmtId="0" fontId="5" fillId="0" borderId="0"/>
    <xf numFmtId="44" fontId="5" fillId="0" borderId="0" applyFont="0" applyFill="0" applyBorder="0" applyAlignment="0" applyProtection="0"/>
    <xf numFmtId="9" fontId="96" fillId="0" borderId="0" applyBorder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9" fontId="96" fillId="0" borderId="0" applyBorder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170" fontId="96" fillId="0" borderId="0" applyBorder="0" applyProtection="0"/>
    <xf numFmtId="170" fontId="96" fillId="0" borderId="0" applyBorder="0" applyProtection="0"/>
    <xf numFmtId="44" fontId="18" fillId="0" borderId="0" applyFont="0" applyFill="0" applyBorder="0" applyAlignment="0" applyProtection="0"/>
    <xf numFmtId="9" fontId="96" fillId="0" borderId="0" applyBorder="0" applyProtection="0"/>
    <xf numFmtId="170" fontId="96" fillId="0" borderId="0" applyBorder="0" applyProtection="0"/>
    <xf numFmtId="0" fontId="98" fillId="0" borderId="0"/>
    <xf numFmtId="0" fontId="98" fillId="0" borderId="0"/>
    <xf numFmtId="0" fontId="98" fillId="0" borderId="0"/>
    <xf numFmtId="9" fontId="96" fillId="0" borderId="0" applyBorder="0" applyProtection="0"/>
    <xf numFmtId="171" fontId="96" fillId="0" borderId="0" applyBorder="0" applyProtection="0"/>
    <xf numFmtId="170" fontId="96" fillId="0" borderId="0" applyBorder="0" applyProtection="0"/>
    <xf numFmtId="43" fontId="34" fillId="0" borderId="0" applyFont="0" applyFill="0" applyBorder="0" applyAlignment="0" applyProtection="0"/>
    <xf numFmtId="0" fontId="5" fillId="0" borderId="0"/>
    <xf numFmtId="170" fontId="96" fillId="0" borderId="0" applyBorder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5" fillId="0" borderId="0"/>
    <xf numFmtId="44" fontId="49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170" fontId="96" fillId="0" borderId="0" applyBorder="0" applyProtection="0"/>
    <xf numFmtId="0" fontId="98" fillId="0" borderId="0"/>
    <xf numFmtId="171" fontId="96" fillId="0" borderId="0" applyBorder="0" applyProtection="0"/>
    <xf numFmtId="171" fontId="96" fillId="0" borderId="0" applyBorder="0" applyProtection="0"/>
    <xf numFmtId="0" fontId="98" fillId="0" borderId="0"/>
    <xf numFmtId="172" fontId="96" fillId="0" borderId="0" applyBorder="0" applyProtection="0"/>
    <xf numFmtId="0" fontId="98" fillId="0" borderId="0"/>
    <xf numFmtId="0" fontId="98" fillId="0" borderId="0"/>
    <xf numFmtId="0" fontId="98" fillId="0" borderId="0"/>
    <xf numFmtId="0" fontId="98" fillId="0" borderId="0"/>
    <xf numFmtId="170" fontId="96" fillId="0" borderId="0" applyBorder="0" applyProtection="0"/>
    <xf numFmtId="170" fontId="96" fillId="0" borderId="0" applyBorder="0" applyProtection="0"/>
    <xf numFmtId="0" fontId="98" fillId="0" borderId="0"/>
    <xf numFmtId="170" fontId="96" fillId="0" borderId="0" applyBorder="0" applyProtection="0"/>
    <xf numFmtId="170" fontId="96" fillId="0" borderId="0" applyBorder="0" applyProtection="0"/>
    <xf numFmtId="0" fontId="98" fillId="0" borderId="0"/>
    <xf numFmtId="170" fontId="96" fillId="0" borderId="0" applyBorder="0" applyProtection="0"/>
    <xf numFmtId="9" fontId="96" fillId="0" borderId="0" applyBorder="0" applyProtection="0"/>
    <xf numFmtId="170" fontId="96" fillId="0" borderId="0" applyBorder="0" applyProtection="0"/>
    <xf numFmtId="172" fontId="96" fillId="0" borderId="0" applyBorder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2" fillId="0" borderId="0"/>
    <xf numFmtId="44" fontId="49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49" fillId="0" borderId="0" applyFont="0" applyFill="0" applyBorder="0" applyAlignment="0" applyProtection="0"/>
    <xf numFmtId="0" fontId="2" fillId="0" borderId="0"/>
    <xf numFmtId="44" fontId="34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43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2" fillId="0" borderId="0"/>
    <xf numFmtId="44" fontId="49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34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" fillId="0" borderId="0"/>
    <xf numFmtId="44" fontId="49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49" fillId="0" borderId="0" applyFont="0" applyFill="0" applyBorder="0" applyAlignment="0" applyProtection="0"/>
    <xf numFmtId="0" fontId="1" fillId="0" borderId="0"/>
    <xf numFmtId="44" fontId="34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43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" fillId="0" borderId="0"/>
    <xf numFmtId="44" fontId="49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</cellStyleXfs>
  <cellXfs count="675">
    <xf numFmtId="0" fontId="0" fillId="0" borderId="0" xfId="0"/>
    <xf numFmtId="0" fontId="15" fillId="4" borderId="0" xfId="0" applyFont="1" applyFill="1"/>
    <xf numFmtId="0" fontId="16" fillId="2" borderId="0" xfId="0" applyFont="1" applyFill="1" applyAlignment="1" applyProtection="1">
      <alignment horizontal="left"/>
      <protection locked="0"/>
    </xf>
    <xf numFmtId="0" fontId="15" fillId="4" borderId="0" xfId="0" applyFont="1" applyFill="1" applyProtection="1">
      <protection locked="0"/>
    </xf>
    <xf numFmtId="0" fontId="15" fillId="4" borderId="0" xfId="0" applyFont="1" applyFill="1" applyAlignment="1">
      <alignment horizontal="center"/>
    </xf>
    <xf numFmtId="3" fontId="15" fillId="4" borderId="0" xfId="0" applyNumberFormat="1" applyFont="1" applyFill="1" applyAlignment="1">
      <alignment horizontal="center"/>
    </xf>
    <xf numFmtId="44" fontId="15" fillId="4" borderId="0" xfId="1" applyFont="1" applyFill="1"/>
    <xf numFmtId="0" fontId="16" fillId="2" borderId="1" xfId="0" applyFont="1" applyFill="1" applyBorder="1" applyAlignment="1" applyProtection="1">
      <alignment horizontal="left"/>
      <protection locked="0"/>
    </xf>
    <xf numFmtId="3" fontId="15" fillId="4" borderId="1" xfId="0" applyNumberFormat="1" applyFont="1" applyFill="1" applyBorder="1" applyAlignment="1">
      <alignment horizontal="center"/>
    </xf>
    <xf numFmtId="9" fontId="15" fillId="4" borderId="0" xfId="2" applyFont="1" applyFill="1" applyAlignment="1">
      <alignment horizontal="center"/>
    </xf>
    <xf numFmtId="9" fontId="19" fillId="4" borderId="1" xfId="2" applyFont="1" applyFill="1" applyBorder="1" applyAlignment="1">
      <alignment horizontal="center"/>
    </xf>
    <xf numFmtId="44" fontId="19" fillId="4" borderId="1" xfId="1" applyFont="1" applyFill="1" applyBorder="1"/>
    <xf numFmtId="9" fontId="20" fillId="4" borderId="1" xfId="2" applyFont="1" applyFill="1" applyBorder="1" applyAlignment="1">
      <alignment horizontal="center"/>
    </xf>
    <xf numFmtId="3" fontId="15" fillId="3" borderId="1" xfId="0" applyNumberFormat="1" applyFont="1" applyFill="1" applyBorder="1" applyAlignment="1" applyProtection="1">
      <alignment horizontal="center"/>
      <protection locked="0"/>
    </xf>
    <xf numFmtId="3" fontId="15" fillId="4" borderId="1" xfId="0" applyNumberFormat="1" applyFont="1" applyFill="1" applyBorder="1" applyAlignment="1" applyProtection="1">
      <alignment horizontal="center"/>
      <protection locked="0"/>
    </xf>
    <xf numFmtId="3" fontId="15" fillId="4" borderId="0" xfId="0" applyNumberFormat="1" applyFont="1" applyFill="1" applyAlignment="1" applyProtection="1">
      <alignment horizontal="center"/>
      <protection locked="0"/>
    </xf>
    <xf numFmtId="9" fontId="19" fillId="4" borderId="3" xfId="2" applyFont="1" applyFill="1" applyBorder="1" applyAlignment="1">
      <alignment horizontal="center"/>
    </xf>
    <xf numFmtId="9" fontId="20" fillId="4" borderId="3" xfId="2" applyFont="1" applyFill="1" applyBorder="1" applyAlignment="1">
      <alignment horizontal="center"/>
    </xf>
    <xf numFmtId="44" fontId="19" fillId="4" borderId="3" xfId="1" applyFont="1" applyFill="1" applyBorder="1"/>
    <xf numFmtId="0" fontId="17" fillId="7" borderId="1" xfId="0" applyFont="1" applyFill="1" applyBorder="1" applyAlignment="1">
      <alignment horizontal="center"/>
    </xf>
    <xf numFmtId="0" fontId="21" fillId="6" borderId="1" xfId="0" applyFont="1" applyFill="1" applyBorder="1" applyAlignment="1">
      <alignment horizontal="center"/>
    </xf>
    <xf numFmtId="0" fontId="21" fillId="6" borderId="2" xfId="0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3" fontId="19" fillId="5" borderId="3" xfId="0" applyNumberFormat="1" applyFont="1" applyFill="1" applyBorder="1" applyAlignment="1">
      <alignment horizontal="center"/>
    </xf>
    <xf numFmtId="3" fontId="19" fillId="5" borderId="1" xfId="0" applyNumberFormat="1" applyFont="1" applyFill="1" applyBorder="1" applyAlignment="1">
      <alignment horizontal="center"/>
    </xf>
    <xf numFmtId="44" fontId="15" fillId="8" borderId="1" xfId="1" applyFont="1" applyFill="1" applyBorder="1" applyAlignment="1" applyProtection="1">
      <alignment horizontal="center"/>
      <protection locked="0"/>
    </xf>
    <xf numFmtId="44" fontId="15" fillId="9" borderId="1" xfId="1" applyFont="1" applyFill="1" applyBorder="1" applyAlignment="1" applyProtection="1">
      <alignment horizontal="center"/>
      <protection locked="0"/>
    </xf>
    <xf numFmtId="44" fontId="15" fillId="9" borderId="1" xfId="1" applyFont="1" applyFill="1" applyBorder="1" applyAlignment="1">
      <alignment horizontal="center"/>
    </xf>
    <xf numFmtId="44" fontId="19" fillId="5" borderId="3" xfId="1" applyFont="1" applyFill="1" applyBorder="1" applyAlignment="1">
      <alignment horizontal="center"/>
    </xf>
    <xf numFmtId="44" fontId="15" fillId="4" borderId="0" xfId="0" applyNumberFormat="1" applyFont="1" applyFill="1"/>
    <xf numFmtId="0" fontId="22" fillId="2" borderId="0" xfId="0" applyFont="1" applyFill="1" applyAlignment="1" applyProtection="1">
      <alignment horizontal="left"/>
      <protection locked="0"/>
    </xf>
    <xf numFmtId="3" fontId="19" fillId="5" borderId="3" xfId="1" applyNumberFormat="1" applyFont="1" applyFill="1" applyBorder="1" applyAlignment="1">
      <alignment horizontal="center"/>
    </xf>
    <xf numFmtId="3" fontId="19" fillId="5" borderId="1" xfId="1" applyNumberFormat="1" applyFont="1" applyFill="1" applyBorder="1" applyAlignment="1">
      <alignment horizontal="center"/>
    </xf>
    <xf numFmtId="44" fontId="22" fillId="10" borderId="1" xfId="1" applyFont="1" applyFill="1" applyBorder="1" applyAlignment="1" applyProtection="1">
      <alignment horizontal="center"/>
      <protection locked="0"/>
    </xf>
    <xf numFmtId="44" fontId="25" fillId="7" borderId="1" xfId="1" applyFont="1" applyFill="1" applyBorder="1"/>
    <xf numFmtId="0" fontId="26" fillId="2" borderId="4" xfId="0" applyFont="1" applyFill="1" applyBorder="1" applyAlignment="1" applyProtection="1">
      <alignment horizontal="left"/>
      <protection locked="0"/>
    </xf>
    <xf numFmtId="0" fontId="17" fillId="7" borderId="5" xfId="0" applyFont="1" applyFill="1" applyBorder="1" applyAlignment="1">
      <alignment horizontal="center"/>
    </xf>
    <xf numFmtId="0" fontId="21" fillId="6" borderId="5" xfId="0" applyFont="1" applyFill="1" applyBorder="1" applyAlignment="1">
      <alignment horizontal="center"/>
    </xf>
    <xf numFmtId="3" fontId="15" fillId="3" borderId="3" xfId="0" applyNumberFormat="1" applyFont="1" applyFill="1" applyBorder="1" applyAlignment="1" applyProtection="1">
      <alignment horizontal="center"/>
      <protection locked="0"/>
    </xf>
    <xf numFmtId="3" fontId="15" fillId="4" borderId="3" xfId="0" applyNumberFormat="1" applyFont="1" applyFill="1" applyBorder="1" applyAlignment="1" applyProtection="1">
      <alignment horizontal="center"/>
      <protection locked="0"/>
    </xf>
    <xf numFmtId="3" fontId="15" fillId="4" borderId="3" xfId="0" applyNumberFormat="1" applyFont="1" applyFill="1" applyBorder="1" applyAlignment="1">
      <alignment horizontal="center"/>
    </xf>
    <xf numFmtId="44" fontId="25" fillId="7" borderId="3" xfId="1" applyFont="1" applyFill="1" applyBorder="1"/>
    <xf numFmtId="0" fontId="21" fillId="6" borderId="6" xfId="0" applyFont="1" applyFill="1" applyBorder="1" applyAlignment="1">
      <alignment horizontal="left"/>
    </xf>
    <xf numFmtId="0" fontId="19" fillId="3" borderId="7" xfId="0" applyFont="1" applyFill="1" applyBorder="1" applyAlignment="1" applyProtection="1">
      <alignment horizontal="center"/>
      <protection locked="0"/>
    </xf>
    <xf numFmtId="0" fontId="19" fillId="4" borderId="7" xfId="0" applyFont="1" applyFill="1" applyBorder="1" applyAlignment="1" applyProtection="1">
      <alignment horizontal="center"/>
      <protection locked="0"/>
    </xf>
    <xf numFmtId="0" fontId="19" fillId="4" borderId="8" xfId="0" applyFont="1" applyFill="1" applyBorder="1" applyAlignment="1" applyProtection="1">
      <alignment horizontal="center"/>
      <protection locked="0"/>
    </xf>
    <xf numFmtId="0" fontId="17" fillId="7" borderId="9" xfId="0" applyFont="1" applyFill="1" applyBorder="1" applyAlignment="1">
      <alignment horizontal="center"/>
    </xf>
    <xf numFmtId="0" fontId="21" fillId="7" borderId="9" xfId="0" applyFont="1" applyFill="1" applyBorder="1" applyAlignment="1">
      <alignment horizontal="center"/>
    </xf>
    <xf numFmtId="9" fontId="21" fillId="7" borderId="9" xfId="2" applyFont="1" applyFill="1" applyBorder="1" applyAlignment="1">
      <alignment horizontal="center"/>
    </xf>
    <xf numFmtId="13" fontId="21" fillId="7" borderId="9" xfId="1" applyNumberFormat="1" applyFont="1" applyFill="1" applyBorder="1" applyAlignment="1">
      <alignment horizontal="center"/>
    </xf>
    <xf numFmtId="13" fontId="21" fillId="7" borderId="10" xfId="1" applyNumberFormat="1" applyFont="1" applyFill="1" applyBorder="1" applyAlignment="1">
      <alignment horizontal="center"/>
    </xf>
    <xf numFmtId="0" fontId="21" fillId="6" borderId="11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7" borderId="12" xfId="0" applyFont="1" applyFill="1" applyBorder="1" applyAlignment="1">
      <alignment horizontal="center"/>
    </xf>
    <xf numFmtId="9" fontId="21" fillId="7" borderId="12" xfId="2" applyFont="1" applyFill="1" applyBorder="1" applyAlignment="1">
      <alignment horizontal="center"/>
    </xf>
    <xf numFmtId="44" fontId="21" fillId="7" borderId="12" xfId="1" applyFont="1" applyFill="1" applyBorder="1" applyAlignment="1">
      <alignment horizontal="center"/>
    </xf>
    <xf numFmtId="44" fontId="21" fillId="7" borderId="14" xfId="1" applyFont="1" applyFill="1" applyBorder="1" applyAlignment="1">
      <alignment horizontal="center"/>
    </xf>
    <xf numFmtId="0" fontId="24" fillId="2" borderId="0" xfId="0" applyFont="1" applyFill="1" applyAlignment="1" applyProtection="1">
      <alignment horizontal="right"/>
      <protection locked="0"/>
    </xf>
    <xf numFmtId="0" fontId="27" fillId="2" borderId="0" xfId="0" applyFont="1" applyFill="1" applyAlignment="1" applyProtection="1">
      <alignment horizontal="left"/>
      <protection locked="0"/>
    </xf>
    <xf numFmtId="0" fontId="19" fillId="2" borderId="15" xfId="0" applyFont="1" applyFill="1" applyBorder="1" applyAlignment="1" applyProtection="1">
      <alignment horizontal="left"/>
      <protection locked="0"/>
    </xf>
    <xf numFmtId="0" fontId="24" fillId="2" borderId="16" xfId="0" applyFont="1" applyFill="1" applyBorder="1" applyAlignment="1" applyProtection="1">
      <alignment horizontal="left"/>
      <protection locked="0"/>
    </xf>
    <xf numFmtId="0" fontId="24" fillId="2" borderId="17" xfId="0" applyFont="1" applyFill="1" applyBorder="1" applyAlignment="1" applyProtection="1">
      <alignment horizontal="left"/>
      <protection locked="0"/>
    </xf>
    <xf numFmtId="0" fontId="23" fillId="4" borderId="0" xfId="0" applyFont="1" applyFill="1"/>
    <xf numFmtId="0" fontId="22" fillId="2" borderId="1" xfId="0" applyFont="1" applyFill="1" applyBorder="1" applyAlignment="1" applyProtection="1">
      <alignment horizontal="left"/>
      <protection locked="0"/>
    </xf>
    <xf numFmtId="44" fontId="33" fillId="11" borderId="1" xfId="1" applyFont="1" applyFill="1" applyBorder="1"/>
    <xf numFmtId="44" fontId="30" fillId="0" borderId="0" xfId="10" applyFont="1" applyAlignment="1">
      <alignment horizontal="right" vertical="center" wrapText="1"/>
    </xf>
    <xf numFmtId="44" fontId="30" fillId="0" borderId="0" xfId="10" applyFont="1" applyAlignment="1">
      <alignment vertical="center" wrapText="1"/>
    </xf>
    <xf numFmtId="44" fontId="30" fillId="0" borderId="0" xfId="10" applyFont="1" applyAlignment="1">
      <alignment horizontal="center" vertical="center" wrapText="1"/>
    </xf>
    <xf numFmtId="0" fontId="22" fillId="4" borderId="1" xfId="0" applyFont="1" applyFill="1" applyBorder="1" applyProtection="1">
      <protection locked="0"/>
    </xf>
    <xf numFmtId="44" fontId="33" fillId="4" borderId="1" xfId="1" applyFont="1" applyFill="1" applyBorder="1"/>
    <xf numFmtId="44" fontId="29" fillId="4" borderId="18" xfId="1" applyFont="1" applyFill="1" applyBorder="1"/>
    <xf numFmtId="0" fontId="22" fillId="0" borderId="1" xfId="0" applyFont="1" applyBorder="1" applyAlignment="1" applyProtection="1">
      <alignment horizontal="left" vertical="top"/>
      <protection locked="0"/>
    </xf>
    <xf numFmtId="0" fontId="21" fillId="6" borderId="21" xfId="0" applyFont="1" applyFill="1" applyBorder="1" applyAlignment="1">
      <alignment horizontal="left"/>
    </xf>
    <xf numFmtId="44" fontId="38" fillId="4" borderId="1" xfId="1" applyFont="1" applyFill="1" applyBorder="1"/>
    <xf numFmtId="44" fontId="38" fillId="4" borderId="1" xfId="1" applyFont="1" applyFill="1" applyBorder="1" applyAlignment="1" applyProtection="1">
      <alignment horizontal="center"/>
      <protection locked="0"/>
    </xf>
    <xf numFmtId="44" fontId="38" fillId="4" borderId="1" xfId="1" applyFont="1" applyFill="1" applyBorder="1" applyAlignment="1">
      <alignment horizontal="center"/>
    </xf>
    <xf numFmtId="44" fontId="39" fillId="4" borderId="1" xfId="1" applyFont="1" applyFill="1" applyBorder="1" applyAlignment="1">
      <alignment horizontal="center" vertical="center"/>
    </xf>
    <xf numFmtId="44" fontId="39" fillId="4" borderId="1" xfId="1" applyFont="1" applyFill="1" applyBorder="1" applyAlignment="1">
      <alignment horizontal="center"/>
    </xf>
    <xf numFmtId="44" fontId="38" fillId="4" borderId="0" xfId="1" applyFont="1" applyFill="1" applyAlignment="1" applyProtection="1">
      <alignment horizontal="center"/>
      <protection locked="0"/>
    </xf>
    <xf numFmtId="44" fontId="38" fillId="4" borderId="0" xfId="1" applyFont="1" applyFill="1"/>
    <xf numFmtId="0" fontId="22" fillId="0" borderId="1" xfId="16" applyFont="1" applyBorder="1" applyAlignment="1" applyProtection="1">
      <alignment horizontal="left" vertical="top"/>
      <protection locked="0"/>
    </xf>
    <xf numFmtId="0" fontId="22" fillId="4" borderId="1" xfId="19" applyFont="1" applyFill="1" applyBorder="1" applyAlignment="1" applyProtection="1">
      <alignment horizontal="left" vertical="top"/>
      <protection locked="0"/>
    </xf>
    <xf numFmtId="0" fontId="22" fillId="0" borderId="1" xfId="20" applyFont="1" applyBorder="1" applyAlignment="1" applyProtection="1">
      <alignment horizontal="left" vertical="top"/>
      <protection locked="0"/>
    </xf>
    <xf numFmtId="0" fontId="22" fillId="0" borderId="2" xfId="20" applyFont="1" applyBorder="1" applyAlignment="1" applyProtection="1">
      <alignment horizontal="left" vertical="top"/>
      <protection locked="0"/>
    </xf>
    <xf numFmtId="0" fontId="28" fillId="0" borderId="1" xfId="0" applyFont="1" applyBorder="1" applyAlignment="1" applyProtection="1">
      <alignment horizontal="left" vertical="top"/>
      <protection locked="0"/>
    </xf>
    <xf numFmtId="0" fontId="28" fillId="0" borderId="1" xfId="23" applyFont="1" applyBorder="1" applyAlignment="1" applyProtection="1">
      <alignment horizontal="left" vertical="top"/>
      <protection locked="0"/>
    </xf>
    <xf numFmtId="0" fontId="28" fillId="0" borderId="1" xfId="0" applyFont="1" applyBorder="1" applyAlignment="1">
      <alignment vertical="center" wrapText="1"/>
    </xf>
    <xf numFmtId="0" fontId="22" fillId="0" borderId="1" xfId="27" applyFont="1" applyBorder="1" applyAlignment="1" applyProtection="1">
      <alignment horizontal="left" vertical="top"/>
      <protection locked="0"/>
    </xf>
    <xf numFmtId="0" fontId="22" fillId="0" borderId="1" xfId="24" applyFont="1" applyBorder="1" applyAlignment="1" applyProtection="1">
      <alignment horizontal="left" vertical="top"/>
      <protection locked="0"/>
    </xf>
    <xf numFmtId="0" fontId="22" fillId="0" borderId="1" xfId="24" applyFont="1" applyBorder="1" applyAlignment="1" applyProtection="1">
      <alignment horizontal="left"/>
      <protection locked="0"/>
    </xf>
    <xf numFmtId="3" fontId="19" fillId="3" borderId="1" xfId="0" applyNumberFormat="1" applyFont="1" applyFill="1" applyBorder="1" applyAlignment="1" applyProtection="1">
      <alignment horizontal="center"/>
      <protection locked="0"/>
    </xf>
    <xf numFmtId="3" fontId="19" fillId="4" borderId="1" xfId="0" applyNumberFormat="1" applyFont="1" applyFill="1" applyBorder="1" applyAlignment="1" applyProtection="1">
      <alignment horizontal="center"/>
      <protection locked="0"/>
    </xf>
    <xf numFmtId="3" fontId="19" fillId="4" borderId="1" xfId="0" applyNumberFormat="1" applyFont="1" applyFill="1" applyBorder="1" applyAlignment="1">
      <alignment horizontal="center"/>
    </xf>
    <xf numFmtId="3" fontId="19" fillId="3" borderId="3" xfId="0" applyNumberFormat="1" applyFont="1" applyFill="1" applyBorder="1" applyAlignment="1" applyProtection="1">
      <alignment horizontal="center"/>
      <protection locked="0"/>
    </xf>
    <xf numFmtId="3" fontId="19" fillId="4" borderId="3" xfId="0" applyNumberFormat="1" applyFont="1" applyFill="1" applyBorder="1" applyAlignment="1" applyProtection="1">
      <alignment horizontal="center"/>
      <protection locked="0"/>
    </xf>
    <xf numFmtId="3" fontId="19" fillId="4" borderId="3" xfId="0" applyNumberFormat="1" applyFont="1" applyFill="1" applyBorder="1" applyAlignment="1">
      <alignment horizontal="center"/>
    </xf>
    <xf numFmtId="13" fontId="21" fillId="7" borderId="22" xfId="1" applyNumberFormat="1" applyFont="1" applyFill="1" applyBorder="1" applyAlignment="1">
      <alignment horizontal="center"/>
    </xf>
    <xf numFmtId="44" fontId="22" fillId="4" borderId="0" xfId="1" applyFont="1" applyFill="1"/>
    <xf numFmtId="0" fontId="22" fillId="4" borderId="0" xfId="0" applyFont="1" applyFill="1"/>
    <xf numFmtId="3" fontId="22" fillId="5" borderId="1" xfId="1" applyNumberFormat="1" applyFont="1" applyFill="1" applyBorder="1" applyAlignment="1">
      <alignment horizontal="center"/>
    </xf>
    <xf numFmtId="0" fontId="22" fillId="3" borderId="16" xfId="0" applyFont="1" applyFill="1" applyBorder="1" applyAlignment="1" applyProtection="1">
      <alignment horizontal="left"/>
      <protection locked="0"/>
    </xf>
    <xf numFmtId="8" fontId="40" fillId="4" borderId="16" xfId="0" applyNumberFormat="1" applyFont="1" applyFill="1" applyBorder="1" applyAlignment="1">
      <alignment horizontal="left"/>
    </xf>
    <xf numFmtId="0" fontId="27" fillId="3" borderId="16" xfId="0" applyFont="1" applyFill="1" applyBorder="1" applyAlignment="1" applyProtection="1">
      <alignment horizontal="left"/>
      <protection locked="0"/>
    </xf>
    <xf numFmtId="4" fontId="40" fillId="4" borderId="16" xfId="0" applyNumberFormat="1" applyFont="1" applyFill="1" applyBorder="1" applyAlignment="1">
      <alignment horizontal="left"/>
    </xf>
    <xf numFmtId="4" fontId="40" fillId="4" borderId="17" xfId="0" applyNumberFormat="1" applyFont="1" applyFill="1" applyBorder="1" applyAlignment="1">
      <alignment horizontal="left"/>
    </xf>
    <xf numFmtId="3" fontId="15" fillId="3" borderId="18" xfId="0" applyNumberFormat="1" applyFont="1" applyFill="1" applyBorder="1" applyAlignment="1" applyProtection="1">
      <alignment horizontal="center"/>
      <protection locked="0"/>
    </xf>
    <xf numFmtId="3" fontId="15" fillId="3" borderId="5" xfId="0" applyNumberFormat="1" applyFont="1" applyFill="1" applyBorder="1" applyAlignment="1" applyProtection="1">
      <alignment horizontal="center"/>
      <protection locked="0"/>
    </xf>
    <xf numFmtId="3" fontId="15" fillId="4" borderId="5" xfId="0" applyNumberFormat="1" applyFont="1" applyFill="1" applyBorder="1" applyAlignment="1" applyProtection="1">
      <alignment horizontal="center"/>
      <protection locked="0"/>
    </xf>
    <xf numFmtId="0" fontId="22" fillId="4" borderId="16" xfId="0" applyFont="1" applyFill="1" applyBorder="1" applyProtection="1">
      <protection locked="0"/>
    </xf>
    <xf numFmtId="0" fontId="27" fillId="4" borderId="17" xfId="0" applyFont="1" applyFill="1" applyBorder="1" applyProtection="1">
      <protection locked="0"/>
    </xf>
    <xf numFmtId="0" fontId="44" fillId="5" borderId="1" xfId="0" applyFont="1" applyFill="1" applyBorder="1" applyAlignment="1">
      <alignment horizontal="center"/>
    </xf>
    <xf numFmtId="0" fontId="31" fillId="5" borderId="1" xfId="0" applyFont="1" applyFill="1" applyBorder="1" applyAlignment="1">
      <alignment horizontal="center" vertical="center"/>
    </xf>
    <xf numFmtId="0" fontId="28" fillId="5" borderId="19" xfId="0" applyFont="1" applyFill="1" applyBorder="1" applyAlignment="1">
      <alignment horizontal="center" vertical="top" wrapText="1"/>
    </xf>
    <xf numFmtId="0" fontId="22" fillId="0" borderId="1" xfId="0" applyFont="1" applyBorder="1" applyAlignment="1">
      <alignment wrapText="1"/>
    </xf>
    <xf numFmtId="0" fontId="28" fillId="5" borderId="27" xfId="0" applyFont="1" applyFill="1" applyBorder="1" applyAlignment="1">
      <alignment horizontal="center" vertical="top" wrapText="1"/>
    </xf>
    <xf numFmtId="8" fontId="48" fillId="0" borderId="19" xfId="0" applyNumberFormat="1" applyFont="1" applyBorder="1" applyAlignment="1">
      <alignment horizontal="left" vertical="top" wrapText="1"/>
    </xf>
    <xf numFmtId="8" fontId="48" fillId="0" borderId="27" xfId="0" applyNumberFormat="1" applyFont="1" applyBorder="1" applyAlignment="1">
      <alignment horizontal="left" vertical="top" wrapText="1"/>
    </xf>
    <xf numFmtId="8" fontId="48" fillId="0" borderId="25" xfId="0" applyNumberFormat="1" applyFont="1" applyBorder="1" applyAlignment="1">
      <alignment horizontal="left" vertical="top" wrapText="1"/>
    </xf>
    <xf numFmtId="0" fontId="19" fillId="4" borderId="0" xfId="0" applyFont="1" applyFill="1"/>
    <xf numFmtId="44" fontId="15" fillId="4" borderId="1" xfId="1" applyFont="1" applyFill="1" applyBorder="1"/>
    <xf numFmtId="0" fontId="42" fillId="5" borderId="1" xfId="0" applyFont="1" applyFill="1" applyBorder="1" applyAlignment="1">
      <alignment horizontal="center"/>
    </xf>
    <xf numFmtId="0" fontId="47" fillId="5" borderId="1" xfId="5" applyFont="1" applyFill="1" applyBorder="1" applyAlignment="1">
      <alignment horizontal="center" vertical="center"/>
    </xf>
    <xf numFmtId="44" fontId="19" fillId="5" borderId="28" xfId="1" applyFont="1" applyFill="1" applyBorder="1" applyAlignment="1">
      <alignment horizontal="center"/>
    </xf>
    <xf numFmtId="0" fontId="42" fillId="0" borderId="1" xfId="0" applyFont="1" applyBorder="1" applyAlignment="1">
      <alignment vertical="center" wrapText="1"/>
    </xf>
    <xf numFmtId="44" fontId="15" fillId="8" borderId="5" xfId="1" applyFont="1" applyFill="1" applyBorder="1" applyAlignment="1" applyProtection="1">
      <alignment horizontal="center"/>
      <protection locked="0"/>
    </xf>
    <xf numFmtId="0" fontId="50" fillId="0" borderId="1" xfId="0" applyFont="1" applyBorder="1" applyAlignment="1">
      <alignment horizontal="center" vertical="center" wrapText="1"/>
    </xf>
    <xf numFmtId="4" fontId="37" fillId="0" borderId="1" xfId="0" applyNumberFormat="1" applyFont="1" applyBorder="1"/>
    <xf numFmtId="3" fontId="50" fillId="4" borderId="3" xfId="0" applyNumberFormat="1" applyFont="1" applyFill="1" applyBorder="1" applyAlignment="1" applyProtection="1">
      <alignment horizontal="center"/>
      <protection locked="0"/>
    </xf>
    <xf numFmtId="3" fontId="50" fillId="4" borderId="3" xfId="0" applyNumberFormat="1" applyFont="1" applyFill="1" applyBorder="1" applyAlignment="1">
      <alignment horizontal="center"/>
    </xf>
    <xf numFmtId="3" fontId="42" fillId="5" borderId="3" xfId="0" applyNumberFormat="1" applyFont="1" applyFill="1" applyBorder="1" applyAlignment="1">
      <alignment horizontal="center"/>
    </xf>
    <xf numFmtId="9" fontId="42" fillId="4" borderId="3" xfId="2" applyFont="1" applyFill="1" applyBorder="1" applyAlignment="1">
      <alignment horizontal="center"/>
    </xf>
    <xf numFmtId="9" fontId="45" fillId="4" borderId="3" xfId="2" applyFont="1" applyFill="1" applyBorder="1" applyAlignment="1">
      <alignment horizontal="center"/>
    </xf>
    <xf numFmtId="3" fontId="50" fillId="4" borderId="1" xfId="0" applyNumberFormat="1" applyFont="1" applyFill="1" applyBorder="1" applyAlignment="1" applyProtection="1">
      <alignment horizontal="center"/>
      <protection locked="0"/>
    </xf>
    <xf numFmtId="3" fontId="50" fillId="4" borderId="1" xfId="0" applyNumberFormat="1" applyFont="1" applyFill="1" applyBorder="1" applyAlignment="1">
      <alignment horizontal="center"/>
    </xf>
    <xf numFmtId="3" fontId="42" fillId="5" borderId="1" xfId="0" applyNumberFormat="1" applyFont="1" applyFill="1" applyBorder="1" applyAlignment="1">
      <alignment horizontal="center"/>
    </xf>
    <xf numFmtId="9" fontId="42" fillId="4" borderId="1" xfId="2" applyFont="1" applyFill="1" applyBorder="1" applyAlignment="1">
      <alignment horizontal="center"/>
    </xf>
    <xf numFmtId="9" fontId="45" fillId="4" borderId="1" xfId="2" applyFont="1" applyFill="1" applyBorder="1" applyAlignment="1">
      <alignment horizontal="center"/>
    </xf>
    <xf numFmtId="3" fontId="50" fillId="3" borderId="1" xfId="0" applyNumberFormat="1" applyFont="1" applyFill="1" applyBorder="1" applyAlignment="1" applyProtection="1">
      <alignment horizontal="center"/>
      <protection locked="0"/>
    </xf>
    <xf numFmtId="3" fontId="42" fillId="4" borderId="3" xfId="0" applyNumberFormat="1" applyFont="1" applyFill="1" applyBorder="1" applyAlignment="1" applyProtection="1">
      <alignment horizontal="center"/>
      <protection locked="0"/>
    </xf>
    <xf numFmtId="3" fontId="42" fillId="4" borderId="3" xfId="0" applyNumberFormat="1" applyFont="1" applyFill="1" applyBorder="1" applyAlignment="1">
      <alignment horizontal="center"/>
    </xf>
    <xf numFmtId="3" fontId="42" fillId="4" borderId="1" xfId="0" applyNumberFormat="1" applyFont="1" applyFill="1" applyBorder="1" applyAlignment="1" applyProtection="1">
      <alignment horizontal="center"/>
      <protection locked="0"/>
    </xf>
    <xf numFmtId="3" fontId="42" fillId="4" borderId="1" xfId="0" applyNumberFormat="1" applyFont="1" applyFill="1" applyBorder="1" applyAlignment="1">
      <alignment horizontal="center"/>
    </xf>
    <xf numFmtId="3" fontId="42" fillId="3" borderId="1" xfId="0" applyNumberFormat="1" applyFont="1" applyFill="1" applyBorder="1" applyAlignment="1" applyProtection="1">
      <alignment horizontal="center"/>
      <protection locked="0"/>
    </xf>
    <xf numFmtId="0" fontId="50" fillId="4" borderId="0" xfId="0" applyFont="1" applyFill="1"/>
    <xf numFmtId="3" fontId="50" fillId="3" borderId="18" xfId="0" applyNumberFormat="1" applyFont="1" applyFill="1" applyBorder="1" applyAlignment="1" applyProtection="1">
      <alignment horizontal="center"/>
      <protection locked="0"/>
    </xf>
    <xf numFmtId="3" fontId="50" fillId="3" borderId="3" xfId="0" applyNumberFormat="1" applyFont="1" applyFill="1" applyBorder="1" applyAlignment="1" applyProtection="1">
      <alignment horizontal="center"/>
      <protection locked="0"/>
    </xf>
    <xf numFmtId="3" fontId="50" fillId="3" borderId="5" xfId="0" applyNumberFormat="1" applyFont="1" applyFill="1" applyBorder="1" applyAlignment="1" applyProtection="1">
      <alignment horizontal="center"/>
      <protection locked="0"/>
    </xf>
    <xf numFmtId="9" fontId="45" fillId="4" borderId="28" xfId="2" applyFont="1" applyFill="1" applyBorder="1" applyAlignment="1">
      <alignment horizontal="center"/>
    </xf>
    <xf numFmtId="9" fontId="45" fillId="4" borderId="2" xfId="2" applyFont="1" applyFill="1" applyBorder="1" applyAlignment="1">
      <alignment horizontal="center"/>
    </xf>
    <xf numFmtId="0" fontId="42" fillId="13" borderId="1" xfId="0" applyFont="1" applyFill="1" applyBorder="1" applyAlignment="1">
      <alignment horizontal="center" vertical="center" wrapText="1"/>
    </xf>
    <xf numFmtId="3" fontId="52" fillId="3" borderId="3" xfId="0" applyNumberFormat="1" applyFont="1" applyFill="1" applyBorder="1" applyAlignment="1" applyProtection="1">
      <alignment horizontal="center"/>
      <protection locked="0"/>
    </xf>
    <xf numFmtId="3" fontId="52" fillId="4" borderId="3" xfId="0" applyNumberFormat="1" applyFont="1" applyFill="1" applyBorder="1" applyAlignment="1" applyProtection="1">
      <alignment horizontal="center"/>
      <protection locked="0"/>
    </xf>
    <xf numFmtId="3" fontId="52" fillId="4" borderId="3" xfId="0" applyNumberFormat="1" applyFont="1" applyFill="1" applyBorder="1" applyAlignment="1">
      <alignment horizontal="center"/>
    </xf>
    <xf numFmtId="3" fontId="52" fillId="5" borderId="3" xfId="0" applyNumberFormat="1" applyFont="1" applyFill="1" applyBorder="1" applyAlignment="1">
      <alignment horizontal="center"/>
    </xf>
    <xf numFmtId="9" fontId="52" fillId="4" borderId="3" xfId="2" applyFont="1" applyFill="1" applyBorder="1" applyAlignment="1">
      <alignment horizontal="center"/>
    </xf>
    <xf numFmtId="9" fontId="53" fillId="4" borderId="3" xfId="2" applyFont="1" applyFill="1" applyBorder="1" applyAlignment="1">
      <alignment horizontal="center"/>
    </xf>
    <xf numFmtId="3" fontId="52" fillId="3" borderId="1" xfId="0" applyNumberFormat="1" applyFont="1" applyFill="1" applyBorder="1" applyAlignment="1" applyProtection="1">
      <alignment horizontal="center"/>
      <protection locked="0"/>
    </xf>
    <xf numFmtId="3" fontId="52" fillId="4" borderId="1" xfId="0" applyNumberFormat="1" applyFont="1" applyFill="1" applyBorder="1" applyAlignment="1" applyProtection="1">
      <alignment horizontal="center"/>
      <protection locked="0"/>
    </xf>
    <xf numFmtId="3" fontId="52" fillId="4" borderId="1" xfId="0" applyNumberFormat="1" applyFont="1" applyFill="1" applyBorder="1" applyAlignment="1">
      <alignment horizontal="center"/>
    </xf>
    <xf numFmtId="3" fontId="52" fillId="5" borderId="1" xfId="0" applyNumberFormat="1" applyFont="1" applyFill="1" applyBorder="1" applyAlignment="1">
      <alignment horizontal="center"/>
    </xf>
    <xf numFmtId="9" fontId="53" fillId="4" borderId="1" xfId="2" applyFont="1" applyFill="1" applyBorder="1" applyAlignment="1">
      <alignment horizontal="center"/>
    </xf>
    <xf numFmtId="0" fontId="55" fillId="0" borderId="19" xfId="9" applyFont="1" applyBorder="1" applyAlignment="1">
      <alignment horizontal="left" vertical="top" wrapText="1"/>
    </xf>
    <xf numFmtId="0" fontId="35" fillId="0" borderId="19" xfId="9" applyBorder="1" applyAlignment="1">
      <alignment horizontal="left" vertical="top" wrapText="1"/>
    </xf>
    <xf numFmtId="2" fontId="56" fillId="0" borderId="26" xfId="9" applyNumberFormat="1" applyFont="1" applyBorder="1" applyAlignment="1">
      <alignment horizontal="right" vertical="top" shrinkToFit="1"/>
    </xf>
    <xf numFmtId="0" fontId="47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 wrapText="1"/>
    </xf>
    <xf numFmtId="44" fontId="60" fillId="0" borderId="19" xfId="1" applyFont="1" applyFill="1" applyBorder="1" applyAlignment="1">
      <alignment horizontal="right" vertical="top" shrinkToFit="1"/>
    </xf>
    <xf numFmtId="44" fontId="60" fillId="0" borderId="19" xfId="1" applyFont="1" applyFill="1" applyBorder="1" applyAlignment="1">
      <alignment horizontal="left" vertical="top" indent="1" shrinkToFit="1"/>
    </xf>
    <xf numFmtId="2" fontId="61" fillId="0" borderId="0" xfId="0" applyNumberFormat="1" applyFont="1" applyAlignment="1">
      <alignment horizontal="right" vertical="top" shrinkToFit="1"/>
    </xf>
    <xf numFmtId="0" fontId="31" fillId="5" borderId="1" xfId="3" applyFont="1" applyFill="1" applyBorder="1" applyAlignment="1">
      <alignment horizontal="center" vertical="center" wrapText="1"/>
    </xf>
    <xf numFmtId="44" fontId="59" fillId="14" borderId="3" xfId="1" applyFont="1" applyFill="1" applyBorder="1"/>
    <xf numFmtId="13" fontId="17" fillId="14" borderId="9" xfId="1" applyNumberFormat="1" applyFont="1" applyFill="1" applyBorder="1" applyAlignment="1">
      <alignment horizontal="center"/>
    </xf>
    <xf numFmtId="13" fontId="17" fillId="14" borderId="22" xfId="1" applyNumberFormat="1" applyFont="1" applyFill="1" applyBorder="1" applyAlignment="1">
      <alignment horizontal="center"/>
    </xf>
    <xf numFmtId="44" fontId="17" fillId="14" borderId="12" xfId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51" fillId="5" borderId="1" xfId="0" applyFont="1" applyFill="1" applyBorder="1" applyAlignment="1">
      <alignment horizontal="center"/>
    </xf>
    <xf numFmtId="0" fontId="42" fillId="15" borderId="1" xfId="0" applyFont="1" applyFill="1" applyBorder="1" applyAlignment="1">
      <alignment horizontal="center"/>
    </xf>
    <xf numFmtId="0" fontId="63" fillId="3" borderId="7" xfId="0" applyFont="1" applyFill="1" applyBorder="1" applyAlignment="1" applyProtection="1">
      <alignment horizontal="center"/>
      <protection locked="0"/>
    </xf>
    <xf numFmtId="0" fontId="63" fillId="4" borderId="7" xfId="0" applyFont="1" applyFill="1" applyBorder="1" applyAlignment="1" applyProtection="1">
      <alignment horizontal="center"/>
      <protection locked="0"/>
    </xf>
    <xf numFmtId="0" fontId="63" fillId="4" borderId="8" xfId="0" applyFont="1" applyFill="1" applyBorder="1" applyAlignment="1" applyProtection="1">
      <alignment horizontal="center"/>
      <protection locked="0"/>
    </xf>
    <xf numFmtId="0" fontId="47" fillId="16" borderId="19" xfId="0" applyFont="1" applyFill="1" applyBorder="1" applyAlignment="1">
      <alignment horizontal="center" wrapText="1"/>
    </xf>
    <xf numFmtId="0" fontId="15" fillId="4" borderId="0" xfId="0" applyFont="1" applyFill="1" applyAlignment="1">
      <alignment horizontal="left"/>
    </xf>
    <xf numFmtId="44" fontId="59" fillId="12" borderId="3" xfId="1" applyFont="1" applyFill="1" applyBorder="1"/>
    <xf numFmtId="44" fontId="59" fillId="12" borderId="1" xfId="1" applyFont="1" applyFill="1" applyBorder="1"/>
    <xf numFmtId="0" fontId="17" fillId="17" borderId="12" xfId="0" applyFont="1" applyFill="1" applyBorder="1" applyAlignment="1">
      <alignment horizontal="center"/>
    </xf>
    <xf numFmtId="0" fontId="17" fillId="17" borderId="13" xfId="0" applyFont="1" applyFill="1" applyBorder="1" applyAlignment="1">
      <alignment horizontal="center"/>
    </xf>
    <xf numFmtId="0" fontId="17" fillId="12" borderId="12" xfId="0" applyFont="1" applyFill="1" applyBorder="1" applyAlignment="1">
      <alignment horizontal="center"/>
    </xf>
    <xf numFmtId="9" fontId="17" fillId="12" borderId="12" xfId="2" applyFont="1" applyFill="1" applyBorder="1" applyAlignment="1">
      <alignment horizontal="center"/>
    </xf>
    <xf numFmtId="44" fontId="17" fillId="12" borderId="14" xfId="1" applyFont="1" applyFill="1" applyBorder="1" applyAlignment="1">
      <alignment horizontal="center"/>
    </xf>
    <xf numFmtId="0" fontId="17" fillId="17" borderId="6" xfId="0" applyFont="1" applyFill="1" applyBorder="1" applyAlignment="1">
      <alignment horizontal="left"/>
    </xf>
    <xf numFmtId="0" fontId="17" fillId="12" borderId="9" xfId="0" applyFont="1" applyFill="1" applyBorder="1" applyAlignment="1">
      <alignment horizontal="center"/>
    </xf>
    <xf numFmtId="9" fontId="17" fillId="12" borderId="9" xfId="2" applyFont="1" applyFill="1" applyBorder="1" applyAlignment="1">
      <alignment horizontal="center"/>
    </xf>
    <xf numFmtId="13" fontId="17" fillId="12" borderId="10" xfId="1" applyNumberFormat="1" applyFont="1" applyFill="1" applyBorder="1" applyAlignment="1">
      <alignment horizontal="center"/>
    </xf>
    <xf numFmtId="13" fontId="17" fillId="12" borderId="9" xfId="1" applyNumberFormat="1" applyFont="1" applyFill="1" applyBorder="1" applyAlignment="1">
      <alignment horizontal="center"/>
    </xf>
    <xf numFmtId="44" fontId="17" fillId="12" borderId="12" xfId="1" applyFont="1" applyFill="1" applyBorder="1" applyAlignment="1">
      <alignment horizontal="center"/>
    </xf>
    <xf numFmtId="0" fontId="17" fillId="17" borderId="11" xfId="0" applyFont="1" applyFill="1" applyBorder="1" applyAlignment="1">
      <alignment horizontal="left"/>
    </xf>
    <xf numFmtId="1" fontId="43" fillId="5" borderId="24" xfId="9" applyNumberFormat="1" applyFont="1" applyFill="1" applyBorder="1" applyAlignment="1">
      <alignment horizontal="center" vertical="top" shrinkToFit="1"/>
    </xf>
    <xf numFmtId="44" fontId="59" fillId="18" borderId="3" xfId="1" applyFont="1" applyFill="1" applyBorder="1"/>
    <xf numFmtId="44" fontId="59" fillId="18" borderId="1" xfId="1" applyFont="1" applyFill="1" applyBorder="1"/>
    <xf numFmtId="0" fontId="17" fillId="18" borderId="9" xfId="0" applyFont="1" applyFill="1" applyBorder="1" applyAlignment="1">
      <alignment horizontal="center"/>
    </xf>
    <xf numFmtId="9" fontId="17" fillId="18" borderId="9" xfId="2" applyFont="1" applyFill="1" applyBorder="1" applyAlignment="1">
      <alignment horizontal="center"/>
    </xf>
    <xf numFmtId="13" fontId="21" fillId="18" borderId="9" xfId="1" applyNumberFormat="1" applyFont="1" applyFill="1" applyBorder="1" applyAlignment="1">
      <alignment horizontal="center"/>
    </xf>
    <xf numFmtId="13" fontId="17" fillId="18" borderId="10" xfId="1" applyNumberFormat="1" applyFont="1" applyFill="1" applyBorder="1" applyAlignment="1">
      <alignment horizontal="center"/>
    </xf>
    <xf numFmtId="0" fontId="17" fillId="18" borderId="12" xfId="0" applyFont="1" applyFill="1" applyBorder="1" applyAlignment="1">
      <alignment horizontal="center"/>
    </xf>
    <xf numFmtId="9" fontId="17" fillId="18" borderId="12" xfId="2" applyFont="1" applyFill="1" applyBorder="1" applyAlignment="1">
      <alignment horizontal="center"/>
    </xf>
    <xf numFmtId="44" fontId="17" fillId="18" borderId="12" xfId="1" applyFont="1" applyFill="1" applyBorder="1" applyAlignment="1">
      <alignment horizontal="center"/>
    </xf>
    <xf numFmtId="44" fontId="17" fillId="18" borderId="14" xfId="1" applyFont="1" applyFill="1" applyBorder="1" applyAlignment="1">
      <alignment horizontal="center"/>
    </xf>
    <xf numFmtId="0" fontId="17" fillId="19" borderId="12" xfId="0" applyFont="1" applyFill="1" applyBorder="1" applyAlignment="1">
      <alignment horizontal="center"/>
    </xf>
    <xf numFmtId="0" fontId="17" fillId="19" borderId="13" xfId="0" applyFont="1" applyFill="1" applyBorder="1" applyAlignment="1">
      <alignment horizontal="center"/>
    </xf>
    <xf numFmtId="0" fontId="17" fillId="19" borderId="6" xfId="0" applyFont="1" applyFill="1" applyBorder="1" applyAlignment="1">
      <alignment horizontal="left"/>
    </xf>
    <xf numFmtId="0" fontId="54" fillId="4" borderId="1" xfId="8" applyFont="1" applyFill="1" applyBorder="1" applyAlignment="1">
      <alignment horizontal="left" wrapText="1"/>
    </xf>
    <xf numFmtId="0" fontId="17" fillId="19" borderId="11" xfId="0" applyFont="1" applyFill="1" applyBorder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0" fontId="52" fillId="5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/>
    </xf>
    <xf numFmtId="0" fontId="21" fillId="7" borderId="2" xfId="0" applyFont="1" applyFill="1" applyBorder="1" applyAlignment="1">
      <alignment horizontal="center"/>
    </xf>
    <xf numFmtId="0" fontId="0" fillId="4" borderId="0" xfId="0" applyFill="1" applyAlignment="1">
      <alignment horizontal="left" vertical="center"/>
    </xf>
    <xf numFmtId="3" fontId="15" fillId="4" borderId="1" xfId="0" applyNumberFormat="1" applyFont="1" applyFill="1" applyBorder="1" applyAlignment="1" applyProtection="1">
      <alignment horizontal="left"/>
      <protection locked="0"/>
    </xf>
    <xf numFmtId="3" fontId="15" fillId="4" borderId="0" xfId="0" applyNumberFormat="1" applyFont="1" applyFill="1" applyAlignment="1" applyProtection="1">
      <alignment horizontal="left"/>
      <protection locked="0"/>
    </xf>
    <xf numFmtId="2" fontId="68" fillId="0" borderId="0" xfId="0" applyNumberFormat="1" applyFont="1" applyAlignment="1">
      <alignment horizontal="right" vertical="top" shrinkToFit="1"/>
    </xf>
    <xf numFmtId="2" fontId="69" fillId="0" borderId="0" xfId="0" applyNumberFormat="1" applyFont="1" applyAlignment="1">
      <alignment horizontal="right" vertical="top" shrinkToFit="1"/>
    </xf>
    <xf numFmtId="2" fontId="70" fillId="0" borderId="26" xfId="8" applyNumberFormat="1" applyFont="1" applyBorder="1" applyAlignment="1">
      <alignment horizontal="right" vertical="top" shrinkToFit="1"/>
    </xf>
    <xf numFmtId="2" fontId="71" fillId="0" borderId="26" xfId="8" applyNumberFormat="1" applyFont="1" applyBorder="1" applyAlignment="1">
      <alignment horizontal="right" vertical="top" shrinkToFit="1"/>
    </xf>
    <xf numFmtId="1" fontId="66" fillId="21" borderId="19" xfId="8" applyNumberFormat="1" applyFont="1" applyFill="1" applyBorder="1" applyAlignment="1">
      <alignment horizontal="center" vertical="top" shrinkToFit="1"/>
    </xf>
    <xf numFmtId="1" fontId="66" fillId="21" borderId="32" xfId="8" applyNumberFormat="1" applyFont="1" applyFill="1" applyBorder="1" applyAlignment="1">
      <alignment horizontal="center" vertical="top" shrinkToFit="1"/>
    </xf>
    <xf numFmtId="2" fontId="71" fillId="0" borderId="19" xfId="0" applyNumberFormat="1" applyFont="1" applyBorder="1" applyAlignment="1">
      <alignment horizontal="center" vertical="top" shrinkToFit="1"/>
    </xf>
    <xf numFmtId="2" fontId="71" fillId="22" borderId="19" xfId="0" applyNumberFormat="1" applyFont="1" applyFill="1" applyBorder="1" applyAlignment="1">
      <alignment horizontal="center" vertical="top" shrinkToFit="1"/>
    </xf>
    <xf numFmtId="2" fontId="71" fillId="23" borderId="19" xfId="0" applyNumberFormat="1" applyFont="1" applyFill="1" applyBorder="1" applyAlignment="1">
      <alignment horizontal="center" vertical="top" shrinkToFit="1"/>
    </xf>
    <xf numFmtId="1" fontId="66" fillId="5" borderId="19" xfId="0" applyNumberFormat="1" applyFont="1" applyFill="1" applyBorder="1" applyAlignment="1">
      <alignment horizontal="center" shrinkToFit="1"/>
    </xf>
    <xf numFmtId="13" fontId="17" fillId="18" borderId="9" xfId="1" applyNumberFormat="1" applyFont="1" applyFill="1" applyBorder="1" applyAlignment="1">
      <alignment horizontal="center"/>
    </xf>
    <xf numFmtId="0" fontId="54" fillId="4" borderId="19" xfId="0" applyFont="1" applyFill="1" applyBorder="1" applyAlignment="1">
      <alignment horizontal="left" wrapText="1"/>
    </xf>
    <xf numFmtId="2" fontId="56" fillId="0" borderId="26" xfId="0" applyNumberFormat="1" applyFont="1" applyBorder="1" applyAlignment="1">
      <alignment horizontal="left" vertical="top" shrinkToFit="1"/>
    </xf>
    <xf numFmtId="0" fontId="54" fillId="5" borderId="1" xfId="0" applyFont="1" applyFill="1" applyBorder="1" applyAlignment="1">
      <alignment horizontal="center"/>
    </xf>
    <xf numFmtId="165" fontId="46" fillId="4" borderId="1" xfId="2" applyNumberFormat="1" applyFont="1" applyFill="1" applyBorder="1" applyAlignment="1" applyProtection="1">
      <alignment vertical="center"/>
    </xf>
    <xf numFmtId="166" fontId="46" fillId="4" borderId="1" xfId="1" applyNumberFormat="1" applyFont="1" applyFill="1" applyBorder="1" applyAlignment="1" applyProtection="1">
      <alignment vertical="center"/>
    </xf>
    <xf numFmtId="165" fontId="46" fillId="4" borderId="1" xfId="2" applyNumberFormat="1" applyFont="1" applyFill="1" applyBorder="1" applyAlignment="1">
      <alignment vertical="center"/>
    </xf>
    <xf numFmtId="44" fontId="0" fillId="0" borderId="1" xfId="17" applyFont="1" applyBorder="1" applyAlignment="1">
      <alignment horizontal="center"/>
    </xf>
    <xf numFmtId="0" fontId="66" fillId="5" borderId="1" xfId="0" applyFont="1" applyFill="1" applyBorder="1" applyAlignment="1">
      <alignment horizontal="center" vertical="center"/>
    </xf>
    <xf numFmtId="0" fontId="47" fillId="0" borderId="1" xfId="0" applyFont="1" applyBorder="1" applyAlignment="1">
      <alignment horizontal="left" vertical="top" wrapText="1"/>
    </xf>
    <xf numFmtId="2" fontId="43" fillId="0" borderId="1" xfId="0" applyNumberFormat="1" applyFont="1" applyBorder="1" applyAlignment="1">
      <alignment horizontal="center" vertical="top" shrinkToFit="1"/>
    </xf>
    <xf numFmtId="4" fontId="43" fillId="0" borderId="1" xfId="0" applyNumberFormat="1" applyFont="1" applyBorder="1" applyAlignment="1">
      <alignment horizontal="center" vertical="top" shrinkToFit="1"/>
    </xf>
    <xf numFmtId="0" fontId="42" fillId="3" borderId="7" xfId="0" applyFont="1" applyFill="1" applyBorder="1" applyAlignment="1" applyProtection="1">
      <alignment horizontal="center"/>
      <protection locked="0"/>
    </xf>
    <xf numFmtId="0" fontId="42" fillId="4" borderId="7" xfId="0" applyFont="1" applyFill="1" applyBorder="1" applyAlignment="1" applyProtection="1">
      <alignment horizontal="center"/>
      <protection locked="0"/>
    </xf>
    <xf numFmtId="0" fontId="42" fillId="4" borderId="8" xfId="0" applyFont="1" applyFill="1" applyBorder="1" applyAlignment="1" applyProtection="1">
      <alignment horizontal="center"/>
      <protection locked="0"/>
    </xf>
    <xf numFmtId="0" fontId="64" fillId="7" borderId="5" xfId="0" applyFont="1" applyFill="1" applyBorder="1" applyAlignment="1">
      <alignment horizontal="center"/>
    </xf>
    <xf numFmtId="0" fontId="64" fillId="7" borderId="1" xfId="0" applyFont="1" applyFill="1" applyBorder="1" applyAlignment="1">
      <alignment horizontal="center"/>
    </xf>
    <xf numFmtId="0" fontId="72" fillId="6" borderId="5" xfId="0" applyFont="1" applyFill="1" applyBorder="1" applyAlignment="1">
      <alignment horizontal="center"/>
    </xf>
    <xf numFmtId="0" fontId="72" fillId="6" borderId="1" xfId="0" applyFont="1" applyFill="1" applyBorder="1" applyAlignment="1">
      <alignment horizontal="center"/>
    </xf>
    <xf numFmtId="0" fontId="72" fillId="6" borderId="2" xfId="0" applyFont="1" applyFill="1" applyBorder="1" applyAlignment="1">
      <alignment horizontal="center"/>
    </xf>
    <xf numFmtId="0" fontId="72" fillId="7" borderId="1" xfId="0" applyFont="1" applyFill="1" applyBorder="1" applyAlignment="1">
      <alignment horizontal="center"/>
    </xf>
    <xf numFmtId="0" fontId="73" fillId="2" borderId="0" xfId="0" applyFont="1" applyFill="1" applyAlignment="1" applyProtection="1">
      <alignment horizontal="right"/>
      <protection locked="0"/>
    </xf>
    <xf numFmtId="0" fontId="45" fillId="2" borderId="0" xfId="0" applyFont="1" applyFill="1" applyAlignment="1" applyProtection="1">
      <alignment horizontal="left"/>
      <protection locked="0"/>
    </xf>
    <xf numFmtId="3" fontId="50" fillId="4" borderId="0" xfId="0" applyNumberFormat="1" applyFont="1" applyFill="1" applyAlignment="1" applyProtection="1">
      <alignment horizontal="center"/>
      <protection locked="0"/>
    </xf>
    <xf numFmtId="44" fontId="42" fillId="5" borderId="28" xfId="1" applyFont="1" applyFill="1" applyBorder="1" applyAlignment="1">
      <alignment horizontal="center"/>
    </xf>
    <xf numFmtId="0" fontId="42" fillId="5" borderId="1" xfId="0" applyFont="1" applyFill="1" applyBorder="1" applyAlignment="1">
      <alignment horizontal="center" wrapText="1"/>
    </xf>
    <xf numFmtId="3" fontId="42" fillId="3" borderId="18" xfId="0" applyNumberFormat="1" applyFont="1" applyFill="1" applyBorder="1" applyAlignment="1" applyProtection="1">
      <alignment horizontal="center"/>
      <protection locked="0"/>
    </xf>
    <xf numFmtId="3" fontId="42" fillId="3" borderId="3" xfId="0" applyNumberFormat="1" applyFont="1" applyFill="1" applyBorder="1" applyAlignment="1" applyProtection="1">
      <alignment horizontal="center"/>
      <protection locked="0"/>
    </xf>
    <xf numFmtId="167" fontId="43" fillId="0" borderId="19" xfId="0" applyNumberFormat="1" applyFont="1" applyBorder="1" applyAlignment="1">
      <alignment horizontal="right" shrinkToFit="1"/>
    </xf>
    <xf numFmtId="44" fontId="42" fillId="8" borderId="5" xfId="1" applyFont="1" applyFill="1" applyBorder="1" applyAlignment="1" applyProtection="1">
      <alignment horizontal="center"/>
      <protection locked="0"/>
    </xf>
    <xf numFmtId="44" fontId="42" fillId="8" borderId="1" xfId="1" applyFont="1" applyFill="1" applyBorder="1" applyAlignment="1" applyProtection="1">
      <alignment horizontal="center"/>
      <protection locked="0"/>
    </xf>
    <xf numFmtId="44" fontId="42" fillId="9" borderId="1" xfId="1" applyFont="1" applyFill="1" applyBorder="1" applyAlignment="1" applyProtection="1">
      <alignment horizontal="center"/>
      <protection locked="0"/>
    </xf>
    <xf numFmtId="44" fontId="42" fillId="9" borderId="1" xfId="1" applyFont="1" applyFill="1" applyBorder="1" applyAlignment="1">
      <alignment horizontal="center"/>
    </xf>
    <xf numFmtId="3" fontId="42" fillId="3" borderId="5" xfId="0" applyNumberFormat="1" applyFont="1" applyFill="1" applyBorder="1" applyAlignment="1" applyProtection="1">
      <alignment horizontal="center"/>
      <protection locked="0"/>
    </xf>
    <xf numFmtId="3" fontId="42" fillId="4" borderId="5" xfId="0" applyNumberFormat="1" applyFont="1" applyFill="1" applyBorder="1" applyAlignment="1" applyProtection="1">
      <alignment horizontal="center"/>
      <protection locked="0"/>
    </xf>
    <xf numFmtId="168" fontId="45" fillId="0" borderId="19" xfId="0" applyNumberFormat="1" applyFont="1" applyBorder="1" applyAlignment="1">
      <alignment horizontal="right" shrinkToFit="1"/>
    </xf>
    <xf numFmtId="169" fontId="43" fillId="0" borderId="19" xfId="0" applyNumberFormat="1" applyFont="1" applyBorder="1" applyAlignment="1">
      <alignment horizontal="right" shrinkToFit="1"/>
    </xf>
    <xf numFmtId="0" fontId="42" fillId="4" borderId="0" xfId="0" applyFont="1" applyFill="1"/>
    <xf numFmtId="9" fontId="42" fillId="4" borderId="0" xfId="2" applyFont="1" applyFill="1" applyAlignment="1">
      <alignment horizontal="center"/>
    </xf>
    <xf numFmtId="44" fontId="42" fillId="4" borderId="0" xfId="1" applyFont="1" applyFill="1" applyAlignment="1"/>
    <xf numFmtId="3" fontId="42" fillId="4" borderId="0" xfId="0" applyNumberFormat="1" applyFont="1" applyFill="1" applyAlignment="1" applyProtection="1">
      <alignment horizontal="center"/>
      <protection locked="0"/>
    </xf>
    <xf numFmtId="3" fontId="42" fillId="4" borderId="0" xfId="0" applyNumberFormat="1" applyFont="1" applyFill="1" applyAlignment="1">
      <alignment horizontal="center"/>
    </xf>
    <xf numFmtId="3" fontId="42" fillId="4" borderId="18" xfId="0" applyNumberFormat="1" applyFont="1" applyFill="1" applyBorder="1" applyAlignment="1" applyProtection="1">
      <alignment horizontal="center"/>
      <protection locked="0"/>
    </xf>
    <xf numFmtId="3" fontId="47" fillId="5" borderId="1" xfId="1" applyNumberFormat="1" applyFont="1" applyFill="1" applyBorder="1" applyAlignment="1">
      <alignment horizontal="center"/>
    </xf>
    <xf numFmtId="1" fontId="47" fillId="5" borderId="1" xfId="9" applyNumberFormat="1" applyFont="1" applyFill="1" applyBorder="1" applyAlignment="1">
      <alignment horizontal="center" vertical="top" shrinkToFit="1"/>
    </xf>
    <xf numFmtId="3" fontId="19" fillId="3" borderId="18" xfId="0" applyNumberFormat="1" applyFont="1" applyFill="1" applyBorder="1" applyAlignment="1" applyProtection="1">
      <alignment horizontal="center"/>
      <protection locked="0"/>
    </xf>
    <xf numFmtId="3" fontId="19" fillId="3" borderId="5" xfId="0" applyNumberFormat="1" applyFont="1" applyFill="1" applyBorder="1" applyAlignment="1" applyProtection="1">
      <alignment horizontal="center"/>
      <protection locked="0"/>
    </xf>
    <xf numFmtId="3" fontId="19" fillId="4" borderId="5" xfId="0" applyNumberFormat="1" applyFont="1" applyFill="1" applyBorder="1" applyAlignment="1" applyProtection="1">
      <alignment horizontal="center"/>
      <protection locked="0"/>
    </xf>
    <xf numFmtId="0" fontId="47" fillId="5" borderId="19" xfId="0" applyFont="1" applyFill="1" applyBorder="1" applyAlignment="1">
      <alignment horizontal="center" wrapText="1"/>
    </xf>
    <xf numFmtId="3" fontId="74" fillId="5" borderId="3" xfId="0" applyNumberFormat="1" applyFont="1" applyFill="1" applyBorder="1" applyAlignment="1">
      <alignment horizontal="center"/>
    </xf>
    <xf numFmtId="9" fontId="74" fillId="4" borderId="3" xfId="2" applyFont="1" applyFill="1" applyBorder="1" applyAlignment="1">
      <alignment horizontal="center"/>
    </xf>
    <xf numFmtId="9" fontId="76" fillId="4" borderId="3" xfId="2" applyFont="1" applyFill="1" applyBorder="1" applyAlignment="1">
      <alignment horizontal="center"/>
    </xf>
    <xf numFmtId="3" fontId="74" fillId="3" borderId="3" xfId="0" applyNumberFormat="1" applyFont="1" applyFill="1" applyBorder="1" applyAlignment="1" applyProtection="1">
      <alignment horizontal="center"/>
      <protection locked="0"/>
    </xf>
    <xf numFmtId="3" fontId="74" fillId="4" borderId="3" xfId="0" applyNumberFormat="1" applyFont="1" applyFill="1" applyBorder="1" applyAlignment="1" applyProtection="1">
      <alignment horizontal="center"/>
      <protection locked="0"/>
    </xf>
    <xf numFmtId="3" fontId="74" fillId="4" borderId="3" xfId="0" applyNumberFormat="1" applyFont="1" applyFill="1" applyBorder="1" applyAlignment="1">
      <alignment horizontal="center"/>
    </xf>
    <xf numFmtId="0" fontId="77" fillId="5" borderId="1" xfId="0" applyFont="1" applyFill="1" applyBorder="1" applyAlignment="1">
      <alignment horizontal="center" vertical="top" wrapText="1"/>
    </xf>
    <xf numFmtId="44" fontId="22" fillId="20" borderId="1" xfId="1" applyFont="1" applyFill="1" applyBorder="1" applyAlignment="1" applyProtection="1">
      <alignment horizontal="center"/>
      <protection locked="0"/>
    </xf>
    <xf numFmtId="0" fontId="17" fillId="14" borderId="9" xfId="0" applyFont="1" applyFill="1" applyBorder="1" applyAlignment="1">
      <alignment horizontal="center"/>
    </xf>
    <xf numFmtId="9" fontId="17" fillId="14" borderId="9" xfId="2" applyFont="1" applyFill="1" applyBorder="1" applyAlignment="1">
      <alignment horizontal="center"/>
    </xf>
    <xf numFmtId="13" fontId="21" fillId="14" borderId="9" xfId="1" applyNumberFormat="1" applyFont="1" applyFill="1" applyBorder="1" applyAlignment="1">
      <alignment horizontal="center"/>
    </xf>
    <xf numFmtId="13" fontId="17" fillId="14" borderId="10" xfId="1" applyNumberFormat="1" applyFont="1" applyFill="1" applyBorder="1" applyAlignment="1">
      <alignment horizontal="center"/>
    </xf>
    <xf numFmtId="0" fontId="17" fillId="14" borderId="12" xfId="0" applyFont="1" applyFill="1" applyBorder="1" applyAlignment="1">
      <alignment horizontal="center"/>
    </xf>
    <xf numFmtId="9" fontId="17" fillId="14" borderId="12" xfId="2" applyFont="1" applyFill="1" applyBorder="1" applyAlignment="1">
      <alignment horizontal="center"/>
    </xf>
    <xf numFmtId="44" fontId="17" fillId="14" borderId="14" xfId="1" applyFont="1" applyFill="1" applyBorder="1" applyAlignment="1">
      <alignment horizontal="center"/>
    </xf>
    <xf numFmtId="0" fontId="17" fillId="24" borderId="11" xfId="0" applyFont="1" applyFill="1" applyBorder="1" applyAlignment="1">
      <alignment horizontal="left"/>
    </xf>
    <xf numFmtId="0" fontId="17" fillId="24" borderId="12" xfId="0" applyFont="1" applyFill="1" applyBorder="1" applyAlignment="1">
      <alignment horizontal="center"/>
    </xf>
    <xf numFmtId="0" fontId="17" fillId="24" borderId="13" xfId="0" applyFont="1" applyFill="1" applyBorder="1" applyAlignment="1">
      <alignment horizontal="center"/>
    </xf>
    <xf numFmtId="0" fontId="17" fillId="24" borderId="6" xfId="0" applyFont="1" applyFill="1" applyBorder="1" applyAlignment="1">
      <alignment horizontal="left"/>
    </xf>
    <xf numFmtId="44" fontId="17" fillId="14" borderId="13" xfId="1" applyFont="1" applyFill="1" applyBorder="1" applyAlignment="1">
      <alignment horizontal="center"/>
    </xf>
    <xf numFmtId="0" fontId="80" fillId="4" borderId="0" xfId="0" applyFont="1" applyFill="1"/>
    <xf numFmtId="0" fontId="80" fillId="4" borderId="0" xfId="0" applyFont="1" applyFill="1" applyAlignment="1">
      <alignment horizontal="center"/>
    </xf>
    <xf numFmtId="9" fontId="80" fillId="4" borderId="0" xfId="2" applyFont="1" applyFill="1" applyAlignment="1">
      <alignment horizontal="center"/>
    </xf>
    <xf numFmtId="44" fontId="80" fillId="4" borderId="0" xfId="1" applyFont="1" applyFill="1"/>
    <xf numFmtId="0" fontId="81" fillId="4" borderId="0" xfId="0" applyFont="1" applyFill="1"/>
    <xf numFmtId="0" fontId="83" fillId="3" borderId="7" xfId="0" applyFont="1" applyFill="1" applyBorder="1" applyAlignment="1" applyProtection="1">
      <alignment horizontal="center"/>
      <protection locked="0"/>
    </xf>
    <xf numFmtId="0" fontId="83" fillId="4" borderId="7" xfId="0" applyFont="1" applyFill="1" applyBorder="1" applyAlignment="1" applyProtection="1">
      <alignment horizontal="center"/>
      <protection locked="0"/>
    </xf>
    <xf numFmtId="0" fontId="82" fillId="7" borderId="5" xfId="0" applyFont="1" applyFill="1" applyBorder="1" applyAlignment="1">
      <alignment horizontal="center"/>
    </xf>
    <xf numFmtId="0" fontId="82" fillId="7" borderId="1" xfId="0" applyFont="1" applyFill="1" applyBorder="1" applyAlignment="1">
      <alignment horizontal="center"/>
    </xf>
    <xf numFmtId="0" fontId="84" fillId="6" borderId="5" xfId="0" applyFont="1" applyFill="1" applyBorder="1" applyAlignment="1">
      <alignment horizontal="center"/>
    </xf>
    <xf numFmtId="0" fontId="84" fillId="6" borderId="1" xfId="0" applyFont="1" applyFill="1" applyBorder="1" applyAlignment="1">
      <alignment horizontal="center"/>
    </xf>
    <xf numFmtId="0" fontId="84" fillId="6" borderId="2" xfId="0" applyFont="1" applyFill="1" applyBorder="1" applyAlignment="1">
      <alignment horizontal="center"/>
    </xf>
    <xf numFmtId="0" fontId="84" fillId="7" borderId="1" xfId="0" applyFont="1" applyFill="1" applyBorder="1" applyAlignment="1">
      <alignment horizontal="center"/>
    </xf>
    <xf numFmtId="44" fontId="80" fillId="8" borderId="1" xfId="1" applyFont="1" applyFill="1" applyBorder="1" applyAlignment="1" applyProtection="1">
      <alignment horizontal="center"/>
      <protection locked="0"/>
    </xf>
    <xf numFmtId="44" fontId="80" fillId="9" borderId="1" xfId="1" applyFont="1" applyFill="1" applyBorder="1" applyAlignment="1" applyProtection="1">
      <alignment horizontal="center"/>
      <protection locked="0"/>
    </xf>
    <xf numFmtId="44" fontId="80" fillId="9" borderId="1" xfId="1" applyFont="1" applyFill="1" applyBorder="1" applyAlignment="1">
      <alignment horizontal="center"/>
    </xf>
    <xf numFmtId="44" fontId="83" fillId="5" borderId="3" xfId="1" applyFont="1" applyFill="1" applyBorder="1" applyAlignment="1">
      <alignment horizontal="center"/>
    </xf>
    <xf numFmtId="0" fontId="87" fillId="2" borderId="0" xfId="0" applyFont="1" applyFill="1" applyAlignment="1" applyProtection="1">
      <alignment horizontal="right"/>
      <protection locked="0"/>
    </xf>
    <xf numFmtId="44" fontId="80" fillId="4" borderId="0" xfId="0" applyNumberFormat="1" applyFont="1" applyFill="1"/>
    <xf numFmtId="3" fontId="80" fillId="4" borderId="0" xfId="0" applyNumberFormat="1" applyFont="1" applyFill="1" applyAlignment="1" applyProtection="1">
      <alignment horizontal="center"/>
      <protection locked="0"/>
    </xf>
    <xf numFmtId="3" fontId="80" fillId="4" borderId="0" xfId="0" applyNumberFormat="1" applyFont="1" applyFill="1" applyAlignment="1">
      <alignment horizontal="center"/>
    </xf>
    <xf numFmtId="0" fontId="80" fillId="4" borderId="0" xfId="0" applyFont="1" applyFill="1" applyProtection="1">
      <protection locked="0"/>
    </xf>
    <xf numFmtId="3" fontId="79" fillId="5" borderId="3" xfId="0" applyNumberFormat="1" applyFont="1" applyFill="1" applyBorder="1" applyAlignment="1">
      <alignment horizontal="center"/>
    </xf>
    <xf numFmtId="9" fontId="79" fillId="4" borderId="3" xfId="2" applyFont="1" applyFill="1" applyBorder="1" applyAlignment="1">
      <alignment horizontal="center"/>
    </xf>
    <xf numFmtId="9" fontId="90" fillId="4" borderId="3" xfId="2" applyFont="1" applyFill="1" applyBorder="1" applyAlignment="1">
      <alignment horizontal="center"/>
    </xf>
    <xf numFmtId="3" fontId="79" fillId="5" borderId="1" xfId="0" applyNumberFormat="1" applyFont="1" applyFill="1" applyBorder="1" applyAlignment="1">
      <alignment horizontal="center"/>
    </xf>
    <xf numFmtId="9" fontId="79" fillId="4" borderId="1" xfId="2" applyFont="1" applyFill="1" applyBorder="1" applyAlignment="1">
      <alignment horizontal="center"/>
    </xf>
    <xf numFmtId="9" fontId="90" fillId="4" borderId="1" xfId="2" applyFont="1" applyFill="1" applyBorder="1" applyAlignment="1">
      <alignment horizontal="center"/>
    </xf>
    <xf numFmtId="3" fontId="79" fillId="4" borderId="1" xfId="0" applyNumberFormat="1" applyFont="1" applyFill="1" applyBorder="1" applyAlignment="1">
      <alignment horizontal="center"/>
    </xf>
    <xf numFmtId="44" fontId="80" fillId="4" borderId="0" xfId="1" applyFont="1" applyFill="1" applyAlignment="1">
      <alignment horizontal="center"/>
    </xf>
    <xf numFmtId="1" fontId="86" fillId="5" borderId="19" xfId="0" applyNumberFormat="1" applyFont="1" applyFill="1" applyBorder="1" applyAlignment="1">
      <alignment horizontal="center" vertical="top" shrinkToFit="1"/>
    </xf>
    <xf numFmtId="0" fontId="78" fillId="5" borderId="19" xfId="0" applyFont="1" applyFill="1" applyBorder="1" applyAlignment="1">
      <alignment horizontal="center" vertical="top" wrapText="1"/>
    </xf>
    <xf numFmtId="44" fontId="88" fillId="20" borderId="1" xfId="1" applyFont="1" applyFill="1" applyBorder="1" applyAlignment="1" applyProtection="1">
      <alignment horizontal="center"/>
      <protection locked="0"/>
    </xf>
    <xf numFmtId="0" fontId="50" fillId="2" borderId="0" xfId="0" applyFont="1" applyFill="1" applyAlignment="1" applyProtection="1">
      <alignment horizontal="left"/>
      <protection locked="0"/>
    </xf>
    <xf numFmtId="0" fontId="42" fillId="2" borderId="15" xfId="0" applyFont="1" applyFill="1" applyBorder="1" applyAlignment="1" applyProtection="1">
      <alignment horizontal="left"/>
      <protection locked="0"/>
    </xf>
    <xf numFmtId="0" fontId="73" fillId="2" borderId="16" xfId="0" applyFont="1" applyFill="1" applyBorder="1" applyAlignment="1" applyProtection="1">
      <alignment horizontal="left"/>
      <protection locked="0"/>
    </xf>
    <xf numFmtId="0" fontId="73" fillId="2" borderId="17" xfId="0" applyFont="1" applyFill="1" applyBorder="1" applyAlignment="1" applyProtection="1">
      <alignment horizontal="left"/>
      <protection locked="0"/>
    </xf>
    <xf numFmtId="0" fontId="42" fillId="2" borderId="0" xfId="0" applyFont="1" applyFill="1" applyAlignment="1" applyProtection="1">
      <alignment horizontal="left"/>
      <protection locked="0"/>
    </xf>
    <xf numFmtId="0" fontId="91" fillId="2" borderId="4" xfId="0" applyFont="1" applyFill="1" applyBorder="1" applyAlignment="1" applyProtection="1">
      <alignment horizontal="left"/>
      <protection locked="0"/>
    </xf>
    <xf numFmtId="0" fontId="50" fillId="4" borderId="0" xfId="0" applyFont="1" applyFill="1" applyProtection="1">
      <protection locked="0"/>
    </xf>
    <xf numFmtId="0" fontId="92" fillId="4" borderId="1" xfId="0" applyFont="1" applyFill="1" applyBorder="1"/>
    <xf numFmtId="3" fontId="92" fillId="4" borderId="1" xfId="0" applyNumberFormat="1" applyFont="1" applyFill="1" applyBorder="1" applyAlignment="1" applyProtection="1">
      <alignment horizontal="center"/>
      <protection locked="0"/>
    </xf>
    <xf numFmtId="3" fontId="92" fillId="4" borderId="1" xfId="0" applyNumberFormat="1" applyFont="1" applyFill="1" applyBorder="1" applyAlignment="1">
      <alignment horizontal="center"/>
    </xf>
    <xf numFmtId="3" fontId="92" fillId="5" borderId="1" xfId="0" applyNumberFormat="1" applyFont="1" applyFill="1" applyBorder="1" applyAlignment="1">
      <alignment horizontal="center"/>
    </xf>
    <xf numFmtId="9" fontId="92" fillId="4" borderId="1" xfId="2" applyFont="1" applyFill="1" applyBorder="1" applyAlignment="1">
      <alignment horizontal="center"/>
    </xf>
    <xf numFmtId="9" fontId="94" fillId="4" borderId="1" xfId="2" applyFont="1" applyFill="1" applyBorder="1" applyAlignment="1">
      <alignment horizontal="center"/>
    </xf>
    <xf numFmtId="44" fontId="95" fillId="0" borderId="1" xfId="55" applyFont="1" applyBorder="1"/>
    <xf numFmtId="3" fontId="92" fillId="5" borderId="1" xfId="1" applyNumberFormat="1" applyFont="1" applyFill="1" applyBorder="1" applyAlignment="1">
      <alignment horizontal="center"/>
    </xf>
    <xf numFmtId="44" fontId="15" fillId="4" borderId="0" xfId="2" applyNumberFormat="1" applyFont="1" applyFill="1" applyAlignment="1">
      <alignment horizontal="center"/>
    </xf>
    <xf numFmtId="3" fontId="78" fillId="4" borderId="3" xfId="0" applyNumberFormat="1" applyFont="1" applyFill="1" applyBorder="1" applyAlignment="1" applyProtection="1">
      <alignment horizontal="center"/>
      <protection locked="0"/>
    </xf>
    <xf numFmtId="3" fontId="78" fillId="4" borderId="3" xfId="0" applyNumberFormat="1" applyFont="1" applyFill="1" applyBorder="1" applyAlignment="1">
      <alignment horizontal="center"/>
    </xf>
    <xf numFmtId="3" fontId="78" fillId="5" borderId="3" xfId="0" applyNumberFormat="1" applyFont="1" applyFill="1" applyBorder="1" applyAlignment="1">
      <alignment horizontal="center"/>
    </xf>
    <xf numFmtId="9" fontId="78" fillId="4" borderId="3" xfId="2" applyFont="1" applyFill="1" applyBorder="1" applyAlignment="1">
      <alignment horizontal="center"/>
    </xf>
    <xf numFmtId="1" fontId="78" fillId="21" borderId="19" xfId="9" applyNumberFormat="1" applyFont="1" applyFill="1" applyBorder="1" applyAlignment="1">
      <alignment horizontal="center" vertical="top" shrinkToFit="1"/>
    </xf>
    <xf numFmtId="3" fontId="78" fillId="4" borderId="1" xfId="0" applyNumberFormat="1" applyFont="1" applyFill="1" applyBorder="1" applyAlignment="1" applyProtection="1">
      <alignment horizontal="center"/>
      <protection locked="0"/>
    </xf>
    <xf numFmtId="3" fontId="78" fillId="4" borderId="1" xfId="0" applyNumberFormat="1" applyFont="1" applyFill="1" applyBorder="1" applyAlignment="1">
      <alignment horizontal="center"/>
    </xf>
    <xf numFmtId="3" fontId="78" fillId="5" borderId="1" xfId="0" applyNumberFormat="1" applyFont="1" applyFill="1" applyBorder="1" applyAlignment="1">
      <alignment horizontal="center"/>
    </xf>
    <xf numFmtId="9" fontId="78" fillId="4" borderId="1" xfId="2" applyFont="1" applyFill="1" applyBorder="1" applyAlignment="1">
      <alignment horizontal="center"/>
    </xf>
    <xf numFmtId="3" fontId="78" fillId="3" borderId="1" xfId="0" applyNumberFormat="1" applyFont="1" applyFill="1" applyBorder="1" applyAlignment="1" applyProtection="1">
      <alignment horizontal="center"/>
      <protection locked="0"/>
    </xf>
    <xf numFmtId="1" fontId="78" fillId="21" borderId="32" xfId="9" applyNumberFormat="1" applyFont="1" applyFill="1" applyBorder="1" applyAlignment="1">
      <alignment horizontal="center" vertical="top" shrinkToFit="1"/>
    </xf>
    <xf numFmtId="1" fontId="78" fillId="21" borderId="33" xfId="9" applyNumberFormat="1" applyFont="1" applyFill="1" applyBorder="1" applyAlignment="1">
      <alignment horizontal="center" vertical="top" shrinkToFit="1"/>
    </xf>
    <xf numFmtId="1" fontId="78" fillId="21" borderId="34" xfId="9" applyNumberFormat="1" applyFont="1" applyFill="1" applyBorder="1" applyAlignment="1">
      <alignment horizontal="center" vertical="top" shrinkToFit="1"/>
    </xf>
    <xf numFmtId="1" fontId="78" fillId="21" borderId="1" xfId="9" applyNumberFormat="1" applyFont="1" applyFill="1" applyBorder="1" applyAlignment="1">
      <alignment horizontal="center" vertical="top" shrinkToFit="1"/>
    </xf>
    <xf numFmtId="173" fontId="19" fillId="4" borderId="1" xfId="2" applyNumberFormat="1" applyFont="1" applyFill="1" applyBorder="1" applyAlignment="1">
      <alignment horizontal="center"/>
    </xf>
    <xf numFmtId="0" fontId="17" fillId="26" borderId="21" xfId="0" applyFont="1" applyFill="1" applyBorder="1" applyAlignment="1">
      <alignment horizontal="left"/>
    </xf>
    <xf numFmtId="0" fontId="17" fillId="26" borderId="12" xfId="0" applyFont="1" applyFill="1" applyBorder="1" applyAlignment="1">
      <alignment horizontal="center"/>
    </xf>
    <xf numFmtId="0" fontId="17" fillId="26" borderId="13" xfId="0" applyFont="1" applyFill="1" applyBorder="1" applyAlignment="1">
      <alignment horizontal="center"/>
    </xf>
    <xf numFmtId="0" fontId="17" fillId="27" borderId="12" xfId="0" applyFont="1" applyFill="1" applyBorder="1" applyAlignment="1">
      <alignment horizontal="center"/>
    </xf>
    <xf numFmtId="9" fontId="17" fillId="27" borderId="12" xfId="2" applyFont="1" applyFill="1" applyBorder="1" applyAlignment="1">
      <alignment horizontal="center"/>
    </xf>
    <xf numFmtId="0" fontId="17" fillId="26" borderId="6" xfId="0" applyFont="1" applyFill="1" applyBorder="1" applyAlignment="1">
      <alignment horizontal="left"/>
    </xf>
    <xf numFmtId="0" fontId="17" fillId="27" borderId="9" xfId="0" applyFont="1" applyFill="1" applyBorder="1" applyAlignment="1">
      <alignment horizontal="center"/>
    </xf>
    <xf numFmtId="9" fontId="17" fillId="27" borderId="9" xfId="2" applyFont="1" applyFill="1" applyBorder="1" applyAlignment="1">
      <alignment horizontal="center"/>
    </xf>
    <xf numFmtId="13" fontId="17" fillId="27" borderId="10" xfId="1" applyNumberFormat="1" applyFont="1" applyFill="1" applyBorder="1" applyAlignment="1">
      <alignment horizontal="center"/>
    </xf>
    <xf numFmtId="44" fontId="59" fillId="27" borderId="3" xfId="1" applyFont="1" applyFill="1" applyBorder="1"/>
    <xf numFmtId="44" fontId="59" fillId="27" borderId="1" xfId="1" applyFont="1" applyFill="1" applyBorder="1"/>
    <xf numFmtId="44" fontId="22" fillId="28" borderId="1" xfId="1" applyFont="1" applyFill="1" applyBorder="1" applyAlignment="1" applyProtection="1">
      <alignment horizontal="center"/>
      <protection locked="0"/>
    </xf>
    <xf numFmtId="13" fontId="21" fillId="27" borderId="9" xfId="1" applyNumberFormat="1" applyFont="1" applyFill="1" applyBorder="1" applyAlignment="1">
      <alignment horizontal="center"/>
    </xf>
    <xf numFmtId="44" fontId="17" fillId="27" borderId="12" xfId="1" applyFont="1" applyFill="1" applyBorder="1" applyAlignment="1">
      <alignment horizontal="center"/>
    </xf>
    <xf numFmtId="0" fontId="103" fillId="4" borderId="0" xfId="0" applyFont="1" applyFill="1" applyAlignment="1">
      <alignment horizontal="left" vertical="center"/>
    </xf>
    <xf numFmtId="0" fontId="36" fillId="0" borderId="1" xfId="0" applyFont="1" applyBorder="1" applyAlignment="1">
      <alignment vertical="center"/>
    </xf>
    <xf numFmtId="2" fontId="105" fillId="29" borderId="35" xfId="9" applyNumberFormat="1" applyFont="1" applyFill="1" applyBorder="1" applyAlignment="1">
      <alignment horizontal="right" vertical="top" shrinkToFit="1"/>
    </xf>
    <xf numFmtId="0" fontId="104" fillId="29" borderId="36" xfId="9" applyFont="1" applyFill="1" applyBorder="1" applyAlignment="1">
      <alignment horizontal="center" vertical="top" wrapText="1"/>
    </xf>
    <xf numFmtId="0" fontId="4" fillId="0" borderId="1" xfId="218" applyBorder="1"/>
    <xf numFmtId="0" fontId="108" fillId="0" borderId="37" xfId="9" applyFont="1" applyBorder="1" applyAlignment="1">
      <alignment horizontal="center" vertical="top" wrapText="1"/>
    </xf>
    <xf numFmtId="0" fontId="108" fillId="0" borderId="38" xfId="9" applyFont="1" applyBorder="1" applyAlignment="1">
      <alignment horizontal="center" vertical="top" wrapText="1"/>
    </xf>
    <xf numFmtId="2" fontId="107" fillId="0" borderId="39" xfId="9" applyNumberFormat="1" applyFont="1" applyBorder="1" applyAlignment="1">
      <alignment horizontal="center" vertical="top" shrinkToFit="1"/>
    </xf>
    <xf numFmtId="2" fontId="107" fillId="0" borderId="40" xfId="9" applyNumberFormat="1" applyFont="1" applyBorder="1" applyAlignment="1">
      <alignment horizontal="center" vertical="top" shrinkToFit="1"/>
    </xf>
    <xf numFmtId="2" fontId="107" fillId="0" borderId="41" xfId="9" applyNumberFormat="1" applyFont="1" applyBorder="1" applyAlignment="1">
      <alignment horizontal="center" vertical="top" shrinkToFit="1"/>
    </xf>
    <xf numFmtId="44" fontId="17" fillId="27" borderId="14" xfId="1" applyFont="1" applyFill="1" applyBorder="1" applyAlignment="1">
      <alignment horizontal="center"/>
    </xf>
    <xf numFmtId="166" fontId="4" fillId="0" borderId="42" xfId="218" applyNumberFormat="1" applyBorder="1" applyAlignment="1">
      <alignment horizontal="center"/>
    </xf>
    <xf numFmtId="0" fontId="51" fillId="0" borderId="1" xfId="0" applyFont="1" applyBorder="1"/>
    <xf numFmtId="0" fontId="47" fillId="5" borderId="1" xfId="0" applyFont="1" applyFill="1" applyBorder="1" applyAlignment="1">
      <alignment horizontal="center"/>
    </xf>
    <xf numFmtId="0" fontId="47" fillId="5" borderId="3" xfId="0" applyFont="1" applyFill="1" applyBorder="1" applyAlignment="1">
      <alignment horizontal="center"/>
    </xf>
    <xf numFmtId="44" fontId="42" fillId="20" borderId="1" xfId="1" applyFont="1" applyFill="1" applyBorder="1" applyAlignment="1" applyProtection="1">
      <alignment horizontal="center"/>
      <protection locked="0"/>
    </xf>
    <xf numFmtId="0" fontId="17" fillId="26" borderId="11" xfId="0" applyFont="1" applyFill="1" applyBorder="1" applyAlignment="1">
      <alignment horizontal="left"/>
    </xf>
    <xf numFmtId="2" fontId="110" fillId="0" borderId="24" xfId="8" applyNumberFormat="1" applyFont="1" applyBorder="1" applyAlignment="1">
      <alignment horizontal="right" vertical="top" shrinkToFit="1"/>
    </xf>
    <xf numFmtId="4" fontId="110" fillId="0" borderId="24" xfId="8" applyNumberFormat="1" applyFont="1" applyBorder="1" applyAlignment="1">
      <alignment horizontal="right" vertical="top" shrinkToFit="1"/>
    </xf>
    <xf numFmtId="2" fontId="111" fillId="0" borderId="24" xfId="8" applyNumberFormat="1" applyFont="1" applyBorder="1" applyAlignment="1">
      <alignment horizontal="right" vertical="top" shrinkToFit="1"/>
    </xf>
    <xf numFmtId="0" fontId="65" fillId="0" borderId="24" xfId="8" applyFont="1" applyBorder="1" applyAlignment="1">
      <alignment horizontal="right" vertical="top" wrapText="1"/>
    </xf>
    <xf numFmtId="2" fontId="110" fillId="0" borderId="0" xfId="8" applyNumberFormat="1" applyFont="1" applyAlignment="1">
      <alignment horizontal="right" vertical="top" shrinkToFit="1"/>
    </xf>
    <xf numFmtId="44" fontId="62" fillId="27" borderId="3" xfId="1" applyFont="1" applyFill="1" applyBorder="1"/>
    <xf numFmtId="44" fontId="62" fillId="27" borderId="1" xfId="1" applyFont="1" applyFill="1" applyBorder="1"/>
    <xf numFmtId="0" fontId="113" fillId="4" borderId="0" xfId="0" applyFont="1" applyFill="1"/>
    <xf numFmtId="2" fontId="114" fillId="0" borderId="19" xfId="9" applyNumberFormat="1" applyFont="1" applyBorder="1" applyAlignment="1">
      <alignment horizontal="right" vertical="top" shrinkToFit="1"/>
    </xf>
    <xf numFmtId="2" fontId="67" fillId="0" borderId="19" xfId="9" applyNumberFormat="1" applyFont="1" applyBorder="1" applyAlignment="1">
      <alignment horizontal="right" vertical="top" shrinkToFit="1"/>
    </xf>
    <xf numFmtId="4" fontId="67" fillId="0" borderId="19" xfId="9" applyNumberFormat="1" applyFont="1" applyBorder="1" applyAlignment="1">
      <alignment horizontal="right" vertical="top" indent="1" shrinkToFit="1"/>
    </xf>
    <xf numFmtId="0" fontId="116" fillId="0" borderId="1" xfId="220" applyFont="1" applyBorder="1"/>
    <xf numFmtId="2" fontId="115" fillId="30" borderId="1" xfId="220" applyNumberFormat="1" applyFont="1" applyFill="1" applyBorder="1"/>
    <xf numFmtId="2" fontId="115" fillId="30" borderId="20" xfId="220" applyNumberFormat="1" applyFont="1" applyFill="1" applyBorder="1"/>
    <xf numFmtId="13" fontId="17" fillId="27" borderId="9" xfId="1" applyNumberFormat="1" applyFont="1" applyFill="1" applyBorder="1" applyAlignment="1">
      <alignment horizontal="center"/>
    </xf>
    <xf numFmtId="0" fontId="109" fillId="4" borderId="1" xfId="0" applyFont="1" applyFill="1" applyBorder="1"/>
    <xf numFmtId="44" fontId="109" fillId="4" borderId="1" xfId="1" applyFont="1" applyFill="1" applyBorder="1"/>
    <xf numFmtId="0" fontId="57" fillId="0" borderId="19" xfId="9" applyFont="1" applyBorder="1" applyAlignment="1">
      <alignment horizontal="left" vertical="top" wrapText="1"/>
    </xf>
    <xf numFmtId="174" fontId="117" fillId="0" borderId="0" xfId="221" applyNumberFormat="1" applyFont="1" applyBorder="1" applyAlignment="1" applyProtection="1">
      <alignment horizontal="center" vertical="center"/>
    </xf>
    <xf numFmtId="175" fontId="117" fillId="0" borderId="0" xfId="0" applyNumberFormat="1" applyFont="1" applyAlignment="1">
      <alignment horizontal="center"/>
    </xf>
    <xf numFmtId="0" fontId="118" fillId="31" borderId="2" xfId="0" applyFont="1" applyFill="1" applyBorder="1" applyAlignment="1">
      <alignment vertical="center"/>
    </xf>
    <xf numFmtId="44" fontId="118" fillId="31" borderId="1" xfId="1" applyFont="1" applyFill="1" applyBorder="1" applyAlignment="1">
      <alignment vertical="center"/>
    </xf>
    <xf numFmtId="0" fontId="0" fillId="4" borderId="1" xfId="0" applyFill="1" applyBorder="1"/>
    <xf numFmtId="0" fontId="0" fillId="0" borderId="1" xfId="0" applyBorder="1"/>
    <xf numFmtId="44" fontId="120" fillId="0" borderId="1" xfId="1" applyFont="1" applyBorder="1"/>
    <xf numFmtId="0" fontId="17" fillId="32" borderId="21" xfId="0" applyFont="1" applyFill="1" applyBorder="1" applyAlignment="1">
      <alignment horizontal="left"/>
    </xf>
    <xf numFmtId="0" fontId="17" fillId="32" borderId="12" xfId="0" applyFont="1" applyFill="1" applyBorder="1" applyAlignment="1">
      <alignment horizontal="center"/>
    </xf>
    <xf numFmtId="0" fontId="17" fillId="32" borderId="13" xfId="0" applyFont="1" applyFill="1" applyBorder="1" applyAlignment="1">
      <alignment horizontal="center"/>
    </xf>
    <xf numFmtId="0" fontId="17" fillId="33" borderId="12" xfId="0" applyFont="1" applyFill="1" applyBorder="1" applyAlignment="1">
      <alignment horizontal="center"/>
    </xf>
    <xf numFmtId="9" fontId="17" fillId="33" borderId="12" xfId="2" applyFont="1" applyFill="1" applyBorder="1" applyAlignment="1">
      <alignment horizontal="center"/>
    </xf>
    <xf numFmtId="44" fontId="17" fillId="33" borderId="12" xfId="1" applyFont="1" applyFill="1" applyBorder="1" applyAlignment="1">
      <alignment horizontal="center"/>
    </xf>
    <xf numFmtId="44" fontId="17" fillId="33" borderId="14" xfId="1" applyFont="1" applyFill="1" applyBorder="1" applyAlignment="1">
      <alignment horizontal="center"/>
    </xf>
    <xf numFmtId="13" fontId="17" fillId="33" borderId="10" xfId="1" applyNumberFormat="1" applyFont="1" applyFill="1" applyBorder="1" applyAlignment="1">
      <alignment horizontal="center"/>
    </xf>
    <xf numFmtId="9" fontId="17" fillId="33" borderId="9" xfId="2" applyFont="1" applyFill="1" applyBorder="1" applyAlignment="1">
      <alignment horizontal="center"/>
    </xf>
    <xf numFmtId="0" fontId="17" fillId="33" borderId="9" xfId="0" applyFont="1" applyFill="1" applyBorder="1" applyAlignment="1">
      <alignment horizontal="center"/>
    </xf>
    <xf numFmtId="0" fontId="17" fillId="32" borderId="6" xfId="0" applyFont="1" applyFill="1" applyBorder="1" applyAlignment="1">
      <alignment horizontal="left"/>
    </xf>
    <xf numFmtId="44" fontId="59" fillId="33" borderId="3" xfId="1" applyFont="1" applyFill="1" applyBorder="1"/>
    <xf numFmtId="44" fontId="59" fillId="33" borderId="1" xfId="1" applyFont="1" applyFill="1" applyBorder="1"/>
    <xf numFmtId="0" fontId="51" fillId="4" borderId="1" xfId="0" applyFont="1" applyFill="1" applyBorder="1"/>
    <xf numFmtId="44" fontId="104" fillId="29" borderId="36" xfId="1" applyFont="1" applyFill="1" applyBorder="1" applyAlignment="1">
      <alignment horizontal="center" vertical="top" wrapText="1"/>
    </xf>
    <xf numFmtId="9" fontId="103" fillId="4" borderId="0" xfId="2" applyFont="1" applyFill="1" applyAlignment="1">
      <alignment horizontal="left" vertical="center"/>
    </xf>
    <xf numFmtId="9" fontId="15" fillId="4" borderId="0" xfId="2" applyFont="1" applyFill="1"/>
    <xf numFmtId="173" fontId="15" fillId="4" borderId="0" xfId="2" applyNumberFormat="1" applyFont="1" applyFill="1"/>
    <xf numFmtId="10" fontId="15" fillId="4" borderId="0" xfId="2" applyNumberFormat="1" applyFont="1" applyFill="1"/>
    <xf numFmtId="44" fontId="17" fillId="27" borderId="13" xfId="1" applyFont="1" applyFill="1" applyBorder="1" applyAlignment="1">
      <alignment horizontal="center"/>
    </xf>
    <xf numFmtId="2" fontId="56" fillId="0" borderId="0" xfId="9" applyNumberFormat="1" applyFont="1" applyAlignment="1">
      <alignment horizontal="right" vertical="top" shrinkToFit="1"/>
    </xf>
    <xf numFmtId="13" fontId="17" fillId="27" borderId="22" xfId="1" applyNumberFormat="1" applyFont="1" applyFill="1" applyBorder="1" applyAlignment="1">
      <alignment horizontal="center"/>
    </xf>
    <xf numFmtId="173" fontId="42" fillId="4" borderId="1" xfId="2" applyNumberFormat="1" applyFont="1" applyFill="1" applyBorder="1" applyAlignment="1">
      <alignment horizontal="center"/>
    </xf>
    <xf numFmtId="17" fontId="29" fillId="34" borderId="9" xfId="0" applyNumberFormat="1" applyFont="1" applyFill="1" applyBorder="1" applyAlignment="1">
      <alignment horizontal="center"/>
    </xf>
    <xf numFmtId="0" fontId="17" fillId="36" borderId="20" xfId="0" applyFont="1" applyFill="1" applyBorder="1" applyAlignment="1">
      <alignment horizontal="center"/>
    </xf>
    <xf numFmtId="0" fontId="17" fillId="35" borderId="6" xfId="0" applyFont="1" applyFill="1" applyBorder="1" applyAlignment="1">
      <alignment horizontal="left"/>
    </xf>
    <xf numFmtId="0" fontId="17" fillId="36" borderId="9" xfId="0" applyFont="1" applyFill="1" applyBorder="1" applyAlignment="1">
      <alignment horizontal="center"/>
    </xf>
    <xf numFmtId="9" fontId="17" fillId="36" borderId="9" xfId="2" applyFont="1" applyFill="1" applyBorder="1" applyAlignment="1">
      <alignment horizontal="center"/>
    </xf>
    <xf numFmtId="13" fontId="17" fillId="36" borderId="10" xfId="1" applyNumberFormat="1" applyFont="1" applyFill="1" applyBorder="1" applyAlignment="1">
      <alignment horizontal="center"/>
    </xf>
    <xf numFmtId="0" fontId="17" fillId="35" borderId="21" xfId="0" applyFont="1" applyFill="1" applyBorder="1" applyAlignment="1">
      <alignment horizontal="left"/>
    </xf>
    <xf numFmtId="0" fontId="17" fillId="35" borderId="20" xfId="0" applyFont="1" applyFill="1" applyBorder="1" applyAlignment="1">
      <alignment horizontal="center"/>
    </xf>
    <xf numFmtId="0" fontId="17" fillId="35" borderId="29" xfId="0" applyFont="1" applyFill="1" applyBorder="1" applyAlignment="1">
      <alignment horizontal="center"/>
    </xf>
    <xf numFmtId="9" fontId="17" fillId="36" borderId="20" xfId="2" applyFont="1" applyFill="1" applyBorder="1" applyAlignment="1">
      <alignment horizontal="center"/>
    </xf>
    <xf numFmtId="44" fontId="17" fillId="36" borderId="20" xfId="1" applyFont="1" applyFill="1" applyBorder="1" applyAlignment="1">
      <alignment horizontal="center"/>
    </xf>
    <xf numFmtId="44" fontId="17" fillId="36" borderId="23" xfId="1" applyFont="1" applyFill="1" applyBorder="1" applyAlignment="1">
      <alignment horizontal="center"/>
    </xf>
    <xf numFmtId="44" fontId="59" fillId="36" borderId="1" xfId="1" applyFont="1" applyFill="1" applyBorder="1"/>
    <xf numFmtId="44" fontId="22" fillId="37" borderId="3" xfId="1" applyFont="1" applyFill="1" applyBorder="1" applyAlignment="1" applyProtection="1">
      <alignment horizontal="center"/>
      <protection locked="0"/>
    </xf>
    <xf numFmtId="0" fontId="17" fillId="35" borderId="1" xfId="0" applyFont="1" applyFill="1" applyBorder="1" applyAlignment="1">
      <alignment horizontal="left"/>
    </xf>
    <xf numFmtId="0" fontId="17" fillId="35" borderId="12" xfId="0" applyFont="1" applyFill="1" applyBorder="1" applyAlignment="1">
      <alignment horizontal="center"/>
    </xf>
    <xf numFmtId="0" fontId="17" fillId="35" borderId="13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9" fontId="17" fillId="36" borderId="12" xfId="2" applyFont="1" applyFill="1" applyBorder="1" applyAlignment="1">
      <alignment horizontal="center"/>
    </xf>
    <xf numFmtId="44" fontId="17" fillId="36" borderId="12" xfId="1" applyFont="1" applyFill="1" applyBorder="1" applyAlignment="1">
      <alignment horizontal="center"/>
    </xf>
    <xf numFmtId="44" fontId="59" fillId="36" borderId="3" xfId="1" applyFont="1" applyFill="1" applyBorder="1"/>
    <xf numFmtId="0" fontId="122" fillId="0" borderId="1" xfId="0" applyFont="1" applyBorder="1"/>
    <xf numFmtId="49" fontId="122" fillId="4" borderId="1" xfId="18" applyNumberFormat="1" applyFont="1" applyFill="1" applyBorder="1" applyAlignment="1">
      <alignment vertical="center"/>
    </xf>
    <xf numFmtId="0" fontId="122" fillId="4" borderId="1" xfId="0" applyFont="1" applyFill="1" applyBorder="1"/>
    <xf numFmtId="0" fontId="106" fillId="0" borderId="19" xfId="0" applyFont="1" applyBorder="1" applyAlignment="1">
      <alignment horizontal="left" vertical="top" wrapText="1"/>
    </xf>
    <xf numFmtId="0" fontId="123" fillId="0" borderId="19" xfId="0" applyFont="1" applyBorder="1" applyAlignment="1">
      <alignment horizontal="left" vertical="top" wrapText="1"/>
    </xf>
    <xf numFmtId="44" fontId="43" fillId="0" borderId="19" xfId="1" applyFont="1" applyBorder="1" applyAlignment="1">
      <alignment horizontal="right" vertical="top" shrinkToFit="1"/>
    </xf>
    <xf numFmtId="13" fontId="21" fillId="36" borderId="9" xfId="1" applyNumberFormat="1" applyFont="1" applyFill="1" applyBorder="1" applyAlignment="1">
      <alignment horizontal="center"/>
    </xf>
    <xf numFmtId="13" fontId="21" fillId="36" borderId="22" xfId="1" applyNumberFormat="1" applyFont="1" applyFill="1" applyBorder="1" applyAlignment="1">
      <alignment horizontal="center"/>
    </xf>
    <xf numFmtId="44" fontId="17" fillId="36" borderId="29" xfId="1" applyFont="1" applyFill="1" applyBorder="1" applyAlignment="1">
      <alignment horizontal="center"/>
    </xf>
    <xf numFmtId="0" fontId="122" fillId="0" borderId="1" xfId="0" applyFont="1" applyBorder="1" applyAlignment="1" applyProtection="1">
      <alignment horizontal="left" vertical="center"/>
      <protection hidden="1"/>
    </xf>
    <xf numFmtId="44" fontId="64" fillId="36" borderId="3" xfId="1" applyFont="1" applyFill="1" applyBorder="1"/>
    <xf numFmtId="13" fontId="17" fillId="36" borderId="9" xfId="1" applyNumberFormat="1" applyFont="1" applyFill="1" applyBorder="1" applyAlignment="1">
      <alignment horizontal="center"/>
    </xf>
    <xf numFmtId="13" fontId="17" fillId="36" borderId="22" xfId="1" applyNumberFormat="1" applyFont="1" applyFill="1" applyBorder="1" applyAlignment="1">
      <alignment horizontal="center"/>
    </xf>
    <xf numFmtId="44" fontId="17" fillId="36" borderId="14" xfId="1" applyFont="1" applyFill="1" applyBorder="1" applyAlignment="1">
      <alignment horizontal="center"/>
    </xf>
    <xf numFmtId="0" fontId="17" fillId="35" borderId="11" xfId="0" applyFont="1" applyFill="1" applyBorder="1" applyAlignment="1">
      <alignment horizontal="left"/>
    </xf>
    <xf numFmtId="0" fontId="17" fillId="35" borderId="12" xfId="0" applyFont="1" applyFill="1" applyBorder="1" applyAlignment="1">
      <alignment horizontal="left"/>
    </xf>
    <xf numFmtId="0" fontId="124" fillId="4" borderId="0" xfId="0" applyFont="1" applyFill="1" applyAlignment="1">
      <alignment horizontal="left" vertical="top" wrapText="1"/>
    </xf>
    <xf numFmtId="0" fontId="125" fillId="4" borderId="0" xfId="0" applyFont="1" applyFill="1" applyAlignment="1">
      <alignment horizontal="left" vertical="top" wrapText="1"/>
    </xf>
    <xf numFmtId="0" fontId="64" fillId="36" borderId="9" xfId="0" applyFont="1" applyFill="1" applyBorder="1" applyAlignment="1">
      <alignment horizontal="center"/>
    </xf>
    <xf numFmtId="0" fontId="64" fillId="36" borderId="12" xfId="0" applyFont="1" applyFill="1" applyBorder="1" applyAlignment="1">
      <alignment horizontal="center"/>
    </xf>
    <xf numFmtId="44" fontId="64" fillId="36" borderId="3" xfId="1" applyFont="1" applyFill="1" applyBorder="1" applyAlignment="1"/>
    <xf numFmtId="9" fontId="64" fillId="36" borderId="9" xfId="2" applyFont="1" applyFill="1" applyBorder="1" applyAlignment="1">
      <alignment horizontal="center"/>
    </xf>
    <xf numFmtId="13" fontId="64" fillId="36" borderId="9" xfId="1" applyNumberFormat="1" applyFont="1" applyFill="1" applyBorder="1" applyAlignment="1">
      <alignment horizontal="center"/>
    </xf>
    <xf numFmtId="13" fontId="64" fillId="36" borderId="10" xfId="1" applyNumberFormat="1" applyFont="1" applyFill="1" applyBorder="1" applyAlignment="1">
      <alignment horizontal="center"/>
    </xf>
    <xf numFmtId="9" fontId="64" fillId="36" borderId="12" xfId="2" applyFont="1" applyFill="1" applyBorder="1" applyAlignment="1">
      <alignment horizontal="center"/>
    </xf>
    <xf numFmtId="44" fontId="64" fillId="36" borderId="12" xfId="1" applyFont="1" applyFill="1" applyBorder="1" applyAlignment="1">
      <alignment horizontal="center"/>
    </xf>
    <xf numFmtId="44" fontId="64" fillId="36" borderId="23" xfId="1" applyFont="1" applyFill="1" applyBorder="1" applyAlignment="1">
      <alignment horizontal="center"/>
    </xf>
    <xf numFmtId="0" fontId="64" fillId="35" borderId="21" xfId="0" applyFont="1" applyFill="1" applyBorder="1" applyAlignment="1">
      <alignment horizontal="left"/>
    </xf>
    <xf numFmtId="0" fontId="64" fillId="35" borderId="12" xfId="0" applyFont="1" applyFill="1" applyBorder="1" applyAlignment="1">
      <alignment horizontal="center"/>
    </xf>
    <xf numFmtId="0" fontId="64" fillId="35" borderId="13" xfId="0" applyFont="1" applyFill="1" applyBorder="1" applyAlignment="1">
      <alignment horizontal="center"/>
    </xf>
    <xf numFmtId="0" fontId="64" fillId="35" borderId="6" xfId="0" applyFont="1" applyFill="1" applyBorder="1" applyAlignment="1">
      <alignment horizontal="left"/>
    </xf>
    <xf numFmtId="0" fontId="126" fillId="0" borderId="1" xfId="0" applyFont="1" applyBorder="1" applyAlignment="1">
      <alignment horizontal="left" vertical="center"/>
    </xf>
    <xf numFmtId="44" fontId="93" fillId="36" borderId="1" xfId="1" applyFont="1" applyFill="1" applyBorder="1"/>
    <xf numFmtId="44" fontId="21" fillId="36" borderId="20" xfId="1" applyFont="1" applyFill="1" applyBorder="1" applyAlignment="1">
      <alignment horizontal="center"/>
    </xf>
    <xf numFmtId="44" fontId="64" fillId="36" borderId="1" xfId="1" applyFont="1" applyFill="1" applyBorder="1"/>
    <xf numFmtId="0" fontId="127" fillId="4" borderId="3" xfId="0" applyFont="1" applyFill="1" applyBorder="1" applyAlignment="1">
      <alignment horizontal="left"/>
    </xf>
    <xf numFmtId="0" fontId="127" fillId="4" borderId="1" xfId="0" applyFont="1" applyFill="1" applyBorder="1" applyAlignment="1">
      <alignment horizontal="left"/>
    </xf>
    <xf numFmtId="0" fontId="127" fillId="0" borderId="1" xfId="0" applyFont="1" applyBorder="1" applyAlignment="1">
      <alignment horizontal="left"/>
    </xf>
    <xf numFmtId="0" fontId="128" fillId="0" borderId="1" xfId="0" applyFont="1" applyBorder="1"/>
    <xf numFmtId="0" fontId="129" fillId="0" borderId="19" xfId="8" applyFont="1" applyBorder="1" applyAlignment="1">
      <alignment horizontal="left" vertical="top" wrapText="1"/>
    </xf>
    <xf numFmtId="44" fontId="121" fillId="0" borderId="19" xfId="1" applyFont="1" applyBorder="1" applyAlignment="1">
      <alignment horizontal="center" vertical="top" shrinkToFit="1"/>
    </xf>
    <xf numFmtId="0" fontId="130" fillId="4" borderId="1" xfId="0" applyFont="1" applyFill="1" applyBorder="1" applyAlignment="1">
      <alignment horizontal="left" wrapText="1"/>
    </xf>
    <xf numFmtId="0" fontId="131" fillId="0" borderId="46" xfId="0" applyFont="1" applyBorder="1" applyAlignment="1">
      <alignment vertical="center"/>
    </xf>
    <xf numFmtId="44" fontId="106" fillId="4" borderId="1" xfId="1" applyFont="1" applyFill="1" applyBorder="1" applyAlignment="1">
      <alignment horizontal="left" vertical="top" wrapText="1"/>
    </xf>
    <xf numFmtId="44" fontId="106" fillId="38" borderId="1" xfId="1" applyFont="1" applyFill="1" applyBorder="1" applyAlignment="1">
      <alignment horizontal="left" vertical="top" wrapText="1"/>
    </xf>
    <xf numFmtId="0" fontId="43" fillId="0" borderId="1" xfId="0" applyFont="1" applyBorder="1" applyAlignment="1">
      <alignment horizontal="left" vertical="center"/>
    </xf>
    <xf numFmtId="0" fontId="85" fillId="36" borderId="9" xfId="0" applyFont="1" applyFill="1" applyBorder="1" applyAlignment="1">
      <alignment horizontal="center"/>
    </xf>
    <xf numFmtId="0" fontId="85" fillId="36" borderId="12" xfId="0" applyFont="1" applyFill="1" applyBorder="1" applyAlignment="1">
      <alignment horizontal="center"/>
    </xf>
    <xf numFmtId="44" fontId="89" fillId="36" borderId="1" xfId="1" applyFont="1" applyFill="1" applyBorder="1"/>
    <xf numFmtId="0" fontId="85" fillId="35" borderId="11" xfId="0" applyFont="1" applyFill="1" applyBorder="1" applyAlignment="1">
      <alignment horizontal="left"/>
    </xf>
    <xf numFmtId="0" fontId="85" fillId="35" borderId="12" xfId="0" applyFont="1" applyFill="1" applyBorder="1" applyAlignment="1">
      <alignment horizontal="center"/>
    </xf>
    <xf numFmtId="0" fontId="85" fillId="35" borderId="13" xfId="0" applyFont="1" applyFill="1" applyBorder="1" applyAlignment="1">
      <alignment horizontal="center"/>
    </xf>
    <xf numFmtId="9" fontId="85" fillId="36" borderId="12" xfId="2" applyFont="1" applyFill="1" applyBorder="1" applyAlignment="1">
      <alignment horizontal="center"/>
    </xf>
    <xf numFmtId="44" fontId="85" fillId="36" borderId="12" xfId="1" applyFont="1" applyFill="1" applyBorder="1" applyAlignment="1">
      <alignment horizontal="center"/>
    </xf>
    <xf numFmtId="44" fontId="85" fillId="36" borderId="14" xfId="1" applyFont="1" applyFill="1" applyBorder="1" applyAlignment="1">
      <alignment horizontal="center"/>
    </xf>
    <xf numFmtId="0" fontId="85" fillId="35" borderId="6" xfId="0" applyFont="1" applyFill="1" applyBorder="1" applyAlignment="1">
      <alignment horizontal="left"/>
    </xf>
    <xf numFmtId="9" fontId="85" fillId="36" borderId="9" xfId="2" applyFont="1" applyFill="1" applyBorder="1" applyAlignment="1">
      <alignment horizontal="center"/>
    </xf>
    <xf numFmtId="13" fontId="82" fillId="36" borderId="9" xfId="1" applyNumberFormat="1" applyFont="1" applyFill="1" applyBorder="1" applyAlignment="1">
      <alignment horizontal="center"/>
    </xf>
    <xf numFmtId="13" fontId="85" fillId="36" borderId="10" xfId="1" applyNumberFormat="1" applyFont="1" applyFill="1" applyBorder="1" applyAlignment="1">
      <alignment horizontal="center"/>
    </xf>
    <xf numFmtId="44" fontId="34" fillId="0" borderId="26" xfId="1" applyFont="1" applyBorder="1" applyAlignment="1">
      <alignment horizontal="right" vertical="top" shrinkToFit="1"/>
    </xf>
    <xf numFmtId="44" fontId="134" fillId="0" borderId="26" xfId="1" applyFont="1" applyBorder="1" applyAlignment="1">
      <alignment horizontal="right" vertical="top" shrinkToFit="1"/>
    </xf>
    <xf numFmtId="44" fontId="89" fillId="36" borderId="3" xfId="1" applyFont="1" applyFill="1" applyBorder="1"/>
    <xf numFmtId="0" fontId="65" fillId="4" borderId="19" xfId="8" applyFont="1" applyFill="1" applyBorder="1" applyAlignment="1">
      <alignment horizontal="left" vertical="top" wrapText="1"/>
    </xf>
    <xf numFmtId="0" fontId="132" fillId="4" borderId="19" xfId="8" applyFont="1" applyFill="1" applyBorder="1" applyAlignment="1">
      <alignment horizontal="left" vertical="top" wrapText="1"/>
    </xf>
    <xf numFmtId="0" fontId="136" fillId="4" borderId="25" xfId="0" applyFont="1" applyFill="1" applyBorder="1" applyAlignment="1">
      <alignment vertical="center" wrapText="1"/>
    </xf>
    <xf numFmtId="44" fontId="135" fillId="0" borderId="19" xfId="1" applyFont="1" applyBorder="1" applyAlignment="1">
      <alignment horizontal="right" vertical="center" wrapText="1"/>
    </xf>
    <xf numFmtId="44" fontId="136" fillId="4" borderId="19" xfId="1" applyFont="1" applyFill="1" applyBorder="1" applyAlignment="1">
      <alignment horizontal="right" vertical="center" wrapText="1"/>
    </xf>
    <xf numFmtId="44" fontId="19" fillId="39" borderId="1" xfId="0" applyNumberFormat="1" applyFont="1" applyFill="1" applyBorder="1"/>
    <xf numFmtId="44" fontId="75" fillId="36" borderId="3" xfId="1" applyFont="1" applyFill="1" applyBorder="1"/>
    <xf numFmtId="44" fontId="135" fillId="0" borderId="25" xfId="1" applyFont="1" applyBorder="1" applyAlignment="1">
      <alignment horizontal="right" vertical="center" wrapText="1"/>
    </xf>
    <xf numFmtId="44" fontId="136" fillId="4" borderId="25" xfId="1" applyFont="1" applyFill="1" applyBorder="1" applyAlignment="1">
      <alignment horizontal="right" vertical="center" wrapText="1"/>
    </xf>
    <xf numFmtId="44" fontId="19" fillId="5" borderId="1" xfId="1" applyFont="1" applyFill="1" applyBorder="1" applyAlignment="1">
      <alignment horizontal="center"/>
    </xf>
    <xf numFmtId="0" fontId="136" fillId="0" borderId="25" xfId="0" applyFont="1" applyBorder="1" applyAlignment="1">
      <alignment vertical="center" wrapText="1"/>
    </xf>
    <xf numFmtId="44" fontId="64" fillId="36" borderId="0" xfId="1" applyFont="1" applyFill="1" applyBorder="1"/>
    <xf numFmtId="2" fontId="107" fillId="0" borderId="0" xfId="9" applyNumberFormat="1" applyFont="1" applyAlignment="1">
      <alignment horizontal="center" vertical="top" shrinkToFit="1"/>
    </xf>
    <xf numFmtId="44" fontId="15" fillId="8" borderId="0" xfId="1" applyFont="1" applyFill="1" applyBorder="1" applyAlignment="1" applyProtection="1">
      <alignment horizontal="center"/>
      <protection locked="0"/>
    </xf>
    <xf numFmtId="44" fontId="15" fillId="9" borderId="0" xfId="1" applyFont="1" applyFill="1" applyBorder="1" applyAlignment="1" applyProtection="1">
      <alignment horizontal="center"/>
      <protection locked="0"/>
    </xf>
    <xf numFmtId="44" fontId="15" fillId="9" borderId="0" xfId="1" applyFont="1" applyFill="1" applyBorder="1" applyAlignment="1">
      <alignment horizontal="center"/>
    </xf>
    <xf numFmtId="44" fontId="19" fillId="5" borderId="0" xfId="1" applyFont="1" applyFill="1" applyBorder="1" applyAlignment="1">
      <alignment horizontal="center"/>
    </xf>
    <xf numFmtId="44" fontId="22" fillId="37" borderId="1" xfId="1" applyFont="1" applyFill="1" applyBorder="1" applyAlignment="1" applyProtection="1">
      <alignment horizontal="center"/>
      <protection locked="0"/>
    </xf>
    <xf numFmtId="0" fontId="46" fillId="4" borderId="0" xfId="0" applyFont="1" applyFill="1" applyAlignment="1">
      <alignment horizontal="left" vertical="center"/>
    </xf>
    <xf numFmtId="0" fontId="106" fillId="4" borderId="2" xfId="0" applyFont="1" applyFill="1" applyBorder="1" applyAlignment="1">
      <alignment horizontal="left" vertical="center"/>
    </xf>
    <xf numFmtId="0" fontId="106" fillId="4" borderId="0" xfId="0" applyFont="1" applyFill="1" applyAlignment="1">
      <alignment horizontal="left" vertical="center"/>
    </xf>
    <xf numFmtId="0" fontId="106" fillId="0" borderId="2" xfId="0" applyFont="1" applyBorder="1" applyAlignment="1">
      <alignment horizontal="left" vertical="center"/>
    </xf>
    <xf numFmtId="0" fontId="106" fillId="4" borderId="2" xfId="0" applyFont="1" applyFill="1" applyBorder="1" applyAlignment="1">
      <alignment vertical="top"/>
    </xf>
    <xf numFmtId="44" fontId="21" fillId="36" borderId="12" xfId="1" applyFont="1" applyFill="1" applyBorder="1" applyAlignment="1">
      <alignment horizontal="center"/>
    </xf>
    <xf numFmtId="0" fontId="65" fillId="0" borderId="24" xfId="8" applyFont="1" applyBorder="1" applyAlignment="1">
      <alignment horizontal="left" vertical="top" wrapText="1"/>
    </xf>
    <xf numFmtId="0" fontId="65" fillId="40" borderId="24" xfId="8" applyFont="1" applyFill="1" applyBorder="1" applyAlignment="1">
      <alignment horizontal="left" vertical="top" wrapText="1"/>
    </xf>
    <xf numFmtId="0" fontId="65" fillId="41" borderId="24" xfId="8" applyFont="1" applyFill="1" applyBorder="1" applyAlignment="1">
      <alignment horizontal="left" vertical="top" wrapText="1"/>
    </xf>
    <xf numFmtId="0" fontId="46" fillId="4" borderId="1" xfId="0" applyFont="1" applyFill="1" applyBorder="1" applyAlignment="1">
      <alignment horizontal="left" vertical="center"/>
    </xf>
    <xf numFmtId="0" fontId="46" fillId="0" borderId="1" xfId="0" applyFont="1" applyBorder="1" applyAlignment="1">
      <alignment horizontal="left" vertical="center"/>
    </xf>
    <xf numFmtId="0" fontId="137" fillId="4" borderId="1" xfId="0" applyFont="1" applyFill="1" applyBorder="1" applyAlignment="1">
      <alignment vertical="top"/>
    </xf>
    <xf numFmtId="9" fontId="45" fillId="31" borderId="1" xfId="2" applyFont="1" applyFill="1" applyBorder="1" applyAlignment="1">
      <alignment horizontal="center" vertical="center"/>
    </xf>
    <xf numFmtId="0" fontId="65" fillId="0" borderId="19" xfId="8" applyFont="1" applyBorder="1" applyAlignment="1">
      <alignment horizontal="left" vertical="top" wrapText="1"/>
    </xf>
    <xf numFmtId="44" fontId="42" fillId="28" borderId="1" xfId="1" applyFont="1" applyFill="1" applyBorder="1" applyAlignment="1" applyProtection="1">
      <alignment horizontal="center"/>
      <protection locked="0"/>
    </xf>
    <xf numFmtId="44" fontId="42" fillId="4" borderId="1" xfId="1" applyFont="1" applyFill="1" applyBorder="1" applyAlignment="1">
      <alignment horizontal="center"/>
    </xf>
    <xf numFmtId="44" fontId="42" fillId="4" borderId="1" xfId="1" applyFont="1" applyFill="1" applyBorder="1"/>
    <xf numFmtId="0" fontId="119" fillId="3" borderId="0" xfId="0" applyFont="1" applyFill="1" applyAlignment="1" applyProtection="1">
      <alignment horizontal="right"/>
      <protection locked="0"/>
    </xf>
    <xf numFmtId="0" fontId="42" fillId="3" borderId="0" xfId="0" applyFont="1" applyFill="1" applyAlignment="1" applyProtection="1">
      <alignment horizontal="right"/>
      <protection locked="0"/>
    </xf>
    <xf numFmtId="0" fontId="42" fillId="3" borderId="0" xfId="0" applyFont="1" applyFill="1" applyAlignment="1" applyProtection="1">
      <alignment horizontal="left"/>
      <protection locked="0"/>
    </xf>
    <xf numFmtId="44" fontId="42" fillId="4" borderId="1" xfId="0" applyNumberFormat="1" applyFont="1" applyFill="1" applyBorder="1"/>
    <xf numFmtId="0" fontId="42" fillId="2" borderId="0" xfId="0" applyFont="1" applyFill="1" applyAlignment="1" applyProtection="1">
      <alignment horizontal="right"/>
      <protection locked="0"/>
    </xf>
    <xf numFmtId="0" fontId="45" fillId="3" borderId="0" xfId="0" applyFont="1" applyFill="1" applyAlignment="1" applyProtection="1">
      <alignment horizontal="left"/>
      <protection locked="0"/>
    </xf>
    <xf numFmtId="176" fontId="42" fillId="4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>
      <alignment horizontal="left" vertical="center"/>
    </xf>
    <xf numFmtId="3" fontId="102" fillId="25" borderId="3" xfId="56" applyNumberFormat="1" applyFont="1" applyFill="1" applyBorder="1" applyAlignment="1" applyProtection="1">
      <alignment horizontal="center"/>
      <protection locked="0"/>
    </xf>
    <xf numFmtId="3" fontId="101" fillId="25" borderId="1" xfId="56" applyNumberFormat="1" applyFont="1" applyFill="1" applyBorder="1" applyAlignment="1" applyProtection="1">
      <alignment horizontal="center"/>
      <protection locked="0"/>
    </xf>
    <xf numFmtId="0" fontId="17" fillId="32" borderId="45" xfId="0" applyFont="1" applyFill="1" applyBorder="1" applyAlignment="1">
      <alignment horizontal="left"/>
    </xf>
    <xf numFmtId="0" fontId="49" fillId="0" borderId="0" xfId="0" applyFont="1" applyAlignment="1">
      <alignment vertical="center"/>
    </xf>
    <xf numFmtId="0" fontId="138" fillId="0" borderId="0" xfId="0" applyFont="1"/>
    <xf numFmtId="44" fontId="111" fillId="0" borderId="24" xfId="1" applyFont="1" applyBorder="1" applyAlignment="1">
      <alignment horizontal="right" vertical="top" shrinkToFit="1"/>
    </xf>
    <xf numFmtId="44" fontId="110" fillId="0" borderId="24" xfId="1" applyFont="1" applyBorder="1" applyAlignment="1">
      <alignment horizontal="right" vertical="top" shrinkToFit="1"/>
    </xf>
    <xf numFmtId="0" fontId="112" fillId="0" borderId="24" xfId="8" applyFont="1" applyBorder="1" applyAlignment="1">
      <alignment horizontal="left" vertical="top" wrapText="1"/>
    </xf>
    <xf numFmtId="0" fontId="131" fillId="0" borderId="47" xfId="0" applyFont="1" applyBorder="1" applyAlignment="1">
      <alignment vertical="center"/>
    </xf>
    <xf numFmtId="3" fontId="19" fillId="3" borderId="48" xfId="0" applyNumberFormat="1" applyFont="1" applyFill="1" applyBorder="1" applyAlignment="1" applyProtection="1">
      <alignment horizontal="center"/>
      <protection locked="0"/>
    </xf>
    <xf numFmtId="3" fontId="19" fillId="3" borderId="20" xfId="0" applyNumberFormat="1" applyFont="1" applyFill="1" applyBorder="1" applyAlignment="1" applyProtection="1">
      <alignment horizontal="center"/>
      <protection locked="0"/>
    </xf>
    <xf numFmtId="3" fontId="19" fillId="4" borderId="20" xfId="0" applyNumberFormat="1" applyFont="1" applyFill="1" applyBorder="1" applyAlignment="1" applyProtection="1">
      <alignment horizontal="center"/>
      <protection locked="0"/>
    </xf>
    <xf numFmtId="3" fontId="19" fillId="4" borderId="20" xfId="0" applyNumberFormat="1" applyFont="1" applyFill="1" applyBorder="1" applyAlignment="1">
      <alignment horizontal="center"/>
    </xf>
    <xf numFmtId="3" fontId="19" fillId="5" borderId="49" xfId="0" applyNumberFormat="1" applyFont="1" applyFill="1" applyBorder="1" applyAlignment="1">
      <alignment horizontal="center"/>
    </xf>
    <xf numFmtId="3" fontId="19" fillId="4" borderId="48" xfId="0" applyNumberFormat="1" applyFont="1" applyFill="1" applyBorder="1" applyAlignment="1" applyProtection="1">
      <alignment horizontal="center"/>
      <protection locked="0"/>
    </xf>
    <xf numFmtId="3" fontId="19" fillId="3" borderId="50" xfId="0" applyNumberFormat="1" applyFont="1" applyFill="1" applyBorder="1" applyAlignment="1" applyProtection="1">
      <alignment horizontal="center"/>
      <protection locked="0"/>
    </xf>
    <xf numFmtId="3" fontId="19" fillId="3" borderId="49" xfId="0" applyNumberFormat="1" applyFont="1" applyFill="1" applyBorder="1" applyAlignment="1" applyProtection="1">
      <alignment horizontal="center"/>
      <protection locked="0"/>
    </xf>
    <xf numFmtId="3" fontId="19" fillId="4" borderId="49" xfId="0" applyNumberFormat="1" applyFont="1" applyFill="1" applyBorder="1" applyAlignment="1" applyProtection="1">
      <alignment horizontal="center"/>
      <protection locked="0"/>
    </xf>
    <xf numFmtId="3" fontId="19" fillId="4" borderId="49" xfId="0" applyNumberFormat="1" applyFont="1" applyFill="1" applyBorder="1" applyAlignment="1">
      <alignment horizontal="center"/>
    </xf>
    <xf numFmtId="3" fontId="19" fillId="4" borderId="50" xfId="0" applyNumberFormat="1" applyFont="1" applyFill="1" applyBorder="1" applyAlignment="1" applyProtection="1">
      <alignment horizontal="center"/>
      <protection locked="0"/>
    </xf>
    <xf numFmtId="3" fontId="19" fillId="4" borderId="18" xfId="0" applyNumberFormat="1" applyFont="1" applyFill="1" applyBorder="1" applyAlignment="1" applyProtection="1">
      <alignment horizontal="center"/>
      <protection locked="0"/>
    </xf>
    <xf numFmtId="0" fontId="131" fillId="0" borderId="1" xfId="0" applyFont="1" applyBorder="1" applyAlignment="1">
      <alignment vertical="center"/>
    </xf>
    <xf numFmtId="13" fontId="103" fillId="4" borderId="0" xfId="221" applyNumberFormat="1" applyFont="1" applyFill="1" applyAlignment="1">
      <alignment horizontal="left" vertical="center"/>
    </xf>
    <xf numFmtId="0" fontId="50" fillId="4" borderId="1" xfId="0" applyFont="1" applyFill="1" applyBorder="1" applyProtection="1">
      <protection locked="0"/>
    </xf>
    <xf numFmtId="0" fontId="126" fillId="4" borderId="1" xfId="0" applyFont="1" applyFill="1" applyBorder="1" applyAlignment="1">
      <alignment vertical="center"/>
    </xf>
    <xf numFmtId="10" fontId="15" fillId="4" borderId="0" xfId="2" applyNumberFormat="1" applyFont="1" applyFill="1" applyAlignment="1">
      <alignment horizontal="center"/>
    </xf>
    <xf numFmtId="10" fontId="15" fillId="42" borderId="0" xfId="2" applyNumberFormat="1" applyFont="1" applyFill="1" applyAlignment="1">
      <alignment horizontal="center"/>
    </xf>
    <xf numFmtId="0" fontId="138" fillId="4" borderId="0" xfId="0" applyFont="1" applyFill="1" applyAlignment="1">
      <alignment vertical="center" wrapText="1"/>
    </xf>
    <xf numFmtId="0" fontId="138" fillId="4" borderId="0" xfId="0" applyFont="1" applyFill="1" applyAlignment="1">
      <alignment horizontal="right" vertical="center" wrapText="1"/>
    </xf>
    <xf numFmtId="0" fontId="50" fillId="0" borderId="0" xfId="0" applyFont="1" applyAlignment="1">
      <alignment vertical="center" wrapText="1"/>
    </xf>
    <xf numFmtId="0" fontId="50" fillId="0" borderId="0" xfId="0" applyFont="1" applyAlignment="1">
      <alignment horizontal="center" vertical="center" wrapText="1"/>
    </xf>
    <xf numFmtId="44" fontId="42" fillId="20" borderId="3" xfId="1" applyFont="1" applyFill="1" applyBorder="1" applyAlignment="1" applyProtection="1">
      <alignment horizontal="center"/>
      <protection locked="0"/>
    </xf>
    <xf numFmtId="0" fontId="88" fillId="3" borderId="7" xfId="0" applyFont="1" applyFill="1" applyBorder="1" applyAlignment="1" applyProtection="1">
      <alignment horizontal="center"/>
      <protection locked="0"/>
    </xf>
    <xf numFmtId="0" fontId="88" fillId="4" borderId="7" xfId="0" applyFont="1" applyFill="1" applyBorder="1" applyAlignment="1" applyProtection="1">
      <alignment horizontal="center"/>
      <protection locked="0"/>
    </xf>
    <xf numFmtId="0" fontId="88" fillId="4" borderId="8" xfId="0" applyFont="1" applyFill="1" applyBorder="1" applyAlignment="1" applyProtection="1">
      <alignment horizontal="center"/>
      <protection locked="0"/>
    </xf>
    <xf numFmtId="9" fontId="59" fillId="36" borderId="9" xfId="2" applyFont="1" applyFill="1" applyBorder="1" applyAlignment="1">
      <alignment horizontal="center"/>
    </xf>
    <xf numFmtId="0" fontId="85" fillId="35" borderId="21" xfId="0" applyFont="1" applyFill="1" applyBorder="1" applyAlignment="1">
      <alignment horizontal="left"/>
    </xf>
    <xf numFmtId="0" fontId="85" fillId="35" borderId="20" xfId="0" applyFont="1" applyFill="1" applyBorder="1" applyAlignment="1">
      <alignment horizontal="center"/>
    </xf>
    <xf numFmtId="0" fontId="85" fillId="35" borderId="29" xfId="0" applyFont="1" applyFill="1" applyBorder="1" applyAlignment="1">
      <alignment horizontal="center"/>
    </xf>
    <xf numFmtId="0" fontId="85" fillId="36" borderId="20" xfId="0" applyFont="1" applyFill="1" applyBorder="1" applyAlignment="1">
      <alignment horizontal="center"/>
    </xf>
    <xf numFmtId="9" fontId="59" fillId="36" borderId="20" xfId="2" applyFont="1" applyFill="1" applyBorder="1" applyAlignment="1">
      <alignment horizontal="center"/>
    </xf>
    <xf numFmtId="13" fontId="59" fillId="36" borderId="10" xfId="1" applyNumberFormat="1" applyFont="1" applyFill="1" applyBorder="1" applyAlignment="1">
      <alignment horizontal="center"/>
    </xf>
    <xf numFmtId="44" fontId="59" fillId="36" borderId="23" xfId="1" applyFont="1" applyFill="1" applyBorder="1" applyAlignment="1">
      <alignment horizontal="center"/>
    </xf>
    <xf numFmtId="173" fontId="92" fillId="4" borderId="1" xfId="2" applyNumberFormat="1" applyFont="1" applyFill="1" applyBorder="1" applyAlignment="1">
      <alignment horizontal="center"/>
    </xf>
    <xf numFmtId="2" fontId="71" fillId="0" borderId="24" xfId="8" applyNumberFormat="1" applyFont="1" applyBorder="1" applyAlignment="1">
      <alignment horizontal="right" vertical="top" shrinkToFit="1"/>
    </xf>
    <xf numFmtId="1" fontId="66" fillId="21" borderId="33" xfId="8" applyNumberFormat="1" applyFont="1" applyFill="1" applyBorder="1" applyAlignment="1">
      <alignment horizontal="center" vertical="top" shrinkToFit="1"/>
    </xf>
    <xf numFmtId="1" fontId="66" fillId="21" borderId="51" xfId="8" applyNumberFormat="1" applyFont="1" applyFill="1" applyBorder="1" applyAlignment="1">
      <alignment horizontal="center" vertical="top" shrinkToFit="1"/>
    </xf>
    <xf numFmtId="1" fontId="66" fillId="21" borderId="1" xfId="8" applyNumberFormat="1" applyFont="1" applyFill="1" applyBorder="1" applyAlignment="1">
      <alignment horizontal="center" vertical="top" shrinkToFit="1"/>
    </xf>
    <xf numFmtId="0" fontId="85" fillId="33" borderId="9" xfId="0" applyFont="1" applyFill="1" applyBorder="1" applyAlignment="1">
      <alignment horizontal="center"/>
    </xf>
    <xf numFmtId="9" fontId="85" fillId="33" borderId="9" xfId="2" applyFont="1" applyFill="1" applyBorder="1" applyAlignment="1">
      <alignment horizontal="center"/>
    </xf>
    <xf numFmtId="0" fontId="85" fillId="32" borderId="12" xfId="0" applyFont="1" applyFill="1" applyBorder="1" applyAlignment="1">
      <alignment horizontal="center"/>
    </xf>
    <xf numFmtId="0" fontId="85" fillId="32" borderId="13" xfId="0" applyFont="1" applyFill="1" applyBorder="1" applyAlignment="1">
      <alignment horizontal="center"/>
    </xf>
    <xf numFmtId="0" fontId="85" fillId="33" borderId="12" xfId="0" applyFont="1" applyFill="1" applyBorder="1" applyAlignment="1">
      <alignment horizontal="center"/>
    </xf>
    <xf numFmtId="9" fontId="85" fillId="33" borderId="12" xfId="2" applyFont="1" applyFill="1" applyBorder="1" applyAlignment="1">
      <alignment horizontal="center"/>
    </xf>
    <xf numFmtId="13" fontId="85" fillId="33" borderId="10" xfId="1" applyNumberFormat="1" applyFont="1" applyFill="1" applyBorder="1" applyAlignment="1">
      <alignment horizontal="center"/>
    </xf>
    <xf numFmtId="44" fontId="85" fillId="33" borderId="14" xfId="1" applyFont="1" applyFill="1" applyBorder="1" applyAlignment="1">
      <alignment horizontal="center"/>
    </xf>
    <xf numFmtId="3" fontId="88" fillId="5" borderId="1" xfId="0" applyNumberFormat="1" applyFont="1" applyFill="1" applyBorder="1" applyAlignment="1">
      <alignment horizontal="center"/>
    </xf>
    <xf numFmtId="9" fontId="88" fillId="4" borderId="1" xfId="2" applyFont="1" applyFill="1" applyBorder="1" applyAlignment="1">
      <alignment horizontal="center"/>
    </xf>
    <xf numFmtId="3" fontId="88" fillId="5" borderId="1" xfId="1" applyNumberFormat="1" applyFont="1" applyFill="1" applyBorder="1" applyAlignment="1">
      <alignment horizontal="center"/>
    </xf>
    <xf numFmtId="0" fontId="139" fillId="4" borderId="0" xfId="0" applyFont="1" applyFill="1"/>
    <xf numFmtId="0" fontId="85" fillId="32" borderId="5" xfId="0" applyFont="1" applyFill="1" applyBorder="1"/>
    <xf numFmtId="44" fontId="85" fillId="33" borderId="1" xfId="1" applyFont="1" applyFill="1" applyBorder="1" applyAlignment="1"/>
    <xf numFmtId="9" fontId="140" fillId="31" borderId="1" xfId="2" applyFont="1" applyFill="1" applyBorder="1" applyAlignment="1">
      <alignment horizontal="center"/>
    </xf>
    <xf numFmtId="44" fontId="88" fillId="43" borderId="1" xfId="0" applyNumberFormat="1" applyFont="1" applyFill="1" applyBorder="1"/>
    <xf numFmtId="0" fontId="31" fillId="4" borderId="1" xfId="0" applyFont="1" applyFill="1" applyBorder="1"/>
    <xf numFmtId="3" fontId="88" fillId="3" borderId="5" xfId="0" applyNumberFormat="1" applyFont="1" applyFill="1" applyBorder="1" applyAlignment="1" applyProtection="1">
      <alignment horizontal="center"/>
      <protection locked="0"/>
    </xf>
    <xf numFmtId="3" fontId="88" fillId="3" borderId="1" xfId="0" applyNumberFormat="1" applyFont="1" applyFill="1" applyBorder="1" applyAlignment="1" applyProtection="1">
      <alignment horizontal="center"/>
      <protection locked="0"/>
    </xf>
    <xf numFmtId="3" fontId="88" fillId="4" borderId="1" xfId="0" applyNumberFormat="1" applyFont="1" applyFill="1" applyBorder="1" applyAlignment="1" applyProtection="1">
      <alignment horizontal="center"/>
      <protection locked="0"/>
    </xf>
    <xf numFmtId="3" fontId="88" fillId="4" borderId="1" xfId="0" applyNumberFormat="1" applyFont="1" applyFill="1" applyBorder="1" applyAlignment="1">
      <alignment horizontal="center"/>
    </xf>
    <xf numFmtId="3" fontId="88" fillId="4" borderId="5" xfId="0" applyNumberFormat="1" applyFont="1" applyFill="1" applyBorder="1" applyAlignment="1" applyProtection="1">
      <alignment horizontal="center"/>
      <protection locked="0"/>
    </xf>
    <xf numFmtId="0" fontId="88" fillId="4" borderId="1" xfId="0" applyFont="1" applyFill="1" applyBorder="1" applyAlignment="1" applyProtection="1">
      <alignment wrapText="1"/>
      <protection locked="0"/>
    </xf>
    <xf numFmtId="3" fontId="88" fillId="4" borderId="1" xfId="0" applyNumberFormat="1" applyFont="1" applyFill="1" applyBorder="1" applyAlignment="1" applyProtection="1">
      <alignment horizontal="center" wrapText="1"/>
      <protection locked="0"/>
    </xf>
    <xf numFmtId="0" fontId="88" fillId="4" borderId="1" xfId="0" applyFont="1" applyFill="1" applyBorder="1" applyProtection="1">
      <protection locked="0"/>
    </xf>
    <xf numFmtId="0" fontId="88" fillId="4" borderId="0" xfId="0" applyFont="1" applyFill="1"/>
    <xf numFmtId="0" fontId="88" fillId="4" borderId="0" xfId="0" applyFont="1" applyFill="1" applyProtection="1">
      <protection locked="0"/>
    </xf>
    <xf numFmtId="3" fontId="88" fillId="4" borderId="0" xfId="0" applyNumberFormat="1" applyFont="1" applyFill="1" applyAlignment="1" applyProtection="1">
      <alignment horizontal="center"/>
      <protection locked="0"/>
    </xf>
    <xf numFmtId="3" fontId="88" fillId="4" borderId="0" xfId="0" applyNumberFormat="1" applyFont="1" applyFill="1" applyAlignment="1">
      <alignment horizontal="center"/>
    </xf>
    <xf numFmtId="9" fontId="88" fillId="4" borderId="0" xfId="2" applyFont="1" applyFill="1" applyAlignment="1">
      <alignment horizontal="center"/>
    </xf>
    <xf numFmtId="44" fontId="88" fillId="4" borderId="0" xfId="1" applyFont="1" applyFill="1"/>
    <xf numFmtId="0" fontId="22" fillId="2" borderId="2" xfId="0" applyFont="1" applyFill="1" applyBorder="1" applyAlignment="1" applyProtection="1">
      <alignment horizontal="left"/>
      <protection locked="0"/>
    </xf>
    <xf numFmtId="0" fontId="118" fillId="31" borderId="0" xfId="0" applyFont="1" applyFill="1" applyAlignment="1">
      <alignment vertical="center"/>
    </xf>
    <xf numFmtId="0" fontId="15" fillId="4" borderId="2" xfId="0" applyFont="1" applyFill="1" applyBorder="1"/>
    <xf numFmtId="0" fontId="15" fillId="4" borderId="16" xfId="0" applyFont="1" applyFill="1" applyBorder="1"/>
    <xf numFmtId="0" fontId="24" fillId="2" borderId="0" xfId="0" applyFont="1" applyFill="1" applyAlignment="1" applyProtection="1">
      <alignment horizontal="left"/>
      <protection locked="0"/>
    </xf>
    <xf numFmtId="44" fontId="88" fillId="20" borderId="3" xfId="1" applyFont="1" applyFill="1" applyBorder="1" applyAlignment="1" applyProtection="1">
      <alignment horizontal="center"/>
      <protection locked="0"/>
    </xf>
    <xf numFmtId="0" fontId="85" fillId="32" borderId="6" xfId="0" applyFont="1" applyFill="1" applyBorder="1" applyAlignment="1">
      <alignment horizontal="left"/>
    </xf>
    <xf numFmtId="13" fontId="141" fillId="7" borderId="9" xfId="1" applyNumberFormat="1" applyFont="1" applyFill="1" applyBorder="1" applyAlignment="1">
      <alignment horizontal="center"/>
    </xf>
    <xf numFmtId="0" fontId="85" fillId="32" borderId="21" xfId="0" applyFont="1" applyFill="1" applyBorder="1" applyAlignment="1">
      <alignment horizontal="left"/>
    </xf>
    <xf numFmtId="0" fontId="85" fillId="32" borderId="20" xfId="0" applyFont="1" applyFill="1" applyBorder="1" applyAlignment="1">
      <alignment horizontal="center"/>
    </xf>
    <xf numFmtId="0" fontId="85" fillId="32" borderId="29" xfId="0" applyFont="1" applyFill="1" applyBorder="1" applyAlignment="1">
      <alignment horizontal="center"/>
    </xf>
    <xf numFmtId="0" fontId="85" fillId="33" borderId="20" xfId="0" applyFont="1" applyFill="1" applyBorder="1" applyAlignment="1">
      <alignment horizontal="center"/>
    </xf>
    <xf numFmtId="9" fontId="85" fillId="33" borderId="20" xfId="2" applyFont="1" applyFill="1" applyBorder="1" applyAlignment="1">
      <alignment horizontal="center"/>
    </xf>
    <xf numFmtId="44" fontId="85" fillId="33" borderId="20" xfId="1" applyFont="1" applyFill="1" applyBorder="1" applyAlignment="1">
      <alignment horizontal="center"/>
    </xf>
    <xf numFmtId="44" fontId="85" fillId="33" borderId="23" xfId="1" applyFont="1" applyFill="1" applyBorder="1" applyAlignment="1">
      <alignment horizontal="center"/>
    </xf>
    <xf numFmtId="0" fontId="44" fillId="4" borderId="1" xfId="0" applyFont="1" applyFill="1" applyBorder="1"/>
    <xf numFmtId="9" fontId="140" fillId="4" borderId="1" xfId="2" applyFont="1" applyFill="1" applyBorder="1" applyAlignment="1">
      <alignment horizontal="center"/>
    </xf>
    <xf numFmtId="44" fontId="44" fillId="4" borderId="1" xfId="1" applyFont="1" applyFill="1" applyBorder="1" applyAlignment="1"/>
    <xf numFmtId="9" fontId="139" fillId="4" borderId="0" xfId="2" applyFont="1" applyFill="1" applyAlignment="1">
      <alignment horizontal="center"/>
    </xf>
    <xf numFmtId="44" fontId="139" fillId="4" borderId="0" xfId="1" applyFont="1" applyFill="1"/>
    <xf numFmtId="0" fontId="88" fillId="4" borderId="1" xfId="0" applyFont="1" applyFill="1" applyBorder="1" applyAlignment="1">
      <alignment vertical="center" wrapText="1"/>
    </xf>
    <xf numFmtId="0" fontId="88" fillId="4" borderId="1" xfId="0" applyFont="1" applyFill="1" applyBorder="1" applyAlignment="1">
      <alignment horizontal="center" vertical="center" wrapText="1"/>
    </xf>
    <xf numFmtId="9" fontId="53" fillId="4" borderId="2" xfId="2" applyFont="1" applyFill="1" applyBorder="1" applyAlignment="1">
      <alignment horizontal="center"/>
    </xf>
    <xf numFmtId="9" fontId="53" fillId="4" borderId="5" xfId="2" applyFont="1" applyFill="1" applyBorder="1" applyAlignment="1">
      <alignment horizontal="center"/>
    </xf>
    <xf numFmtId="0" fontId="17" fillId="32" borderId="43" xfId="0" applyFont="1" applyFill="1" applyBorder="1" applyAlignment="1">
      <alignment horizontal="left"/>
    </xf>
    <xf numFmtId="0" fontId="85" fillId="32" borderId="44" xfId="0" applyFont="1" applyFill="1" applyBorder="1" applyAlignment="1">
      <alignment horizontal="left"/>
    </xf>
  </cellXfs>
  <cellStyles count="438">
    <cellStyle name="Moeda" xfId="1" builtinId="4"/>
    <cellStyle name="Moeda 10" xfId="55" xr:uid="{13E9C22C-19F7-4A4D-BE99-591DB79CE3A5}"/>
    <cellStyle name="Moeda 10 2" xfId="60" xr:uid="{6C440FB9-25E6-49AA-B096-965B1E4C4754}"/>
    <cellStyle name="Moeda 10 2 2" xfId="197" xr:uid="{4123D8C7-FBAB-4A88-9BA7-CF64B1D5DF0A}"/>
    <cellStyle name="Moeda 10 2 2 2" xfId="325" xr:uid="{6CE89FB3-54FF-4D3D-B93B-BEE89C371ADF}"/>
    <cellStyle name="Moeda 10 2 2 3" xfId="433" xr:uid="{9DA97FF9-74D9-4581-9C03-781709ADD046}"/>
    <cellStyle name="Moeda 10 3" xfId="214" xr:uid="{4564932B-3805-42C4-94FF-DC3C67953317}"/>
    <cellStyle name="Moeda 10 4" xfId="147" xr:uid="{5B1BE7F2-F33B-4B3C-91F6-48A17A51D353}"/>
    <cellStyle name="Moeda 10 4 2" xfId="290" xr:uid="{9B272CC0-3A14-4B2B-893B-94AAB395C7EF}"/>
    <cellStyle name="Moeda 10 4 3" xfId="398" xr:uid="{B967D938-8CFD-4FCB-ADCC-4C09B2010406}"/>
    <cellStyle name="Moeda 10 5" xfId="255" xr:uid="{6A968349-8C30-4442-B5C8-BAA6D773DC80}"/>
    <cellStyle name="Moeda 10 6" xfId="363" xr:uid="{E312EEDE-0217-4C1E-A678-0CA40C4DAB5A}"/>
    <cellStyle name="Moeda 11" xfId="12" xr:uid="{434AFFFB-5A0E-4282-8329-418A39C68E89}"/>
    <cellStyle name="Moeda 11 2" xfId="61" xr:uid="{77057D4C-AD7C-4464-A82C-52AE13811B69}"/>
    <cellStyle name="Moeda 11 2 2" xfId="158" xr:uid="{3E82B1B3-93E0-42DC-9787-9CF06633F16C}"/>
    <cellStyle name="Moeda 11 2 2 2" xfId="297" xr:uid="{4FB2C6C1-688E-47D9-B678-08A2B6AB1E62}"/>
    <cellStyle name="Moeda 11 2 2 3" xfId="405" xr:uid="{5826180C-8864-4ECB-97E5-82D55497D269}"/>
    <cellStyle name="Moeda 11 3" xfId="212" xr:uid="{46FBA140-9289-4B09-9B81-F38F3ED18153}"/>
    <cellStyle name="Moeda 11 4" xfId="142" xr:uid="{00A3ED73-4BAF-49CA-A455-C24E16D51604}"/>
    <cellStyle name="Moeda 11 4 2" xfId="285" xr:uid="{FFD1D1A0-93BB-44B2-B31A-873572A41ED8}"/>
    <cellStyle name="Moeda 11 4 3" xfId="393" xr:uid="{B91E97F7-A4D0-4C07-BF06-F19A28933363}"/>
    <cellStyle name="Moeda 11 5" xfId="228" xr:uid="{829FA1ED-77D7-42D9-92DF-4139790B8F03}"/>
    <cellStyle name="Moeda 11 6" xfId="336" xr:uid="{F46054A3-36A7-4324-848C-93C93C556158}"/>
    <cellStyle name="Moeda 12" xfId="58" xr:uid="{2293B178-6348-4A01-BAF6-DE268D05B826}"/>
    <cellStyle name="Moeda 12 2" xfId="149" xr:uid="{9CA7EC9D-DBEF-4EBA-A528-AF2713A06383}"/>
    <cellStyle name="Moeda 12 2 2" xfId="291" xr:uid="{E8D28EF4-C49B-4CD0-8C05-0D25B4099A4B}"/>
    <cellStyle name="Moeda 12 2 3" xfId="399" xr:uid="{69CC33F2-6239-4B56-9E75-A9310363A968}"/>
    <cellStyle name="Moeda 13" xfId="216" xr:uid="{61EA8D73-9A2C-422A-9658-3495F3FA2A78}"/>
    <cellStyle name="Moeda 14" xfId="10" xr:uid="{CAED7DD6-5B3D-48FF-93C6-287DD540B49A}"/>
    <cellStyle name="Moeda 14 2" xfId="62" xr:uid="{57D371F4-3F7B-4F30-A4F1-56B30497DAF6}"/>
    <cellStyle name="Moeda 14 2 2" xfId="156" xr:uid="{B12D2DFE-40F4-4C1F-95E9-18A98E9CE30A}"/>
    <cellStyle name="Moeda 14 2 2 2" xfId="296" xr:uid="{365E1B31-3E7A-4970-AD21-3DCD87738217}"/>
    <cellStyle name="Moeda 14 2 2 3" xfId="404" xr:uid="{D0062C79-4D4C-490D-970D-F2B6891314DB}"/>
    <cellStyle name="Moeda 14 3" xfId="211" xr:uid="{A9A102C5-AD65-4C2F-A816-AFA59CE1D8B9}"/>
    <cellStyle name="Moeda 14 4" xfId="143" xr:uid="{E47E20BF-8C42-422D-A704-A295C5F70DA4}"/>
    <cellStyle name="Moeda 14 4 2" xfId="286" xr:uid="{CADD329C-6939-4595-84AA-13ECE2819688}"/>
    <cellStyle name="Moeda 14 4 3" xfId="394" xr:uid="{04DB782C-0AB5-4D3B-B417-9184606DC469}"/>
    <cellStyle name="Moeda 14 5" xfId="227" xr:uid="{15BC13BF-D8A3-4BCD-A324-45E71227F437}"/>
    <cellStyle name="Moeda 14 6" xfId="335" xr:uid="{F01F46DC-7F54-4108-8C3D-1DDDAE3D40A5}"/>
    <cellStyle name="Moeda 15" xfId="113" xr:uid="{B98577FE-505D-476B-A80F-71EB0275767B}"/>
    <cellStyle name="Moeda 15 2" xfId="256" xr:uid="{1E5B034D-D8B3-414B-AEE9-A38DFAFCCE43}"/>
    <cellStyle name="Moeda 15 3" xfId="364" xr:uid="{91DE1E04-4EA3-4F6B-92D6-C58AECAB9780}"/>
    <cellStyle name="Moeda 16" xfId="222" xr:uid="{4BEDD17B-49B0-4E72-98ED-BE89764A1E80}"/>
    <cellStyle name="Moeda 17" xfId="330" xr:uid="{23589BD5-57A5-4BDE-B6BF-0B53964870EC}"/>
    <cellStyle name="Moeda 2" xfId="17" xr:uid="{B5E1CA98-CA93-4822-985A-D550DD955DC2}"/>
    <cellStyle name="Moeda 2 10" xfId="13" xr:uid="{1302EAC3-5C53-42BA-9918-3B4B32077F74}"/>
    <cellStyle name="Moeda 2 10 2" xfId="64" xr:uid="{8BC3F5D6-BE51-417D-9946-89BB38FADA7D}"/>
    <cellStyle name="Moeda 2 10 2 2" xfId="159" xr:uid="{AE131C53-7FD9-449A-98CD-450A9A13DA84}"/>
    <cellStyle name="Moeda 2 10 2 2 2" xfId="298" xr:uid="{84E7492D-3EC5-4AA9-9185-6CF2EBD441B5}"/>
    <cellStyle name="Moeda 2 10 2 2 3" xfId="406" xr:uid="{733744AA-EB60-4405-A046-5CC053A3CA7B}"/>
    <cellStyle name="Moeda 2 10 3" xfId="208" xr:uid="{E697FCBF-E7FB-4D58-97C7-A1B6E35AB1F7}"/>
    <cellStyle name="Moeda 2 10 4" xfId="141" xr:uid="{46A7AF5F-A916-400D-8CB3-90F53BD66038}"/>
    <cellStyle name="Moeda 2 10 4 2" xfId="284" xr:uid="{3E50EEA8-8959-44D6-85B7-78E27F57DB2B}"/>
    <cellStyle name="Moeda 2 10 4 3" xfId="392" xr:uid="{77E8A9AD-9F60-4A4C-90E7-1DCFA48BC731}"/>
    <cellStyle name="Moeda 2 10 5" xfId="229" xr:uid="{3C261772-D052-440F-A8C0-1B1EE57ADF13}"/>
    <cellStyle name="Moeda 2 10 6" xfId="337" xr:uid="{037E5AFC-7957-4B07-A8BB-E38856FF200B}"/>
    <cellStyle name="Moeda 2 2" xfId="36" xr:uid="{86950618-A19A-4BC9-B8C8-F810783D8C3B}"/>
    <cellStyle name="Moeda 2 2 2" xfId="65" xr:uid="{37AA64F8-7665-4ADE-9B38-31848DE02742}"/>
    <cellStyle name="Moeda 2 2 2 2" xfId="178" xr:uid="{2EC1CFCF-BAD0-46A9-A828-4DF7DDE2B152}"/>
    <cellStyle name="Moeda 2 2 2 2 2" xfId="306" xr:uid="{17E0E17D-912F-401A-93FF-FF6F87E816FD}"/>
    <cellStyle name="Moeda 2 2 2 2 3" xfId="414" xr:uid="{498F992D-DC82-470C-9752-7636C176D0E2}"/>
    <cellStyle name="Moeda 2 2 3" xfId="164" xr:uid="{5CCE6FFE-B7BC-4D0A-8967-F2B5150D6EAA}"/>
    <cellStyle name="Moeda 2 2 4" xfId="133" xr:uid="{8DEC954E-3F70-40E3-9B9B-212C19506C41}"/>
    <cellStyle name="Moeda 2 2 4 2" xfId="276" xr:uid="{828E7575-BDF3-4495-8026-2E6B1063BE0A}"/>
    <cellStyle name="Moeda 2 2 4 3" xfId="384" xr:uid="{03445BF4-C83C-4DD9-BD00-E970D3057647}"/>
    <cellStyle name="Moeda 2 2 5" xfId="237" xr:uid="{6CE6153C-000D-4252-B9B6-98FC6A178B3D}"/>
    <cellStyle name="Moeda 2 2 6" xfId="345" xr:uid="{376C24D3-A71C-4E96-8DDC-B0068BC95421}"/>
    <cellStyle name="Moeda 2 3" xfId="49" xr:uid="{04C7032C-ADED-441A-AA75-75A8763CCF0D}"/>
    <cellStyle name="Moeda 2 3 2" xfId="66" xr:uid="{A7446870-B12B-4B28-9917-2F16F3D12AAD}"/>
    <cellStyle name="Moeda 2 3 2 2" xfId="190" xr:uid="{E139631A-1A9C-418A-88A6-A2A3EF320BC7}"/>
    <cellStyle name="Moeda 2 3 2 2 2" xfId="318" xr:uid="{72B590C1-E16A-4CE4-8162-5793C542F0A9}"/>
    <cellStyle name="Moeda 2 3 2 2 3" xfId="426" xr:uid="{C78C6723-A560-4633-9AE2-E1C8D77AC270}"/>
    <cellStyle name="Moeda 2 3 3" xfId="161" xr:uid="{3440CCDD-A970-4D5C-B53D-BC7F51C19CB0}"/>
    <cellStyle name="Moeda 2 3 4" xfId="121" xr:uid="{06C2A27F-742A-48C3-A3DE-6C335E105FD8}"/>
    <cellStyle name="Moeda 2 3 4 2" xfId="264" xr:uid="{4A6F7C24-1FC3-4F04-A587-6B09C5DC435E}"/>
    <cellStyle name="Moeda 2 3 4 3" xfId="372" xr:uid="{37DD8627-DFEA-4BD2-AA56-93B90544D117}"/>
    <cellStyle name="Moeda 2 3 5" xfId="249" xr:uid="{69254CE2-74D7-49CA-91C3-8F56118DF639}"/>
    <cellStyle name="Moeda 2 3 6" xfId="357" xr:uid="{6C64FD1B-F32C-4741-BBE0-BFC39E793C43}"/>
    <cellStyle name="Moeda 2 4" xfId="63" xr:uid="{55723C66-9D68-4B2B-8074-06ED04933A09}"/>
    <cellStyle name="Moeda 2 4 2" xfId="162" xr:uid="{37C06418-E487-44E0-9D40-D6CEBC6EA17B}"/>
    <cellStyle name="Moeda 2 4 2 2" xfId="299" xr:uid="{80032E05-35B0-47F7-8DFF-1CC53972DA29}"/>
    <cellStyle name="Moeda 2 4 2 3" xfId="407" xr:uid="{B5F3FDAC-29F8-454C-9FDA-406B625DE63C}"/>
    <cellStyle name="Moeda 2 5" xfId="209" xr:uid="{8EF09A2D-B0E8-4DD3-9D23-93C7F6D6E045}"/>
    <cellStyle name="Moeda 2 6" xfId="140" xr:uid="{FEEC0966-5920-420C-AB18-1D2E40946132}"/>
    <cellStyle name="Moeda 2 6 2" xfId="283" xr:uid="{00C1C3DF-2EFB-4D7B-8CD8-2AE4CCE8A1A3}"/>
    <cellStyle name="Moeda 2 6 3" xfId="391" xr:uid="{2378F3BD-F88F-497A-BB60-C3DA0FF14B08}"/>
    <cellStyle name="Moeda 2 7" xfId="230" xr:uid="{1D790D50-4C2D-4E27-9509-0DB24CB442AC}"/>
    <cellStyle name="Moeda 2 8" xfId="338" xr:uid="{7B599ECF-9554-476B-B26A-40F5E176326F}"/>
    <cellStyle name="Moeda 3" xfId="32" xr:uid="{F0EA8896-44AA-4D12-8887-FEEC9162740A}"/>
    <cellStyle name="Moeda 3 2" xfId="67" xr:uid="{7D874E7C-10EB-4FAA-9388-E7EF0BE34495}"/>
    <cellStyle name="Moeda 3 2 2" xfId="174" xr:uid="{207A0B7B-AFD6-4624-909B-9D74194C3130}"/>
    <cellStyle name="Moeda 3 2 2 2" xfId="302" xr:uid="{1832B05C-A32A-42FE-98C5-12E63349F294}"/>
    <cellStyle name="Moeda 3 2 2 3" xfId="410" xr:uid="{7E5A162D-AA73-4144-8E4F-4DB769AB7F1B}"/>
    <cellStyle name="Moeda 3 2 4" xfId="4" xr:uid="{464D9491-86BD-4680-8F85-5F71FED088DB}"/>
    <cellStyle name="Moeda 3 2 4 2" xfId="68" xr:uid="{A3CE1B60-6525-44C9-840B-4A1589C7BC87}"/>
    <cellStyle name="Moeda 3 2 4 2 2" xfId="152" xr:uid="{6061E98B-84D0-4E94-8155-6BCB916CCE90}"/>
    <cellStyle name="Moeda 3 2 4 2 2 2" xfId="293" xr:uid="{138F3D98-B82D-46A4-8855-66F873E7BD2F}"/>
    <cellStyle name="Moeda 3 2 4 2 2 3" xfId="401" xr:uid="{6D11E400-1AD4-41B1-857F-BBF5BFE0D549}"/>
    <cellStyle name="Moeda 3 2 4 3" xfId="198" xr:uid="{7B5E9072-E13D-4EAF-BFEE-6BF792D6994F}"/>
    <cellStyle name="Moeda 3 2 4 4" xfId="145" xr:uid="{DF0AA2DA-1F3A-4D7E-8441-22A8CD207BC0}"/>
    <cellStyle name="Moeda 3 2 4 4 2" xfId="288" xr:uid="{72EC68F6-B937-4709-9F8F-9ABEA991B5FF}"/>
    <cellStyle name="Moeda 3 2 4 4 3" xfId="396" xr:uid="{149276D1-267A-48B4-BFF5-6A7E37CAD8FD}"/>
    <cellStyle name="Moeda 3 2 4 5" xfId="224" xr:uid="{173B147F-C999-4278-9486-318A9EE86928}"/>
    <cellStyle name="Moeda 3 2 4 6" xfId="332" xr:uid="{565FB6F4-9503-42B5-A34C-D2E1CB453869}"/>
    <cellStyle name="Moeda 3 3" xfId="148" xr:uid="{1E0DA347-7166-43F3-AB82-FE3ED47F2D2D}"/>
    <cellStyle name="Moeda 3 4" xfId="137" xr:uid="{835C7971-21A3-4C16-8FE3-E2F6D0578571}"/>
    <cellStyle name="Moeda 3 4 2" xfId="280" xr:uid="{ED0DF27A-E430-40F5-9B6A-33D3519B3A88}"/>
    <cellStyle name="Moeda 3 4 3" xfId="388" xr:uid="{80E0917D-D946-4670-A625-FA4CED5BC623}"/>
    <cellStyle name="Moeda 3 5" xfId="233" xr:uid="{244EF36C-3828-4A6F-8BF7-E740321D5B59}"/>
    <cellStyle name="Moeda 3 6" xfId="341" xr:uid="{DC2B4D40-BCCA-40A6-A155-A03C9A6E04B8}"/>
    <cellStyle name="Moeda 4" xfId="34" xr:uid="{40ECA1FA-D8D3-4A1E-97D4-9973E0518FA3}"/>
    <cellStyle name="Moeda 4 2" xfId="69" xr:uid="{1D8115FB-3F2D-4D85-8A98-67E5BF7586EB}"/>
    <cellStyle name="Moeda 4 2 2" xfId="176" xr:uid="{ED9FAFD2-5076-46DF-9BE2-DEB461A96209}"/>
    <cellStyle name="Moeda 4 2 2 2" xfId="304" xr:uid="{9EA26188-D1A8-48E4-A252-9723C893CF20}"/>
    <cellStyle name="Moeda 4 2 2 3" xfId="412" xr:uid="{345CFAC4-B9B1-434F-82FB-EE317F798F42}"/>
    <cellStyle name="Moeda 4 3" xfId="201" xr:uid="{8B37E70B-B88A-4203-863D-62EF5C3660F9}"/>
    <cellStyle name="Moeda 4 4" xfId="135" xr:uid="{E355C156-7BCE-40C3-945C-A30C9113AD81}"/>
    <cellStyle name="Moeda 4 4 2" xfId="278" xr:uid="{C8D21FB6-C23D-4DB1-B0C0-A8BA5C62E62D}"/>
    <cellStyle name="Moeda 4 4 3" xfId="386" xr:uid="{2CBF5E4A-FDF4-454A-8313-B0B63B30971D}"/>
    <cellStyle name="Moeda 4 5" xfId="235" xr:uid="{0776619A-EDB0-4F64-8830-139DDE80AB49}"/>
    <cellStyle name="Moeda 4 6" xfId="343" xr:uid="{AC126510-F270-49B3-8481-D9B60B1BD4C6}"/>
    <cellStyle name="Moeda 5" xfId="38" xr:uid="{BE9E5771-0CF1-439B-BC3A-F7D765F3B0EB}"/>
    <cellStyle name="Moeda 5 2" xfId="70" xr:uid="{0310CC46-0157-4005-AE54-F92C52D5A30D}"/>
    <cellStyle name="Moeda 5 2 2" xfId="180" xr:uid="{9A877F9D-19B8-42B3-A52D-5F8389F469C3}"/>
    <cellStyle name="Moeda 5 2 2 2" xfId="308" xr:uid="{B28F8E23-F90F-4828-A785-BADB6CCAC5BA}"/>
    <cellStyle name="Moeda 5 2 2 3" xfId="416" xr:uid="{7023061C-C6AE-4568-A488-DC373E1FD468}"/>
    <cellStyle name="Moeda 5 3" xfId="173" xr:uid="{FDCE3040-E8B5-4E1B-BA30-2DCE87EDF2FA}"/>
    <cellStyle name="Moeda 5 4" xfId="131" xr:uid="{B5841D22-9FAA-41AD-B781-47211FAE1B67}"/>
    <cellStyle name="Moeda 5 4 2" xfId="274" xr:uid="{E7112BFB-C554-47AB-9AE1-20ECB065B690}"/>
    <cellStyle name="Moeda 5 4 3" xfId="382" xr:uid="{92BC1236-5960-4228-A2AD-55EC72B998F7}"/>
    <cellStyle name="Moeda 5 5" xfId="239" xr:uid="{9232B7A3-54B0-45AD-A2A3-8B00BE38A321}"/>
    <cellStyle name="Moeda 5 6" xfId="347" xr:uid="{C9ED9B7D-C7F5-4350-A205-9D13C18773AC}"/>
    <cellStyle name="Moeda 6" xfId="41" xr:uid="{1DD9C9AA-05C2-49AE-94CF-48B9F41C23AE}"/>
    <cellStyle name="Moeda 6 2" xfId="71" xr:uid="{6CCBD42D-1169-4E70-93D9-852B1547C041}"/>
    <cellStyle name="Moeda 6 2 2" xfId="182" xr:uid="{9178E103-3EA2-4695-A6A3-DC04891EB815}"/>
    <cellStyle name="Moeda 6 2 2 2" xfId="310" xr:uid="{1886599F-6C5D-4183-A92A-405CFBE01834}"/>
    <cellStyle name="Moeda 6 2 2 3" xfId="418" xr:uid="{0351AE20-3C3A-437B-9E3A-3B63E258D5A2}"/>
    <cellStyle name="Moeda 6 3" xfId="170" xr:uid="{2A31C5DC-F129-49AC-9F06-F4F53D10561C}"/>
    <cellStyle name="Moeda 6 4" xfId="129" xr:uid="{3BC58BFD-723B-435A-A115-DFA75443DB5A}"/>
    <cellStyle name="Moeda 6 4 2" xfId="272" xr:uid="{380AD755-3713-4601-B65B-1A18828082EC}"/>
    <cellStyle name="Moeda 6 4 3" xfId="380" xr:uid="{69B3C6DF-6448-45CF-91A6-E467A8D6DB7A}"/>
    <cellStyle name="Moeda 6 5" xfId="241" xr:uid="{44F3ECA3-4A34-4DED-8DF3-3FE6862D1357}"/>
    <cellStyle name="Moeda 6 6" xfId="349" xr:uid="{9E1D9C39-18ED-4390-902A-FE587B0DDE37}"/>
    <cellStyle name="Moeda 7" xfId="44" xr:uid="{F123FB6E-263B-48B5-9BA1-FE43BE9D3837}"/>
    <cellStyle name="Moeda 7 2" xfId="72" xr:uid="{8A56D117-B669-4BAC-93E4-3875B4EE1DF3}"/>
    <cellStyle name="Moeda 7 2 2" xfId="185" xr:uid="{1BA8CEE8-D192-4ADC-9454-0BFE778F3255}"/>
    <cellStyle name="Moeda 7 2 2 2" xfId="313" xr:uid="{42E8035B-607F-4EA0-85D4-18F69BAE730C}"/>
    <cellStyle name="Moeda 7 2 2 3" xfId="421" xr:uid="{E9192107-FA72-4E8E-8D5C-54085F4DC177}"/>
    <cellStyle name="Moeda 7 3" xfId="169" xr:uid="{65A9453E-A1C8-410C-B330-C6D27272490F}"/>
    <cellStyle name="Moeda 7 4" xfId="126" xr:uid="{C2661BCB-A766-4BCC-A67B-5A7D1AD55F58}"/>
    <cellStyle name="Moeda 7 4 2" xfId="269" xr:uid="{BE415D5B-8E8F-4147-8AFC-5AA38282F4D6}"/>
    <cellStyle name="Moeda 7 4 3" xfId="377" xr:uid="{EA39B283-2AD9-4FAB-8894-279B7471A2ED}"/>
    <cellStyle name="Moeda 7 5" xfId="244" xr:uid="{23A5C560-8EAD-4779-90CB-FF1D5DD8C5EF}"/>
    <cellStyle name="Moeda 7 6" xfId="352" xr:uid="{68E4F3E4-4D93-4E8E-9FEF-0038666DFC9B}"/>
    <cellStyle name="Moeda 8" xfId="47" xr:uid="{BB3A4CE4-9F07-43EF-A48C-741A41870604}"/>
    <cellStyle name="Moeda 8 2" xfId="73" xr:uid="{F986CF1D-548A-414D-BFB9-49EB5A8EB594}"/>
    <cellStyle name="Moeda 8 2 2" xfId="188" xr:uid="{79E53B8D-7CC9-4B63-897D-E34E18AF897F}"/>
    <cellStyle name="Moeda 8 2 2 2" xfId="316" xr:uid="{6383C357-9F09-4B04-8414-321190A40832}"/>
    <cellStyle name="Moeda 8 2 2 3" xfId="424" xr:uid="{3278A3D7-BB64-4A29-B3BD-690AD722813B}"/>
    <cellStyle name="Moeda 8 3" xfId="200" xr:uid="{2576758F-397B-45EE-B5D6-9DB559494630}"/>
    <cellStyle name="Moeda 8 4" xfId="123" xr:uid="{2B3154DE-E4A5-44FB-A098-69235D4A6F3A}"/>
    <cellStyle name="Moeda 8 4 2" xfId="266" xr:uid="{82E96E7A-A4B3-4AF3-BE16-2A2B457F1C85}"/>
    <cellStyle name="Moeda 8 4 3" xfId="374" xr:uid="{D9DE63F6-6F22-4560-8277-206A74CD0DE3}"/>
    <cellStyle name="Moeda 8 5" xfId="247" xr:uid="{12C6E323-32A4-46A2-85AE-E326A99E70CA}"/>
    <cellStyle name="Moeda 8 6" xfId="355" xr:uid="{F925E233-2204-4027-B7EA-51EF869A7785}"/>
    <cellStyle name="Moeda 9" xfId="52" xr:uid="{9833BCD9-821C-42E4-B914-5AB3C3905081}"/>
    <cellStyle name="Moeda 9 2" xfId="74" xr:uid="{D09A2226-00D8-4896-8138-298876886426}"/>
    <cellStyle name="Moeda 9 2 2" xfId="194" xr:uid="{F4FF2842-E15C-4722-9500-947931AE44B8}"/>
    <cellStyle name="Moeda 9 2 2 2" xfId="322" xr:uid="{AB12AC2E-D0A9-4C7E-9F55-4BE2D9CA2EF5}"/>
    <cellStyle name="Moeda 9 2 2 3" xfId="430" xr:uid="{8F6B7127-6D45-4B7E-B2C2-3AB63EAFFD67}"/>
    <cellStyle name="Moeda 9 3" xfId="160" xr:uid="{7C021D77-7693-4540-A298-A5970293E581}"/>
    <cellStyle name="Moeda 9 4" xfId="117" xr:uid="{93CACAE7-6441-4698-8597-B3C2E7BE36E5}"/>
    <cellStyle name="Moeda 9 4 2" xfId="260" xr:uid="{04C9A512-C320-4CF1-89CF-B5E2B2F76F5B}"/>
    <cellStyle name="Moeda 9 4 3" xfId="368" xr:uid="{1A922FBB-802E-44A1-9E36-42E295F84851}"/>
    <cellStyle name="Moeda 9 5" xfId="252" xr:uid="{A11CADD0-1263-416F-B37D-80028E6C6D82}"/>
    <cellStyle name="Moeda 9 6" xfId="360" xr:uid="{A916929F-426E-44D5-9387-F4F8D04C6B76}"/>
    <cellStyle name="Normal" xfId="0" builtinId="0"/>
    <cellStyle name="Normal 10" xfId="9" xr:uid="{A9EF8B46-AE1E-4349-ABF4-9CDFFC7DDD75}"/>
    <cellStyle name="Normal 10 2" xfId="23" xr:uid="{860764C6-63F2-415B-97C3-25612DE057D8}"/>
    <cellStyle name="Normal 10 2 2" xfId="76" xr:uid="{DE9BDC07-E28E-4A33-B763-F0B93B59A743}"/>
    <cellStyle name="Normal 10 3" xfId="75" xr:uid="{7A959F7E-B22B-42C9-B331-62C51ABF88AF}"/>
    <cellStyle name="Normal 11" xfId="19" xr:uid="{7E36448A-BDD1-4E09-8130-D9A65C362A43}"/>
    <cellStyle name="Normal 11 2" xfId="77" xr:uid="{C341BB5E-7564-4AE5-ABB5-B6A9861193A2}"/>
    <cellStyle name="Normal 12" xfId="3" xr:uid="{E1D3624B-FE4A-4CEA-ABF9-0ADC19D961FF}"/>
    <cellStyle name="Normal 12 2" xfId="78" xr:uid="{A4C2A806-AA3C-4CF0-AE61-728CB1DCC0D6}"/>
    <cellStyle name="Normal 12 2 2" xfId="151" xr:uid="{41B22F18-3A50-4FB7-A51E-04CFEDBB2FB0}"/>
    <cellStyle name="Normal 12 2 2 2" xfId="292" xr:uid="{815B702E-2672-4FD8-AD63-131F91DFF5AB}"/>
    <cellStyle name="Normal 12 2 2 3" xfId="400" xr:uid="{80CA14A2-DDB8-4C11-BE12-91E4578D5060}"/>
    <cellStyle name="Normal 12 3" xfId="213" xr:uid="{A9C9BDE8-8642-4BCB-80E9-8E5703390616}"/>
    <cellStyle name="Normal 12 4" xfId="146" xr:uid="{0F5D4A8C-CC6F-41EC-A3A3-C0BC1F96AA38}"/>
    <cellStyle name="Normal 12 4 2" xfId="289" xr:uid="{EC9CB1AD-077F-46B1-9B03-B6B60A2B0B82}"/>
    <cellStyle name="Normal 12 4 3" xfId="397" xr:uid="{DDC622E6-C4C0-498A-A7F9-6945B3BE871A}"/>
    <cellStyle name="Normal 12 5" xfId="223" xr:uid="{647E683E-79C3-4066-B030-2FE4F42F1298}"/>
    <cellStyle name="Normal 12 6" xfId="331" xr:uid="{FB2CE2CF-AE29-4E2D-9E36-8FC630B9A50F}"/>
    <cellStyle name="Normal 13" xfId="26" xr:uid="{DDA2E7D4-1EC4-4820-AD3C-EB923B0B1459}"/>
    <cellStyle name="Normal 13 2" xfId="79" xr:uid="{4A282BFB-F052-4A68-9A2B-229B55756808}"/>
    <cellStyle name="Normal 14" xfId="27" xr:uid="{F8BF1255-DA64-434A-A7C2-378471D10EFE}"/>
    <cellStyle name="Normal 14 2" xfId="80" xr:uid="{7811C481-F019-4C44-AE1E-86FF32639853}"/>
    <cellStyle name="Normal 15" xfId="28" xr:uid="{1B0BCA52-434F-4909-A530-F82067A75740}"/>
    <cellStyle name="Normal 15 2" xfId="81" xr:uid="{CD62EA12-1B58-4F0D-8C60-60DBAA8B804E}"/>
    <cellStyle name="Normal 16" xfId="30" xr:uid="{28F4EBE0-24FA-4FAE-866E-7B211A8F4AB6}"/>
    <cellStyle name="Normal 16 2" xfId="82" xr:uid="{A1F5D0AB-1709-424B-A946-9B195C1A4092}"/>
    <cellStyle name="Normal 16 2 2" xfId="172" xr:uid="{C468EE69-EF67-4E1B-8AD0-4AD42BF1CEAD}"/>
    <cellStyle name="Normal 16 2 2 2" xfId="301" xr:uid="{E49CB01F-84DF-4E09-9BE2-8572305000BD}"/>
    <cellStyle name="Normal 16 2 2 3" xfId="409" xr:uid="{2BD23016-E0AF-45BC-B9DE-DCC9D42CF38A}"/>
    <cellStyle name="Normal 16 3" xfId="210" xr:uid="{1D27C690-62FC-4955-BF8F-ABD60A53C0ED}"/>
    <cellStyle name="Normal 16 4" xfId="138" xr:uid="{93A6146C-535D-4BCB-9014-CCAD12D6749E}"/>
    <cellStyle name="Normal 16 4 2" xfId="281" xr:uid="{9ECD4E04-E5B3-456D-8464-3D8B85651101}"/>
    <cellStyle name="Normal 16 4 3" xfId="389" xr:uid="{C4EC762C-CAF6-4F34-9337-DB59E8C881AA}"/>
    <cellStyle name="Normal 16 5" xfId="232" xr:uid="{76E0E000-98CF-4F79-B44C-B37484D2AAE1}"/>
    <cellStyle name="Normal 16 6" xfId="340" xr:uid="{F278176A-894B-44E8-AF63-63FC544568B9}"/>
    <cellStyle name="Normal 17" xfId="31" xr:uid="{4E1B4343-6F0A-43A5-8874-C8CF939EE5FA}"/>
    <cellStyle name="Normal 17 2" xfId="83" xr:uid="{9764556B-18F9-4F38-A0B6-A61A09F5A4FC}"/>
    <cellStyle name="Normal 18" xfId="33" xr:uid="{08E20E2C-AD10-4A1A-9607-10A556FC645D}"/>
    <cellStyle name="Normal 18 2" xfId="84" xr:uid="{22D3897B-AE1D-4FA7-A6FD-162FBA5A4F27}"/>
    <cellStyle name="Normal 18 2 2" xfId="175" xr:uid="{3736C40B-4A9E-48E8-94DA-3B8651F3EA51}"/>
    <cellStyle name="Normal 18 2 2 2" xfId="303" xr:uid="{C8CBB779-EB35-445F-B74F-510A64B905C4}"/>
    <cellStyle name="Normal 18 2 2 3" xfId="411" xr:uid="{DA68E517-37D2-4B1F-ADB3-5E4A670E56C0}"/>
    <cellStyle name="Normal 18 3" xfId="167" xr:uid="{19F04988-AB5C-4F94-ABC8-DCA10C30425B}"/>
    <cellStyle name="Normal 18 4" xfId="136" xr:uid="{3E206695-00A8-4FEB-BCAF-D085D0023E62}"/>
    <cellStyle name="Normal 18 4 2" xfId="279" xr:uid="{BCB060A1-FB30-4108-AFE9-5B5A789487ED}"/>
    <cellStyle name="Normal 18 4 3" xfId="387" xr:uid="{E20CF791-7C15-45B1-B626-DE48418CBEF6}"/>
    <cellStyle name="Normal 18 5" xfId="234" xr:uid="{B6FA4BED-751B-4038-913E-9D3AE1AC3988}"/>
    <cellStyle name="Normal 18 6" xfId="342" xr:uid="{2B04880D-5DD4-4AFA-8C89-C0F447367E89}"/>
    <cellStyle name="Normal 19" xfId="11" xr:uid="{23A54FDE-4EDB-4456-BDE1-90550834BDBF}"/>
    <cellStyle name="Normal 19 2" xfId="85" xr:uid="{58F740DD-6806-4445-9F4E-C86222874F8F}"/>
    <cellStyle name="Normal 2" xfId="8" xr:uid="{FA987482-D98A-4601-9BB2-6B5116F78670}"/>
    <cellStyle name="Normal 2 2" xfId="86" xr:uid="{02BEE58B-9234-4EBD-810E-CCE6E7DCE38A}"/>
    <cellStyle name="Normal 2 2 2" xfId="155" xr:uid="{4209C8ED-2821-447F-8F04-27FADD385F5F}"/>
    <cellStyle name="Normal 2 2 2 2" xfId="295" xr:uid="{58F6922A-63BC-4798-BAEA-B4FD56394878}"/>
    <cellStyle name="Normal 2 2 2 3" xfId="403" xr:uid="{38C7AD80-4A15-4FB8-B1D5-B940EBE39F50}"/>
    <cellStyle name="Normal 2 3" xfId="207" xr:uid="{D426D850-ADCF-4E6F-BC16-61491B553C3E}"/>
    <cellStyle name="Normal 2 4" xfId="115" xr:uid="{0C0D1B5F-0EE0-4E25-9321-0493423480B9}"/>
    <cellStyle name="Normal 2 4 2" xfId="258" xr:uid="{F3E958BD-363C-482E-888E-B6F4DE038798}"/>
    <cellStyle name="Normal 2 4 3" xfId="366" xr:uid="{4A2377BD-EC90-45D0-A840-2E8D266CF957}"/>
    <cellStyle name="Normal 2 5" xfId="226" xr:uid="{708DB70F-8A6D-4A8F-B931-8663FA6BED71}"/>
    <cellStyle name="Normal 2 6" xfId="334" xr:uid="{5C6C356A-94D0-43DC-A921-34E03EA025E8}"/>
    <cellStyle name="Normal 20" xfId="37" xr:uid="{144B22F9-63BD-4679-8ABB-7A3ACAEA1AE9}"/>
    <cellStyle name="Normal 20 2" xfId="87" xr:uid="{7E3E46B1-729F-4B29-8DCA-91E4312149B3}"/>
    <cellStyle name="Normal 20 2 2" xfId="179" xr:uid="{E7B90CC7-D736-4066-A22A-8277F76E527A}"/>
    <cellStyle name="Normal 20 2 2 2" xfId="307" xr:uid="{879440C8-6196-4F95-B995-DA8BA4F0E363}"/>
    <cellStyle name="Normal 20 2 2 3" xfId="415" xr:uid="{FD9657BF-E4DB-4DD2-BC9C-1B7B8230838B}"/>
    <cellStyle name="Normal 20 3" xfId="205" xr:uid="{B75C6732-D6D9-4DCA-8CA3-A50C5A42C812}"/>
    <cellStyle name="Normal 20 4" xfId="132" xr:uid="{9FC1B26C-D73C-4018-930C-2EF23EB17252}"/>
    <cellStyle name="Normal 20 4 2" xfId="275" xr:uid="{0A76BA4B-DC60-4B71-B4F2-0528DD0B554B}"/>
    <cellStyle name="Normal 20 4 3" xfId="383" xr:uid="{9EDFF51D-FB48-4740-A7E2-1983B7C3AA90}"/>
    <cellStyle name="Normal 20 5" xfId="238" xr:uid="{9954B353-6C98-4CF8-914D-97920216D5F0}"/>
    <cellStyle name="Normal 20 6" xfId="346" xr:uid="{D29E22A9-8F32-44DB-9EF7-627458FC36C0}"/>
    <cellStyle name="Normal 21" xfId="40" xr:uid="{D4257B36-E6C7-42B4-A88B-33215B3CF055}"/>
    <cellStyle name="Normal 21 2" xfId="88" xr:uid="{621C9729-A3E9-4457-B0EF-EA6745799235}"/>
    <cellStyle name="Normal 21 2 2" xfId="181" xr:uid="{3AEF2021-DE8E-4219-9E8A-BDE832CD7C36}"/>
    <cellStyle name="Normal 21 2 2 2" xfId="309" xr:uid="{4B41D691-FE55-4133-B4CF-757ACD641D9F}"/>
    <cellStyle name="Normal 21 2 2 3" xfId="417" xr:uid="{2BC1D285-4245-4F3E-8A80-AFD8592ABB3F}"/>
    <cellStyle name="Normal 21 3" xfId="204" xr:uid="{95DB5FCE-F8B5-412F-8E7D-3F7624F09E67}"/>
    <cellStyle name="Normal 21 4" xfId="130" xr:uid="{A1F79821-BE32-44A0-9F50-BE59F534ECBB}"/>
    <cellStyle name="Normal 21 4 2" xfId="273" xr:uid="{278E1651-D577-423A-B5CE-17FF5D6F6FDA}"/>
    <cellStyle name="Normal 21 4 3" xfId="381" xr:uid="{A6F023C6-A88A-447A-958F-33FA18ED987E}"/>
    <cellStyle name="Normal 21 5" xfId="240" xr:uid="{D467F3A6-3DAD-4282-A0D8-95ECEB16CC18}"/>
    <cellStyle name="Normal 21 6" xfId="348" xr:uid="{04BE648F-E8DD-43A7-9687-EB8A1D99E174}"/>
    <cellStyle name="Normal 22" xfId="43" xr:uid="{86754D8B-9EA6-4382-8D74-960D9FB2CF95}"/>
    <cellStyle name="Normal 22 2" xfId="89" xr:uid="{665035FC-845A-4753-AAE0-DE381C212C91}"/>
    <cellStyle name="Normal 22 2 2" xfId="184" xr:uid="{40F6AF1F-9A16-4C23-9293-08D777A0E38B}"/>
    <cellStyle name="Normal 22 2 2 2" xfId="312" xr:uid="{1EB13535-00AF-4C2D-830A-C64EB3B0CDD6}"/>
    <cellStyle name="Normal 22 2 2 3" xfId="420" xr:uid="{FEF06204-9392-472A-A5A7-E21671E3C96E}"/>
    <cellStyle name="Normal 22 3" xfId="202" xr:uid="{84193204-8BC5-4CCF-945D-DDCF018F30EB}"/>
    <cellStyle name="Normal 22 4" xfId="127" xr:uid="{3FAD4702-A2B6-4AB9-AFBF-76370B3D53A1}"/>
    <cellStyle name="Normal 22 4 2" xfId="270" xr:uid="{7601841A-212C-4489-82FE-7AED5FC455A6}"/>
    <cellStyle name="Normal 22 4 3" xfId="378" xr:uid="{D1BB9C5D-A61E-426E-AD92-7F31CCF14BCF}"/>
    <cellStyle name="Normal 22 5" xfId="243" xr:uid="{2B762ED5-A2FC-4405-BF45-E3FA2FC58CCD}"/>
    <cellStyle name="Normal 22 6" xfId="351" xr:uid="{4506551F-5DE9-4E42-AAB5-E65134917E57}"/>
    <cellStyle name="Normal 23" xfId="6" xr:uid="{122253C3-52E1-49E4-BDC1-82FB51F5D373}"/>
    <cellStyle name="Normal 23 2" xfId="90" xr:uid="{D6AB402B-56C2-4AA7-9212-3D697986087C}"/>
    <cellStyle name="Normal 24" xfId="20" xr:uid="{128F4742-56F8-4D6E-AE4F-352326C165D5}"/>
    <cellStyle name="Normal 24 2" xfId="91" xr:uid="{22D103E1-EB1C-447A-8507-AAE19B6414F6}"/>
    <cellStyle name="Normal 25" xfId="46" xr:uid="{6EAC4870-73D5-4144-A59F-0303845CA316}"/>
    <cellStyle name="Normal 25 2" xfId="92" xr:uid="{29DD5FFB-681F-46E6-A1F8-6E23629FE77C}"/>
    <cellStyle name="Normal 25 2 2" xfId="187" xr:uid="{ADE2854C-E7BF-4B29-B219-12AA353D6B15}"/>
    <cellStyle name="Normal 25 2 2 2" xfId="315" xr:uid="{5BC87499-22D4-4B76-A136-908907AC061D}"/>
    <cellStyle name="Normal 25 2 2 3" xfId="423" xr:uid="{393DA074-9F0A-45DB-869B-7369B15CEF80}"/>
    <cellStyle name="Normal 25 3" xfId="165" xr:uid="{138C77B1-5BED-4E30-85F9-597788C0A13D}"/>
    <cellStyle name="Normal 25 4" xfId="124" xr:uid="{A8CF6151-DD5F-41AB-8677-548EE13392AB}"/>
    <cellStyle name="Normal 25 4 2" xfId="267" xr:uid="{4D960452-B767-494C-97FA-A1230FAC7A87}"/>
    <cellStyle name="Normal 25 4 3" xfId="375" xr:uid="{7CEB6E80-B0B4-4B93-9A40-8D2FB4569D6B}"/>
    <cellStyle name="Normal 25 5" xfId="246" xr:uid="{B4A04DA2-EE3C-43D6-822A-8F7F5F4EA271}"/>
    <cellStyle name="Normal 25 6" xfId="354" xr:uid="{8E4E4AC3-BB74-484B-9F57-C3BED7C5FD3C}"/>
    <cellStyle name="Normal 26" xfId="50" xr:uid="{0218BD1D-2B35-40A9-BE5A-68D07D175B8A}"/>
    <cellStyle name="Normal 26 2" xfId="93" xr:uid="{168D0969-F813-446F-8BF6-014451969F7E}"/>
    <cellStyle name="Normal 26 2 2" xfId="192" xr:uid="{026E06DB-2DC9-4021-B335-6C3F7E2A460C}"/>
    <cellStyle name="Normal 26 2 2 2" xfId="320" xr:uid="{CE7A1D5A-16E8-4095-8DE5-20B7E1251FC6}"/>
    <cellStyle name="Normal 26 2 2 3" xfId="428" xr:uid="{00B95C15-A186-4763-897B-7B2C61C5C5FC}"/>
    <cellStyle name="Normal 26 3" xfId="166" xr:uid="{DA45BEDE-C4C5-4111-A27F-43040E3A5894}"/>
    <cellStyle name="Normal 26 4" xfId="119" xr:uid="{E9BCA89A-2525-4957-856F-8A415CD2033C}"/>
    <cellStyle name="Normal 26 4 2" xfId="262" xr:uid="{E205EEFA-5B78-4721-9967-BF0149D61843}"/>
    <cellStyle name="Normal 26 4 3" xfId="370" xr:uid="{33611A08-2CE6-4E09-8133-352F15BF52C2}"/>
    <cellStyle name="Normal 26 5" xfId="250" xr:uid="{65C0F8CF-97A1-44F7-AFC4-CC263558C131}"/>
    <cellStyle name="Normal 26 6" xfId="358" xr:uid="{0360C1EC-E940-4A41-9D1F-E3F6F9AE3380}"/>
    <cellStyle name="Normal 27" xfId="54" xr:uid="{8311277E-703F-4623-BD54-2B41EFFAEF39}"/>
    <cellStyle name="Normal 27 2" xfId="94" xr:uid="{AFFA60AA-C81D-4EE3-BBF7-2BB484AC47BC}"/>
    <cellStyle name="Normal 27 2 2" xfId="196" xr:uid="{3286B92B-E161-458D-9F0F-D7B403BBFFCB}"/>
    <cellStyle name="Normal 27 2 2 2" xfId="324" xr:uid="{67942773-1D22-4E12-B8A1-CACB4D091AF8}"/>
    <cellStyle name="Normal 27 2 2 3" xfId="432" xr:uid="{0854293E-CE70-4C05-9062-3F33A874F723}"/>
    <cellStyle name="Normal 27 3" xfId="199" xr:uid="{8EADA1A6-F5A6-4D9D-9519-AC6C691D189F}"/>
    <cellStyle name="Normal 27 4" xfId="114" xr:uid="{9A99324A-11CD-4543-A910-3E9673FF2ED6}"/>
    <cellStyle name="Normal 27 4 2" xfId="257" xr:uid="{1BCB6F54-4052-4327-AA47-9D40A5407999}"/>
    <cellStyle name="Normal 27 4 3" xfId="365" xr:uid="{62F0A333-CA1B-4A15-B739-3BF723C49E7B}"/>
    <cellStyle name="Normal 27 5" xfId="254" xr:uid="{3D4EA604-BD71-4F84-96BA-153E5303C314}"/>
    <cellStyle name="Normal 27 6" xfId="362" xr:uid="{CBC3F7C0-F098-4149-AA8A-57F1920FE7F2}"/>
    <cellStyle name="Normal 28" xfId="56" xr:uid="{6A46FEF6-48BB-4079-BDB1-C2AEFD0A35E1}"/>
    <cellStyle name="Normal 29" xfId="218" xr:uid="{21E03E5F-3B15-47C7-BE1F-BD8E22CCFAF9}"/>
    <cellStyle name="Normal 29 2" xfId="326" xr:uid="{ED14ECCC-2290-4ABB-B4AB-6E19239888EC}"/>
    <cellStyle name="Normal 29 3" xfId="434" xr:uid="{F590C3DD-D98E-47DB-8B06-58957C8F3217}"/>
    <cellStyle name="Normal 3" xfId="18" xr:uid="{609B50CB-3119-43AB-B391-69F14E05EE75}"/>
    <cellStyle name="Normal 3 2" xfId="5" xr:uid="{3AC8CEE0-5652-4AC8-AA9C-752E6A4C203D}"/>
    <cellStyle name="Normal 3 2 2" xfId="96" xr:uid="{27D20DC7-6887-4001-ACDC-27C0536B0222}"/>
    <cellStyle name="Normal 3 3" xfId="95" xr:uid="{D742B2FE-57A2-4705-B396-B9641C6606B2}"/>
    <cellStyle name="Normal 30" xfId="220" xr:uid="{62188CD6-585F-4807-B94B-43E8A92C7639}"/>
    <cellStyle name="Normal 30 2" xfId="328" xr:uid="{477D6FAF-5227-4DC9-BD50-C0E07F108BAC}"/>
    <cellStyle name="Normal 30 3" xfId="436" xr:uid="{B6EF7462-007D-4D57-B5C7-D9179F6C0D62}"/>
    <cellStyle name="Normal 4" xfId="24" xr:uid="{92B38BCF-7122-42ED-86DB-6236F73161BB}"/>
    <cellStyle name="Normal 4 2" xfId="97" xr:uid="{25D3F073-7C69-4089-A79A-C271BCD870C6}"/>
    <cellStyle name="Normal 41" xfId="16" xr:uid="{19108CBF-84C7-4220-9EA2-CC3F6C78260C}"/>
    <cellStyle name="Normal 41 2" xfId="98" xr:uid="{F112D5CB-106F-4DEE-80D8-15A031B71FDA}"/>
    <cellStyle name="Normal 42" xfId="15" xr:uid="{5BCEDEC5-1618-4C8A-90F1-79100968FEBB}"/>
    <cellStyle name="Normal 42 2" xfId="99" xr:uid="{27B40A20-C7BC-4DE3-99CA-EE1264D98886}"/>
    <cellStyle name="Normal 5" xfId="14" xr:uid="{F8C71EFE-3F15-42CF-8146-5E6750A40B94}"/>
    <cellStyle name="Normal 5 2" xfId="100" xr:uid="{3670184F-CE65-40C5-BAC5-ECC3E5B15725}"/>
    <cellStyle name="Normal 6" xfId="25" xr:uid="{4A84773E-AC10-4AF6-B4A0-517676980C0A}"/>
    <cellStyle name="Normal 6 2" xfId="101" xr:uid="{DFF5A996-7BEF-4292-8F65-7821E6B2727B}"/>
    <cellStyle name="Normal 7" xfId="22" xr:uid="{422CB945-8B16-421A-94BB-E6E4D48BF073}"/>
    <cellStyle name="Normal 7 2" xfId="102" xr:uid="{2BA89354-3F6E-41AE-94FD-DC1720174444}"/>
    <cellStyle name="Normal 8" xfId="21" xr:uid="{32668214-4CD5-4CAA-A212-0D02F6E1F24D}"/>
    <cellStyle name="Normal 8 2" xfId="103" xr:uid="{E6B24EE7-6F92-4AA5-9FB3-9148F53C1449}"/>
    <cellStyle name="Normal 9" xfId="7" xr:uid="{CD0C2BB4-D64C-4A52-9918-33896A045F11}"/>
    <cellStyle name="Normal 9 2" xfId="104" xr:uid="{93FEB270-DB23-4B9C-9C0C-952FED782A50}"/>
    <cellStyle name="Normal 9 2 2" xfId="154" xr:uid="{E2566332-4EE5-4E7E-A306-62259D596E24}"/>
    <cellStyle name="Normal 9 2 2 2" xfId="294" xr:uid="{7DA9C146-17B3-490D-BA6B-11636E6201D8}"/>
    <cellStyle name="Normal 9 2 2 3" xfId="402" xr:uid="{22ECFCB7-31D1-4A53-85FA-A71AC6FD0F7C}"/>
    <cellStyle name="Normal 9 3" xfId="206" xr:uid="{5CCE41C2-2629-4559-AA61-26D1568949B2}"/>
    <cellStyle name="Normal 9 4" xfId="144" xr:uid="{C789887C-C8E5-4C2F-9915-B3A1ACBCFFE5}"/>
    <cellStyle name="Normal 9 4 2" xfId="287" xr:uid="{ABA52B5D-8AFE-431E-81F6-92CBEA8D1F0F}"/>
    <cellStyle name="Normal 9 4 3" xfId="395" xr:uid="{8FB9BA3C-6D5D-4E51-8E42-1968CBCF3891}"/>
    <cellStyle name="Normal 9 5" xfId="225" xr:uid="{53F2F4CA-ED53-4084-BF7F-4C7855C5FC7D}"/>
    <cellStyle name="Normal 9 6" xfId="333" xr:uid="{2A60E05D-1593-4436-A9FD-BF9BEB28FBB2}"/>
    <cellStyle name="Percentagem" xfId="2" builtinId="5"/>
    <cellStyle name="Porcentagem 2" xfId="35" xr:uid="{8E5CC5B7-9DC5-4690-8817-08DEFC77661E}"/>
    <cellStyle name="Porcentagem 2 2" xfId="105" xr:uid="{B74B0E8A-46BD-40E5-B6CF-1B4448E80CD6}"/>
    <cellStyle name="Porcentagem 2 2 2" xfId="177" xr:uid="{BCC8B642-7889-4E1D-B956-C948A0B48DFD}"/>
    <cellStyle name="Porcentagem 2 2 2 2" xfId="305" xr:uid="{DECAF88F-4DB1-4493-9990-831DEF808A50}"/>
    <cellStyle name="Porcentagem 2 2 2 3" xfId="413" xr:uid="{B2E6E775-705F-49B9-AF86-1AF6922CB9E1}"/>
    <cellStyle name="Porcentagem 2 3" xfId="215" xr:uid="{16E02132-CE42-41D3-890B-32F0DCE80718}"/>
    <cellStyle name="Porcentagem 2 4" xfId="134" xr:uid="{A53329C6-9E06-4F08-BDD8-DB7522B8D784}"/>
    <cellStyle name="Porcentagem 2 4 2" xfId="277" xr:uid="{412EDBEF-F7E7-4415-ABB2-EE24B249CBA6}"/>
    <cellStyle name="Porcentagem 2 4 3" xfId="385" xr:uid="{E8E434F9-D2CD-4933-91F0-17DA5E1623F0}"/>
    <cellStyle name="Porcentagem 2 5" xfId="236" xr:uid="{3D696551-6AE4-4EF0-802E-5B6A845E0461}"/>
    <cellStyle name="Porcentagem 2 6" xfId="344" xr:uid="{08B5DE50-BEA6-4D84-8F7B-43D3739E7B8B}"/>
    <cellStyle name="Porcentagem 3" xfId="39" xr:uid="{82ED4874-290C-48CC-A26D-88A336FC3440}"/>
    <cellStyle name="Porcentagem 3 2" xfId="106" xr:uid="{E5DAE406-2396-4ED9-80A8-D13D4F8A9944}"/>
    <cellStyle name="Porcentagem 4" xfId="42" xr:uid="{CB77000F-14FB-4024-A918-66823176B0A4}"/>
    <cellStyle name="Porcentagem 4 2" xfId="107" xr:uid="{58BE42DE-8C39-4DF9-9233-9836B9C46AD4}"/>
    <cellStyle name="Porcentagem 4 2 2" xfId="183" xr:uid="{9020F2B4-4032-4E89-8F52-57896D6EA671}"/>
    <cellStyle name="Porcentagem 4 2 2 2" xfId="311" xr:uid="{E2D5A60D-2B2A-4BEA-91F2-532C13EAFE13}"/>
    <cellStyle name="Porcentagem 4 2 2 3" xfId="419" xr:uid="{567B8C77-7A98-4396-BFDC-2B6B5A0A6D4D}"/>
    <cellStyle name="Porcentagem 4 3" xfId="157" xr:uid="{EB8D00D1-53F3-42D3-86ED-313289700B99}"/>
    <cellStyle name="Porcentagem 4 4" xfId="128" xr:uid="{E8C82616-43D0-4403-96D0-682D281F4F60}"/>
    <cellStyle name="Porcentagem 4 4 2" xfId="271" xr:uid="{80C68D7A-E7E8-4752-A1ED-ADF2E0FE704B}"/>
    <cellStyle name="Porcentagem 4 4 3" xfId="379" xr:uid="{509CEBDF-A4D0-4415-95B0-4052B5CC4D5A}"/>
    <cellStyle name="Porcentagem 4 5" xfId="242" xr:uid="{BE893BFD-FB86-4A6D-B85F-F6EDAFB55805}"/>
    <cellStyle name="Porcentagem 4 6" xfId="350" xr:uid="{D99C8459-6A0B-4B14-AD7D-BC91D5EEBA96}"/>
    <cellStyle name="Porcentagem 5" xfId="45" xr:uid="{5A0D501A-12F1-46A0-A093-664D589B3754}"/>
    <cellStyle name="Porcentagem 5 2" xfId="108" xr:uid="{DC31CACB-6433-46FB-9346-FA976EEE0B14}"/>
    <cellStyle name="Porcentagem 5 2 2" xfId="186" xr:uid="{61EFD6B4-5DB2-42EC-90D1-E70A93E00DA1}"/>
    <cellStyle name="Porcentagem 5 2 2 2" xfId="314" xr:uid="{BB6ED22E-D442-47C4-B1F9-BBFE76D18D82}"/>
    <cellStyle name="Porcentagem 5 2 2 3" xfId="422" xr:uid="{4F6C8910-4587-485E-A231-8A57AADA5A47}"/>
    <cellStyle name="Porcentagem 5 3" xfId="168" xr:uid="{46C0E798-A864-44FD-B2D2-AFE8D71D1B54}"/>
    <cellStyle name="Porcentagem 5 4" xfId="125" xr:uid="{13344F06-DAA7-491A-9120-4C64E653AED7}"/>
    <cellStyle name="Porcentagem 5 4 2" xfId="268" xr:uid="{2887A0A0-8D0B-4A81-93F7-542AAE7843A3}"/>
    <cellStyle name="Porcentagem 5 4 3" xfId="376" xr:uid="{7E6E0B57-4625-4B08-A058-B4D7EA638B5C}"/>
    <cellStyle name="Porcentagem 5 5" xfId="245" xr:uid="{BC80D17C-C888-4C79-BEF2-F24EC5346AA0}"/>
    <cellStyle name="Porcentagem 5 6" xfId="353" xr:uid="{62A9F48C-49A6-4A3D-A56E-0AE9513EC1EC}"/>
    <cellStyle name="Porcentagem 6" xfId="48" xr:uid="{7FBF4DA5-BE36-4A0B-8DC3-1CEC653B2AA9}"/>
    <cellStyle name="Porcentagem 6 2" xfId="109" xr:uid="{3FF9AA28-1320-415F-AA28-94C3CC6C723E}"/>
    <cellStyle name="Porcentagem 6 2 2" xfId="189" xr:uid="{E7CD41AD-9F4C-4446-A19E-B8B5F6D2168E}"/>
    <cellStyle name="Porcentagem 6 2 2 2" xfId="317" xr:uid="{C60A4E87-53A7-4E17-B436-BB90CDABAA98}"/>
    <cellStyle name="Porcentagem 6 2 2 3" xfId="425" xr:uid="{7872C2DB-A27E-4041-A26B-C27464D32F63}"/>
    <cellStyle name="Porcentagem 6 3" xfId="163" xr:uid="{53D8EB83-053B-4800-9826-85E62C05F8E8}"/>
    <cellStyle name="Porcentagem 6 4" xfId="122" xr:uid="{48CE078B-40BA-4C15-86C3-B31FE42377EA}"/>
    <cellStyle name="Porcentagem 6 4 2" xfId="265" xr:uid="{9283B6C9-BBC0-4C88-8A43-C428D4A14BC2}"/>
    <cellStyle name="Porcentagem 6 4 3" xfId="373" xr:uid="{C31043D5-5836-4097-BBA7-A4CDA9E91241}"/>
    <cellStyle name="Porcentagem 6 5" xfId="248" xr:uid="{7FEE6E33-D909-40D7-948D-168BC5DCE5AA}"/>
    <cellStyle name="Porcentagem 6 6" xfId="356" xr:uid="{9E91E68E-8658-4ADA-9D19-546CC919251A}"/>
    <cellStyle name="Porcentagem 7" xfId="53" xr:uid="{6E700E49-21ED-4187-9EB1-9E91EBE8D2AB}"/>
    <cellStyle name="Porcentagem 7 2" xfId="110" xr:uid="{179482DE-80AD-47E8-B4FF-237DC0C0F377}"/>
    <cellStyle name="Porcentagem 7 2 2" xfId="195" xr:uid="{72850475-646F-4955-BFD5-F96548300AF0}"/>
    <cellStyle name="Porcentagem 7 2 2 2" xfId="323" xr:uid="{98477E9B-EB9B-4664-96BB-0A8C79828BD4}"/>
    <cellStyle name="Porcentagem 7 2 2 3" xfId="431" xr:uid="{2BA4B6EF-6A43-4D2D-86F0-EB4E52164BFD}"/>
    <cellStyle name="Porcentagem 7 3" xfId="153" xr:uid="{123C0B4F-6908-4C68-A561-77DC81AC4807}"/>
    <cellStyle name="Porcentagem 7 4" xfId="116" xr:uid="{DA2BC58F-847E-4E7C-A597-EF392907379E}"/>
    <cellStyle name="Porcentagem 7 4 2" xfId="259" xr:uid="{29C5590A-C6E2-4666-85B1-D181A746D3B9}"/>
    <cellStyle name="Porcentagem 7 4 3" xfId="367" xr:uid="{FF81482B-7788-40FB-9FE6-40E9F629C687}"/>
    <cellStyle name="Porcentagem 7 5" xfId="253" xr:uid="{AD0FDFBC-41AE-424B-8F9F-786D2B87B938}"/>
    <cellStyle name="Porcentagem 7 6" xfId="361" xr:uid="{A6F1BE6E-379D-4756-A108-1ED1BC472557}"/>
    <cellStyle name="Porcentagem 8" xfId="59" xr:uid="{EAF135D2-25B7-45FE-971A-C6DE2B78FA37}"/>
    <cellStyle name="Porcentagem 9" xfId="219" xr:uid="{01CE8201-B57B-4E39-B8E3-DE54F01A785F}"/>
    <cellStyle name="Porcentagem 9 2" xfId="327" xr:uid="{E7E8E7FD-EC02-4FA5-A31B-E2CC1D11147D}"/>
    <cellStyle name="Porcentagem 9 3" xfId="435" xr:uid="{69E1E95D-3335-4A3B-940D-34F89BBC6838}"/>
    <cellStyle name="Vírgula" xfId="221" builtinId="3"/>
    <cellStyle name="Vírgula 2" xfId="29" xr:uid="{DDE70495-5BE7-41AE-BAEE-C16FC094182C}"/>
    <cellStyle name="Vírgula 2 2" xfId="111" xr:uid="{9298B13D-2461-4444-9F4B-D68B8EC6DA9F}"/>
    <cellStyle name="Vírgula 2 2 2" xfId="171" xr:uid="{9C817089-D24E-491D-8017-5FD368616872}"/>
    <cellStyle name="Vírgula 2 2 2 2" xfId="300" xr:uid="{798A936A-641D-4E99-82FF-8997F37E3716}"/>
    <cellStyle name="Vírgula 2 2 2 3" xfId="408" xr:uid="{2104E807-5A8A-4FC9-B7C9-6668A9AC3A2C}"/>
    <cellStyle name="Vírgula 2 3" xfId="217" xr:uid="{B193E38D-1BC2-4358-896F-486F5F4A3A0C}"/>
    <cellStyle name="Vírgula 2 4" xfId="139" xr:uid="{D702ECAC-C688-4BC2-ADC2-5EE3D67E4CB5}"/>
    <cellStyle name="Vírgula 2 4 2" xfId="282" xr:uid="{E9C934AB-2B0C-48B8-8FB7-555B04EB8C9D}"/>
    <cellStyle name="Vírgula 2 4 3" xfId="390" xr:uid="{54BE5D22-6DA9-44CC-BDF0-4B68DE92E330}"/>
    <cellStyle name="Vírgula 2 5" xfId="231" xr:uid="{998A1FF6-B8C6-4F2B-870D-7AB60681BCB0}"/>
    <cellStyle name="Vírgula 2 6" xfId="339" xr:uid="{FC1A7443-3FE2-4D86-9B2C-7E6A2BDE76A0}"/>
    <cellStyle name="Vírgula 3" xfId="51" xr:uid="{3D3C28D4-55C5-4996-9D4E-FDB26E03E856}"/>
    <cellStyle name="Vírgula 3 2" xfId="112" xr:uid="{9AE0AA1A-63CC-4E4F-B024-3985D6B725FD}"/>
    <cellStyle name="Vírgula 3 2 2" xfId="193" xr:uid="{66FDD857-E5EF-42D7-8C8E-39F40AB22477}"/>
    <cellStyle name="Vírgula 3 2 2 2" xfId="321" xr:uid="{E7938181-FF3B-4A74-9B6E-C857A5194803}"/>
    <cellStyle name="Vírgula 3 2 2 3" xfId="429" xr:uid="{4953BF97-9298-44BF-B189-C76A6413E0DB}"/>
    <cellStyle name="Vírgula 3 3" xfId="150" xr:uid="{77172E7B-C146-4E06-8495-61222C4EF116}"/>
    <cellStyle name="Vírgula 3 4" xfId="118" xr:uid="{5FAFB7F5-AD0C-40F9-842F-2905A728313D}"/>
    <cellStyle name="Vírgula 3 4 2" xfId="261" xr:uid="{7FFA3502-4161-4F56-8011-E84B4CFDF5D3}"/>
    <cellStyle name="Vírgula 3 4 3" xfId="369" xr:uid="{ADF3A74A-1A0B-4C1F-91CB-382612160A8F}"/>
    <cellStyle name="Vírgula 3 5" xfId="251" xr:uid="{8EE962AA-B62B-4009-BA9A-8B5D1D9BE4D3}"/>
    <cellStyle name="Vírgula 3 6" xfId="359" xr:uid="{47B68D42-FB9A-4A0E-A3AD-6A72FDA6B654}"/>
    <cellStyle name="Vírgula 4" xfId="57" xr:uid="{08EACC05-854B-44B1-8D1A-391ABB71BE54}"/>
    <cellStyle name="Vírgula 4 2" xfId="191" xr:uid="{D59B2071-D331-4E2F-BB7B-4CAB062E315D}"/>
    <cellStyle name="Vírgula 4 2 2" xfId="319" xr:uid="{228AF0F4-1224-4265-8CAA-839D2CD206BC}"/>
    <cellStyle name="Vírgula 4 2 3" xfId="427" xr:uid="{F6759479-8819-4D3C-B34D-1290C8A9AE82}"/>
    <cellStyle name="Vírgula 5" xfId="203" xr:uid="{77DEBC33-25A1-4424-99EF-AF0544350F3D}"/>
    <cellStyle name="Vírgula 6" xfId="120" xr:uid="{23EFC779-FF83-41EC-A723-F0021C69D4BA}"/>
    <cellStyle name="Vírgula 6 2" xfId="263" xr:uid="{6DF5D3A4-AF4A-41FC-B161-99B1897D7559}"/>
    <cellStyle name="Vírgula 6 3" xfId="371" xr:uid="{8955E567-8D82-49BE-9BB1-E688F00123BE}"/>
    <cellStyle name="Vírgula 7" xfId="329" xr:uid="{9E2257F7-EBA9-4D37-871E-339B385C8F9A}"/>
    <cellStyle name="Vírgula 8" xfId="437" xr:uid="{EA0FADBC-31EB-4B8B-BBD0-F124E6E5A83C}"/>
  </cellStyles>
  <dxfs count="1">
    <dxf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9" defaultPivotStyle="PivotStyleLight16"/>
  <colors>
    <mruColors>
      <color rgb="FF006600"/>
      <color rgb="FF000099"/>
      <color rgb="FFFFFF99"/>
      <color rgb="FF66FF66"/>
      <color rgb="FF003300"/>
      <color rgb="FF336600"/>
      <color rgb="FF0033CC"/>
      <color rgb="FF3366CC"/>
      <color rgb="FF66CCFF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28576</xdr:colOff>
      <xdr:row>1</xdr:row>
      <xdr:rowOff>76200</xdr:rowOff>
    </xdr:from>
    <xdr:to>
      <xdr:col>2</xdr:col>
      <xdr:colOff>847726</xdr:colOff>
      <xdr:row>1</xdr:row>
      <xdr:rowOff>685800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733801" y="133350"/>
          <a:ext cx="819150" cy="609600"/>
          <a:chOff x="4552951" y="171450"/>
          <a:chExt cx="819150" cy="609600"/>
        </a:xfrm>
      </xdr:grpSpPr>
      <xdr:sp macro="[0]!impCampina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638676" y="171450"/>
            <a:ext cx="647700" cy="609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w="25400" h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Campina"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10125" y="219075"/>
            <a:ext cx="276190" cy="285714"/>
          </a:xfrm>
          <a:prstGeom prst="rect">
            <a:avLst/>
          </a:prstGeom>
          <a:ln>
            <a:solidFill>
              <a:schemeClr val="bg1">
                <a:lumMod val="75000"/>
              </a:schemeClr>
            </a:solidFill>
          </a:ln>
        </xdr:spPr>
      </xdr:pic>
      <xdr:sp macro="[0]!impCampina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4552951" y="463083"/>
            <a:ext cx="81915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pt-BR" sz="700"/>
              <a:t>Importar Dados Campina</a:t>
            </a:r>
          </a:p>
        </xdr:txBody>
      </xdr:sp>
    </xdr:grpSp>
    <xdr:clientData/>
  </xdr:twoCellAnchor>
  <xdr:twoCellAnchor>
    <xdr:from>
      <xdr:col>3</xdr:col>
      <xdr:colOff>38100</xdr:colOff>
      <xdr:row>1</xdr:row>
      <xdr:rowOff>76200</xdr:rowOff>
    </xdr:from>
    <xdr:to>
      <xdr:col>3</xdr:col>
      <xdr:colOff>857250</xdr:colOff>
      <xdr:row>1</xdr:row>
      <xdr:rowOff>685800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752975" y="133350"/>
          <a:ext cx="819150" cy="609600"/>
          <a:chOff x="4552951" y="171450"/>
          <a:chExt cx="819150" cy="609600"/>
        </a:xfrm>
      </xdr:grpSpPr>
      <xdr:sp macro="[0]!impPesqueira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638676" y="171450"/>
            <a:ext cx="647700" cy="609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w="25400" h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Pesqueira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10125" y="219075"/>
            <a:ext cx="276190" cy="285714"/>
          </a:xfrm>
          <a:prstGeom prst="rect">
            <a:avLst/>
          </a:prstGeom>
          <a:ln>
            <a:solidFill>
              <a:schemeClr val="bg1">
                <a:lumMod val="75000"/>
              </a:schemeClr>
            </a:solidFill>
          </a:ln>
        </xdr:spPr>
      </xdr:pic>
      <xdr:sp macro="[0]!impPesqueira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4552951" y="463083"/>
            <a:ext cx="81915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pt-BR" sz="700"/>
              <a:t>Importar Dados Pesqueira</a:t>
            </a:r>
          </a:p>
        </xdr:txBody>
      </xdr:sp>
    </xdr:grpSp>
    <xdr:clientData/>
  </xdr:twoCellAnchor>
  <xdr:twoCellAnchor>
    <xdr:from>
      <xdr:col>4</xdr:col>
      <xdr:colOff>38100</xdr:colOff>
      <xdr:row>1</xdr:row>
      <xdr:rowOff>76200</xdr:rowOff>
    </xdr:from>
    <xdr:to>
      <xdr:col>4</xdr:col>
      <xdr:colOff>857250</xdr:colOff>
      <xdr:row>1</xdr:row>
      <xdr:rowOff>685800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5762625" y="133350"/>
          <a:ext cx="819150" cy="609600"/>
          <a:chOff x="4552951" y="171450"/>
          <a:chExt cx="819150" cy="609600"/>
        </a:xfrm>
      </xdr:grpSpPr>
      <xdr:sp macro="[0]!impRecife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638676" y="171450"/>
            <a:ext cx="647700" cy="609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w="25400" h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Recife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10125" y="219075"/>
            <a:ext cx="276190" cy="285714"/>
          </a:xfrm>
          <a:prstGeom prst="rect">
            <a:avLst/>
          </a:prstGeom>
          <a:ln>
            <a:solidFill>
              <a:schemeClr val="bg1">
                <a:lumMod val="75000"/>
              </a:schemeClr>
            </a:solidFill>
          </a:ln>
        </xdr:spPr>
      </xdr:pic>
      <xdr:sp macro="[0]!impRecife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4552951" y="463083"/>
            <a:ext cx="81915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pt-BR" sz="700"/>
              <a:t>Importar Dados Recife</a:t>
            </a:r>
          </a:p>
        </xdr:txBody>
      </xdr:sp>
    </xdr:grpSp>
    <xdr:clientData/>
  </xdr:twoCellAnchor>
  <xdr:twoCellAnchor>
    <xdr:from>
      <xdr:col>5</xdr:col>
      <xdr:colOff>47624</xdr:colOff>
      <xdr:row>1</xdr:row>
      <xdr:rowOff>76200</xdr:rowOff>
    </xdr:from>
    <xdr:to>
      <xdr:col>5</xdr:col>
      <xdr:colOff>866774</xdr:colOff>
      <xdr:row>1</xdr:row>
      <xdr:rowOff>685800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781799" y="133350"/>
          <a:ext cx="819150" cy="609600"/>
          <a:chOff x="4552951" y="171450"/>
          <a:chExt cx="819150" cy="609600"/>
        </a:xfrm>
      </xdr:grpSpPr>
      <xdr:sp macro="[0]!impNatal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4638676" y="171450"/>
            <a:ext cx="647700" cy="609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w="25400" h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Natal">
        <xdr:nvPicPr>
          <xdr:cNvPr id="17" name="Imagem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10125" y="219075"/>
            <a:ext cx="276190" cy="285714"/>
          </a:xfrm>
          <a:prstGeom prst="rect">
            <a:avLst/>
          </a:prstGeom>
          <a:ln>
            <a:solidFill>
              <a:schemeClr val="bg1">
                <a:lumMod val="75000"/>
              </a:schemeClr>
            </a:solidFill>
          </a:ln>
        </xdr:spPr>
      </xdr:pic>
      <xdr:sp macro="[0]!impNatal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552951" y="463083"/>
            <a:ext cx="81915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pt-BR" sz="700"/>
              <a:t>Importar Dados Natal</a:t>
            </a:r>
          </a:p>
        </xdr:txBody>
      </xdr:sp>
    </xdr:grpSp>
    <xdr:clientData/>
  </xdr:twoCellAnchor>
  <xdr:twoCellAnchor>
    <xdr:from>
      <xdr:col>6</xdr:col>
      <xdr:colOff>771527</xdr:colOff>
      <xdr:row>1</xdr:row>
      <xdr:rowOff>133351</xdr:rowOff>
    </xdr:from>
    <xdr:to>
      <xdr:col>9</xdr:col>
      <xdr:colOff>9526</xdr:colOff>
      <xdr:row>1</xdr:row>
      <xdr:rowOff>733425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1B0F7C5E-EFBB-408B-80F6-A45D9547D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67677" y="190501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800100</xdr:colOff>
      <xdr:row>1</xdr:row>
      <xdr:rowOff>123825</xdr:rowOff>
    </xdr:from>
    <xdr:to>
      <xdr:col>8</xdr:col>
      <xdr:colOff>857249</xdr:colOff>
      <xdr:row>1</xdr:row>
      <xdr:rowOff>723899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399898B-757E-4FD8-9EB3-D62245761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1809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704850</xdr:colOff>
      <xdr:row>1</xdr:row>
      <xdr:rowOff>152400</xdr:rowOff>
    </xdr:from>
    <xdr:to>
      <xdr:col>8</xdr:col>
      <xdr:colOff>761999</xdr:colOff>
      <xdr:row>1</xdr:row>
      <xdr:rowOff>752474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9FEB537-72ED-4775-A777-5E5B8977C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2095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</xdr:row>
      <xdr:rowOff>171450</xdr:rowOff>
    </xdr:from>
    <xdr:to>
      <xdr:col>8</xdr:col>
      <xdr:colOff>781049</xdr:colOff>
      <xdr:row>2</xdr:row>
      <xdr:rowOff>19049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031D2BB-9B49-4783-B984-0DE8BB555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2286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1</xdr:row>
      <xdr:rowOff>200025</xdr:rowOff>
    </xdr:from>
    <xdr:to>
      <xdr:col>8</xdr:col>
      <xdr:colOff>704849</xdr:colOff>
      <xdr:row>2</xdr:row>
      <xdr:rowOff>47624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E45AACB-805F-474B-BA21-111502CD5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2571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714375</xdr:colOff>
      <xdr:row>1</xdr:row>
      <xdr:rowOff>142875</xdr:rowOff>
    </xdr:from>
    <xdr:to>
      <xdr:col>8</xdr:col>
      <xdr:colOff>771524</xdr:colOff>
      <xdr:row>1</xdr:row>
      <xdr:rowOff>742949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96ABC48-1F82-489E-9FD2-8137599B0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0975" y="2000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76200</xdr:rowOff>
    </xdr:from>
    <xdr:to>
      <xdr:col>8</xdr:col>
      <xdr:colOff>809625</xdr:colOff>
      <xdr:row>1</xdr:row>
      <xdr:rowOff>676274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3D4150D-4D01-4025-8358-3F720BA48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0" y="133350"/>
          <a:ext cx="1638300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695325</xdr:colOff>
      <xdr:row>1</xdr:row>
      <xdr:rowOff>133350</xdr:rowOff>
    </xdr:from>
    <xdr:to>
      <xdr:col>8</xdr:col>
      <xdr:colOff>752474</xdr:colOff>
      <xdr:row>1</xdr:row>
      <xdr:rowOff>733424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7A5F411-42DF-4B9D-BA2B-CFE976EFA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5" y="1905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</xdr:row>
      <xdr:rowOff>190500</xdr:rowOff>
    </xdr:from>
    <xdr:to>
      <xdr:col>8</xdr:col>
      <xdr:colOff>723899</xdr:colOff>
      <xdr:row>2</xdr:row>
      <xdr:rowOff>38099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3E6157C-5A57-4C53-B3CC-1B70BE8EF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2476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1</xdr:row>
      <xdr:rowOff>142875</xdr:rowOff>
    </xdr:from>
    <xdr:to>
      <xdr:col>8</xdr:col>
      <xdr:colOff>733424</xdr:colOff>
      <xdr:row>1</xdr:row>
      <xdr:rowOff>742949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0728943-D624-4CE0-9504-A3D2D04BC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2000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609600</xdr:colOff>
      <xdr:row>1</xdr:row>
      <xdr:rowOff>123825</xdr:rowOff>
    </xdr:from>
    <xdr:to>
      <xdr:col>8</xdr:col>
      <xdr:colOff>666749</xdr:colOff>
      <xdr:row>1</xdr:row>
      <xdr:rowOff>723899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75E507F-2FA6-4976-8150-DDE984F5D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6200" y="1809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762000</xdr:colOff>
      <xdr:row>1</xdr:row>
      <xdr:rowOff>152400</xdr:rowOff>
    </xdr:from>
    <xdr:to>
      <xdr:col>8</xdr:col>
      <xdr:colOff>819149</xdr:colOff>
      <xdr:row>1</xdr:row>
      <xdr:rowOff>752474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3C34677-1F62-4CE5-A31D-66FCE0974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0" y="2095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161925</xdr:rowOff>
    </xdr:from>
    <xdr:to>
      <xdr:col>8</xdr:col>
      <xdr:colOff>647699</xdr:colOff>
      <xdr:row>2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F5FCAE2-2647-480A-AE6A-65DB443BE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2190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1</xdr:row>
      <xdr:rowOff>171450</xdr:rowOff>
    </xdr:from>
    <xdr:to>
      <xdr:col>8</xdr:col>
      <xdr:colOff>695324</xdr:colOff>
      <xdr:row>2</xdr:row>
      <xdr:rowOff>19049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B28883-463A-467E-8611-BE3437769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2286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1</xdr:row>
      <xdr:rowOff>161925</xdr:rowOff>
    </xdr:from>
    <xdr:to>
      <xdr:col>8</xdr:col>
      <xdr:colOff>638174</xdr:colOff>
      <xdr:row>2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9EAE56-45F2-42AA-907F-D844790ECA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67625" y="2190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142875</xdr:rowOff>
    </xdr:from>
    <xdr:to>
      <xdr:col>8</xdr:col>
      <xdr:colOff>838199</xdr:colOff>
      <xdr:row>1</xdr:row>
      <xdr:rowOff>742949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FC5A52F-19E0-4761-8A29-E9F8551BE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2000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704850</xdr:colOff>
      <xdr:row>1</xdr:row>
      <xdr:rowOff>180975</xdr:rowOff>
    </xdr:from>
    <xdr:to>
      <xdr:col>8</xdr:col>
      <xdr:colOff>761999</xdr:colOff>
      <xdr:row>2</xdr:row>
      <xdr:rowOff>28574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193057B-D486-41CA-B372-3BD6C6951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2381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838200</xdr:colOff>
      <xdr:row>1</xdr:row>
      <xdr:rowOff>161925</xdr:rowOff>
    </xdr:from>
    <xdr:to>
      <xdr:col>9</xdr:col>
      <xdr:colOff>28574</xdr:colOff>
      <xdr:row>2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695CE90-C3D7-4E4E-BD44-5A4C495AE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2190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714375</xdr:colOff>
      <xdr:row>1</xdr:row>
      <xdr:rowOff>152400</xdr:rowOff>
    </xdr:from>
    <xdr:to>
      <xdr:col>8</xdr:col>
      <xdr:colOff>771524</xdr:colOff>
      <xdr:row>1</xdr:row>
      <xdr:rowOff>752474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70B763-C46C-4131-82FF-D12EE37F9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7225" y="2095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1</xdr:row>
      <xdr:rowOff>200025</xdr:rowOff>
    </xdr:from>
    <xdr:to>
      <xdr:col>8</xdr:col>
      <xdr:colOff>638174</xdr:colOff>
      <xdr:row>2</xdr:row>
      <xdr:rowOff>47624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8AE01BD-956D-4308-9CF2-727D11025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67625" y="2571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704850</xdr:colOff>
      <xdr:row>1</xdr:row>
      <xdr:rowOff>152400</xdr:rowOff>
    </xdr:from>
    <xdr:to>
      <xdr:col>8</xdr:col>
      <xdr:colOff>761999</xdr:colOff>
      <xdr:row>1</xdr:row>
      <xdr:rowOff>752474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A53DFF8-8A71-487A-9022-9B1D356AC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2095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1</xdr:row>
      <xdr:rowOff>171450</xdr:rowOff>
    </xdr:from>
    <xdr:to>
      <xdr:col>8</xdr:col>
      <xdr:colOff>695324</xdr:colOff>
      <xdr:row>2</xdr:row>
      <xdr:rowOff>19049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7D8C510-AA77-492C-A33B-8EE7E3476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2286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668655</xdr:colOff>
      <xdr:row>1</xdr:row>
      <xdr:rowOff>179070</xdr:rowOff>
    </xdr:from>
    <xdr:to>
      <xdr:col>8</xdr:col>
      <xdr:colOff>725804</xdr:colOff>
      <xdr:row>2</xdr:row>
      <xdr:rowOff>26669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C8B7A8B-DF5E-65C9-471F-D08BA18CE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8135" y="232410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1</xdr:row>
      <xdr:rowOff>104775</xdr:rowOff>
    </xdr:from>
    <xdr:to>
      <xdr:col>8</xdr:col>
      <xdr:colOff>742949</xdr:colOff>
      <xdr:row>1</xdr:row>
      <xdr:rowOff>704849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70CE49A-2ED1-432D-855E-AE5F2D0DF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1619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1</xdr:row>
      <xdr:rowOff>190500</xdr:rowOff>
    </xdr:from>
    <xdr:to>
      <xdr:col>8</xdr:col>
      <xdr:colOff>828674</xdr:colOff>
      <xdr:row>2</xdr:row>
      <xdr:rowOff>38099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5EC236C-A328-4BDD-8D43-F4AC4317D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2476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790575</xdr:colOff>
      <xdr:row>1</xdr:row>
      <xdr:rowOff>190500</xdr:rowOff>
    </xdr:from>
    <xdr:to>
      <xdr:col>8</xdr:col>
      <xdr:colOff>847724</xdr:colOff>
      <xdr:row>2</xdr:row>
      <xdr:rowOff>38099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F5AFCF5-8AC3-45A9-9000-BDFD29A07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7175" y="2476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</xdr:row>
      <xdr:rowOff>161925</xdr:rowOff>
    </xdr:from>
    <xdr:to>
      <xdr:col>8</xdr:col>
      <xdr:colOff>781049</xdr:colOff>
      <xdr:row>2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03A20C4-9CC1-47C9-ADB9-F2CCBD422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2190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1</xdr:row>
      <xdr:rowOff>161925</xdr:rowOff>
    </xdr:from>
    <xdr:to>
      <xdr:col>8</xdr:col>
      <xdr:colOff>685799</xdr:colOff>
      <xdr:row>2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0470211-F5E0-40B6-A3E2-0303B8246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0" y="2190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</xdr:row>
      <xdr:rowOff>152400</xdr:rowOff>
    </xdr:from>
    <xdr:to>
      <xdr:col>8</xdr:col>
      <xdr:colOff>781049</xdr:colOff>
      <xdr:row>1</xdr:row>
      <xdr:rowOff>752474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D91A646-509D-45BF-A5E8-91BAE2847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2095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1</xdr:row>
      <xdr:rowOff>123825</xdr:rowOff>
    </xdr:from>
    <xdr:to>
      <xdr:col>8</xdr:col>
      <xdr:colOff>800099</xdr:colOff>
      <xdr:row>1</xdr:row>
      <xdr:rowOff>723899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EC1D4B9-32E9-446F-85F4-70FA259B5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29550" y="1809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809625</xdr:colOff>
      <xdr:row>1</xdr:row>
      <xdr:rowOff>152400</xdr:rowOff>
    </xdr:from>
    <xdr:to>
      <xdr:col>8</xdr:col>
      <xdr:colOff>866774</xdr:colOff>
      <xdr:row>1</xdr:row>
      <xdr:rowOff>752474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7F0BF66-51CC-4465-8F65-2AB977BDA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6225" y="20955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</xdr:row>
      <xdr:rowOff>161925</xdr:rowOff>
    </xdr:from>
    <xdr:to>
      <xdr:col>8</xdr:col>
      <xdr:colOff>781049</xdr:colOff>
      <xdr:row>2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91D1438-E365-494C-A475-CD7A2427C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</xdr:row>
      <xdr:rowOff>171450</xdr:rowOff>
    </xdr:from>
    <xdr:to>
      <xdr:col>8</xdr:col>
      <xdr:colOff>809624</xdr:colOff>
      <xdr:row>2</xdr:row>
      <xdr:rowOff>19049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707F232-AE41-43F6-8F28-A160C20CE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325" y="2286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</xdr:row>
      <xdr:rowOff>171450</xdr:rowOff>
    </xdr:from>
    <xdr:to>
      <xdr:col>8</xdr:col>
      <xdr:colOff>809624</xdr:colOff>
      <xdr:row>2</xdr:row>
      <xdr:rowOff>19049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B05219B-8ABF-4A9C-BC35-1B3D09020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7255" y="224790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</xdr:row>
      <xdr:rowOff>171450</xdr:rowOff>
    </xdr:from>
    <xdr:to>
      <xdr:col>8</xdr:col>
      <xdr:colOff>723899</xdr:colOff>
      <xdr:row>2</xdr:row>
      <xdr:rowOff>19049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8F9EEDC-6FF0-4C52-827B-E8E422A51D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2286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695325</xdr:colOff>
      <xdr:row>1</xdr:row>
      <xdr:rowOff>200025</xdr:rowOff>
    </xdr:from>
    <xdr:to>
      <xdr:col>8</xdr:col>
      <xdr:colOff>752474</xdr:colOff>
      <xdr:row>2</xdr:row>
      <xdr:rowOff>47624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0751356-0E1F-4150-9852-B44F70E1D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5" y="25717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790575</xdr:colOff>
      <xdr:row>1</xdr:row>
      <xdr:rowOff>142875</xdr:rowOff>
    </xdr:from>
    <xdr:to>
      <xdr:col>8</xdr:col>
      <xdr:colOff>847724</xdr:colOff>
      <xdr:row>1</xdr:row>
      <xdr:rowOff>742949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1E6D51B-0FBD-494C-A7B9-785090913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7175" y="2000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1</xdr:row>
      <xdr:rowOff>95250</xdr:rowOff>
    </xdr:from>
    <xdr:to>
      <xdr:col>8</xdr:col>
      <xdr:colOff>714374</xdr:colOff>
      <xdr:row>1</xdr:row>
      <xdr:rowOff>695324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A7B2358-ABD8-458A-A10A-0C66FD576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3825" y="1524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1</xdr:row>
      <xdr:rowOff>142875</xdr:rowOff>
    </xdr:from>
    <xdr:to>
      <xdr:col>8</xdr:col>
      <xdr:colOff>742949</xdr:colOff>
      <xdr:row>1</xdr:row>
      <xdr:rowOff>742949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0098646-AE8C-4D74-86C7-859A10F01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2000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133350</xdr:rowOff>
    </xdr:from>
    <xdr:to>
      <xdr:col>8</xdr:col>
      <xdr:colOff>647699</xdr:colOff>
      <xdr:row>1</xdr:row>
      <xdr:rowOff>733424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474A7C5-3A26-4E98-A2B6-464548E2B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90500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605790</xdr:colOff>
      <xdr:row>1</xdr:row>
      <xdr:rowOff>163830</xdr:rowOff>
    </xdr:from>
    <xdr:to>
      <xdr:col>8</xdr:col>
      <xdr:colOff>662939</xdr:colOff>
      <xdr:row>2</xdr:row>
      <xdr:rowOff>17144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FEAFAEB-7037-8415-50B5-4D6A8F5A7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2870" y="217170"/>
          <a:ext cx="2000249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180975</xdr:rowOff>
    </xdr:from>
    <xdr:to>
      <xdr:col>8</xdr:col>
      <xdr:colOff>838199</xdr:colOff>
      <xdr:row>2</xdr:row>
      <xdr:rowOff>28574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16572B4-40C4-4FE0-BEBC-6B8FA57BA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530" y="234315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180975</xdr:rowOff>
    </xdr:from>
    <xdr:to>
      <xdr:col>8</xdr:col>
      <xdr:colOff>838199</xdr:colOff>
      <xdr:row>2</xdr:row>
      <xdr:rowOff>28574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68E04D0-642C-42B2-A35F-5FA4C1F58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238125"/>
          <a:ext cx="1952624" cy="600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180975</xdr:rowOff>
    </xdr:from>
    <xdr:to>
      <xdr:col>8</xdr:col>
      <xdr:colOff>838199</xdr:colOff>
      <xdr:row>2</xdr:row>
      <xdr:rowOff>28574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81BBB09-986F-4DE0-A1C3-8F6E97536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530" y="234315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180975</xdr:rowOff>
    </xdr:from>
    <xdr:to>
      <xdr:col>8</xdr:col>
      <xdr:colOff>838199</xdr:colOff>
      <xdr:row>2</xdr:row>
      <xdr:rowOff>28574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B552D01-0216-4374-B3DE-1BB776467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530" y="234315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180975</xdr:rowOff>
    </xdr:from>
    <xdr:to>
      <xdr:col>8</xdr:col>
      <xdr:colOff>838199</xdr:colOff>
      <xdr:row>2</xdr:row>
      <xdr:rowOff>28574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9C42D08-DAF0-4C5E-94B9-74FEBA148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530" y="234315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180975</xdr:rowOff>
    </xdr:from>
    <xdr:to>
      <xdr:col>8</xdr:col>
      <xdr:colOff>838199</xdr:colOff>
      <xdr:row>2</xdr:row>
      <xdr:rowOff>28574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4884F04-E0CF-48AB-880C-80BD86D42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530" y="234315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849630</xdr:colOff>
      <xdr:row>1</xdr:row>
      <xdr:rowOff>66675</xdr:rowOff>
    </xdr:from>
    <xdr:to>
      <xdr:col>9</xdr:col>
      <xdr:colOff>15239</xdr:colOff>
      <xdr:row>1</xdr:row>
      <xdr:rowOff>661034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45D8A32-88FE-4700-8BB0-2282B47C3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110" y="120015"/>
          <a:ext cx="2000249" cy="5943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  <pageSetUpPr fitToPage="1"/>
  </sheetPr>
  <dimension ref="B1:S469"/>
  <sheetViews>
    <sheetView zoomScale="106" zoomScaleNormal="106" workbookViewId="0">
      <pane ySplit="5" topLeftCell="A54" activePane="bottomLeft" state="frozen"/>
      <selection pane="bottomLeft" activeCell="D6" sqref="D6:D60"/>
    </sheetView>
  </sheetViews>
  <sheetFormatPr defaultColWidth="9.140625" defaultRowHeight="15.75"/>
  <cols>
    <col min="1" max="1" width="0.5703125" style="1" customWidth="1"/>
    <col min="2" max="2" width="55" style="3" customWidth="1"/>
    <col min="3" max="6" width="15.140625" style="15" bestFit="1" customWidth="1"/>
    <col min="7" max="7" width="16.5703125" style="5" bestFit="1" customWidth="1"/>
    <col min="8" max="8" width="16.7109375" style="1" bestFit="1" customWidth="1"/>
    <col min="9" max="9" width="14.85546875" style="1" bestFit="1" customWidth="1"/>
    <col min="10" max="11" width="9.140625" style="9" customWidth="1"/>
    <col min="12" max="12" width="14.42578125" style="6" hidden="1" customWidth="1"/>
    <col min="13" max="13" width="13.85546875" style="6" bestFit="1" customWidth="1"/>
    <col min="14" max="17" width="9.140625" style="1" hidden="1" customWidth="1"/>
    <col min="18" max="18" width="16.42578125" style="1" hidden="1" customWidth="1"/>
    <col min="19" max="19" width="16.7109375" style="1" hidden="1" customWidth="1"/>
    <col min="20" max="16384" width="9.140625" style="1"/>
  </cols>
  <sheetData>
    <row r="1" spans="2:19" ht="4.5" customHeight="1">
      <c r="B1" s="1"/>
      <c r="C1" s="1"/>
      <c r="D1" s="1"/>
      <c r="E1" s="1"/>
      <c r="F1" s="1"/>
      <c r="G1" s="1"/>
      <c r="J1" s="1"/>
      <c r="K1" s="1"/>
      <c r="L1" s="1"/>
      <c r="M1" s="1"/>
    </row>
    <row r="2" spans="2:19" ht="59.25" customHeight="1">
      <c r="B2" s="63" t="s">
        <v>14</v>
      </c>
      <c r="C2" s="1"/>
      <c r="D2" s="1"/>
      <c r="E2" s="1"/>
      <c r="F2" s="1"/>
      <c r="G2" s="1"/>
      <c r="J2" s="1"/>
      <c r="K2" s="1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44">
        <v>44166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8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18" t="s">
        <v>428</v>
      </c>
      <c r="C6" s="94">
        <v>12</v>
      </c>
      <c r="D6" s="94"/>
      <c r="E6" s="570"/>
      <c r="F6" s="95">
        <v>24</v>
      </c>
      <c r="G6" s="96">
        <v>120</v>
      </c>
      <c r="H6" s="23">
        <f>SUM(C6:G6)</f>
        <v>156</v>
      </c>
      <c r="I6" s="464">
        <f>(L6-(L6*J6))</f>
        <v>22.97</v>
      </c>
      <c r="J6" s="16"/>
      <c r="K6" s="17"/>
      <c r="L6">
        <v>22.97</v>
      </c>
      <c r="M6" s="121"/>
      <c r="N6" s="25">
        <f t="shared" ref="N6:N37" si="0">I6*C6</f>
        <v>275.64</v>
      </c>
      <c r="O6" s="25">
        <f t="shared" ref="O6:O37" si="1">I6*D6</f>
        <v>0</v>
      </c>
      <c r="P6" s="25">
        <f t="shared" ref="P6:P37" si="2">I6*E6</f>
        <v>0</v>
      </c>
      <c r="Q6" s="26">
        <f t="shared" ref="Q6:Q37" si="3">I6*F6</f>
        <v>551.28</v>
      </c>
      <c r="R6" s="27">
        <f t="shared" ref="R6:R37" si="4">I6*G6</f>
        <v>2756.3999999999996</v>
      </c>
      <c r="S6" s="28">
        <f>SUM(N6:R6)</f>
        <v>3583.3199999999997</v>
      </c>
    </row>
    <row r="7" spans="2:19">
      <c r="B7" s="418" t="s">
        <v>429</v>
      </c>
      <c r="C7" s="94">
        <v>24</v>
      </c>
      <c r="D7" s="94"/>
      <c r="E7" s="570">
        <v>48</v>
      </c>
      <c r="F7" s="95">
        <v>48</v>
      </c>
      <c r="G7" s="96"/>
      <c r="H7" s="23">
        <f t="shared" ref="H7:H60" si="5">SUM(C7:G7)</f>
        <v>120</v>
      </c>
      <c r="I7" s="464">
        <f t="shared" ref="I7:I60" si="6">(L7-(L7*J7))</f>
        <v>39.950000000000003</v>
      </c>
      <c r="J7" s="16"/>
      <c r="K7" s="17"/>
      <c r="L7">
        <v>39.950000000000003</v>
      </c>
      <c r="M7" s="121"/>
      <c r="N7" s="25">
        <f t="shared" si="0"/>
        <v>958.80000000000007</v>
      </c>
      <c r="O7" s="25">
        <f t="shared" si="1"/>
        <v>0</v>
      </c>
      <c r="P7" s="25">
        <f t="shared" si="2"/>
        <v>1917.6000000000001</v>
      </c>
      <c r="Q7" s="26">
        <f t="shared" si="3"/>
        <v>1917.6000000000001</v>
      </c>
      <c r="R7" s="27">
        <f t="shared" si="4"/>
        <v>0</v>
      </c>
      <c r="S7" s="28">
        <f t="shared" ref="S7:S60" si="7">SUM(N7:R7)</f>
        <v>4794</v>
      </c>
    </row>
    <row r="8" spans="2:19">
      <c r="B8" s="418" t="s">
        <v>430</v>
      </c>
      <c r="C8" s="94">
        <v>24</v>
      </c>
      <c r="D8" s="94"/>
      <c r="E8" s="570">
        <v>36</v>
      </c>
      <c r="F8" s="95">
        <v>48</v>
      </c>
      <c r="G8" s="96"/>
      <c r="H8" s="23">
        <f t="shared" si="5"/>
        <v>108</v>
      </c>
      <c r="I8" s="464">
        <f t="shared" si="6"/>
        <v>12.84</v>
      </c>
      <c r="J8" s="16"/>
      <c r="K8" s="17"/>
      <c r="L8">
        <v>12.84</v>
      </c>
      <c r="M8" s="121"/>
      <c r="N8" s="25">
        <f t="shared" si="0"/>
        <v>308.15999999999997</v>
      </c>
      <c r="O8" s="25">
        <f t="shared" si="1"/>
        <v>0</v>
      </c>
      <c r="P8" s="25">
        <f t="shared" si="2"/>
        <v>462.24</v>
      </c>
      <c r="Q8" s="26">
        <f t="shared" si="3"/>
        <v>616.31999999999994</v>
      </c>
      <c r="R8" s="27">
        <f t="shared" si="4"/>
        <v>0</v>
      </c>
      <c r="S8" s="28">
        <f t="shared" si="7"/>
        <v>1386.7199999999998</v>
      </c>
    </row>
    <row r="9" spans="2:19">
      <c r="B9" s="418" t="s">
        <v>1334</v>
      </c>
      <c r="C9" s="94">
        <v>360</v>
      </c>
      <c r="D9" s="94">
        <v>480</v>
      </c>
      <c r="E9" s="570"/>
      <c r="F9" s="95"/>
      <c r="G9" s="96"/>
      <c r="H9" s="23">
        <f t="shared" si="5"/>
        <v>840</v>
      </c>
      <c r="I9" s="464">
        <f t="shared" si="6"/>
        <v>9.0510033333333322</v>
      </c>
      <c r="J9" s="16">
        <v>0.11</v>
      </c>
      <c r="K9" s="17"/>
      <c r="L9">
        <v>10.169666666666666</v>
      </c>
      <c r="M9" s="121"/>
      <c r="N9" s="25">
        <f t="shared" si="0"/>
        <v>3258.3611999999994</v>
      </c>
      <c r="O9" s="25">
        <f t="shared" si="1"/>
        <v>4344.4815999999992</v>
      </c>
      <c r="P9" s="25">
        <f t="shared" si="2"/>
        <v>0</v>
      </c>
      <c r="Q9" s="26">
        <f t="shared" si="3"/>
        <v>0</v>
      </c>
      <c r="R9" s="27">
        <f t="shared" si="4"/>
        <v>0</v>
      </c>
      <c r="S9" s="28">
        <f t="shared" si="7"/>
        <v>7602.8427999999985</v>
      </c>
    </row>
    <row r="10" spans="2:19">
      <c r="B10" s="418" t="s">
        <v>1335</v>
      </c>
      <c r="C10" s="94">
        <v>240</v>
      </c>
      <c r="D10" s="94"/>
      <c r="E10" s="570"/>
      <c r="F10" s="95"/>
      <c r="G10" s="96"/>
      <c r="H10" s="23">
        <f t="shared" si="5"/>
        <v>240</v>
      </c>
      <c r="I10" s="464">
        <f t="shared" si="6"/>
        <v>15.956249999999999</v>
      </c>
      <c r="J10" s="16"/>
      <c r="K10" s="17"/>
      <c r="L10">
        <v>15.956249999999999</v>
      </c>
      <c r="M10" s="121"/>
      <c r="N10" s="25">
        <f t="shared" si="0"/>
        <v>3829.4999999999995</v>
      </c>
      <c r="O10" s="25">
        <f t="shared" si="1"/>
        <v>0</v>
      </c>
      <c r="P10" s="25">
        <f t="shared" si="2"/>
        <v>0</v>
      </c>
      <c r="Q10" s="26">
        <f t="shared" si="3"/>
        <v>0</v>
      </c>
      <c r="R10" s="27">
        <f t="shared" si="4"/>
        <v>0</v>
      </c>
      <c r="S10" s="28">
        <f t="shared" si="7"/>
        <v>3829.4999999999995</v>
      </c>
    </row>
    <row r="11" spans="2:19">
      <c r="B11" s="418" t="s">
        <v>1321</v>
      </c>
      <c r="C11" s="94"/>
      <c r="D11" s="94"/>
      <c r="E11" s="570"/>
      <c r="F11" s="95"/>
      <c r="G11" s="96"/>
      <c r="H11" s="23">
        <f t="shared" si="5"/>
        <v>0</v>
      </c>
      <c r="I11" s="464">
        <f t="shared" si="6"/>
        <v>19.68</v>
      </c>
      <c r="J11" s="16"/>
      <c r="K11" s="17"/>
      <c r="L11">
        <v>19.68</v>
      </c>
      <c r="M11" s="121"/>
      <c r="N11" s="25">
        <f t="shared" si="0"/>
        <v>0</v>
      </c>
      <c r="O11" s="25">
        <f t="shared" si="1"/>
        <v>0</v>
      </c>
      <c r="P11" s="25">
        <f t="shared" si="2"/>
        <v>0</v>
      </c>
      <c r="Q11" s="26">
        <f t="shared" si="3"/>
        <v>0</v>
      </c>
      <c r="R11" s="27">
        <f t="shared" si="4"/>
        <v>0</v>
      </c>
      <c r="S11" s="28">
        <f t="shared" si="7"/>
        <v>0</v>
      </c>
    </row>
    <row r="12" spans="2:19">
      <c r="B12" s="418" t="s">
        <v>55</v>
      </c>
      <c r="C12" s="94">
        <v>300</v>
      </c>
      <c r="D12" s="94"/>
      <c r="E12" s="570">
        <v>320</v>
      </c>
      <c r="F12" s="95">
        <v>200</v>
      </c>
      <c r="G12" s="96"/>
      <c r="H12" s="23">
        <f t="shared" si="5"/>
        <v>820</v>
      </c>
      <c r="I12" s="464">
        <f t="shared" si="6"/>
        <v>35.130000000000003</v>
      </c>
      <c r="J12" s="16"/>
      <c r="K12" s="17"/>
      <c r="L12">
        <v>35.130000000000003</v>
      </c>
      <c r="M12" s="121"/>
      <c r="N12" s="25">
        <f t="shared" si="0"/>
        <v>10539</v>
      </c>
      <c r="O12" s="25">
        <f t="shared" si="1"/>
        <v>0</v>
      </c>
      <c r="P12" s="25">
        <f t="shared" si="2"/>
        <v>11241.6</v>
      </c>
      <c r="Q12" s="26">
        <f t="shared" si="3"/>
        <v>7026.0000000000009</v>
      </c>
      <c r="R12" s="27">
        <f t="shared" si="4"/>
        <v>0</v>
      </c>
      <c r="S12" s="28">
        <f t="shared" si="7"/>
        <v>28806.6</v>
      </c>
    </row>
    <row r="13" spans="2:19">
      <c r="B13" s="418" t="s">
        <v>440</v>
      </c>
      <c r="C13" s="94"/>
      <c r="D13" s="94"/>
      <c r="E13" s="570"/>
      <c r="F13" s="95"/>
      <c r="G13" s="96"/>
      <c r="H13" s="23">
        <f t="shared" si="5"/>
        <v>0</v>
      </c>
      <c r="I13" s="464">
        <f t="shared" si="6"/>
        <v>17.28</v>
      </c>
      <c r="J13" s="16"/>
      <c r="K13" s="17"/>
      <c r="L13">
        <v>17.28</v>
      </c>
      <c r="M13" s="121"/>
      <c r="N13" s="25">
        <f t="shared" si="0"/>
        <v>0</v>
      </c>
      <c r="O13" s="25">
        <f t="shared" si="1"/>
        <v>0</v>
      </c>
      <c r="P13" s="25">
        <f t="shared" si="2"/>
        <v>0</v>
      </c>
      <c r="Q13" s="26">
        <f t="shared" si="3"/>
        <v>0</v>
      </c>
      <c r="R13" s="27">
        <f t="shared" si="4"/>
        <v>0</v>
      </c>
      <c r="S13" s="28">
        <f t="shared" si="7"/>
        <v>0</v>
      </c>
    </row>
    <row r="14" spans="2:19">
      <c r="B14" s="418" t="s">
        <v>1336</v>
      </c>
      <c r="C14" s="94">
        <v>1200</v>
      </c>
      <c r="D14" s="94"/>
      <c r="E14" s="570"/>
      <c r="F14" s="95">
        <v>600</v>
      </c>
      <c r="G14" s="96">
        <v>2400</v>
      </c>
      <c r="H14" s="23">
        <f t="shared" si="5"/>
        <v>4200</v>
      </c>
      <c r="I14" s="464">
        <f t="shared" si="6"/>
        <v>9.1788666666666661</v>
      </c>
      <c r="J14" s="16">
        <v>0.11</v>
      </c>
      <c r="K14" s="17"/>
      <c r="L14">
        <v>10.313333333333333</v>
      </c>
      <c r="M14" s="121"/>
      <c r="N14" s="25">
        <f t="shared" si="0"/>
        <v>11014.64</v>
      </c>
      <c r="O14" s="25">
        <f t="shared" si="1"/>
        <v>0</v>
      </c>
      <c r="P14" s="25">
        <f t="shared" si="2"/>
        <v>0</v>
      </c>
      <c r="Q14" s="26">
        <f t="shared" si="3"/>
        <v>5507.32</v>
      </c>
      <c r="R14" s="27">
        <f t="shared" si="4"/>
        <v>22029.279999999999</v>
      </c>
      <c r="S14" s="28">
        <f t="shared" si="7"/>
        <v>38551.24</v>
      </c>
    </row>
    <row r="15" spans="2:19">
      <c r="B15" s="418" t="s">
        <v>1322</v>
      </c>
      <c r="C15" s="94"/>
      <c r="D15" s="94"/>
      <c r="E15" s="570"/>
      <c r="F15" s="95"/>
      <c r="G15" s="96"/>
      <c r="H15" s="23">
        <f t="shared" si="5"/>
        <v>0</v>
      </c>
      <c r="I15" s="464">
        <f t="shared" si="6"/>
        <v>93.96</v>
      </c>
      <c r="J15" s="16"/>
      <c r="K15" s="17"/>
      <c r="L15">
        <v>93.96</v>
      </c>
      <c r="M15" s="121"/>
      <c r="N15" s="25">
        <f t="shared" si="0"/>
        <v>0</v>
      </c>
      <c r="O15" s="25">
        <f t="shared" si="1"/>
        <v>0</v>
      </c>
      <c r="P15" s="25">
        <f t="shared" si="2"/>
        <v>0</v>
      </c>
      <c r="Q15" s="26">
        <f t="shared" si="3"/>
        <v>0</v>
      </c>
      <c r="R15" s="27">
        <f t="shared" si="4"/>
        <v>0</v>
      </c>
      <c r="S15" s="28">
        <f t="shared" si="7"/>
        <v>0</v>
      </c>
    </row>
    <row r="16" spans="2:19">
      <c r="B16" s="418" t="s">
        <v>1323</v>
      </c>
      <c r="C16" s="94"/>
      <c r="D16" s="94"/>
      <c r="E16" s="570"/>
      <c r="F16" s="95"/>
      <c r="G16" s="96"/>
      <c r="H16" s="23">
        <f t="shared" si="5"/>
        <v>0</v>
      </c>
      <c r="I16" s="464">
        <f t="shared" si="6"/>
        <v>63.75</v>
      </c>
      <c r="J16" s="16"/>
      <c r="K16" s="17"/>
      <c r="L16">
        <v>63.75</v>
      </c>
      <c r="M16" s="121"/>
      <c r="N16" s="25">
        <f t="shared" si="0"/>
        <v>0</v>
      </c>
      <c r="O16" s="25">
        <f t="shared" si="1"/>
        <v>0</v>
      </c>
      <c r="P16" s="25">
        <f t="shared" si="2"/>
        <v>0</v>
      </c>
      <c r="Q16" s="26">
        <f t="shared" si="3"/>
        <v>0</v>
      </c>
      <c r="R16" s="27">
        <f t="shared" si="4"/>
        <v>0</v>
      </c>
      <c r="S16" s="28">
        <f t="shared" si="7"/>
        <v>0</v>
      </c>
    </row>
    <row r="17" spans="2:19">
      <c r="B17" s="418" t="s">
        <v>859</v>
      </c>
      <c r="C17" s="94"/>
      <c r="D17" s="94"/>
      <c r="E17" s="570"/>
      <c r="F17" s="95"/>
      <c r="G17" s="96"/>
      <c r="H17" s="23">
        <f t="shared" si="5"/>
        <v>0</v>
      </c>
      <c r="I17" s="464">
        <f t="shared" si="6"/>
        <v>38.92</v>
      </c>
      <c r="J17" s="16"/>
      <c r="K17" s="17"/>
      <c r="L17">
        <v>38.92</v>
      </c>
      <c r="M17" s="121"/>
      <c r="N17" s="25">
        <f t="shared" si="0"/>
        <v>0</v>
      </c>
      <c r="O17" s="25">
        <f t="shared" si="1"/>
        <v>0</v>
      </c>
      <c r="P17" s="25">
        <f t="shared" si="2"/>
        <v>0</v>
      </c>
      <c r="Q17" s="26">
        <f t="shared" si="3"/>
        <v>0</v>
      </c>
      <c r="R17" s="27">
        <f t="shared" si="4"/>
        <v>0</v>
      </c>
      <c r="S17" s="28">
        <f t="shared" si="7"/>
        <v>0</v>
      </c>
    </row>
    <row r="18" spans="2:19">
      <c r="B18" s="418" t="s">
        <v>56</v>
      </c>
      <c r="C18" s="94"/>
      <c r="D18" s="94"/>
      <c r="E18" s="570"/>
      <c r="F18" s="95"/>
      <c r="G18" s="96"/>
      <c r="H18" s="23">
        <f t="shared" si="5"/>
        <v>0</v>
      </c>
      <c r="I18" s="464">
        <f t="shared" si="6"/>
        <v>239.07</v>
      </c>
      <c r="J18" s="16"/>
      <c r="K18" s="17"/>
      <c r="L18">
        <v>239.07</v>
      </c>
      <c r="M18" s="121"/>
      <c r="N18" s="25">
        <f t="shared" si="0"/>
        <v>0</v>
      </c>
      <c r="O18" s="25">
        <f t="shared" si="1"/>
        <v>0</v>
      </c>
      <c r="P18" s="25">
        <f t="shared" si="2"/>
        <v>0</v>
      </c>
      <c r="Q18" s="26">
        <f t="shared" si="3"/>
        <v>0</v>
      </c>
      <c r="R18" s="27">
        <f t="shared" si="4"/>
        <v>0</v>
      </c>
      <c r="S18" s="28">
        <f t="shared" si="7"/>
        <v>0</v>
      </c>
    </row>
    <row r="19" spans="2:19">
      <c r="B19" s="418" t="s">
        <v>431</v>
      </c>
      <c r="C19" s="94"/>
      <c r="D19" s="94"/>
      <c r="E19" s="570"/>
      <c r="F19" s="95"/>
      <c r="G19" s="96"/>
      <c r="H19" s="23">
        <f t="shared" si="5"/>
        <v>0</v>
      </c>
      <c r="I19" s="464">
        <f t="shared" si="6"/>
        <v>197.86</v>
      </c>
      <c r="J19" s="16"/>
      <c r="K19" s="17"/>
      <c r="L19">
        <v>197.86</v>
      </c>
      <c r="M19" s="121"/>
      <c r="N19" s="25">
        <f t="shared" si="0"/>
        <v>0</v>
      </c>
      <c r="O19" s="25">
        <f t="shared" si="1"/>
        <v>0</v>
      </c>
      <c r="P19" s="25">
        <f t="shared" si="2"/>
        <v>0</v>
      </c>
      <c r="Q19" s="26">
        <f t="shared" si="3"/>
        <v>0</v>
      </c>
      <c r="R19" s="27">
        <f t="shared" si="4"/>
        <v>0</v>
      </c>
      <c r="S19" s="28">
        <f t="shared" si="7"/>
        <v>0</v>
      </c>
    </row>
    <row r="20" spans="2:19">
      <c r="B20" s="418" t="s">
        <v>1337</v>
      </c>
      <c r="C20" s="94">
        <v>12</v>
      </c>
      <c r="D20" s="94"/>
      <c r="E20" s="570"/>
      <c r="F20" s="95">
        <v>60</v>
      </c>
      <c r="G20" s="96"/>
      <c r="H20" s="23">
        <f t="shared" si="5"/>
        <v>72</v>
      </c>
      <c r="I20" s="464">
        <f t="shared" si="6"/>
        <v>120.00999999999999</v>
      </c>
      <c r="J20" s="16"/>
      <c r="K20" s="17"/>
      <c r="L20">
        <v>120.00999999999999</v>
      </c>
      <c r="M20" s="121"/>
      <c r="N20" s="25">
        <f t="shared" si="0"/>
        <v>1440.12</v>
      </c>
      <c r="O20" s="25">
        <f t="shared" si="1"/>
        <v>0</v>
      </c>
      <c r="P20" s="25">
        <f t="shared" si="2"/>
        <v>0</v>
      </c>
      <c r="Q20" s="26">
        <f t="shared" si="3"/>
        <v>7200.5999999999995</v>
      </c>
      <c r="R20" s="27">
        <f t="shared" si="4"/>
        <v>0</v>
      </c>
      <c r="S20" s="28">
        <f t="shared" si="7"/>
        <v>8640.7199999999993</v>
      </c>
    </row>
    <row r="21" spans="2:19">
      <c r="B21" s="418" t="s">
        <v>443</v>
      </c>
      <c r="C21" s="94">
        <v>360</v>
      </c>
      <c r="D21" s="94">
        <v>390</v>
      </c>
      <c r="E21" s="570"/>
      <c r="F21" s="95">
        <v>240</v>
      </c>
      <c r="G21" s="96">
        <v>120</v>
      </c>
      <c r="H21" s="23">
        <f t="shared" si="5"/>
        <v>1110</v>
      </c>
      <c r="I21" s="464">
        <f t="shared" si="6"/>
        <v>7.86</v>
      </c>
      <c r="J21" s="16"/>
      <c r="K21" s="17"/>
      <c r="L21">
        <v>7.86</v>
      </c>
      <c r="M21" s="121"/>
      <c r="N21" s="25">
        <f t="shared" si="0"/>
        <v>2829.6</v>
      </c>
      <c r="O21" s="25">
        <f t="shared" si="1"/>
        <v>3065.4</v>
      </c>
      <c r="P21" s="25">
        <f t="shared" si="2"/>
        <v>0</v>
      </c>
      <c r="Q21" s="26">
        <f t="shared" si="3"/>
        <v>1886.4</v>
      </c>
      <c r="R21" s="27">
        <f t="shared" si="4"/>
        <v>943.2</v>
      </c>
      <c r="S21" s="28">
        <f t="shared" si="7"/>
        <v>8724.6</v>
      </c>
    </row>
    <row r="22" spans="2:19">
      <c r="B22" s="418" t="s">
        <v>444</v>
      </c>
      <c r="C22" s="94">
        <v>480</v>
      </c>
      <c r="D22" s="94">
        <v>120</v>
      </c>
      <c r="E22" s="570">
        <v>144</v>
      </c>
      <c r="F22" s="95">
        <v>600</v>
      </c>
      <c r="G22" s="96">
        <v>192</v>
      </c>
      <c r="H22" s="23">
        <f t="shared" si="5"/>
        <v>1536</v>
      </c>
      <c r="I22" s="464">
        <f t="shared" si="6"/>
        <v>28.52</v>
      </c>
      <c r="J22" s="16"/>
      <c r="K22" s="17"/>
      <c r="L22">
        <v>28.52</v>
      </c>
      <c r="M22" s="121"/>
      <c r="N22" s="25">
        <f t="shared" si="0"/>
        <v>13689.6</v>
      </c>
      <c r="O22" s="25">
        <f t="shared" si="1"/>
        <v>3422.4</v>
      </c>
      <c r="P22" s="25">
        <f t="shared" si="2"/>
        <v>4106.88</v>
      </c>
      <c r="Q22" s="26">
        <f t="shared" si="3"/>
        <v>17112</v>
      </c>
      <c r="R22" s="27">
        <f t="shared" si="4"/>
        <v>5475.84</v>
      </c>
      <c r="S22" s="28">
        <f t="shared" si="7"/>
        <v>43806.720000000001</v>
      </c>
    </row>
    <row r="23" spans="2:19">
      <c r="B23" s="418" t="s">
        <v>1338</v>
      </c>
      <c r="C23" s="94">
        <v>120</v>
      </c>
      <c r="D23" s="94">
        <v>12</v>
      </c>
      <c r="E23" s="570">
        <v>1320</v>
      </c>
      <c r="F23" s="95">
        <v>360</v>
      </c>
      <c r="G23" s="96">
        <v>120</v>
      </c>
      <c r="H23" s="23">
        <f t="shared" si="5"/>
        <v>1932</v>
      </c>
      <c r="I23" s="464">
        <f t="shared" si="6"/>
        <v>25.212083333333336</v>
      </c>
      <c r="J23" s="16"/>
      <c r="K23" s="17"/>
      <c r="L23">
        <v>25.212083333333336</v>
      </c>
      <c r="M23" s="121"/>
      <c r="N23" s="25">
        <f t="shared" si="0"/>
        <v>3025.4500000000003</v>
      </c>
      <c r="O23" s="25">
        <f t="shared" si="1"/>
        <v>302.54500000000002</v>
      </c>
      <c r="P23" s="25">
        <f t="shared" si="2"/>
        <v>33279.950000000004</v>
      </c>
      <c r="Q23" s="26">
        <f t="shared" si="3"/>
        <v>9076.35</v>
      </c>
      <c r="R23" s="27">
        <f t="shared" si="4"/>
        <v>3025.4500000000003</v>
      </c>
      <c r="S23" s="28">
        <f t="shared" si="7"/>
        <v>48709.745000000003</v>
      </c>
    </row>
    <row r="24" spans="2:19">
      <c r="B24" s="418" t="s">
        <v>1324</v>
      </c>
      <c r="C24" s="94">
        <v>6</v>
      </c>
      <c r="D24" s="94"/>
      <c r="E24" s="570">
        <v>6</v>
      </c>
      <c r="F24" s="95"/>
      <c r="G24" s="96"/>
      <c r="H24" s="23">
        <f t="shared" si="5"/>
        <v>12</v>
      </c>
      <c r="I24" s="464">
        <f t="shared" si="6"/>
        <v>360.95729999999998</v>
      </c>
      <c r="J24" s="16">
        <v>0.11</v>
      </c>
      <c r="K24" s="17"/>
      <c r="L24">
        <v>405.57</v>
      </c>
      <c r="M24" s="121"/>
      <c r="N24" s="25">
        <f t="shared" si="0"/>
        <v>2165.7437999999997</v>
      </c>
      <c r="O24" s="25">
        <f t="shared" si="1"/>
        <v>0</v>
      </c>
      <c r="P24" s="25">
        <f t="shared" si="2"/>
        <v>2165.7437999999997</v>
      </c>
      <c r="Q24" s="26">
        <f t="shared" si="3"/>
        <v>0</v>
      </c>
      <c r="R24" s="27">
        <f t="shared" si="4"/>
        <v>0</v>
      </c>
      <c r="S24" s="28">
        <f t="shared" si="7"/>
        <v>4331.4875999999995</v>
      </c>
    </row>
    <row r="25" spans="2:19">
      <c r="B25" s="418" t="s">
        <v>57</v>
      </c>
      <c r="C25" s="94">
        <v>36</v>
      </c>
      <c r="D25" s="94"/>
      <c r="E25" s="570"/>
      <c r="F25" s="95">
        <v>12</v>
      </c>
      <c r="G25" s="96"/>
      <c r="H25" s="23">
        <f t="shared" si="5"/>
        <v>48</v>
      </c>
      <c r="I25" s="464">
        <f t="shared" si="6"/>
        <v>48.620699999999999</v>
      </c>
      <c r="J25" s="16">
        <v>0.11</v>
      </c>
      <c r="K25" s="17"/>
      <c r="L25">
        <v>54.63</v>
      </c>
      <c r="M25" s="121"/>
      <c r="N25" s="25">
        <f t="shared" si="0"/>
        <v>1750.3452</v>
      </c>
      <c r="O25" s="25">
        <f t="shared" si="1"/>
        <v>0</v>
      </c>
      <c r="P25" s="25">
        <f t="shared" si="2"/>
        <v>0</v>
      </c>
      <c r="Q25" s="26">
        <f t="shared" si="3"/>
        <v>583.44839999999999</v>
      </c>
      <c r="R25" s="27">
        <f t="shared" si="4"/>
        <v>0</v>
      </c>
      <c r="S25" s="28">
        <f t="shared" si="7"/>
        <v>2333.7936</v>
      </c>
    </row>
    <row r="26" spans="2:19">
      <c r="B26" s="418" t="s">
        <v>1325</v>
      </c>
      <c r="C26" s="94"/>
      <c r="D26" s="94"/>
      <c r="E26" s="570"/>
      <c r="F26" s="95"/>
      <c r="G26" s="96"/>
      <c r="H26" s="23">
        <f t="shared" si="5"/>
        <v>0</v>
      </c>
      <c r="I26" s="464">
        <f t="shared" si="6"/>
        <v>250.41</v>
      </c>
      <c r="J26" s="16"/>
      <c r="K26" s="17"/>
      <c r="L26">
        <v>250.41</v>
      </c>
      <c r="M26" s="121"/>
      <c r="N26" s="25">
        <f t="shared" si="0"/>
        <v>0</v>
      </c>
      <c r="O26" s="25">
        <f t="shared" si="1"/>
        <v>0</v>
      </c>
      <c r="P26" s="25">
        <f t="shared" si="2"/>
        <v>0</v>
      </c>
      <c r="Q26" s="26">
        <f t="shared" si="3"/>
        <v>0</v>
      </c>
      <c r="R26" s="27">
        <f t="shared" si="4"/>
        <v>0</v>
      </c>
      <c r="S26" s="28">
        <f t="shared" si="7"/>
        <v>0</v>
      </c>
    </row>
    <row r="27" spans="2:19">
      <c r="B27" s="418" t="s">
        <v>1326</v>
      </c>
      <c r="C27" s="94"/>
      <c r="D27" s="94"/>
      <c r="E27" s="570"/>
      <c r="F27" s="95"/>
      <c r="G27" s="96"/>
      <c r="H27" s="23">
        <f t="shared" si="5"/>
        <v>0</v>
      </c>
      <c r="I27" s="464">
        <f t="shared" si="6"/>
        <v>229.72</v>
      </c>
      <c r="J27" s="16"/>
      <c r="K27" s="17"/>
      <c r="L27">
        <v>229.72</v>
      </c>
      <c r="M27" s="121"/>
      <c r="N27" s="25">
        <f t="shared" si="0"/>
        <v>0</v>
      </c>
      <c r="O27" s="25">
        <f t="shared" si="1"/>
        <v>0</v>
      </c>
      <c r="P27" s="25">
        <f t="shared" si="2"/>
        <v>0</v>
      </c>
      <c r="Q27" s="26">
        <f t="shared" si="3"/>
        <v>0</v>
      </c>
      <c r="R27" s="27">
        <f t="shared" si="4"/>
        <v>0</v>
      </c>
      <c r="S27" s="28">
        <f t="shared" si="7"/>
        <v>0</v>
      </c>
    </row>
    <row r="28" spans="2:19">
      <c r="B28" s="418" t="s">
        <v>1327</v>
      </c>
      <c r="C28" s="94"/>
      <c r="D28" s="94"/>
      <c r="E28" s="570"/>
      <c r="F28" s="95"/>
      <c r="G28" s="96"/>
      <c r="H28" s="23">
        <f t="shared" si="5"/>
        <v>0</v>
      </c>
      <c r="I28" s="464">
        <f t="shared" si="6"/>
        <v>66.760000000000005</v>
      </c>
      <c r="J28" s="16"/>
      <c r="K28" s="17"/>
      <c r="L28">
        <v>66.760000000000005</v>
      </c>
      <c r="M28" s="121"/>
      <c r="N28" s="25">
        <f t="shared" si="0"/>
        <v>0</v>
      </c>
      <c r="O28" s="25">
        <f t="shared" si="1"/>
        <v>0</v>
      </c>
      <c r="P28" s="25">
        <f t="shared" si="2"/>
        <v>0</v>
      </c>
      <c r="Q28" s="26">
        <f t="shared" si="3"/>
        <v>0</v>
      </c>
      <c r="R28" s="27">
        <f t="shared" si="4"/>
        <v>0</v>
      </c>
      <c r="S28" s="28">
        <f t="shared" si="7"/>
        <v>0</v>
      </c>
    </row>
    <row r="29" spans="2:19">
      <c r="B29" s="418" t="s">
        <v>1328</v>
      </c>
      <c r="C29" s="94"/>
      <c r="D29" s="94"/>
      <c r="E29" s="570"/>
      <c r="F29" s="95"/>
      <c r="G29" s="96"/>
      <c r="H29" s="23">
        <f t="shared" si="5"/>
        <v>0</v>
      </c>
      <c r="I29" s="464">
        <f t="shared" si="6"/>
        <v>1014.28</v>
      </c>
      <c r="J29" s="16"/>
      <c r="K29" s="17"/>
      <c r="L29">
        <v>1014.28</v>
      </c>
      <c r="M29" s="121"/>
      <c r="N29" s="25">
        <f t="shared" si="0"/>
        <v>0</v>
      </c>
      <c r="O29" s="25">
        <f t="shared" si="1"/>
        <v>0</v>
      </c>
      <c r="P29" s="25">
        <f t="shared" si="2"/>
        <v>0</v>
      </c>
      <c r="Q29" s="26">
        <f t="shared" si="3"/>
        <v>0</v>
      </c>
      <c r="R29" s="27">
        <f t="shared" si="4"/>
        <v>0</v>
      </c>
      <c r="S29" s="28">
        <f t="shared" si="7"/>
        <v>0</v>
      </c>
    </row>
    <row r="30" spans="2:19">
      <c r="B30" s="418" t="s">
        <v>1339</v>
      </c>
      <c r="C30" s="94">
        <v>24</v>
      </c>
      <c r="D30" s="94">
        <v>24</v>
      </c>
      <c r="E30" s="570"/>
      <c r="F30" s="95"/>
      <c r="G30" s="96"/>
      <c r="H30" s="23">
        <f t="shared" si="5"/>
        <v>48</v>
      </c>
      <c r="I30" s="464">
        <f t="shared" si="6"/>
        <v>148.06166666666667</v>
      </c>
      <c r="J30" s="16"/>
      <c r="K30" s="17"/>
      <c r="L30">
        <v>148.06166666666667</v>
      </c>
      <c r="M30" s="121"/>
      <c r="N30" s="25">
        <f t="shared" si="0"/>
        <v>3553.48</v>
      </c>
      <c r="O30" s="25">
        <f t="shared" si="1"/>
        <v>3553.48</v>
      </c>
      <c r="P30" s="25">
        <f t="shared" si="2"/>
        <v>0</v>
      </c>
      <c r="Q30" s="26">
        <f t="shared" si="3"/>
        <v>0</v>
      </c>
      <c r="R30" s="27">
        <f t="shared" si="4"/>
        <v>0</v>
      </c>
      <c r="S30" s="28">
        <f t="shared" si="7"/>
        <v>7106.96</v>
      </c>
    </row>
    <row r="31" spans="2:19">
      <c r="B31" s="418" t="s">
        <v>432</v>
      </c>
      <c r="C31" s="94"/>
      <c r="D31" s="94"/>
      <c r="E31" s="570"/>
      <c r="F31" s="95"/>
      <c r="G31" s="96"/>
      <c r="H31" s="23">
        <f t="shared" si="5"/>
        <v>0</v>
      </c>
      <c r="I31" s="464">
        <f t="shared" si="6"/>
        <v>1660.75</v>
      </c>
      <c r="J31" s="16"/>
      <c r="K31" s="17"/>
      <c r="L31">
        <v>1660.75</v>
      </c>
      <c r="M31" s="121"/>
      <c r="N31" s="25">
        <f t="shared" si="0"/>
        <v>0</v>
      </c>
      <c r="O31" s="25">
        <f t="shared" si="1"/>
        <v>0</v>
      </c>
      <c r="P31" s="25">
        <f t="shared" si="2"/>
        <v>0</v>
      </c>
      <c r="Q31" s="26">
        <f t="shared" si="3"/>
        <v>0</v>
      </c>
      <c r="R31" s="27">
        <f t="shared" si="4"/>
        <v>0</v>
      </c>
      <c r="S31" s="28">
        <f t="shared" si="7"/>
        <v>0</v>
      </c>
    </row>
    <row r="32" spans="2:19">
      <c r="B32" s="418" t="s">
        <v>1329</v>
      </c>
      <c r="C32" s="94">
        <v>24</v>
      </c>
      <c r="D32" s="94"/>
      <c r="E32" s="570"/>
      <c r="F32" s="95"/>
      <c r="G32" s="96">
        <v>36</v>
      </c>
      <c r="H32" s="23">
        <f t="shared" si="5"/>
        <v>60</v>
      </c>
      <c r="I32" s="464">
        <f t="shared" si="6"/>
        <v>158.86000000000001</v>
      </c>
      <c r="J32" s="16"/>
      <c r="K32" s="17"/>
      <c r="L32">
        <v>158.86000000000001</v>
      </c>
      <c r="M32" s="121"/>
      <c r="N32" s="25">
        <f t="shared" si="0"/>
        <v>3812.6400000000003</v>
      </c>
      <c r="O32" s="25">
        <f t="shared" si="1"/>
        <v>0</v>
      </c>
      <c r="P32" s="25">
        <f t="shared" si="2"/>
        <v>0</v>
      </c>
      <c r="Q32" s="26">
        <f t="shared" si="3"/>
        <v>0</v>
      </c>
      <c r="R32" s="27">
        <f t="shared" si="4"/>
        <v>5718.9600000000009</v>
      </c>
      <c r="S32" s="28">
        <f t="shared" si="7"/>
        <v>9531.6000000000022</v>
      </c>
    </row>
    <row r="33" spans="2:19">
      <c r="B33" s="418" t="s">
        <v>58</v>
      </c>
      <c r="C33" s="94">
        <v>24</v>
      </c>
      <c r="D33" s="94"/>
      <c r="E33" s="570"/>
      <c r="F33" s="95"/>
      <c r="G33" s="96">
        <v>180</v>
      </c>
      <c r="H33" s="23">
        <f t="shared" si="5"/>
        <v>204</v>
      </c>
      <c r="I33" s="464">
        <f t="shared" si="6"/>
        <v>62.77</v>
      </c>
      <c r="J33" s="16"/>
      <c r="K33" s="17"/>
      <c r="L33">
        <v>62.77</v>
      </c>
      <c r="M33" s="121"/>
      <c r="N33" s="25">
        <f t="shared" si="0"/>
        <v>1506.48</v>
      </c>
      <c r="O33" s="25">
        <f t="shared" si="1"/>
        <v>0</v>
      </c>
      <c r="P33" s="25">
        <f t="shared" si="2"/>
        <v>0</v>
      </c>
      <c r="Q33" s="26">
        <f t="shared" si="3"/>
        <v>0</v>
      </c>
      <c r="R33" s="27">
        <f t="shared" si="4"/>
        <v>11298.6</v>
      </c>
      <c r="S33" s="28">
        <f t="shared" si="7"/>
        <v>12805.08</v>
      </c>
    </row>
    <row r="34" spans="2:19">
      <c r="B34" s="418" t="s">
        <v>450</v>
      </c>
      <c r="C34" s="94"/>
      <c r="D34" s="94">
        <v>90</v>
      </c>
      <c r="E34" s="570"/>
      <c r="F34" s="95"/>
      <c r="G34" s="96">
        <v>60</v>
      </c>
      <c r="H34" s="23">
        <f t="shared" si="5"/>
        <v>150</v>
      </c>
      <c r="I34" s="464">
        <f t="shared" si="6"/>
        <v>72.650700000000001</v>
      </c>
      <c r="J34" s="16">
        <v>0.11</v>
      </c>
      <c r="K34" s="17"/>
      <c r="L34">
        <v>81.63</v>
      </c>
      <c r="M34" s="121"/>
      <c r="N34" s="25">
        <f t="shared" si="0"/>
        <v>0</v>
      </c>
      <c r="O34" s="25">
        <f t="shared" si="1"/>
        <v>6538.5630000000001</v>
      </c>
      <c r="P34" s="25">
        <f t="shared" si="2"/>
        <v>0</v>
      </c>
      <c r="Q34" s="26">
        <f t="shared" si="3"/>
        <v>0</v>
      </c>
      <c r="R34" s="27">
        <f t="shared" si="4"/>
        <v>4359.0420000000004</v>
      </c>
      <c r="S34" s="28">
        <f t="shared" si="7"/>
        <v>10897.605</v>
      </c>
    </row>
    <row r="35" spans="2:19">
      <c r="B35" s="418" t="s">
        <v>1330</v>
      </c>
      <c r="C35" s="94"/>
      <c r="D35" s="94"/>
      <c r="E35" s="570"/>
      <c r="F35" s="95"/>
      <c r="G35" s="96"/>
      <c r="H35" s="23">
        <f t="shared" si="5"/>
        <v>0</v>
      </c>
      <c r="I35" s="464">
        <f t="shared" si="6"/>
        <v>207.69</v>
      </c>
      <c r="J35" s="16"/>
      <c r="K35" s="17"/>
      <c r="L35">
        <v>207.69</v>
      </c>
      <c r="M35" s="121"/>
      <c r="N35" s="25">
        <f t="shared" si="0"/>
        <v>0</v>
      </c>
      <c r="O35" s="25">
        <f t="shared" si="1"/>
        <v>0</v>
      </c>
      <c r="P35" s="25">
        <f t="shared" si="2"/>
        <v>0</v>
      </c>
      <c r="Q35" s="26">
        <f t="shared" si="3"/>
        <v>0</v>
      </c>
      <c r="R35" s="27">
        <f t="shared" si="4"/>
        <v>0</v>
      </c>
      <c r="S35" s="28">
        <f t="shared" si="7"/>
        <v>0</v>
      </c>
    </row>
    <row r="36" spans="2:19">
      <c r="B36" s="418" t="s">
        <v>441</v>
      </c>
      <c r="C36" s="94"/>
      <c r="D36" s="94"/>
      <c r="E36" s="570"/>
      <c r="F36" s="95"/>
      <c r="G36" s="96"/>
      <c r="H36" s="23">
        <f t="shared" si="5"/>
        <v>0</v>
      </c>
      <c r="I36" s="464">
        <f t="shared" si="6"/>
        <v>32.479999999999997</v>
      </c>
      <c r="J36" s="16"/>
      <c r="K36" s="17"/>
      <c r="L36">
        <v>32.479999999999997</v>
      </c>
      <c r="M36" s="121"/>
      <c r="N36" s="25">
        <f t="shared" si="0"/>
        <v>0</v>
      </c>
      <c r="O36" s="25">
        <f t="shared" si="1"/>
        <v>0</v>
      </c>
      <c r="P36" s="25">
        <f t="shared" si="2"/>
        <v>0</v>
      </c>
      <c r="Q36" s="26">
        <f t="shared" si="3"/>
        <v>0</v>
      </c>
      <c r="R36" s="27">
        <f t="shared" si="4"/>
        <v>0</v>
      </c>
      <c r="S36" s="28">
        <f t="shared" si="7"/>
        <v>0</v>
      </c>
    </row>
    <row r="37" spans="2:19">
      <c r="B37" s="418" t="s">
        <v>442</v>
      </c>
      <c r="C37" s="94"/>
      <c r="D37" s="94"/>
      <c r="E37" s="570"/>
      <c r="F37" s="95"/>
      <c r="G37" s="96"/>
      <c r="H37" s="23">
        <f t="shared" si="5"/>
        <v>0</v>
      </c>
      <c r="I37" s="464">
        <f t="shared" si="6"/>
        <v>152.66</v>
      </c>
      <c r="J37" s="16"/>
      <c r="K37" s="17"/>
      <c r="L37">
        <v>152.66</v>
      </c>
      <c r="M37" s="121"/>
      <c r="N37" s="25">
        <f t="shared" si="0"/>
        <v>0</v>
      </c>
      <c r="O37" s="25">
        <f t="shared" si="1"/>
        <v>0</v>
      </c>
      <c r="P37" s="25">
        <f t="shared" si="2"/>
        <v>0</v>
      </c>
      <c r="Q37" s="26">
        <f t="shared" si="3"/>
        <v>0</v>
      </c>
      <c r="R37" s="27">
        <f t="shared" si="4"/>
        <v>0</v>
      </c>
      <c r="S37" s="28">
        <f t="shared" si="7"/>
        <v>0</v>
      </c>
    </row>
    <row r="38" spans="2:19">
      <c r="B38" s="418" t="s">
        <v>453</v>
      </c>
      <c r="C38" s="94">
        <v>120</v>
      </c>
      <c r="D38" s="94">
        <v>12</v>
      </c>
      <c r="E38" s="570">
        <v>144</v>
      </c>
      <c r="F38" s="95">
        <v>240</v>
      </c>
      <c r="G38" s="96">
        <v>120</v>
      </c>
      <c r="H38" s="23">
        <f t="shared" si="5"/>
        <v>636</v>
      </c>
      <c r="I38" s="464">
        <f t="shared" si="6"/>
        <v>69.233100000000007</v>
      </c>
      <c r="J38" s="16">
        <v>0.11</v>
      </c>
      <c r="K38" s="17"/>
      <c r="L38">
        <v>77.790000000000006</v>
      </c>
      <c r="M38" s="121"/>
      <c r="N38" s="25">
        <f t="shared" ref="N38:N60" si="8">I38*C38</f>
        <v>8307.9720000000016</v>
      </c>
      <c r="O38" s="25">
        <f t="shared" ref="O38:O60" si="9">I38*D38</f>
        <v>830.79720000000009</v>
      </c>
      <c r="P38" s="25">
        <f t="shared" ref="P38:P60" si="10">I38*E38</f>
        <v>9969.5664000000015</v>
      </c>
      <c r="Q38" s="26">
        <f t="shared" ref="Q38:Q60" si="11">I38*F38</f>
        <v>16615.944000000003</v>
      </c>
      <c r="R38" s="27">
        <f t="shared" ref="R38:R60" si="12">I38*G38</f>
        <v>8307.9720000000016</v>
      </c>
      <c r="S38" s="28">
        <f t="shared" si="7"/>
        <v>44032.251600000011</v>
      </c>
    </row>
    <row r="39" spans="2:19">
      <c r="B39" s="418" t="s">
        <v>454</v>
      </c>
      <c r="C39" s="94">
        <v>600</v>
      </c>
      <c r="D39" s="94">
        <v>120</v>
      </c>
      <c r="E39" s="570">
        <v>144</v>
      </c>
      <c r="F39" s="95">
        <v>600</v>
      </c>
      <c r="G39" s="96">
        <v>1200</v>
      </c>
      <c r="H39" s="23">
        <f t="shared" si="5"/>
        <v>2664</v>
      </c>
      <c r="I39" s="464">
        <f t="shared" si="6"/>
        <v>39.613900000000001</v>
      </c>
      <c r="J39" s="16">
        <v>0.11</v>
      </c>
      <c r="K39" s="17"/>
      <c r="L39">
        <v>44.51</v>
      </c>
      <c r="M39" s="121"/>
      <c r="N39" s="25">
        <f t="shared" si="8"/>
        <v>23768.34</v>
      </c>
      <c r="O39" s="25">
        <f t="shared" si="9"/>
        <v>4753.6679999999997</v>
      </c>
      <c r="P39" s="25">
        <f t="shared" si="10"/>
        <v>5704.4016000000001</v>
      </c>
      <c r="Q39" s="26">
        <f t="shared" si="11"/>
        <v>23768.34</v>
      </c>
      <c r="R39" s="27">
        <f t="shared" si="12"/>
        <v>47536.68</v>
      </c>
      <c r="S39" s="28">
        <f t="shared" si="7"/>
        <v>105531.4296</v>
      </c>
    </row>
    <row r="40" spans="2:19">
      <c r="B40" s="418" t="s">
        <v>433</v>
      </c>
      <c r="C40" s="94">
        <v>720</v>
      </c>
      <c r="D40" s="94">
        <v>600</v>
      </c>
      <c r="E40" s="570">
        <v>120</v>
      </c>
      <c r="F40" s="95">
        <v>1200</v>
      </c>
      <c r="G40" s="96">
        <v>3000</v>
      </c>
      <c r="H40" s="23">
        <f t="shared" si="5"/>
        <v>5640</v>
      </c>
      <c r="I40" s="464">
        <f>((L40-(L40*J40)))/12</f>
        <v>36.113975000000003</v>
      </c>
      <c r="J40" s="16">
        <v>0.11</v>
      </c>
      <c r="K40" s="17"/>
      <c r="L40">
        <v>486.93</v>
      </c>
      <c r="M40" s="121"/>
      <c r="N40" s="25">
        <f t="shared" si="8"/>
        <v>26002.062000000002</v>
      </c>
      <c r="O40" s="25">
        <f t="shared" si="9"/>
        <v>21668.385000000002</v>
      </c>
      <c r="P40" s="25">
        <f t="shared" si="10"/>
        <v>4333.6770000000006</v>
      </c>
      <c r="Q40" s="26">
        <f t="shared" si="11"/>
        <v>43336.770000000004</v>
      </c>
      <c r="R40" s="27">
        <f t="shared" si="12"/>
        <v>108341.92500000002</v>
      </c>
      <c r="S40" s="28">
        <f t="shared" si="7"/>
        <v>203682.81900000002</v>
      </c>
    </row>
    <row r="41" spans="2:19">
      <c r="B41" s="418" t="s">
        <v>860</v>
      </c>
      <c r="C41" s="94">
        <v>360</v>
      </c>
      <c r="D41" s="94"/>
      <c r="E41" s="570"/>
      <c r="F41" s="95"/>
      <c r="G41" s="96"/>
      <c r="H41" s="23">
        <f t="shared" si="5"/>
        <v>360</v>
      </c>
      <c r="I41" s="464">
        <f t="shared" si="6"/>
        <v>29.98</v>
      </c>
      <c r="J41" s="16"/>
      <c r="K41" s="17"/>
      <c r="L41">
        <v>29.98</v>
      </c>
      <c r="M41" s="121"/>
      <c r="N41" s="25">
        <f t="shared" si="8"/>
        <v>10792.8</v>
      </c>
      <c r="O41" s="25">
        <f t="shared" si="9"/>
        <v>0</v>
      </c>
      <c r="P41" s="25">
        <f t="shared" si="10"/>
        <v>0</v>
      </c>
      <c r="Q41" s="26">
        <f t="shared" si="11"/>
        <v>0</v>
      </c>
      <c r="R41" s="27">
        <f t="shared" si="12"/>
        <v>0</v>
      </c>
      <c r="S41" s="28">
        <f t="shared" si="7"/>
        <v>10792.8</v>
      </c>
    </row>
    <row r="42" spans="2:19">
      <c r="B42" s="418" t="s">
        <v>1340</v>
      </c>
      <c r="C42" s="94">
        <v>37</v>
      </c>
      <c r="D42" s="94"/>
      <c r="E42" s="570"/>
      <c r="F42" s="95"/>
      <c r="G42" s="96"/>
      <c r="H42" s="23">
        <f t="shared" si="5"/>
        <v>37</v>
      </c>
      <c r="I42" s="464">
        <f t="shared" si="6"/>
        <v>71.400000000000006</v>
      </c>
      <c r="J42" s="16"/>
      <c r="K42" s="17"/>
      <c r="L42">
        <v>71.400000000000006</v>
      </c>
      <c r="M42" s="121"/>
      <c r="N42" s="25">
        <f t="shared" si="8"/>
        <v>2641.8</v>
      </c>
      <c r="O42" s="25">
        <f t="shared" si="9"/>
        <v>0</v>
      </c>
      <c r="P42" s="25">
        <f t="shared" si="10"/>
        <v>0</v>
      </c>
      <c r="Q42" s="26">
        <f t="shared" si="11"/>
        <v>0</v>
      </c>
      <c r="R42" s="27">
        <f t="shared" si="12"/>
        <v>0</v>
      </c>
      <c r="S42" s="28">
        <f t="shared" si="7"/>
        <v>2641.8</v>
      </c>
    </row>
    <row r="43" spans="2:19">
      <c r="B43" s="418" t="s">
        <v>59</v>
      </c>
      <c r="C43" s="94">
        <v>10</v>
      </c>
      <c r="D43" s="94"/>
      <c r="E43" s="570"/>
      <c r="F43" s="95"/>
      <c r="G43" s="96"/>
      <c r="H43" s="23">
        <f t="shared" si="5"/>
        <v>10</v>
      </c>
      <c r="I43" s="464">
        <f t="shared" si="6"/>
        <v>866.44</v>
      </c>
      <c r="J43" s="16"/>
      <c r="K43" s="17"/>
      <c r="L43">
        <v>866.44</v>
      </c>
      <c r="M43" s="121"/>
      <c r="N43" s="25">
        <f t="shared" si="8"/>
        <v>8664.4000000000015</v>
      </c>
      <c r="O43" s="25">
        <f t="shared" si="9"/>
        <v>0</v>
      </c>
      <c r="P43" s="25">
        <f t="shared" si="10"/>
        <v>0</v>
      </c>
      <c r="Q43" s="26">
        <f t="shared" si="11"/>
        <v>0</v>
      </c>
      <c r="R43" s="27">
        <f t="shared" si="12"/>
        <v>0</v>
      </c>
      <c r="S43" s="28">
        <f t="shared" si="7"/>
        <v>8664.4000000000015</v>
      </c>
    </row>
    <row r="44" spans="2:19">
      <c r="B44" s="418" t="s">
        <v>956</v>
      </c>
      <c r="C44" s="94"/>
      <c r="D44" s="94"/>
      <c r="E44" s="570"/>
      <c r="F44" s="95"/>
      <c r="G44" s="96"/>
      <c r="H44" s="23">
        <f t="shared" si="5"/>
        <v>0</v>
      </c>
      <c r="I44" s="464">
        <f t="shared" si="6"/>
        <v>84.998999999999995</v>
      </c>
      <c r="J44" s="16"/>
      <c r="K44" s="17"/>
      <c r="L44">
        <v>84.998999999999995</v>
      </c>
      <c r="M44" s="121"/>
      <c r="N44" s="25">
        <f t="shared" si="8"/>
        <v>0</v>
      </c>
      <c r="O44" s="25">
        <f t="shared" si="9"/>
        <v>0</v>
      </c>
      <c r="P44" s="25">
        <f t="shared" si="10"/>
        <v>0</v>
      </c>
      <c r="Q44" s="26">
        <f t="shared" si="11"/>
        <v>0</v>
      </c>
      <c r="R44" s="27">
        <f t="shared" si="12"/>
        <v>0</v>
      </c>
      <c r="S44" s="28">
        <f t="shared" si="7"/>
        <v>0</v>
      </c>
    </row>
    <row r="45" spans="2:19">
      <c r="B45" s="418" t="s">
        <v>701</v>
      </c>
      <c r="C45" s="94"/>
      <c r="D45" s="94"/>
      <c r="E45" s="570">
        <v>18</v>
      </c>
      <c r="F45" s="95"/>
      <c r="G45" s="96"/>
      <c r="H45" s="23">
        <f t="shared" si="5"/>
        <v>18</v>
      </c>
      <c r="I45" s="464">
        <f t="shared" si="6"/>
        <v>258.08333333333331</v>
      </c>
      <c r="J45" s="16"/>
      <c r="K45" s="17"/>
      <c r="L45">
        <v>258.08333333333331</v>
      </c>
      <c r="M45" s="121"/>
      <c r="N45" s="25">
        <f t="shared" si="8"/>
        <v>0</v>
      </c>
      <c r="O45" s="25">
        <f t="shared" si="9"/>
        <v>0</v>
      </c>
      <c r="P45" s="25">
        <f t="shared" si="10"/>
        <v>4645.5</v>
      </c>
      <c r="Q45" s="26">
        <f t="shared" si="11"/>
        <v>0</v>
      </c>
      <c r="R45" s="27">
        <f t="shared" si="12"/>
        <v>0</v>
      </c>
      <c r="S45" s="28">
        <f t="shared" si="7"/>
        <v>4645.5</v>
      </c>
    </row>
    <row r="46" spans="2:19">
      <c r="B46" s="418" t="s">
        <v>702</v>
      </c>
      <c r="C46" s="94"/>
      <c r="D46" s="94"/>
      <c r="E46" s="570"/>
      <c r="F46" s="95"/>
      <c r="G46" s="96"/>
      <c r="H46" s="23">
        <f t="shared" si="5"/>
        <v>0</v>
      </c>
      <c r="I46" s="464">
        <f t="shared" si="6"/>
        <v>145.74333333333334</v>
      </c>
      <c r="J46" s="16"/>
      <c r="K46" s="17"/>
      <c r="L46">
        <v>145.74333333333334</v>
      </c>
      <c r="M46" s="121"/>
      <c r="N46" s="25">
        <f t="shared" si="8"/>
        <v>0</v>
      </c>
      <c r="O46" s="25">
        <f t="shared" si="9"/>
        <v>0</v>
      </c>
      <c r="P46" s="25">
        <f t="shared" si="10"/>
        <v>0</v>
      </c>
      <c r="Q46" s="26">
        <f t="shared" si="11"/>
        <v>0</v>
      </c>
      <c r="R46" s="27">
        <f t="shared" si="12"/>
        <v>0</v>
      </c>
      <c r="S46" s="28">
        <f t="shared" si="7"/>
        <v>0</v>
      </c>
    </row>
    <row r="47" spans="2:19">
      <c r="B47" s="418" t="s">
        <v>60</v>
      </c>
      <c r="C47" s="94">
        <v>1080</v>
      </c>
      <c r="D47" s="94">
        <v>720</v>
      </c>
      <c r="E47" s="570">
        <v>600</v>
      </c>
      <c r="F47" s="95">
        <v>840</v>
      </c>
      <c r="G47" s="96">
        <v>2400</v>
      </c>
      <c r="H47" s="23">
        <f t="shared" si="5"/>
        <v>5640</v>
      </c>
      <c r="I47" s="464">
        <v>34.409999999999997</v>
      </c>
      <c r="J47" s="16"/>
      <c r="K47" s="17"/>
      <c r="L47">
        <v>12.86</v>
      </c>
      <c r="M47" s="121"/>
      <c r="N47" s="25">
        <f t="shared" si="8"/>
        <v>37162.799999999996</v>
      </c>
      <c r="O47" s="25">
        <f t="shared" si="9"/>
        <v>24775.199999999997</v>
      </c>
      <c r="P47" s="25">
        <f t="shared" si="10"/>
        <v>20645.999999999996</v>
      </c>
      <c r="Q47" s="26">
        <f t="shared" si="11"/>
        <v>28904.399999999998</v>
      </c>
      <c r="R47" s="27">
        <f t="shared" si="12"/>
        <v>82583.999999999985</v>
      </c>
      <c r="S47" s="28">
        <f t="shared" si="7"/>
        <v>194072.39999999997</v>
      </c>
    </row>
    <row r="48" spans="2:19">
      <c r="B48" s="418" t="s">
        <v>455</v>
      </c>
      <c r="C48" s="94">
        <v>300</v>
      </c>
      <c r="D48" s="94">
        <v>48</v>
      </c>
      <c r="E48" s="570"/>
      <c r="F48" s="95">
        <v>120</v>
      </c>
      <c r="G48" s="96">
        <v>300</v>
      </c>
      <c r="H48" s="23">
        <f t="shared" si="5"/>
        <v>768</v>
      </c>
      <c r="I48" s="464">
        <f t="shared" si="6"/>
        <v>61.78</v>
      </c>
      <c r="J48" s="16"/>
      <c r="K48" s="17"/>
      <c r="L48">
        <v>61.78</v>
      </c>
      <c r="M48" s="121"/>
      <c r="N48" s="25">
        <f t="shared" si="8"/>
        <v>18534</v>
      </c>
      <c r="O48" s="25">
        <f t="shared" si="9"/>
        <v>2965.44</v>
      </c>
      <c r="P48" s="25">
        <f t="shared" si="10"/>
        <v>0</v>
      </c>
      <c r="Q48" s="26">
        <f t="shared" si="11"/>
        <v>7413.6</v>
      </c>
      <c r="R48" s="27">
        <f t="shared" si="12"/>
        <v>18534</v>
      </c>
      <c r="S48" s="28">
        <f t="shared" si="7"/>
        <v>47447.040000000001</v>
      </c>
    </row>
    <row r="49" spans="2:19">
      <c r="B49" s="418" t="s">
        <v>861</v>
      </c>
      <c r="C49" s="94"/>
      <c r="D49" s="94">
        <v>24</v>
      </c>
      <c r="E49" s="570">
        <v>24</v>
      </c>
      <c r="F49" s="95">
        <v>60</v>
      </c>
      <c r="G49" s="96">
        <v>120</v>
      </c>
      <c r="H49" s="23">
        <f t="shared" si="5"/>
        <v>228</v>
      </c>
      <c r="I49" s="464">
        <f t="shared" si="6"/>
        <v>419.04</v>
      </c>
      <c r="J49" s="16">
        <v>0.1</v>
      </c>
      <c r="K49" s="17">
        <v>0.1</v>
      </c>
      <c r="L49">
        <v>465.6</v>
      </c>
      <c r="M49" s="121"/>
      <c r="N49" s="25">
        <f t="shared" si="8"/>
        <v>0</v>
      </c>
      <c r="O49" s="25">
        <f t="shared" si="9"/>
        <v>10056.960000000001</v>
      </c>
      <c r="P49" s="25">
        <f t="shared" si="10"/>
        <v>10056.960000000001</v>
      </c>
      <c r="Q49" s="26">
        <f t="shared" si="11"/>
        <v>25142.400000000001</v>
      </c>
      <c r="R49" s="27">
        <f t="shared" si="12"/>
        <v>50284.800000000003</v>
      </c>
      <c r="S49" s="28">
        <f t="shared" si="7"/>
        <v>95541.12000000001</v>
      </c>
    </row>
    <row r="50" spans="2:19">
      <c r="B50" s="418" t="s">
        <v>862</v>
      </c>
      <c r="C50" s="94">
        <v>240</v>
      </c>
      <c r="D50" s="94">
        <v>80</v>
      </c>
      <c r="E50" s="570">
        <v>72</v>
      </c>
      <c r="F50" s="95">
        <v>360</v>
      </c>
      <c r="G50" s="96">
        <v>600</v>
      </c>
      <c r="H50" s="23">
        <f t="shared" si="5"/>
        <v>1352</v>
      </c>
      <c r="I50" s="464">
        <f t="shared" si="6"/>
        <v>125.04599999999999</v>
      </c>
      <c r="J50" s="16">
        <v>0.1</v>
      </c>
      <c r="K50" s="17">
        <v>0.1</v>
      </c>
      <c r="L50">
        <v>138.94</v>
      </c>
      <c r="M50" s="121"/>
      <c r="N50" s="25">
        <f t="shared" si="8"/>
        <v>30011.039999999997</v>
      </c>
      <c r="O50" s="25">
        <f t="shared" si="9"/>
        <v>10003.68</v>
      </c>
      <c r="P50" s="25">
        <f t="shared" si="10"/>
        <v>9003.3119999999999</v>
      </c>
      <c r="Q50" s="26">
        <f t="shared" si="11"/>
        <v>45016.56</v>
      </c>
      <c r="R50" s="27">
        <f t="shared" si="12"/>
        <v>75027.599999999991</v>
      </c>
      <c r="S50" s="28">
        <f t="shared" si="7"/>
        <v>169062.19199999998</v>
      </c>
    </row>
    <row r="51" spans="2:19">
      <c r="B51" s="418" t="s">
        <v>863</v>
      </c>
      <c r="C51" s="94"/>
      <c r="D51" s="94"/>
      <c r="E51" s="570"/>
      <c r="F51" s="95">
        <v>36</v>
      </c>
      <c r="G51" s="96">
        <v>156</v>
      </c>
      <c r="H51" s="23">
        <f t="shared" si="5"/>
        <v>192</v>
      </c>
      <c r="I51" s="464">
        <f t="shared" si="6"/>
        <v>229.41899999999998</v>
      </c>
      <c r="J51" s="16">
        <v>0.1</v>
      </c>
      <c r="K51" s="17">
        <v>0.1</v>
      </c>
      <c r="L51">
        <v>254.91</v>
      </c>
      <c r="M51" s="121"/>
      <c r="N51" s="25">
        <f t="shared" si="8"/>
        <v>0</v>
      </c>
      <c r="O51" s="25">
        <f t="shared" si="9"/>
        <v>0</v>
      </c>
      <c r="P51" s="25">
        <f t="shared" si="10"/>
        <v>0</v>
      </c>
      <c r="Q51" s="26">
        <f t="shared" si="11"/>
        <v>8259.0839999999989</v>
      </c>
      <c r="R51" s="27">
        <f t="shared" si="12"/>
        <v>35789.363999999994</v>
      </c>
      <c r="S51" s="28">
        <f t="shared" si="7"/>
        <v>44048.447999999989</v>
      </c>
    </row>
    <row r="52" spans="2:19">
      <c r="B52" s="418" t="s">
        <v>434</v>
      </c>
      <c r="C52" s="94">
        <v>96</v>
      </c>
      <c r="D52" s="94">
        <v>132</v>
      </c>
      <c r="E52" s="570">
        <v>60</v>
      </c>
      <c r="F52" s="95">
        <v>60</v>
      </c>
      <c r="G52" s="96">
        <v>120</v>
      </c>
      <c r="H52" s="23">
        <f t="shared" si="5"/>
        <v>468</v>
      </c>
      <c r="I52" s="464">
        <f t="shared" si="6"/>
        <v>259.38</v>
      </c>
      <c r="J52" s="16"/>
      <c r="K52" s="17"/>
      <c r="L52">
        <v>259.38</v>
      </c>
      <c r="M52" s="121"/>
      <c r="N52" s="25">
        <f t="shared" si="8"/>
        <v>24900.48</v>
      </c>
      <c r="O52" s="25">
        <f t="shared" si="9"/>
        <v>34238.159999999996</v>
      </c>
      <c r="P52" s="25">
        <f t="shared" si="10"/>
        <v>15562.8</v>
      </c>
      <c r="Q52" s="26">
        <f t="shared" si="11"/>
        <v>15562.8</v>
      </c>
      <c r="R52" s="27">
        <f t="shared" si="12"/>
        <v>31125.599999999999</v>
      </c>
      <c r="S52" s="28">
        <f t="shared" si="7"/>
        <v>121389.84</v>
      </c>
    </row>
    <row r="53" spans="2:19">
      <c r="B53" s="418" t="s">
        <v>435</v>
      </c>
      <c r="C53" s="94"/>
      <c r="D53" s="94">
        <v>24</v>
      </c>
      <c r="E53" s="570">
        <v>60</v>
      </c>
      <c r="F53" s="95"/>
      <c r="G53" s="96"/>
      <c r="H53" s="23">
        <f t="shared" si="5"/>
        <v>84</v>
      </c>
      <c r="I53" s="464">
        <f t="shared" si="6"/>
        <v>147.02000000000001</v>
      </c>
      <c r="J53" s="16"/>
      <c r="K53" s="17"/>
      <c r="L53">
        <v>147.02000000000001</v>
      </c>
      <c r="M53" s="121"/>
      <c r="N53" s="25">
        <f t="shared" si="8"/>
        <v>0</v>
      </c>
      <c r="O53" s="25">
        <f t="shared" si="9"/>
        <v>3528.4800000000005</v>
      </c>
      <c r="P53" s="25">
        <f t="shared" si="10"/>
        <v>8821.2000000000007</v>
      </c>
      <c r="Q53" s="26">
        <f t="shared" si="11"/>
        <v>0</v>
      </c>
      <c r="R53" s="27">
        <f t="shared" si="12"/>
        <v>0</v>
      </c>
      <c r="S53" s="28">
        <f t="shared" si="7"/>
        <v>12349.68</v>
      </c>
    </row>
    <row r="54" spans="2:19">
      <c r="B54" s="418" t="s">
        <v>436</v>
      </c>
      <c r="C54" s="94"/>
      <c r="D54" s="94"/>
      <c r="E54" s="570"/>
      <c r="F54" s="95"/>
      <c r="G54" s="96"/>
      <c r="H54" s="23">
        <f t="shared" si="5"/>
        <v>0</v>
      </c>
      <c r="I54" s="464">
        <f t="shared" si="6"/>
        <v>414.46</v>
      </c>
      <c r="J54" s="16"/>
      <c r="K54" s="17"/>
      <c r="L54">
        <v>414.46</v>
      </c>
      <c r="M54" s="121"/>
      <c r="N54" s="25">
        <f t="shared" si="8"/>
        <v>0</v>
      </c>
      <c r="O54" s="25">
        <f t="shared" si="9"/>
        <v>0</v>
      </c>
      <c r="P54" s="25">
        <f t="shared" si="10"/>
        <v>0</v>
      </c>
      <c r="Q54" s="26">
        <f t="shared" si="11"/>
        <v>0</v>
      </c>
      <c r="R54" s="27">
        <f t="shared" si="12"/>
        <v>0</v>
      </c>
      <c r="S54" s="28">
        <f t="shared" si="7"/>
        <v>0</v>
      </c>
    </row>
    <row r="55" spans="2:19">
      <c r="B55" s="418" t="s">
        <v>437</v>
      </c>
      <c r="C55" s="94">
        <v>240</v>
      </c>
      <c r="D55" s="94"/>
      <c r="E55" s="570">
        <v>36</v>
      </c>
      <c r="F55" s="95"/>
      <c r="G55" s="96">
        <v>1200</v>
      </c>
      <c r="H55" s="23">
        <f t="shared" si="5"/>
        <v>1476</v>
      </c>
      <c r="I55" s="464">
        <f t="shared" si="6"/>
        <v>29.995966666666668</v>
      </c>
      <c r="J55" s="16">
        <v>0.11</v>
      </c>
      <c r="K55" s="17"/>
      <c r="L55">
        <v>33.703333333333333</v>
      </c>
      <c r="M55" s="121"/>
      <c r="N55" s="25">
        <f t="shared" si="8"/>
        <v>7199.0320000000002</v>
      </c>
      <c r="O55" s="25">
        <f t="shared" si="9"/>
        <v>0</v>
      </c>
      <c r="P55" s="25">
        <f t="shared" si="10"/>
        <v>1079.8548000000001</v>
      </c>
      <c r="Q55" s="26">
        <f t="shared" si="11"/>
        <v>0</v>
      </c>
      <c r="R55" s="27">
        <f t="shared" si="12"/>
        <v>35995.160000000003</v>
      </c>
      <c r="S55" s="28">
        <f t="shared" si="7"/>
        <v>44274.046800000004</v>
      </c>
    </row>
    <row r="56" spans="2:19">
      <c r="B56" s="418" t="s">
        <v>438</v>
      </c>
      <c r="C56" s="94">
        <v>1200</v>
      </c>
      <c r="D56" s="94">
        <v>1800</v>
      </c>
      <c r="E56" s="570">
        <v>600</v>
      </c>
      <c r="F56" s="95">
        <v>360</v>
      </c>
      <c r="G56" s="96"/>
      <c r="H56" s="23">
        <f t="shared" si="5"/>
        <v>3960</v>
      </c>
      <c r="I56" s="464">
        <f t="shared" si="6"/>
        <v>16.26178333333333</v>
      </c>
      <c r="J56" s="16">
        <v>0.11</v>
      </c>
      <c r="K56" s="17"/>
      <c r="L56">
        <v>18.271666666666665</v>
      </c>
      <c r="M56" s="121"/>
      <c r="N56" s="25">
        <f t="shared" si="8"/>
        <v>19514.139999999996</v>
      </c>
      <c r="O56" s="25">
        <f t="shared" si="9"/>
        <v>29271.209999999995</v>
      </c>
      <c r="P56" s="25">
        <f t="shared" si="10"/>
        <v>9757.0699999999979</v>
      </c>
      <c r="Q56" s="26">
        <f t="shared" si="11"/>
        <v>5854.2419999999993</v>
      </c>
      <c r="R56" s="27">
        <f t="shared" si="12"/>
        <v>0</v>
      </c>
      <c r="S56" s="28">
        <f t="shared" si="7"/>
        <v>64396.661999999989</v>
      </c>
    </row>
    <row r="57" spans="2:19">
      <c r="B57" s="418" t="s">
        <v>61</v>
      </c>
      <c r="C57" s="94">
        <v>6</v>
      </c>
      <c r="D57" s="94"/>
      <c r="E57" s="570"/>
      <c r="F57" s="95"/>
      <c r="G57" s="96">
        <v>60</v>
      </c>
      <c r="H57" s="23">
        <f t="shared" si="5"/>
        <v>66</v>
      </c>
      <c r="I57" s="464">
        <f t="shared" si="6"/>
        <v>101.0684</v>
      </c>
      <c r="J57" s="16">
        <v>0.11</v>
      </c>
      <c r="K57" s="17"/>
      <c r="L57">
        <v>113.56</v>
      </c>
      <c r="M57" s="121"/>
      <c r="N57" s="25">
        <f t="shared" si="8"/>
        <v>606.41039999999998</v>
      </c>
      <c r="O57" s="25">
        <f t="shared" si="9"/>
        <v>0</v>
      </c>
      <c r="P57" s="25">
        <f t="shared" si="10"/>
        <v>0</v>
      </c>
      <c r="Q57" s="26">
        <f t="shared" si="11"/>
        <v>0</v>
      </c>
      <c r="R57" s="27">
        <f t="shared" si="12"/>
        <v>6064.1039999999994</v>
      </c>
      <c r="S57" s="28">
        <f t="shared" si="7"/>
        <v>6670.5143999999991</v>
      </c>
    </row>
    <row r="58" spans="2:19">
      <c r="B58" s="418" t="s">
        <v>439</v>
      </c>
      <c r="C58" s="94">
        <v>3</v>
      </c>
      <c r="D58" s="94">
        <v>12</v>
      </c>
      <c r="E58" s="570"/>
      <c r="F58" s="95"/>
      <c r="G58" s="96"/>
      <c r="H58" s="23">
        <f t="shared" si="5"/>
        <v>15</v>
      </c>
      <c r="I58" s="464">
        <f t="shared" si="6"/>
        <v>328.76</v>
      </c>
      <c r="J58" s="16"/>
      <c r="K58" s="17"/>
      <c r="L58">
        <v>328.76</v>
      </c>
      <c r="M58" s="121"/>
      <c r="N58" s="25">
        <f t="shared" si="8"/>
        <v>986.28</v>
      </c>
      <c r="O58" s="25">
        <f t="shared" si="9"/>
        <v>3945.12</v>
      </c>
      <c r="P58" s="25">
        <f t="shared" si="10"/>
        <v>0</v>
      </c>
      <c r="Q58" s="26">
        <f t="shared" si="11"/>
        <v>0</v>
      </c>
      <c r="R58" s="27">
        <f t="shared" si="12"/>
        <v>0</v>
      </c>
      <c r="S58" s="28">
        <f t="shared" si="7"/>
        <v>4931.3999999999996</v>
      </c>
    </row>
    <row r="59" spans="2:19">
      <c r="B59" s="418" t="s">
        <v>703</v>
      </c>
      <c r="C59" s="94"/>
      <c r="D59" s="94"/>
      <c r="E59" s="570">
        <v>6</v>
      </c>
      <c r="F59" s="95"/>
      <c r="G59" s="96"/>
      <c r="H59" s="23">
        <f t="shared" si="5"/>
        <v>6</v>
      </c>
      <c r="I59" s="464">
        <f t="shared" si="6"/>
        <v>219.89</v>
      </c>
      <c r="J59" s="16"/>
      <c r="K59" s="17"/>
      <c r="L59">
        <v>219.89</v>
      </c>
      <c r="M59" s="121"/>
      <c r="N59" s="25">
        <f t="shared" si="8"/>
        <v>0</v>
      </c>
      <c r="O59" s="25">
        <f t="shared" si="9"/>
        <v>0</v>
      </c>
      <c r="P59" s="25">
        <f t="shared" si="10"/>
        <v>1319.34</v>
      </c>
      <c r="Q59" s="26">
        <f t="shared" si="11"/>
        <v>0</v>
      </c>
      <c r="R59" s="27">
        <f t="shared" si="12"/>
        <v>0</v>
      </c>
      <c r="S59" s="28">
        <f t="shared" si="7"/>
        <v>1319.34</v>
      </c>
    </row>
    <row r="60" spans="2:19">
      <c r="B60" s="418" t="s">
        <v>958</v>
      </c>
      <c r="C60" s="94"/>
      <c r="D60" s="94"/>
      <c r="E60" s="570"/>
      <c r="F60" s="95"/>
      <c r="G60" s="96"/>
      <c r="H60" s="23">
        <f t="shared" si="5"/>
        <v>0</v>
      </c>
      <c r="I60" s="464">
        <f t="shared" si="6"/>
        <v>1355.06</v>
      </c>
      <c r="J60" s="16"/>
      <c r="K60" s="17"/>
      <c r="L60">
        <v>1355.06</v>
      </c>
      <c r="M60" s="121"/>
      <c r="N60" s="25">
        <f t="shared" si="8"/>
        <v>0</v>
      </c>
      <c r="O60" s="25">
        <f t="shared" si="9"/>
        <v>0</v>
      </c>
      <c r="P60" s="25">
        <f t="shared" si="10"/>
        <v>0</v>
      </c>
      <c r="Q60" s="26">
        <f t="shared" si="11"/>
        <v>0</v>
      </c>
      <c r="R60" s="27">
        <f t="shared" si="12"/>
        <v>0</v>
      </c>
      <c r="S60" s="28">
        <f t="shared" si="7"/>
        <v>0</v>
      </c>
    </row>
    <row r="61" spans="2:19">
      <c r="B61" s="566" t="s">
        <v>13</v>
      </c>
      <c r="C61" s="559">
        <f t="shared" ref="C61" si="13">SUM(N6:N60)</f>
        <v>283049.11660000001</v>
      </c>
      <c r="D61" s="559">
        <f t="shared" ref="D61" si="14">SUM(O6:O60)</f>
        <v>167263.96980000002</v>
      </c>
      <c r="E61" s="559">
        <f t="shared" ref="E61" si="15">SUM(P6:P60)</f>
        <v>154073.69560000004</v>
      </c>
      <c r="F61" s="559">
        <f t="shared" ref="F61" si="16">SUM(Q6:Q60)</f>
        <v>271351.4584</v>
      </c>
      <c r="G61" s="559">
        <f t="shared" ref="G61" si="17">SUM(R6:R60)</f>
        <v>555197.97699999996</v>
      </c>
      <c r="H61" s="559">
        <f t="shared" ref="H61" si="18">SUM(S6:S60)</f>
        <v>1430936.2174</v>
      </c>
      <c r="I61" s="269"/>
    </row>
    <row r="62" spans="2:19">
      <c r="B62" s="562" t="s">
        <v>2504</v>
      </c>
      <c r="C62" s="560">
        <f>'CEVA EQUINOS'!C19</f>
        <v>50966.523000000001</v>
      </c>
      <c r="D62" s="560">
        <f>'CEVA EQUINOS'!D19</f>
        <v>0</v>
      </c>
      <c r="E62" s="560">
        <f>'CEVA EQUINOS'!E19</f>
        <v>56788.013800000001</v>
      </c>
      <c r="F62" s="560">
        <f>'CEVA EQUINOS'!F19</f>
        <v>61453.807199999996</v>
      </c>
      <c r="G62" s="560">
        <f>'CEVA EQUINOS'!G19</f>
        <v>143901.39300000001</v>
      </c>
      <c r="H62" s="561">
        <f>SUM(C62:G62)</f>
        <v>313109.73699999996</v>
      </c>
      <c r="I62" s="269"/>
    </row>
    <row r="63" spans="2:19">
      <c r="B63" s="563" t="s">
        <v>4</v>
      </c>
      <c r="C63" s="560">
        <f t="shared" ref="C63:F63" si="19">SUM(C61:C62)</f>
        <v>334015.63959999999</v>
      </c>
      <c r="D63" s="560">
        <f t="shared" si="19"/>
        <v>167263.96980000002</v>
      </c>
      <c r="E63" s="560">
        <f t="shared" si="19"/>
        <v>210861.70940000005</v>
      </c>
      <c r="F63" s="560">
        <f t="shared" si="19"/>
        <v>332805.26559999998</v>
      </c>
      <c r="G63" s="560">
        <f>SUM(G61:G62)</f>
        <v>699099.37</v>
      </c>
      <c r="H63" s="561">
        <f>SUM(C63:G63)</f>
        <v>1744045.9544000002</v>
      </c>
      <c r="I63" s="269"/>
    </row>
    <row r="64" spans="2:19">
      <c r="B64" s="563" t="s">
        <v>2505</v>
      </c>
      <c r="C64" s="565">
        <f t="shared" ref="C64:G64" si="20">C65*0.8</f>
        <v>351932.92800000001</v>
      </c>
      <c r="D64" s="565">
        <f t="shared" si="20"/>
        <v>165625.04</v>
      </c>
      <c r="E64" s="565">
        <f t="shared" si="20"/>
        <v>208950.58400000003</v>
      </c>
      <c r="F64" s="565">
        <f t="shared" si="20"/>
        <v>331659.43200000003</v>
      </c>
      <c r="G64" s="565">
        <f t="shared" si="20"/>
        <v>698447.24800000014</v>
      </c>
      <c r="H64" s="565">
        <f>H65*0.8</f>
        <v>1756615.2320000001</v>
      </c>
      <c r="I64" s="269"/>
    </row>
    <row r="65" spans="2:9">
      <c r="B65" s="563" t="s">
        <v>2506</v>
      </c>
      <c r="C65" s="561">
        <v>439916.16</v>
      </c>
      <c r="D65" s="561">
        <v>207031.3</v>
      </c>
      <c r="E65" s="561">
        <v>261188.23</v>
      </c>
      <c r="F65" s="561">
        <v>414574.29</v>
      </c>
      <c r="G65" s="561">
        <v>873059.06</v>
      </c>
      <c r="H65" s="561">
        <f>SUM(C65:G65)</f>
        <v>2195769.04</v>
      </c>
      <c r="I65" s="269"/>
    </row>
    <row r="66" spans="2:9">
      <c r="B66" s="564"/>
      <c r="C66" s="568">
        <f>C63-C64</f>
        <v>-17917.288400000019</v>
      </c>
      <c r="D66" s="568">
        <f t="shared" ref="D66:H66" si="21">D63-D64</f>
        <v>1638.9298000000126</v>
      </c>
      <c r="E66" s="568">
        <f t="shared" si="21"/>
        <v>1911.125400000019</v>
      </c>
      <c r="F66" s="568">
        <f t="shared" si="21"/>
        <v>1145.8335999999545</v>
      </c>
      <c r="G66" s="568">
        <f t="shared" si="21"/>
        <v>652.12199999985751</v>
      </c>
      <c r="H66" s="568">
        <f t="shared" si="21"/>
        <v>-12569.277599999914</v>
      </c>
      <c r="I66" s="269"/>
    </row>
    <row r="67" spans="2:9">
      <c r="B67" s="564"/>
      <c r="C67" s="568">
        <f>C63-C65</f>
        <v>-105900.52039999998</v>
      </c>
      <c r="D67" s="568">
        <f t="shared" ref="D67:H67" si="22">D63-D65</f>
        <v>-39767.330199999968</v>
      </c>
      <c r="E67" s="568">
        <f t="shared" si="22"/>
        <v>-50326.52059999996</v>
      </c>
      <c r="F67" s="568">
        <f t="shared" si="22"/>
        <v>-81769.024399999995</v>
      </c>
      <c r="G67" s="568">
        <f t="shared" si="22"/>
        <v>-173959.69000000006</v>
      </c>
      <c r="H67" s="568">
        <f t="shared" si="22"/>
        <v>-451723.08559999987</v>
      </c>
      <c r="I67" s="269"/>
    </row>
    <row r="68" spans="2:9">
      <c r="B68" s="564"/>
      <c r="C68" s="272">
        <v>14000</v>
      </c>
      <c r="D68" s="272"/>
      <c r="E68" s="272"/>
      <c r="F68" s="272"/>
      <c r="G68" s="273"/>
      <c r="H68" s="269"/>
      <c r="I68" s="269"/>
    </row>
    <row r="69" spans="2:9">
      <c r="B69" s="564"/>
      <c r="C69" s="272">
        <f>C68+C66</f>
        <v>-3917.2884000000195</v>
      </c>
      <c r="D69" s="272"/>
      <c r="E69" s="272"/>
      <c r="F69" s="272"/>
      <c r="G69" s="273"/>
      <c r="H69" s="269"/>
      <c r="I69" s="269"/>
    </row>
    <row r="70" spans="2:9">
      <c r="B70" s="567"/>
      <c r="C70" s="272"/>
      <c r="D70" s="272"/>
      <c r="E70" s="272"/>
      <c r="F70" s="272"/>
      <c r="G70" s="273"/>
      <c r="H70" s="269"/>
      <c r="I70" s="269"/>
    </row>
    <row r="71" spans="2:9">
      <c r="B71" s="567"/>
      <c r="C71" s="272"/>
      <c r="D71" s="272"/>
      <c r="E71" s="569" t="s">
        <v>2507</v>
      </c>
      <c r="F71" s="272"/>
      <c r="G71" s="273"/>
      <c r="H71" s="269"/>
      <c r="I71" s="269"/>
    </row>
    <row r="72" spans="2:9">
      <c r="B72" s="2"/>
      <c r="E72" s="569" t="s">
        <v>2508</v>
      </c>
      <c r="G72" s="5" t="str">
        <f>IF(B72&lt;&gt;"",SUM(C72:F72),"")</f>
        <v/>
      </c>
    </row>
    <row r="73" spans="2:9">
      <c r="E73" s="569" t="s">
        <v>2509</v>
      </c>
      <c r="G73" s="5" t="str">
        <f t="shared" ref="G73:G117" si="23">IF(B73&lt;&gt;"",SUM(C73:F73),"")</f>
        <v/>
      </c>
    </row>
    <row r="74" spans="2:9">
      <c r="E74" s="569" t="s">
        <v>2510</v>
      </c>
      <c r="G74" s="5" t="str">
        <f t="shared" si="23"/>
        <v/>
      </c>
    </row>
    <row r="75" spans="2:9">
      <c r="E75" s="569" t="s">
        <v>2511</v>
      </c>
      <c r="G75" s="5" t="str">
        <f t="shared" si="23"/>
        <v/>
      </c>
    </row>
    <row r="76" spans="2:9">
      <c r="E76" s="569" t="s">
        <v>2512</v>
      </c>
      <c r="G76" s="5" t="str">
        <f t="shared" si="23"/>
        <v/>
      </c>
    </row>
    <row r="77" spans="2:9">
      <c r="E77" s="569" t="s">
        <v>2513</v>
      </c>
      <c r="G77" s="5" t="str">
        <f t="shared" si="23"/>
        <v/>
      </c>
    </row>
    <row r="78" spans="2:9">
      <c r="E78" s="569" t="s">
        <v>2514</v>
      </c>
      <c r="G78" s="5" t="str">
        <f t="shared" si="23"/>
        <v/>
      </c>
    </row>
    <row r="79" spans="2:9">
      <c r="G79" s="5" t="str">
        <f t="shared" si="23"/>
        <v/>
      </c>
    </row>
    <row r="80" spans="2:9">
      <c r="G80" s="5" t="str">
        <f t="shared" si="23"/>
        <v/>
      </c>
    </row>
    <row r="81" spans="7:7">
      <c r="G81" s="5" t="str">
        <f t="shared" si="23"/>
        <v/>
      </c>
    </row>
    <row r="82" spans="7:7">
      <c r="G82" s="5" t="str">
        <f t="shared" si="23"/>
        <v/>
      </c>
    </row>
    <row r="83" spans="7:7">
      <c r="G83" s="5" t="str">
        <f t="shared" si="23"/>
        <v/>
      </c>
    </row>
    <row r="84" spans="7:7">
      <c r="G84" s="5" t="str">
        <f t="shared" si="23"/>
        <v/>
      </c>
    </row>
    <row r="85" spans="7:7">
      <c r="G85" s="5" t="str">
        <f t="shared" si="23"/>
        <v/>
      </c>
    </row>
    <row r="86" spans="7:7">
      <c r="G86" s="5" t="str">
        <f t="shared" si="23"/>
        <v/>
      </c>
    </row>
    <row r="87" spans="7:7">
      <c r="G87" s="5" t="str">
        <f t="shared" si="23"/>
        <v/>
      </c>
    </row>
    <row r="88" spans="7:7">
      <c r="G88" s="5" t="str">
        <f t="shared" si="23"/>
        <v/>
      </c>
    </row>
    <row r="89" spans="7:7">
      <c r="G89" s="5" t="str">
        <f t="shared" si="23"/>
        <v/>
      </c>
    </row>
    <row r="90" spans="7:7">
      <c r="G90" s="5" t="str">
        <f t="shared" si="23"/>
        <v/>
      </c>
    </row>
    <row r="91" spans="7:7">
      <c r="G91" s="5" t="str">
        <f t="shared" si="23"/>
        <v/>
      </c>
    </row>
    <row r="92" spans="7:7">
      <c r="G92" s="5" t="str">
        <f t="shared" si="23"/>
        <v/>
      </c>
    </row>
    <row r="93" spans="7:7">
      <c r="G93" s="5" t="str">
        <f t="shared" si="23"/>
        <v/>
      </c>
    </row>
    <row r="94" spans="7:7">
      <c r="G94" s="5" t="str">
        <f t="shared" si="23"/>
        <v/>
      </c>
    </row>
    <row r="95" spans="7:7">
      <c r="G95" s="5" t="str">
        <f t="shared" si="23"/>
        <v/>
      </c>
    </row>
    <row r="96" spans="7:7">
      <c r="G96" s="5" t="str">
        <f t="shared" si="23"/>
        <v/>
      </c>
    </row>
    <row r="97" spans="7:7">
      <c r="G97" s="5" t="str">
        <f t="shared" si="23"/>
        <v/>
      </c>
    </row>
    <row r="98" spans="7:7">
      <c r="G98" s="5" t="str">
        <f t="shared" si="23"/>
        <v/>
      </c>
    </row>
    <row r="99" spans="7:7">
      <c r="G99" s="5" t="str">
        <f t="shared" si="23"/>
        <v/>
      </c>
    </row>
    <row r="100" spans="7:7">
      <c r="G100" s="5" t="str">
        <f t="shared" si="23"/>
        <v/>
      </c>
    </row>
    <row r="101" spans="7:7">
      <c r="G101" s="5" t="str">
        <f t="shared" si="23"/>
        <v/>
      </c>
    </row>
    <row r="102" spans="7:7">
      <c r="G102" s="5" t="str">
        <f t="shared" si="23"/>
        <v/>
      </c>
    </row>
    <row r="103" spans="7:7">
      <c r="G103" s="5" t="str">
        <f t="shared" si="23"/>
        <v/>
      </c>
    </row>
    <row r="104" spans="7:7">
      <c r="G104" s="5" t="str">
        <f t="shared" si="23"/>
        <v/>
      </c>
    </row>
    <row r="105" spans="7:7">
      <c r="G105" s="5" t="str">
        <f t="shared" si="23"/>
        <v/>
      </c>
    </row>
    <row r="106" spans="7:7">
      <c r="G106" s="5" t="str">
        <f t="shared" si="23"/>
        <v/>
      </c>
    </row>
    <row r="107" spans="7:7">
      <c r="G107" s="5" t="str">
        <f t="shared" si="23"/>
        <v/>
      </c>
    </row>
    <row r="108" spans="7:7">
      <c r="G108" s="5" t="str">
        <f t="shared" si="23"/>
        <v/>
      </c>
    </row>
    <row r="109" spans="7:7">
      <c r="G109" s="5" t="str">
        <f t="shared" si="23"/>
        <v/>
      </c>
    </row>
    <row r="110" spans="7:7">
      <c r="G110" s="5" t="str">
        <f t="shared" si="23"/>
        <v/>
      </c>
    </row>
    <row r="111" spans="7:7">
      <c r="G111" s="5" t="str">
        <f t="shared" si="23"/>
        <v/>
      </c>
    </row>
    <row r="112" spans="7:7">
      <c r="G112" s="5" t="str">
        <f t="shared" si="23"/>
        <v/>
      </c>
    </row>
    <row r="113" spans="7:7">
      <c r="G113" s="5" t="str">
        <f t="shared" si="23"/>
        <v/>
      </c>
    </row>
    <row r="114" spans="7:7">
      <c r="G114" s="5" t="str">
        <f t="shared" si="23"/>
        <v/>
      </c>
    </row>
    <row r="115" spans="7:7">
      <c r="G115" s="5" t="str">
        <f t="shared" si="23"/>
        <v/>
      </c>
    </row>
    <row r="116" spans="7:7">
      <c r="G116" s="5" t="str">
        <f t="shared" si="23"/>
        <v/>
      </c>
    </row>
    <row r="117" spans="7:7">
      <c r="G117" s="5" t="str">
        <f t="shared" si="23"/>
        <v/>
      </c>
    </row>
    <row r="118" spans="7:7">
      <c r="G118" s="5" t="str">
        <f t="shared" ref="G118:G181" si="24">IF(B118&lt;&gt;"",SUM(C118:F118),"")</f>
        <v/>
      </c>
    </row>
    <row r="119" spans="7:7">
      <c r="G119" s="5" t="str">
        <f t="shared" si="24"/>
        <v/>
      </c>
    </row>
    <row r="120" spans="7:7">
      <c r="G120" s="5" t="str">
        <f t="shared" si="24"/>
        <v/>
      </c>
    </row>
    <row r="121" spans="7:7">
      <c r="G121" s="5" t="str">
        <f t="shared" si="24"/>
        <v/>
      </c>
    </row>
    <row r="122" spans="7:7">
      <c r="G122" s="5" t="str">
        <f t="shared" si="24"/>
        <v/>
      </c>
    </row>
    <row r="123" spans="7:7">
      <c r="G123" s="5" t="str">
        <f t="shared" si="24"/>
        <v/>
      </c>
    </row>
    <row r="124" spans="7:7">
      <c r="G124" s="5" t="str">
        <f t="shared" si="24"/>
        <v/>
      </c>
    </row>
    <row r="125" spans="7:7">
      <c r="G125" s="5" t="str">
        <f t="shared" si="24"/>
        <v/>
      </c>
    </row>
    <row r="126" spans="7:7">
      <c r="G126" s="5" t="str">
        <f t="shared" si="24"/>
        <v/>
      </c>
    </row>
    <row r="127" spans="7:7">
      <c r="G127" s="5" t="str">
        <f t="shared" si="24"/>
        <v/>
      </c>
    </row>
    <row r="128" spans="7:7">
      <c r="G128" s="5" t="str">
        <f t="shared" si="24"/>
        <v/>
      </c>
    </row>
    <row r="129" spans="7:7">
      <c r="G129" s="5" t="str">
        <f t="shared" si="24"/>
        <v/>
      </c>
    </row>
    <row r="130" spans="7:7">
      <c r="G130" s="5" t="str">
        <f t="shared" si="24"/>
        <v/>
      </c>
    </row>
    <row r="131" spans="7:7">
      <c r="G131" s="5" t="str">
        <f t="shared" si="24"/>
        <v/>
      </c>
    </row>
    <row r="132" spans="7:7">
      <c r="G132" s="5" t="str">
        <f t="shared" si="24"/>
        <v/>
      </c>
    </row>
    <row r="133" spans="7:7">
      <c r="G133" s="5" t="str">
        <f t="shared" si="24"/>
        <v/>
      </c>
    </row>
    <row r="134" spans="7:7">
      <c r="G134" s="5" t="str">
        <f t="shared" si="24"/>
        <v/>
      </c>
    </row>
    <row r="135" spans="7:7">
      <c r="G135" s="5" t="str">
        <f t="shared" si="24"/>
        <v/>
      </c>
    </row>
    <row r="136" spans="7:7">
      <c r="G136" s="5" t="str">
        <f t="shared" si="24"/>
        <v/>
      </c>
    </row>
    <row r="137" spans="7:7">
      <c r="G137" s="5" t="str">
        <f t="shared" si="24"/>
        <v/>
      </c>
    </row>
    <row r="138" spans="7:7">
      <c r="G138" s="5" t="str">
        <f t="shared" si="24"/>
        <v/>
      </c>
    </row>
    <row r="139" spans="7:7">
      <c r="G139" s="5" t="str">
        <f t="shared" si="24"/>
        <v/>
      </c>
    </row>
    <row r="140" spans="7:7">
      <c r="G140" s="5" t="str">
        <f t="shared" si="24"/>
        <v/>
      </c>
    </row>
    <row r="141" spans="7:7">
      <c r="G141" s="5" t="str">
        <f t="shared" si="24"/>
        <v/>
      </c>
    </row>
    <row r="142" spans="7:7">
      <c r="G142" s="5" t="str">
        <f t="shared" si="24"/>
        <v/>
      </c>
    </row>
    <row r="143" spans="7:7">
      <c r="G143" s="5" t="str">
        <f t="shared" si="24"/>
        <v/>
      </c>
    </row>
    <row r="144" spans="7:7">
      <c r="G144" s="5" t="str">
        <f t="shared" si="24"/>
        <v/>
      </c>
    </row>
    <row r="145" spans="7:7">
      <c r="G145" s="5" t="str">
        <f t="shared" si="24"/>
        <v/>
      </c>
    </row>
    <row r="146" spans="7:7">
      <c r="G146" s="5" t="str">
        <f t="shared" si="24"/>
        <v/>
      </c>
    </row>
    <row r="147" spans="7:7">
      <c r="G147" s="5" t="str">
        <f t="shared" si="24"/>
        <v/>
      </c>
    </row>
    <row r="148" spans="7:7">
      <c r="G148" s="5" t="str">
        <f t="shared" si="24"/>
        <v/>
      </c>
    </row>
    <row r="149" spans="7:7">
      <c r="G149" s="5" t="str">
        <f t="shared" si="24"/>
        <v/>
      </c>
    </row>
    <row r="150" spans="7:7">
      <c r="G150" s="5" t="str">
        <f t="shared" si="24"/>
        <v/>
      </c>
    </row>
    <row r="151" spans="7:7">
      <c r="G151" s="5" t="str">
        <f t="shared" si="24"/>
        <v/>
      </c>
    </row>
    <row r="152" spans="7:7">
      <c r="G152" s="5" t="str">
        <f t="shared" si="24"/>
        <v/>
      </c>
    </row>
    <row r="153" spans="7:7">
      <c r="G153" s="5" t="str">
        <f t="shared" si="24"/>
        <v/>
      </c>
    </row>
    <row r="154" spans="7:7">
      <c r="G154" s="5" t="str">
        <f t="shared" si="24"/>
        <v/>
      </c>
    </row>
    <row r="155" spans="7:7">
      <c r="G155" s="5" t="str">
        <f t="shared" si="24"/>
        <v/>
      </c>
    </row>
    <row r="156" spans="7:7">
      <c r="G156" s="5" t="str">
        <f t="shared" si="24"/>
        <v/>
      </c>
    </row>
    <row r="157" spans="7:7">
      <c r="G157" s="5" t="str">
        <f t="shared" si="24"/>
        <v/>
      </c>
    </row>
    <row r="158" spans="7:7">
      <c r="G158" s="5" t="str">
        <f t="shared" si="24"/>
        <v/>
      </c>
    </row>
    <row r="159" spans="7:7">
      <c r="G159" s="5" t="str">
        <f t="shared" si="24"/>
        <v/>
      </c>
    </row>
    <row r="160" spans="7:7">
      <c r="G160" s="5" t="str">
        <f t="shared" si="24"/>
        <v/>
      </c>
    </row>
    <row r="161" spans="7:7">
      <c r="G161" s="5" t="str">
        <f t="shared" si="24"/>
        <v/>
      </c>
    </row>
    <row r="162" spans="7:7">
      <c r="G162" s="5" t="str">
        <f t="shared" si="24"/>
        <v/>
      </c>
    </row>
    <row r="163" spans="7:7">
      <c r="G163" s="5" t="str">
        <f t="shared" si="24"/>
        <v/>
      </c>
    </row>
    <row r="164" spans="7:7">
      <c r="G164" s="5" t="str">
        <f t="shared" si="24"/>
        <v/>
      </c>
    </row>
    <row r="165" spans="7:7">
      <c r="G165" s="5" t="str">
        <f t="shared" si="24"/>
        <v/>
      </c>
    </row>
    <row r="166" spans="7:7">
      <c r="G166" s="5" t="str">
        <f t="shared" si="24"/>
        <v/>
      </c>
    </row>
    <row r="167" spans="7:7">
      <c r="G167" s="5" t="str">
        <f t="shared" si="24"/>
        <v/>
      </c>
    </row>
    <row r="168" spans="7:7">
      <c r="G168" s="5" t="str">
        <f t="shared" si="24"/>
        <v/>
      </c>
    </row>
    <row r="169" spans="7:7">
      <c r="G169" s="5" t="str">
        <f t="shared" si="24"/>
        <v/>
      </c>
    </row>
    <row r="170" spans="7:7">
      <c r="G170" s="5" t="str">
        <f t="shared" si="24"/>
        <v/>
      </c>
    </row>
    <row r="171" spans="7:7">
      <c r="G171" s="5" t="str">
        <f t="shared" si="24"/>
        <v/>
      </c>
    </row>
    <row r="172" spans="7:7">
      <c r="G172" s="5" t="str">
        <f t="shared" si="24"/>
        <v/>
      </c>
    </row>
    <row r="173" spans="7:7">
      <c r="G173" s="5" t="str">
        <f t="shared" si="24"/>
        <v/>
      </c>
    </row>
    <row r="174" spans="7:7">
      <c r="G174" s="5" t="str">
        <f t="shared" si="24"/>
        <v/>
      </c>
    </row>
    <row r="175" spans="7:7">
      <c r="G175" s="5" t="str">
        <f t="shared" si="24"/>
        <v/>
      </c>
    </row>
    <row r="176" spans="7:7">
      <c r="G176" s="5" t="str">
        <f t="shared" si="24"/>
        <v/>
      </c>
    </row>
    <row r="177" spans="7:7">
      <c r="G177" s="5" t="str">
        <f t="shared" si="24"/>
        <v/>
      </c>
    </row>
    <row r="178" spans="7:7">
      <c r="G178" s="5" t="str">
        <f t="shared" si="24"/>
        <v/>
      </c>
    </row>
    <row r="179" spans="7:7">
      <c r="G179" s="5" t="str">
        <f t="shared" si="24"/>
        <v/>
      </c>
    </row>
    <row r="180" spans="7:7">
      <c r="G180" s="5" t="str">
        <f t="shared" si="24"/>
        <v/>
      </c>
    </row>
    <row r="181" spans="7:7">
      <c r="G181" s="5" t="str">
        <f t="shared" si="24"/>
        <v/>
      </c>
    </row>
    <row r="182" spans="7:7">
      <c r="G182" s="5" t="str">
        <f t="shared" ref="G182:G245" si="25">IF(B182&lt;&gt;"",SUM(C182:F182),"")</f>
        <v/>
      </c>
    </row>
    <row r="183" spans="7:7">
      <c r="G183" s="5" t="str">
        <f t="shared" si="25"/>
        <v/>
      </c>
    </row>
    <row r="184" spans="7:7">
      <c r="G184" s="5" t="str">
        <f t="shared" si="25"/>
        <v/>
      </c>
    </row>
    <row r="185" spans="7:7">
      <c r="G185" s="5" t="str">
        <f t="shared" si="25"/>
        <v/>
      </c>
    </row>
    <row r="186" spans="7:7">
      <c r="G186" s="5" t="str">
        <f t="shared" si="25"/>
        <v/>
      </c>
    </row>
    <row r="187" spans="7:7">
      <c r="G187" s="5" t="str">
        <f t="shared" si="25"/>
        <v/>
      </c>
    </row>
    <row r="188" spans="7:7">
      <c r="G188" s="5" t="str">
        <f t="shared" si="25"/>
        <v/>
      </c>
    </row>
    <row r="189" spans="7:7">
      <c r="G189" s="5" t="str">
        <f t="shared" si="25"/>
        <v/>
      </c>
    </row>
    <row r="190" spans="7:7">
      <c r="G190" s="5" t="str">
        <f t="shared" si="25"/>
        <v/>
      </c>
    </row>
    <row r="191" spans="7:7">
      <c r="G191" s="5" t="str">
        <f t="shared" si="25"/>
        <v/>
      </c>
    </row>
    <row r="192" spans="7:7">
      <c r="G192" s="5" t="str">
        <f t="shared" si="25"/>
        <v/>
      </c>
    </row>
    <row r="193" spans="7:7">
      <c r="G193" s="5" t="str">
        <f t="shared" si="25"/>
        <v/>
      </c>
    </row>
    <row r="194" spans="7:7">
      <c r="G194" s="5" t="str">
        <f t="shared" si="25"/>
        <v/>
      </c>
    </row>
    <row r="195" spans="7:7">
      <c r="G195" s="5" t="str">
        <f t="shared" si="25"/>
        <v/>
      </c>
    </row>
    <row r="196" spans="7:7">
      <c r="G196" s="5" t="str">
        <f t="shared" si="25"/>
        <v/>
      </c>
    </row>
    <row r="197" spans="7:7">
      <c r="G197" s="5" t="str">
        <f t="shared" si="25"/>
        <v/>
      </c>
    </row>
    <row r="198" spans="7:7">
      <c r="G198" s="5" t="str">
        <f t="shared" si="25"/>
        <v/>
      </c>
    </row>
    <row r="199" spans="7:7">
      <c r="G199" s="5" t="str">
        <f t="shared" si="25"/>
        <v/>
      </c>
    </row>
    <row r="200" spans="7:7">
      <c r="G200" s="5" t="str">
        <f t="shared" si="25"/>
        <v/>
      </c>
    </row>
    <row r="201" spans="7:7">
      <c r="G201" s="5" t="str">
        <f t="shared" si="25"/>
        <v/>
      </c>
    </row>
    <row r="202" spans="7:7">
      <c r="G202" s="5" t="str">
        <f t="shared" si="25"/>
        <v/>
      </c>
    </row>
    <row r="203" spans="7:7">
      <c r="G203" s="5" t="str">
        <f t="shared" si="25"/>
        <v/>
      </c>
    </row>
    <row r="204" spans="7:7">
      <c r="G204" s="5" t="str">
        <f t="shared" si="25"/>
        <v/>
      </c>
    </row>
    <row r="205" spans="7:7">
      <c r="G205" s="5" t="str">
        <f t="shared" si="25"/>
        <v/>
      </c>
    </row>
    <row r="206" spans="7:7">
      <c r="G206" s="5" t="str">
        <f t="shared" si="25"/>
        <v/>
      </c>
    </row>
    <row r="207" spans="7:7">
      <c r="G207" s="5" t="str">
        <f t="shared" si="25"/>
        <v/>
      </c>
    </row>
    <row r="208" spans="7:7">
      <c r="G208" s="5" t="str">
        <f t="shared" si="25"/>
        <v/>
      </c>
    </row>
    <row r="209" spans="7:7">
      <c r="G209" s="5" t="str">
        <f t="shared" si="25"/>
        <v/>
      </c>
    </row>
    <row r="210" spans="7:7">
      <c r="G210" s="5" t="str">
        <f t="shared" si="25"/>
        <v/>
      </c>
    </row>
    <row r="211" spans="7:7">
      <c r="G211" s="5" t="str">
        <f t="shared" si="25"/>
        <v/>
      </c>
    </row>
    <row r="212" spans="7:7">
      <c r="G212" s="5" t="str">
        <f t="shared" si="25"/>
        <v/>
      </c>
    </row>
    <row r="213" spans="7:7">
      <c r="G213" s="5" t="str">
        <f t="shared" si="25"/>
        <v/>
      </c>
    </row>
    <row r="214" spans="7:7">
      <c r="G214" s="5" t="str">
        <f t="shared" si="25"/>
        <v/>
      </c>
    </row>
    <row r="215" spans="7:7">
      <c r="G215" s="5" t="str">
        <f t="shared" si="25"/>
        <v/>
      </c>
    </row>
    <row r="216" spans="7:7">
      <c r="G216" s="5" t="str">
        <f t="shared" si="25"/>
        <v/>
      </c>
    </row>
    <row r="217" spans="7:7">
      <c r="G217" s="5" t="str">
        <f t="shared" si="25"/>
        <v/>
      </c>
    </row>
    <row r="218" spans="7:7">
      <c r="G218" s="5" t="str">
        <f t="shared" si="25"/>
        <v/>
      </c>
    </row>
    <row r="219" spans="7:7">
      <c r="G219" s="5" t="str">
        <f t="shared" si="25"/>
        <v/>
      </c>
    </row>
    <row r="220" spans="7:7">
      <c r="G220" s="5" t="str">
        <f t="shared" si="25"/>
        <v/>
      </c>
    </row>
    <row r="221" spans="7:7">
      <c r="G221" s="5" t="str">
        <f t="shared" si="25"/>
        <v/>
      </c>
    </row>
    <row r="222" spans="7:7">
      <c r="G222" s="5" t="str">
        <f t="shared" si="25"/>
        <v/>
      </c>
    </row>
    <row r="223" spans="7:7">
      <c r="G223" s="5" t="str">
        <f t="shared" si="25"/>
        <v/>
      </c>
    </row>
    <row r="224" spans="7:7">
      <c r="G224" s="5" t="str">
        <f t="shared" si="25"/>
        <v/>
      </c>
    </row>
    <row r="225" spans="7:7">
      <c r="G225" s="5" t="str">
        <f t="shared" si="25"/>
        <v/>
      </c>
    </row>
    <row r="226" spans="7:7">
      <c r="G226" s="5" t="str">
        <f t="shared" si="25"/>
        <v/>
      </c>
    </row>
    <row r="227" spans="7:7">
      <c r="G227" s="5" t="str">
        <f t="shared" si="25"/>
        <v/>
      </c>
    </row>
    <row r="228" spans="7:7">
      <c r="G228" s="5" t="str">
        <f t="shared" si="25"/>
        <v/>
      </c>
    </row>
    <row r="229" spans="7:7">
      <c r="G229" s="5" t="str">
        <f t="shared" si="25"/>
        <v/>
      </c>
    </row>
    <row r="230" spans="7:7">
      <c r="G230" s="5" t="str">
        <f t="shared" si="25"/>
        <v/>
      </c>
    </row>
    <row r="231" spans="7:7">
      <c r="G231" s="5" t="str">
        <f t="shared" si="25"/>
        <v/>
      </c>
    </row>
    <row r="232" spans="7:7">
      <c r="G232" s="5" t="str">
        <f t="shared" si="25"/>
        <v/>
      </c>
    </row>
    <row r="233" spans="7:7">
      <c r="G233" s="5" t="str">
        <f t="shared" si="25"/>
        <v/>
      </c>
    </row>
    <row r="234" spans="7:7">
      <c r="G234" s="5" t="str">
        <f t="shared" si="25"/>
        <v/>
      </c>
    </row>
    <row r="235" spans="7:7">
      <c r="G235" s="5" t="str">
        <f t="shared" si="25"/>
        <v/>
      </c>
    </row>
    <row r="236" spans="7:7">
      <c r="G236" s="5" t="str">
        <f t="shared" si="25"/>
        <v/>
      </c>
    </row>
    <row r="237" spans="7:7">
      <c r="G237" s="5" t="str">
        <f t="shared" si="25"/>
        <v/>
      </c>
    </row>
    <row r="238" spans="7:7">
      <c r="G238" s="5" t="str">
        <f t="shared" si="25"/>
        <v/>
      </c>
    </row>
    <row r="239" spans="7:7">
      <c r="G239" s="5" t="str">
        <f t="shared" si="25"/>
        <v/>
      </c>
    </row>
    <row r="240" spans="7:7">
      <c r="G240" s="5" t="str">
        <f t="shared" si="25"/>
        <v/>
      </c>
    </row>
    <row r="241" spans="7:7">
      <c r="G241" s="5" t="str">
        <f t="shared" si="25"/>
        <v/>
      </c>
    </row>
    <row r="242" spans="7:7">
      <c r="G242" s="5" t="str">
        <f t="shared" si="25"/>
        <v/>
      </c>
    </row>
    <row r="243" spans="7:7">
      <c r="G243" s="5" t="str">
        <f t="shared" si="25"/>
        <v/>
      </c>
    </row>
    <row r="244" spans="7:7">
      <c r="G244" s="5" t="str">
        <f t="shared" si="25"/>
        <v/>
      </c>
    </row>
    <row r="245" spans="7:7">
      <c r="G245" s="5" t="str">
        <f t="shared" si="25"/>
        <v/>
      </c>
    </row>
    <row r="246" spans="7:7">
      <c r="G246" s="5" t="str">
        <f t="shared" ref="G246:G309" si="26">IF(B246&lt;&gt;"",SUM(C246:F246),"")</f>
        <v/>
      </c>
    </row>
    <row r="247" spans="7:7">
      <c r="G247" s="5" t="str">
        <f t="shared" si="26"/>
        <v/>
      </c>
    </row>
    <row r="248" spans="7:7">
      <c r="G248" s="5" t="str">
        <f t="shared" si="26"/>
        <v/>
      </c>
    </row>
    <row r="249" spans="7:7">
      <c r="G249" s="5" t="str">
        <f t="shared" si="26"/>
        <v/>
      </c>
    </row>
    <row r="250" spans="7:7">
      <c r="G250" s="5" t="str">
        <f t="shared" si="26"/>
        <v/>
      </c>
    </row>
    <row r="251" spans="7:7">
      <c r="G251" s="5" t="str">
        <f t="shared" si="26"/>
        <v/>
      </c>
    </row>
    <row r="252" spans="7:7">
      <c r="G252" s="5" t="str">
        <f t="shared" si="26"/>
        <v/>
      </c>
    </row>
    <row r="253" spans="7:7">
      <c r="G253" s="5" t="str">
        <f t="shared" si="26"/>
        <v/>
      </c>
    </row>
    <row r="254" spans="7:7">
      <c r="G254" s="5" t="str">
        <f t="shared" si="26"/>
        <v/>
      </c>
    </row>
    <row r="255" spans="7:7">
      <c r="G255" s="5" t="str">
        <f t="shared" si="26"/>
        <v/>
      </c>
    </row>
    <row r="256" spans="7:7">
      <c r="G256" s="5" t="str">
        <f t="shared" si="26"/>
        <v/>
      </c>
    </row>
    <row r="257" spans="7:7">
      <c r="G257" s="5" t="str">
        <f t="shared" si="26"/>
        <v/>
      </c>
    </row>
    <row r="258" spans="7:7">
      <c r="G258" s="5" t="str">
        <f t="shared" si="26"/>
        <v/>
      </c>
    </row>
    <row r="259" spans="7:7">
      <c r="G259" s="5" t="str">
        <f t="shared" si="26"/>
        <v/>
      </c>
    </row>
    <row r="260" spans="7:7">
      <c r="G260" s="5" t="str">
        <f t="shared" si="26"/>
        <v/>
      </c>
    </row>
    <row r="261" spans="7:7">
      <c r="G261" s="5" t="str">
        <f t="shared" si="26"/>
        <v/>
      </c>
    </row>
    <row r="262" spans="7:7">
      <c r="G262" s="5" t="str">
        <f t="shared" si="26"/>
        <v/>
      </c>
    </row>
    <row r="263" spans="7:7">
      <c r="G263" s="5" t="str">
        <f t="shared" si="26"/>
        <v/>
      </c>
    </row>
    <row r="264" spans="7:7">
      <c r="G264" s="5" t="str">
        <f t="shared" si="26"/>
        <v/>
      </c>
    </row>
    <row r="265" spans="7:7">
      <c r="G265" s="5" t="str">
        <f t="shared" si="26"/>
        <v/>
      </c>
    </row>
    <row r="266" spans="7:7">
      <c r="G266" s="5" t="str">
        <f t="shared" si="26"/>
        <v/>
      </c>
    </row>
    <row r="267" spans="7:7">
      <c r="G267" s="5" t="str">
        <f t="shared" si="26"/>
        <v/>
      </c>
    </row>
    <row r="268" spans="7:7">
      <c r="G268" s="5" t="str">
        <f t="shared" si="26"/>
        <v/>
      </c>
    </row>
    <row r="269" spans="7:7">
      <c r="G269" s="5" t="str">
        <f t="shared" si="26"/>
        <v/>
      </c>
    </row>
    <row r="270" spans="7:7">
      <c r="G270" s="5" t="str">
        <f t="shared" si="26"/>
        <v/>
      </c>
    </row>
    <row r="271" spans="7:7">
      <c r="G271" s="5" t="str">
        <f t="shared" si="26"/>
        <v/>
      </c>
    </row>
    <row r="272" spans="7:7">
      <c r="G272" s="5" t="str">
        <f t="shared" si="26"/>
        <v/>
      </c>
    </row>
    <row r="273" spans="7:7">
      <c r="G273" s="5" t="str">
        <f t="shared" si="26"/>
        <v/>
      </c>
    </row>
    <row r="274" spans="7:7">
      <c r="G274" s="5" t="str">
        <f t="shared" si="26"/>
        <v/>
      </c>
    </row>
    <row r="275" spans="7:7">
      <c r="G275" s="5" t="str">
        <f t="shared" si="26"/>
        <v/>
      </c>
    </row>
    <row r="276" spans="7:7">
      <c r="G276" s="5" t="str">
        <f t="shared" si="26"/>
        <v/>
      </c>
    </row>
    <row r="277" spans="7:7">
      <c r="G277" s="5" t="str">
        <f t="shared" si="26"/>
        <v/>
      </c>
    </row>
    <row r="278" spans="7:7">
      <c r="G278" s="5" t="str">
        <f t="shared" si="26"/>
        <v/>
      </c>
    </row>
    <row r="279" spans="7:7">
      <c r="G279" s="5" t="str">
        <f t="shared" si="26"/>
        <v/>
      </c>
    </row>
    <row r="280" spans="7:7">
      <c r="G280" s="5" t="str">
        <f t="shared" si="26"/>
        <v/>
      </c>
    </row>
    <row r="281" spans="7:7">
      <c r="G281" s="5" t="str">
        <f t="shared" si="26"/>
        <v/>
      </c>
    </row>
    <row r="282" spans="7:7">
      <c r="G282" s="5" t="str">
        <f t="shared" si="26"/>
        <v/>
      </c>
    </row>
    <row r="283" spans="7:7">
      <c r="G283" s="5" t="str">
        <f t="shared" si="26"/>
        <v/>
      </c>
    </row>
    <row r="284" spans="7:7">
      <c r="G284" s="5" t="str">
        <f t="shared" si="26"/>
        <v/>
      </c>
    </row>
    <row r="285" spans="7:7">
      <c r="G285" s="5" t="str">
        <f t="shared" si="26"/>
        <v/>
      </c>
    </row>
    <row r="286" spans="7:7">
      <c r="G286" s="5" t="str">
        <f t="shared" si="26"/>
        <v/>
      </c>
    </row>
    <row r="287" spans="7:7">
      <c r="G287" s="5" t="str">
        <f t="shared" si="26"/>
        <v/>
      </c>
    </row>
    <row r="288" spans="7:7">
      <c r="G288" s="5" t="str">
        <f t="shared" si="26"/>
        <v/>
      </c>
    </row>
    <row r="289" spans="7:7">
      <c r="G289" s="5" t="str">
        <f t="shared" si="26"/>
        <v/>
      </c>
    </row>
    <row r="290" spans="7:7">
      <c r="G290" s="5" t="str">
        <f t="shared" si="26"/>
        <v/>
      </c>
    </row>
    <row r="291" spans="7:7">
      <c r="G291" s="5" t="str">
        <f t="shared" si="26"/>
        <v/>
      </c>
    </row>
    <row r="292" spans="7:7">
      <c r="G292" s="5" t="str">
        <f t="shared" si="26"/>
        <v/>
      </c>
    </row>
    <row r="293" spans="7:7">
      <c r="G293" s="5" t="str">
        <f t="shared" si="26"/>
        <v/>
      </c>
    </row>
    <row r="294" spans="7:7">
      <c r="G294" s="5" t="str">
        <f t="shared" si="26"/>
        <v/>
      </c>
    </row>
    <row r="295" spans="7:7">
      <c r="G295" s="5" t="str">
        <f t="shared" si="26"/>
        <v/>
      </c>
    </row>
    <row r="296" spans="7:7">
      <c r="G296" s="5" t="str">
        <f t="shared" si="26"/>
        <v/>
      </c>
    </row>
    <row r="297" spans="7:7">
      <c r="G297" s="5" t="str">
        <f t="shared" si="26"/>
        <v/>
      </c>
    </row>
    <row r="298" spans="7:7">
      <c r="G298" s="5" t="str">
        <f t="shared" si="26"/>
        <v/>
      </c>
    </row>
    <row r="299" spans="7:7">
      <c r="G299" s="5" t="str">
        <f t="shared" si="26"/>
        <v/>
      </c>
    </row>
    <row r="300" spans="7:7">
      <c r="G300" s="5" t="str">
        <f t="shared" si="26"/>
        <v/>
      </c>
    </row>
    <row r="301" spans="7:7">
      <c r="G301" s="5" t="str">
        <f t="shared" si="26"/>
        <v/>
      </c>
    </row>
    <row r="302" spans="7:7">
      <c r="G302" s="5" t="str">
        <f t="shared" si="26"/>
        <v/>
      </c>
    </row>
    <row r="303" spans="7:7">
      <c r="G303" s="5" t="str">
        <f t="shared" si="26"/>
        <v/>
      </c>
    </row>
    <row r="304" spans="7:7">
      <c r="G304" s="5" t="str">
        <f t="shared" si="26"/>
        <v/>
      </c>
    </row>
    <row r="305" spans="7:7">
      <c r="G305" s="5" t="str">
        <f t="shared" si="26"/>
        <v/>
      </c>
    </row>
    <row r="306" spans="7:7">
      <c r="G306" s="5" t="str">
        <f t="shared" si="26"/>
        <v/>
      </c>
    </row>
    <row r="307" spans="7:7">
      <c r="G307" s="5" t="str">
        <f t="shared" si="26"/>
        <v/>
      </c>
    </row>
    <row r="308" spans="7:7">
      <c r="G308" s="5" t="str">
        <f t="shared" si="26"/>
        <v/>
      </c>
    </row>
    <row r="309" spans="7:7">
      <c r="G309" s="5" t="str">
        <f t="shared" si="26"/>
        <v/>
      </c>
    </row>
    <row r="310" spans="7:7">
      <c r="G310" s="5" t="str">
        <f t="shared" ref="G310:G373" si="27">IF(B310&lt;&gt;"",SUM(C310:F310),"")</f>
        <v/>
      </c>
    </row>
    <row r="311" spans="7:7">
      <c r="G311" s="5" t="str">
        <f t="shared" si="27"/>
        <v/>
      </c>
    </row>
    <row r="312" spans="7:7">
      <c r="G312" s="5" t="str">
        <f t="shared" si="27"/>
        <v/>
      </c>
    </row>
    <row r="313" spans="7:7">
      <c r="G313" s="5" t="str">
        <f t="shared" si="27"/>
        <v/>
      </c>
    </row>
    <row r="314" spans="7:7">
      <c r="G314" s="5" t="str">
        <f t="shared" si="27"/>
        <v/>
      </c>
    </row>
    <row r="315" spans="7:7">
      <c r="G315" s="5" t="str">
        <f t="shared" si="27"/>
        <v/>
      </c>
    </row>
    <row r="316" spans="7:7">
      <c r="G316" s="5" t="str">
        <f t="shared" si="27"/>
        <v/>
      </c>
    </row>
    <row r="317" spans="7:7">
      <c r="G317" s="5" t="str">
        <f t="shared" si="27"/>
        <v/>
      </c>
    </row>
    <row r="318" spans="7:7">
      <c r="G318" s="5" t="str">
        <f t="shared" si="27"/>
        <v/>
      </c>
    </row>
    <row r="319" spans="7:7">
      <c r="G319" s="5" t="str">
        <f t="shared" si="27"/>
        <v/>
      </c>
    </row>
    <row r="320" spans="7:7">
      <c r="G320" s="5" t="str">
        <f t="shared" si="27"/>
        <v/>
      </c>
    </row>
    <row r="321" spans="7:7">
      <c r="G321" s="5" t="str">
        <f t="shared" si="27"/>
        <v/>
      </c>
    </row>
    <row r="322" spans="7:7">
      <c r="G322" s="5" t="str">
        <f t="shared" si="27"/>
        <v/>
      </c>
    </row>
    <row r="323" spans="7:7">
      <c r="G323" s="5" t="str">
        <f t="shared" si="27"/>
        <v/>
      </c>
    </row>
    <row r="324" spans="7:7">
      <c r="G324" s="5" t="str">
        <f t="shared" si="27"/>
        <v/>
      </c>
    </row>
    <row r="325" spans="7:7">
      <c r="G325" s="5" t="str">
        <f t="shared" si="27"/>
        <v/>
      </c>
    </row>
    <row r="326" spans="7:7">
      <c r="G326" s="5" t="str">
        <f t="shared" si="27"/>
        <v/>
      </c>
    </row>
    <row r="327" spans="7:7">
      <c r="G327" s="5" t="str">
        <f t="shared" si="27"/>
        <v/>
      </c>
    </row>
    <row r="328" spans="7:7">
      <c r="G328" s="5" t="str">
        <f t="shared" si="27"/>
        <v/>
      </c>
    </row>
    <row r="329" spans="7:7">
      <c r="G329" s="5" t="str">
        <f t="shared" si="27"/>
        <v/>
      </c>
    </row>
    <row r="330" spans="7:7">
      <c r="G330" s="5" t="str">
        <f t="shared" si="27"/>
        <v/>
      </c>
    </row>
    <row r="331" spans="7:7">
      <c r="G331" s="5" t="str">
        <f t="shared" si="27"/>
        <v/>
      </c>
    </row>
    <row r="332" spans="7:7">
      <c r="G332" s="5" t="str">
        <f t="shared" si="27"/>
        <v/>
      </c>
    </row>
    <row r="333" spans="7:7">
      <c r="G333" s="5" t="str">
        <f t="shared" si="27"/>
        <v/>
      </c>
    </row>
    <row r="334" spans="7:7">
      <c r="G334" s="5" t="str">
        <f t="shared" si="27"/>
        <v/>
      </c>
    </row>
    <row r="335" spans="7:7">
      <c r="G335" s="5" t="str">
        <f t="shared" si="27"/>
        <v/>
      </c>
    </row>
    <row r="336" spans="7:7">
      <c r="G336" s="5" t="str">
        <f t="shared" si="27"/>
        <v/>
      </c>
    </row>
    <row r="337" spans="7:7">
      <c r="G337" s="5" t="str">
        <f t="shared" si="27"/>
        <v/>
      </c>
    </row>
    <row r="338" spans="7:7">
      <c r="G338" s="5" t="str">
        <f t="shared" si="27"/>
        <v/>
      </c>
    </row>
    <row r="339" spans="7:7">
      <c r="G339" s="5" t="str">
        <f t="shared" si="27"/>
        <v/>
      </c>
    </row>
    <row r="340" spans="7:7">
      <c r="G340" s="5" t="str">
        <f t="shared" si="27"/>
        <v/>
      </c>
    </row>
    <row r="341" spans="7:7">
      <c r="G341" s="5" t="str">
        <f t="shared" si="27"/>
        <v/>
      </c>
    </row>
    <row r="342" spans="7:7">
      <c r="G342" s="5" t="str">
        <f t="shared" si="27"/>
        <v/>
      </c>
    </row>
    <row r="343" spans="7:7">
      <c r="G343" s="5" t="str">
        <f t="shared" si="27"/>
        <v/>
      </c>
    </row>
    <row r="344" spans="7:7">
      <c r="G344" s="5" t="str">
        <f t="shared" si="27"/>
        <v/>
      </c>
    </row>
    <row r="345" spans="7:7">
      <c r="G345" s="5" t="str">
        <f t="shared" si="27"/>
        <v/>
      </c>
    </row>
    <row r="346" spans="7:7">
      <c r="G346" s="5" t="str">
        <f t="shared" si="27"/>
        <v/>
      </c>
    </row>
    <row r="347" spans="7:7">
      <c r="G347" s="5" t="str">
        <f t="shared" si="27"/>
        <v/>
      </c>
    </row>
    <row r="348" spans="7:7">
      <c r="G348" s="5" t="str">
        <f t="shared" si="27"/>
        <v/>
      </c>
    </row>
    <row r="349" spans="7:7">
      <c r="G349" s="5" t="str">
        <f t="shared" si="27"/>
        <v/>
      </c>
    </row>
    <row r="350" spans="7:7">
      <c r="G350" s="5" t="str">
        <f t="shared" si="27"/>
        <v/>
      </c>
    </row>
    <row r="351" spans="7:7">
      <c r="G351" s="5" t="str">
        <f t="shared" si="27"/>
        <v/>
      </c>
    </row>
    <row r="352" spans="7:7">
      <c r="G352" s="5" t="str">
        <f t="shared" si="27"/>
        <v/>
      </c>
    </row>
    <row r="353" spans="7:7">
      <c r="G353" s="5" t="str">
        <f t="shared" si="27"/>
        <v/>
      </c>
    </row>
    <row r="354" spans="7:7">
      <c r="G354" s="5" t="str">
        <f t="shared" si="27"/>
        <v/>
      </c>
    </row>
    <row r="355" spans="7:7">
      <c r="G355" s="5" t="str">
        <f t="shared" si="27"/>
        <v/>
      </c>
    </row>
    <row r="356" spans="7:7">
      <c r="G356" s="5" t="str">
        <f t="shared" si="27"/>
        <v/>
      </c>
    </row>
    <row r="357" spans="7:7">
      <c r="G357" s="5" t="str">
        <f t="shared" si="27"/>
        <v/>
      </c>
    </row>
    <row r="358" spans="7:7">
      <c r="G358" s="5" t="str">
        <f t="shared" si="27"/>
        <v/>
      </c>
    </row>
    <row r="359" spans="7:7">
      <c r="G359" s="5" t="str">
        <f t="shared" si="27"/>
        <v/>
      </c>
    </row>
    <row r="360" spans="7:7">
      <c r="G360" s="5" t="str">
        <f t="shared" si="27"/>
        <v/>
      </c>
    </row>
    <row r="361" spans="7:7">
      <c r="G361" s="5" t="str">
        <f t="shared" si="27"/>
        <v/>
      </c>
    </row>
    <row r="362" spans="7:7">
      <c r="G362" s="5" t="str">
        <f t="shared" si="27"/>
        <v/>
      </c>
    </row>
    <row r="363" spans="7:7">
      <c r="G363" s="5" t="str">
        <f t="shared" si="27"/>
        <v/>
      </c>
    </row>
    <row r="364" spans="7:7">
      <c r="G364" s="5" t="str">
        <f t="shared" si="27"/>
        <v/>
      </c>
    </row>
    <row r="365" spans="7:7">
      <c r="G365" s="5" t="str">
        <f t="shared" si="27"/>
        <v/>
      </c>
    </row>
    <row r="366" spans="7:7">
      <c r="G366" s="5" t="str">
        <f t="shared" si="27"/>
        <v/>
      </c>
    </row>
    <row r="367" spans="7:7">
      <c r="G367" s="5" t="str">
        <f t="shared" si="27"/>
        <v/>
      </c>
    </row>
    <row r="368" spans="7:7">
      <c r="G368" s="5" t="str">
        <f t="shared" si="27"/>
        <v/>
      </c>
    </row>
    <row r="369" spans="7:7">
      <c r="G369" s="5" t="str">
        <f t="shared" si="27"/>
        <v/>
      </c>
    </row>
    <row r="370" spans="7:7">
      <c r="G370" s="5" t="str">
        <f t="shared" si="27"/>
        <v/>
      </c>
    </row>
    <row r="371" spans="7:7">
      <c r="G371" s="5" t="str">
        <f t="shared" si="27"/>
        <v/>
      </c>
    </row>
    <row r="372" spans="7:7">
      <c r="G372" s="5" t="str">
        <f t="shared" si="27"/>
        <v/>
      </c>
    </row>
    <row r="373" spans="7:7">
      <c r="G373" s="5" t="str">
        <f t="shared" si="27"/>
        <v/>
      </c>
    </row>
    <row r="374" spans="7:7">
      <c r="G374" s="5" t="str">
        <f t="shared" ref="G374:G437" si="28">IF(B374&lt;&gt;"",SUM(C374:F374),"")</f>
        <v/>
      </c>
    </row>
    <row r="375" spans="7:7">
      <c r="G375" s="5" t="str">
        <f t="shared" si="28"/>
        <v/>
      </c>
    </row>
    <row r="376" spans="7:7">
      <c r="G376" s="5" t="str">
        <f t="shared" si="28"/>
        <v/>
      </c>
    </row>
    <row r="377" spans="7:7">
      <c r="G377" s="5" t="str">
        <f t="shared" si="28"/>
        <v/>
      </c>
    </row>
    <row r="378" spans="7:7">
      <c r="G378" s="5" t="str">
        <f t="shared" si="28"/>
        <v/>
      </c>
    </row>
    <row r="379" spans="7:7">
      <c r="G379" s="5" t="str">
        <f t="shared" si="28"/>
        <v/>
      </c>
    </row>
    <row r="380" spans="7:7">
      <c r="G380" s="5" t="str">
        <f t="shared" si="28"/>
        <v/>
      </c>
    </row>
    <row r="381" spans="7:7">
      <c r="G381" s="5" t="str">
        <f t="shared" si="28"/>
        <v/>
      </c>
    </row>
    <row r="382" spans="7:7">
      <c r="G382" s="5" t="str">
        <f t="shared" si="28"/>
        <v/>
      </c>
    </row>
    <row r="383" spans="7:7">
      <c r="G383" s="5" t="str">
        <f t="shared" si="28"/>
        <v/>
      </c>
    </row>
    <row r="384" spans="7:7">
      <c r="G384" s="5" t="str">
        <f t="shared" si="28"/>
        <v/>
      </c>
    </row>
    <row r="385" spans="7:7">
      <c r="G385" s="5" t="str">
        <f t="shared" si="28"/>
        <v/>
      </c>
    </row>
    <row r="386" spans="7:7">
      <c r="G386" s="5" t="str">
        <f t="shared" si="28"/>
        <v/>
      </c>
    </row>
    <row r="387" spans="7:7">
      <c r="G387" s="5" t="str">
        <f t="shared" si="28"/>
        <v/>
      </c>
    </row>
    <row r="388" spans="7:7">
      <c r="G388" s="5" t="str">
        <f t="shared" si="28"/>
        <v/>
      </c>
    </row>
    <row r="389" spans="7:7">
      <c r="G389" s="5" t="str">
        <f t="shared" si="28"/>
        <v/>
      </c>
    </row>
    <row r="390" spans="7:7">
      <c r="G390" s="5" t="str">
        <f t="shared" si="28"/>
        <v/>
      </c>
    </row>
    <row r="391" spans="7:7">
      <c r="G391" s="5" t="str">
        <f t="shared" si="28"/>
        <v/>
      </c>
    </row>
    <row r="392" spans="7:7">
      <c r="G392" s="5" t="str">
        <f t="shared" si="28"/>
        <v/>
      </c>
    </row>
    <row r="393" spans="7:7">
      <c r="G393" s="5" t="str">
        <f t="shared" si="28"/>
        <v/>
      </c>
    </row>
    <row r="394" spans="7:7">
      <c r="G394" s="5" t="str">
        <f t="shared" si="28"/>
        <v/>
      </c>
    </row>
    <row r="395" spans="7:7">
      <c r="G395" s="5" t="str">
        <f t="shared" si="28"/>
        <v/>
      </c>
    </row>
    <row r="396" spans="7:7">
      <c r="G396" s="5" t="str">
        <f t="shared" si="28"/>
        <v/>
      </c>
    </row>
    <row r="397" spans="7:7">
      <c r="G397" s="5" t="str">
        <f t="shared" si="28"/>
        <v/>
      </c>
    </row>
    <row r="398" spans="7:7">
      <c r="G398" s="5" t="str">
        <f t="shared" si="28"/>
        <v/>
      </c>
    </row>
    <row r="399" spans="7:7">
      <c r="G399" s="5" t="str">
        <f t="shared" si="28"/>
        <v/>
      </c>
    </row>
    <row r="400" spans="7:7">
      <c r="G400" s="5" t="str">
        <f t="shared" si="28"/>
        <v/>
      </c>
    </row>
    <row r="401" spans="7:7">
      <c r="G401" s="5" t="str">
        <f t="shared" si="28"/>
        <v/>
      </c>
    </row>
    <row r="402" spans="7:7">
      <c r="G402" s="5" t="str">
        <f t="shared" si="28"/>
        <v/>
      </c>
    </row>
    <row r="403" spans="7:7">
      <c r="G403" s="5" t="str">
        <f t="shared" si="28"/>
        <v/>
      </c>
    </row>
    <row r="404" spans="7:7">
      <c r="G404" s="5" t="str">
        <f t="shared" si="28"/>
        <v/>
      </c>
    </row>
    <row r="405" spans="7:7">
      <c r="G405" s="5" t="str">
        <f t="shared" si="28"/>
        <v/>
      </c>
    </row>
    <row r="406" spans="7:7">
      <c r="G406" s="5" t="str">
        <f t="shared" si="28"/>
        <v/>
      </c>
    </row>
    <row r="407" spans="7:7">
      <c r="G407" s="5" t="str">
        <f t="shared" si="28"/>
        <v/>
      </c>
    </row>
    <row r="408" spans="7:7">
      <c r="G408" s="5" t="str">
        <f t="shared" si="28"/>
        <v/>
      </c>
    </row>
    <row r="409" spans="7:7">
      <c r="G409" s="5" t="str">
        <f t="shared" si="28"/>
        <v/>
      </c>
    </row>
    <row r="410" spans="7:7">
      <c r="G410" s="5" t="str">
        <f t="shared" si="28"/>
        <v/>
      </c>
    </row>
    <row r="411" spans="7:7">
      <c r="G411" s="5" t="str">
        <f t="shared" si="28"/>
        <v/>
      </c>
    </row>
    <row r="412" spans="7:7">
      <c r="G412" s="5" t="str">
        <f t="shared" si="28"/>
        <v/>
      </c>
    </row>
    <row r="413" spans="7:7">
      <c r="G413" s="5" t="str">
        <f t="shared" si="28"/>
        <v/>
      </c>
    </row>
    <row r="414" spans="7:7">
      <c r="G414" s="5" t="str">
        <f t="shared" si="28"/>
        <v/>
      </c>
    </row>
    <row r="415" spans="7:7">
      <c r="G415" s="5" t="str">
        <f t="shared" si="28"/>
        <v/>
      </c>
    </row>
    <row r="416" spans="7:7">
      <c r="G416" s="5" t="str">
        <f t="shared" si="28"/>
        <v/>
      </c>
    </row>
    <row r="417" spans="7:7">
      <c r="G417" s="5" t="str">
        <f t="shared" si="28"/>
        <v/>
      </c>
    </row>
    <row r="418" spans="7:7">
      <c r="G418" s="5" t="str">
        <f t="shared" si="28"/>
        <v/>
      </c>
    </row>
    <row r="419" spans="7:7">
      <c r="G419" s="5" t="str">
        <f t="shared" si="28"/>
        <v/>
      </c>
    </row>
    <row r="420" spans="7:7">
      <c r="G420" s="5" t="str">
        <f t="shared" si="28"/>
        <v/>
      </c>
    </row>
    <row r="421" spans="7:7">
      <c r="G421" s="5" t="str">
        <f t="shared" si="28"/>
        <v/>
      </c>
    </row>
    <row r="422" spans="7:7">
      <c r="G422" s="5" t="str">
        <f t="shared" si="28"/>
        <v/>
      </c>
    </row>
    <row r="423" spans="7:7">
      <c r="G423" s="5" t="str">
        <f t="shared" si="28"/>
        <v/>
      </c>
    </row>
    <row r="424" spans="7:7">
      <c r="G424" s="5" t="str">
        <f t="shared" si="28"/>
        <v/>
      </c>
    </row>
    <row r="425" spans="7:7">
      <c r="G425" s="5" t="str">
        <f t="shared" si="28"/>
        <v/>
      </c>
    </row>
    <row r="426" spans="7:7">
      <c r="G426" s="5" t="str">
        <f t="shared" si="28"/>
        <v/>
      </c>
    </row>
    <row r="427" spans="7:7">
      <c r="G427" s="5" t="str">
        <f t="shared" si="28"/>
        <v/>
      </c>
    </row>
    <row r="428" spans="7:7">
      <c r="G428" s="5" t="str">
        <f t="shared" si="28"/>
        <v/>
      </c>
    </row>
    <row r="429" spans="7:7">
      <c r="G429" s="5" t="str">
        <f t="shared" si="28"/>
        <v/>
      </c>
    </row>
    <row r="430" spans="7:7">
      <c r="G430" s="5" t="str">
        <f t="shared" si="28"/>
        <v/>
      </c>
    </row>
    <row r="431" spans="7:7">
      <c r="G431" s="5" t="str">
        <f t="shared" si="28"/>
        <v/>
      </c>
    </row>
    <row r="432" spans="7:7">
      <c r="G432" s="5" t="str">
        <f t="shared" si="28"/>
        <v/>
      </c>
    </row>
    <row r="433" spans="7:7">
      <c r="G433" s="5" t="str">
        <f t="shared" si="28"/>
        <v/>
      </c>
    </row>
    <row r="434" spans="7:7">
      <c r="G434" s="5" t="str">
        <f t="shared" si="28"/>
        <v/>
      </c>
    </row>
    <row r="435" spans="7:7">
      <c r="G435" s="5" t="str">
        <f t="shared" si="28"/>
        <v/>
      </c>
    </row>
    <row r="436" spans="7:7">
      <c r="G436" s="5" t="str">
        <f t="shared" si="28"/>
        <v/>
      </c>
    </row>
    <row r="437" spans="7:7">
      <c r="G437" s="5" t="str">
        <f t="shared" si="28"/>
        <v/>
      </c>
    </row>
    <row r="438" spans="7:7">
      <c r="G438" s="5" t="str">
        <f t="shared" ref="G438:G469" si="29">IF(B438&lt;&gt;"",SUM(C438:F438),"")</f>
        <v/>
      </c>
    </row>
    <row r="439" spans="7:7">
      <c r="G439" s="5" t="str">
        <f t="shared" si="29"/>
        <v/>
      </c>
    </row>
    <row r="440" spans="7:7">
      <c r="G440" s="5" t="str">
        <f t="shared" si="29"/>
        <v/>
      </c>
    </row>
    <row r="441" spans="7:7">
      <c r="G441" s="5" t="str">
        <f t="shared" si="29"/>
        <v/>
      </c>
    </row>
    <row r="442" spans="7:7">
      <c r="G442" s="5" t="str">
        <f t="shared" si="29"/>
        <v/>
      </c>
    </row>
    <row r="443" spans="7:7">
      <c r="G443" s="5" t="str">
        <f t="shared" si="29"/>
        <v/>
      </c>
    </row>
    <row r="444" spans="7:7">
      <c r="G444" s="5" t="str">
        <f t="shared" si="29"/>
        <v/>
      </c>
    </row>
    <row r="445" spans="7:7">
      <c r="G445" s="5" t="str">
        <f t="shared" si="29"/>
        <v/>
      </c>
    </row>
    <row r="446" spans="7:7">
      <c r="G446" s="5" t="str">
        <f t="shared" si="29"/>
        <v/>
      </c>
    </row>
    <row r="447" spans="7:7">
      <c r="G447" s="5" t="str">
        <f t="shared" si="29"/>
        <v/>
      </c>
    </row>
    <row r="448" spans="7:7">
      <c r="G448" s="5" t="str">
        <f t="shared" si="29"/>
        <v/>
      </c>
    </row>
    <row r="449" spans="7:7">
      <c r="G449" s="5" t="str">
        <f t="shared" si="29"/>
        <v/>
      </c>
    </row>
    <row r="450" spans="7:7">
      <c r="G450" s="5" t="str">
        <f t="shared" si="29"/>
        <v/>
      </c>
    </row>
    <row r="451" spans="7:7">
      <c r="G451" s="5" t="str">
        <f t="shared" si="29"/>
        <v/>
      </c>
    </row>
    <row r="452" spans="7:7">
      <c r="G452" s="5" t="str">
        <f t="shared" si="29"/>
        <v/>
      </c>
    </row>
    <row r="453" spans="7:7">
      <c r="G453" s="5" t="str">
        <f t="shared" si="29"/>
        <v/>
      </c>
    </row>
    <row r="454" spans="7:7">
      <c r="G454" s="5" t="str">
        <f t="shared" si="29"/>
        <v/>
      </c>
    </row>
    <row r="455" spans="7:7">
      <c r="G455" s="5" t="str">
        <f t="shared" si="29"/>
        <v/>
      </c>
    </row>
    <row r="456" spans="7:7">
      <c r="G456" s="5" t="str">
        <f t="shared" si="29"/>
        <v/>
      </c>
    </row>
    <row r="457" spans="7:7">
      <c r="G457" s="5" t="str">
        <f t="shared" si="29"/>
        <v/>
      </c>
    </row>
    <row r="458" spans="7:7">
      <c r="G458" s="5" t="str">
        <f t="shared" si="29"/>
        <v/>
      </c>
    </row>
    <row r="459" spans="7:7">
      <c r="G459" s="5" t="str">
        <f t="shared" si="29"/>
        <v/>
      </c>
    </row>
    <row r="460" spans="7:7">
      <c r="G460" s="5" t="str">
        <f t="shared" si="29"/>
        <v/>
      </c>
    </row>
    <row r="461" spans="7:7">
      <c r="G461" s="5" t="str">
        <f t="shared" si="29"/>
        <v/>
      </c>
    </row>
    <row r="462" spans="7:7">
      <c r="G462" s="5" t="str">
        <f t="shared" si="29"/>
        <v/>
      </c>
    </row>
    <row r="463" spans="7:7">
      <c r="G463" s="5" t="str">
        <f t="shared" si="29"/>
        <v/>
      </c>
    </row>
    <row r="464" spans="7:7">
      <c r="G464" s="5" t="str">
        <f t="shared" si="29"/>
        <v/>
      </c>
    </row>
    <row r="465" spans="7:7">
      <c r="G465" s="5" t="str">
        <f t="shared" si="29"/>
        <v/>
      </c>
    </row>
    <row r="466" spans="7:7">
      <c r="G466" s="5" t="str">
        <f t="shared" si="29"/>
        <v/>
      </c>
    </row>
    <row r="467" spans="7:7">
      <c r="G467" s="5" t="str">
        <f t="shared" si="29"/>
        <v/>
      </c>
    </row>
    <row r="468" spans="7:7">
      <c r="G468" s="5" t="str">
        <f t="shared" si="29"/>
        <v/>
      </c>
    </row>
    <row r="469" spans="7:7">
      <c r="G469" s="5" t="str">
        <f t="shared" si="29"/>
        <v/>
      </c>
    </row>
  </sheetData>
  <sheetProtection sort="0" autoFilter="0" pivotTables="0"/>
  <autoFilter ref="B5:M69" xr:uid="{00000000-0001-0000-0000-000000000000}"/>
  <pageMargins left="0.78740157480314965" right="0.78740157480314965" top="0.78740157480314965" bottom="0.78740157480314965" header="0" footer="0"/>
  <pageSetup paperSize="9" scale="72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0000"/>
    <pageSetUpPr fitToPage="1"/>
  </sheetPr>
  <dimension ref="B1:S446"/>
  <sheetViews>
    <sheetView zoomScaleNormal="100" workbookViewId="0">
      <pane ySplit="5" topLeftCell="A6" activePane="bottomLeft" state="frozen"/>
      <selection pane="bottomLeft" activeCell="F6" sqref="F6:F18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3" width="14.140625" style="15" bestFit="1" customWidth="1"/>
    <col min="4" max="6" width="13.5703125" style="15" customWidth="1"/>
    <col min="7" max="7" width="14.42578125" style="5" bestFit="1" customWidth="1"/>
    <col min="8" max="8" width="14.140625" style="1" customWidth="1"/>
    <col min="9" max="9" width="13" style="1" customWidth="1"/>
    <col min="10" max="11" width="9.5703125" style="9" customWidth="1"/>
    <col min="12" max="12" width="13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5.8554687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21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9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>
      <c r="B5" s="450" t="s">
        <v>5</v>
      </c>
      <c r="C5" s="451" t="s">
        <v>0</v>
      </c>
      <c r="D5" s="451" t="s">
        <v>12</v>
      </c>
      <c r="E5" s="451" t="s">
        <v>2</v>
      </c>
      <c r="F5" s="451" t="s">
        <v>3</v>
      </c>
      <c r="G5" s="452" t="s">
        <v>1</v>
      </c>
      <c r="H5" s="445" t="s">
        <v>4</v>
      </c>
      <c r="I5" s="445" t="s">
        <v>7</v>
      </c>
      <c r="J5" s="453" t="s">
        <v>8</v>
      </c>
      <c r="K5" s="453" t="s">
        <v>10</v>
      </c>
      <c r="L5" s="454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18" t="s">
        <v>698</v>
      </c>
      <c r="C6" s="13"/>
      <c r="D6" s="13"/>
      <c r="E6" s="571">
        <v>12</v>
      </c>
      <c r="F6" s="14"/>
      <c r="G6" s="8">
        <v>12</v>
      </c>
      <c r="H6" s="24">
        <f t="shared" ref="H6:H18" si="0">SUM(C6:G6)</f>
        <v>24</v>
      </c>
      <c r="I6" s="456">
        <f>L6-(L6*J6)</f>
        <v>256.05120000000005</v>
      </c>
      <c r="J6" s="10">
        <v>0.04</v>
      </c>
      <c r="K6" s="12"/>
      <c r="L6" s="419">
        <v>266.72000000000003</v>
      </c>
      <c r="M6" s="176"/>
      <c r="N6" s="25">
        <f t="shared" ref="N6:N18" si="1">I6*C6</f>
        <v>0</v>
      </c>
      <c r="O6" s="25">
        <f t="shared" ref="O6:O18" si="2">I6*D6</f>
        <v>0</v>
      </c>
      <c r="P6" s="25">
        <f t="shared" ref="P6:P18" si="3">I6*E6</f>
        <v>3072.6144000000004</v>
      </c>
      <c r="Q6" s="26">
        <f t="shared" ref="Q6:Q18" si="4">I6*F6</f>
        <v>0</v>
      </c>
      <c r="R6" s="27">
        <f t="shared" ref="R6:R18" si="5">I6*G6</f>
        <v>3072.6144000000004</v>
      </c>
      <c r="S6" s="28">
        <f>SUM(N6:R6)</f>
        <v>6145.2288000000008</v>
      </c>
    </row>
    <row r="7" spans="2:19">
      <c r="B7" s="418" t="s">
        <v>699</v>
      </c>
      <c r="C7" s="13"/>
      <c r="D7" s="13"/>
      <c r="E7" s="571">
        <v>11</v>
      </c>
      <c r="F7" s="14">
        <v>12</v>
      </c>
      <c r="G7" s="8">
        <v>96</v>
      </c>
      <c r="H7" s="24">
        <f t="shared" si="0"/>
        <v>119</v>
      </c>
      <c r="I7" s="456">
        <f>L7-(L7*J7)</f>
        <v>144.7336</v>
      </c>
      <c r="J7" s="10">
        <v>0.12</v>
      </c>
      <c r="K7" s="12"/>
      <c r="L7" s="419">
        <v>164.47</v>
      </c>
      <c r="M7" s="176"/>
      <c r="N7" s="25">
        <f t="shared" si="1"/>
        <v>0</v>
      </c>
      <c r="O7" s="25">
        <f t="shared" si="2"/>
        <v>0</v>
      </c>
      <c r="P7" s="25">
        <f t="shared" si="3"/>
        <v>1592.0696</v>
      </c>
      <c r="Q7" s="26">
        <f t="shared" si="4"/>
        <v>1736.8031999999998</v>
      </c>
      <c r="R7" s="27">
        <f t="shared" si="5"/>
        <v>13894.425599999999</v>
      </c>
      <c r="S7" s="28">
        <f t="shared" ref="S7:S18" si="6">SUM(N7:R7)</f>
        <v>17223.2984</v>
      </c>
    </row>
    <row r="8" spans="2:19">
      <c r="B8" s="418" t="s">
        <v>445</v>
      </c>
      <c r="C8" s="13"/>
      <c r="D8" s="13"/>
      <c r="E8" s="571">
        <v>840</v>
      </c>
      <c r="F8" s="14">
        <v>360</v>
      </c>
      <c r="G8" s="8">
        <v>1440</v>
      </c>
      <c r="H8" s="24">
        <f t="shared" si="0"/>
        <v>2640</v>
      </c>
      <c r="I8" s="456">
        <f>L8-(L8*J8)</f>
        <v>36.445500000000003</v>
      </c>
      <c r="J8" s="10">
        <v>0.11</v>
      </c>
      <c r="K8" s="12"/>
      <c r="L8" s="419">
        <v>40.950000000000003</v>
      </c>
      <c r="M8" s="176"/>
      <c r="N8" s="25">
        <f t="shared" si="1"/>
        <v>0</v>
      </c>
      <c r="O8" s="25">
        <f t="shared" si="2"/>
        <v>0</v>
      </c>
      <c r="P8" s="25">
        <f t="shared" si="3"/>
        <v>30614.22</v>
      </c>
      <c r="Q8" s="26">
        <f t="shared" si="4"/>
        <v>13120.380000000001</v>
      </c>
      <c r="R8" s="27">
        <f t="shared" si="5"/>
        <v>52481.520000000004</v>
      </c>
      <c r="S8" s="28">
        <f t="shared" si="6"/>
        <v>96216.12000000001</v>
      </c>
    </row>
    <row r="9" spans="2:19">
      <c r="B9" s="418" t="s">
        <v>446</v>
      </c>
      <c r="C9" s="13">
        <v>500</v>
      </c>
      <c r="D9" s="13"/>
      <c r="E9" s="571">
        <v>240</v>
      </c>
      <c r="F9" s="14"/>
      <c r="G9" s="8">
        <v>100</v>
      </c>
      <c r="H9" s="24">
        <f t="shared" si="0"/>
        <v>840</v>
      </c>
      <c r="I9" s="456">
        <f>(L9-(L9*J9))/100</f>
        <v>3.2973000000000003</v>
      </c>
      <c r="J9" s="10"/>
      <c r="K9" s="12"/>
      <c r="L9" s="419">
        <v>329.73</v>
      </c>
      <c r="M9" s="176"/>
      <c r="N9" s="25">
        <f t="shared" si="1"/>
        <v>1648.65</v>
      </c>
      <c r="O9" s="25">
        <f t="shared" si="2"/>
        <v>0</v>
      </c>
      <c r="P9" s="25">
        <f t="shared" si="3"/>
        <v>791.35200000000009</v>
      </c>
      <c r="Q9" s="26">
        <f t="shared" si="4"/>
        <v>0</v>
      </c>
      <c r="R9" s="27">
        <f t="shared" si="5"/>
        <v>329.73</v>
      </c>
      <c r="S9" s="28">
        <f t="shared" si="6"/>
        <v>2769.7320000000004</v>
      </c>
    </row>
    <row r="10" spans="2:19">
      <c r="B10" s="418" t="s">
        <v>447</v>
      </c>
      <c r="C10" s="13"/>
      <c r="D10" s="13"/>
      <c r="E10" s="571"/>
      <c r="F10" s="14">
        <v>72</v>
      </c>
      <c r="G10" s="8">
        <v>24</v>
      </c>
      <c r="H10" s="24">
        <f t="shared" si="0"/>
        <v>96</v>
      </c>
      <c r="I10" s="456">
        <f t="shared" ref="I10:I16" si="7">L10-(L10*J10)</f>
        <v>256.75</v>
      </c>
      <c r="J10" s="10"/>
      <c r="K10" s="12"/>
      <c r="L10" s="419">
        <v>256.75</v>
      </c>
      <c r="M10" s="176"/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18486</v>
      </c>
      <c r="R10" s="27">
        <f t="shared" si="5"/>
        <v>6162</v>
      </c>
      <c r="S10" s="28">
        <f t="shared" si="6"/>
        <v>24648</v>
      </c>
    </row>
    <row r="11" spans="2:19">
      <c r="B11" s="418" t="s">
        <v>448</v>
      </c>
      <c r="C11" s="13">
        <v>240</v>
      </c>
      <c r="D11" s="13"/>
      <c r="E11" s="571">
        <v>60</v>
      </c>
      <c r="F11" s="14">
        <v>300</v>
      </c>
      <c r="G11" s="8">
        <v>120</v>
      </c>
      <c r="H11" s="24">
        <f t="shared" si="0"/>
        <v>720</v>
      </c>
      <c r="I11" s="456">
        <f t="shared" si="7"/>
        <v>31.58</v>
      </c>
      <c r="J11" s="10"/>
      <c r="K11" s="12"/>
      <c r="L11" s="419">
        <v>31.58</v>
      </c>
      <c r="M11" s="176"/>
      <c r="N11" s="25">
        <f t="shared" si="1"/>
        <v>7579.2</v>
      </c>
      <c r="O11" s="25">
        <f t="shared" si="2"/>
        <v>0</v>
      </c>
      <c r="P11" s="25">
        <f t="shared" si="3"/>
        <v>1894.8</v>
      </c>
      <c r="Q11" s="26">
        <f t="shared" si="4"/>
        <v>9474</v>
      </c>
      <c r="R11" s="27">
        <f t="shared" si="5"/>
        <v>3789.6</v>
      </c>
      <c r="S11" s="28">
        <f t="shared" si="6"/>
        <v>22737.599999999999</v>
      </c>
    </row>
    <row r="12" spans="2:19">
      <c r="B12" s="418" t="s">
        <v>449</v>
      </c>
      <c r="C12" s="13">
        <v>48</v>
      </c>
      <c r="D12" s="13"/>
      <c r="E12" s="571">
        <v>120</v>
      </c>
      <c r="F12" s="14">
        <v>144</v>
      </c>
      <c r="G12" s="8">
        <v>192</v>
      </c>
      <c r="H12" s="24">
        <f t="shared" si="0"/>
        <v>504</v>
      </c>
      <c r="I12" s="456">
        <f t="shared" si="7"/>
        <v>44.07</v>
      </c>
      <c r="J12" s="10"/>
      <c r="K12" s="12"/>
      <c r="L12" s="419">
        <v>44.07</v>
      </c>
      <c r="M12" s="176"/>
      <c r="N12" s="25">
        <f t="shared" si="1"/>
        <v>2115.36</v>
      </c>
      <c r="O12" s="25">
        <f t="shared" si="2"/>
        <v>0</v>
      </c>
      <c r="P12" s="25">
        <f t="shared" si="3"/>
        <v>5288.4</v>
      </c>
      <c r="Q12" s="26">
        <f t="shared" si="4"/>
        <v>6346.08</v>
      </c>
      <c r="R12" s="27">
        <f t="shared" si="5"/>
        <v>8461.44</v>
      </c>
      <c r="S12" s="28">
        <f t="shared" si="6"/>
        <v>22211.279999999999</v>
      </c>
    </row>
    <row r="13" spans="2:19">
      <c r="B13" s="418" t="s">
        <v>451</v>
      </c>
      <c r="C13" s="13"/>
      <c r="D13" s="13"/>
      <c r="E13" s="571">
        <v>160</v>
      </c>
      <c r="F13" s="14"/>
      <c r="G13" s="8">
        <v>120</v>
      </c>
      <c r="H13" s="24">
        <f t="shared" si="0"/>
        <v>280</v>
      </c>
      <c r="I13" s="456">
        <f t="shared" si="7"/>
        <v>16.776500000000002</v>
      </c>
      <c r="J13" s="10">
        <v>0.11</v>
      </c>
      <c r="K13" s="12"/>
      <c r="L13" s="419">
        <v>18.850000000000001</v>
      </c>
      <c r="M13" s="176"/>
      <c r="N13" s="25">
        <f t="shared" si="1"/>
        <v>0</v>
      </c>
      <c r="O13" s="25">
        <f t="shared" si="2"/>
        <v>0</v>
      </c>
      <c r="P13" s="25">
        <f t="shared" si="3"/>
        <v>2684.2400000000002</v>
      </c>
      <c r="Q13" s="26">
        <f t="shared" si="4"/>
        <v>0</v>
      </c>
      <c r="R13" s="27">
        <f t="shared" si="5"/>
        <v>2013.1800000000003</v>
      </c>
      <c r="S13" s="28">
        <f t="shared" si="6"/>
        <v>4697.42</v>
      </c>
    </row>
    <row r="14" spans="2:19">
      <c r="B14" s="418" t="s">
        <v>452</v>
      </c>
      <c r="C14" s="13">
        <v>6</v>
      </c>
      <c r="D14" s="13"/>
      <c r="E14" s="571">
        <v>36</v>
      </c>
      <c r="F14" s="14"/>
      <c r="G14" s="8">
        <v>60</v>
      </c>
      <c r="H14" s="24">
        <f t="shared" si="0"/>
        <v>102</v>
      </c>
      <c r="I14" s="456">
        <f t="shared" si="7"/>
        <v>54.7973</v>
      </c>
      <c r="J14" s="10">
        <v>0.11</v>
      </c>
      <c r="K14" s="12"/>
      <c r="L14" s="419">
        <v>61.57</v>
      </c>
      <c r="M14" s="176"/>
      <c r="N14" s="25">
        <f t="shared" si="1"/>
        <v>328.78379999999999</v>
      </c>
      <c r="O14" s="25">
        <f t="shared" si="2"/>
        <v>0</v>
      </c>
      <c r="P14" s="25">
        <f t="shared" si="3"/>
        <v>1972.7028</v>
      </c>
      <c r="Q14" s="26">
        <f t="shared" si="4"/>
        <v>0</v>
      </c>
      <c r="R14" s="27">
        <f t="shared" si="5"/>
        <v>3287.8380000000002</v>
      </c>
      <c r="S14" s="28">
        <f t="shared" si="6"/>
        <v>5589.3245999999999</v>
      </c>
    </row>
    <row r="15" spans="2:19">
      <c r="B15" s="506" t="s">
        <v>1341</v>
      </c>
      <c r="C15" s="13">
        <v>1008</v>
      </c>
      <c r="D15" s="13"/>
      <c r="E15" s="571">
        <v>600</v>
      </c>
      <c r="F15" s="14">
        <v>360</v>
      </c>
      <c r="G15" s="8">
        <v>1800</v>
      </c>
      <c r="H15" s="24">
        <f t="shared" si="0"/>
        <v>3768</v>
      </c>
      <c r="I15" s="456">
        <f t="shared" si="7"/>
        <v>10.611025</v>
      </c>
      <c r="J15" s="10">
        <v>0.11</v>
      </c>
      <c r="K15" s="12"/>
      <c r="L15" s="419">
        <v>11.922499999999999</v>
      </c>
      <c r="M15" s="176"/>
      <c r="N15" s="25">
        <f t="shared" si="1"/>
        <v>10695.913199999999</v>
      </c>
      <c r="O15" s="25">
        <f t="shared" si="2"/>
        <v>0</v>
      </c>
      <c r="P15" s="25">
        <f t="shared" si="3"/>
        <v>6366.6149999999998</v>
      </c>
      <c r="Q15" s="26">
        <f t="shared" si="4"/>
        <v>3819.9690000000001</v>
      </c>
      <c r="R15" s="27">
        <f t="shared" si="5"/>
        <v>19099.845000000001</v>
      </c>
      <c r="S15" s="28">
        <f t="shared" si="6"/>
        <v>39982.342199999999</v>
      </c>
    </row>
    <row r="16" spans="2:19">
      <c r="B16" s="418" t="s">
        <v>1342</v>
      </c>
      <c r="C16" s="13">
        <v>1008</v>
      </c>
      <c r="D16" s="13"/>
      <c r="E16" s="571"/>
      <c r="F16" s="14">
        <v>600</v>
      </c>
      <c r="G16" s="8">
        <v>1200</v>
      </c>
      <c r="H16" s="24">
        <f t="shared" si="0"/>
        <v>2808</v>
      </c>
      <c r="I16" s="456">
        <f t="shared" si="7"/>
        <v>14.117624999999999</v>
      </c>
      <c r="J16" s="10">
        <v>0.11</v>
      </c>
      <c r="K16" s="12"/>
      <c r="L16" s="419">
        <v>15.862499999999999</v>
      </c>
      <c r="M16" s="176"/>
      <c r="N16" s="25">
        <f t="shared" si="1"/>
        <v>14230.565999999999</v>
      </c>
      <c r="O16" s="25">
        <f t="shared" si="2"/>
        <v>0</v>
      </c>
      <c r="P16" s="25">
        <f t="shared" si="3"/>
        <v>0</v>
      </c>
      <c r="Q16" s="26">
        <f t="shared" si="4"/>
        <v>8470.5749999999989</v>
      </c>
      <c r="R16" s="27">
        <f t="shared" si="5"/>
        <v>16941.149999999998</v>
      </c>
      <c r="S16" s="28">
        <f t="shared" si="6"/>
        <v>39642.290999999997</v>
      </c>
    </row>
    <row r="17" spans="2:19">
      <c r="B17" s="418" t="s">
        <v>700</v>
      </c>
      <c r="C17" s="13"/>
      <c r="D17" s="13"/>
      <c r="E17" s="571">
        <v>100</v>
      </c>
      <c r="F17" s="14"/>
      <c r="G17" s="8"/>
      <c r="H17" s="24">
        <f t="shared" si="0"/>
        <v>100</v>
      </c>
      <c r="I17" s="456">
        <f>L17-(L17*J17)</f>
        <v>25.11</v>
      </c>
      <c r="J17" s="10"/>
      <c r="K17" s="12"/>
      <c r="L17" s="419">
        <v>25.11</v>
      </c>
      <c r="M17" s="176"/>
      <c r="N17" s="25">
        <f t="shared" si="1"/>
        <v>0</v>
      </c>
      <c r="O17" s="25">
        <f t="shared" si="2"/>
        <v>0</v>
      </c>
      <c r="P17" s="25">
        <f t="shared" si="3"/>
        <v>2511</v>
      </c>
      <c r="Q17" s="26">
        <f t="shared" si="4"/>
        <v>0</v>
      </c>
      <c r="R17" s="27">
        <f t="shared" si="5"/>
        <v>0</v>
      </c>
      <c r="S17" s="28">
        <f t="shared" si="6"/>
        <v>2511</v>
      </c>
    </row>
    <row r="18" spans="2:19">
      <c r="B18" s="418" t="s">
        <v>957</v>
      </c>
      <c r="C18" s="13">
        <v>10</v>
      </c>
      <c r="D18" s="13"/>
      <c r="E18" s="571"/>
      <c r="F18" s="14"/>
      <c r="G18" s="8">
        <v>10</v>
      </c>
      <c r="H18" s="24">
        <f t="shared" si="0"/>
        <v>20</v>
      </c>
      <c r="I18" s="456">
        <f>L18-(L18*J18)</f>
        <v>1436.8050000000001</v>
      </c>
      <c r="J18" s="10">
        <v>0.1</v>
      </c>
      <c r="K18" s="12">
        <v>0.1</v>
      </c>
      <c r="L18" s="419">
        <v>1596.45</v>
      </c>
      <c r="M18" s="176"/>
      <c r="N18" s="25">
        <f t="shared" si="1"/>
        <v>14368.050000000001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14368.050000000001</v>
      </c>
      <c r="S18" s="28">
        <f t="shared" si="6"/>
        <v>28736.100000000002</v>
      </c>
    </row>
    <row r="19" spans="2:19">
      <c r="B19" s="58" t="s">
        <v>13</v>
      </c>
      <c r="C19" s="457">
        <f t="shared" ref="C19" si="8">N19</f>
        <v>50966.523000000001</v>
      </c>
      <c r="D19" s="457">
        <f t="shared" ref="D19" si="9">O19</f>
        <v>0</v>
      </c>
      <c r="E19" s="457">
        <f t="shared" ref="E19" si="10">P19</f>
        <v>56788.013800000001</v>
      </c>
      <c r="F19" s="457">
        <f t="shared" ref="F19" si="11">Q19</f>
        <v>61453.807199999996</v>
      </c>
      <c r="G19" s="457">
        <f t="shared" ref="G19" si="12">R19</f>
        <v>143901.39300000001</v>
      </c>
      <c r="H19" s="457">
        <f t="shared" ref="H19" si="13">S19</f>
        <v>313109.73699999996</v>
      </c>
      <c r="N19" s="29">
        <f t="shared" ref="N19:S19" si="14">SUM(N6:N18)</f>
        <v>50966.523000000001</v>
      </c>
      <c r="O19" s="29">
        <f t="shared" si="14"/>
        <v>0</v>
      </c>
      <c r="P19" s="29">
        <f t="shared" si="14"/>
        <v>56788.013800000001</v>
      </c>
      <c r="Q19" s="29">
        <f t="shared" si="14"/>
        <v>61453.807199999996</v>
      </c>
      <c r="R19" s="29">
        <f t="shared" si="14"/>
        <v>143901.39300000001</v>
      </c>
      <c r="S19" s="29">
        <f t="shared" si="14"/>
        <v>313109.73699999996</v>
      </c>
    </row>
    <row r="20" spans="2:19">
      <c r="B20" s="59" t="s">
        <v>46</v>
      </c>
    </row>
    <row r="21" spans="2:19" ht="16.5" thickBot="1">
      <c r="B21" s="2"/>
    </row>
    <row r="22" spans="2:19">
      <c r="B22" s="60" t="s">
        <v>47</v>
      </c>
    </row>
    <row r="23" spans="2:19">
      <c r="B23" s="61" t="s">
        <v>19</v>
      </c>
    </row>
    <row r="24" spans="2:19">
      <c r="B24" s="61" t="s">
        <v>427</v>
      </c>
    </row>
    <row r="25" spans="2:19" ht="16.5" thickBot="1">
      <c r="B25" s="62" t="s">
        <v>18</v>
      </c>
    </row>
    <row r="26" spans="2:19">
      <c r="B26" s="2"/>
    </row>
    <row r="27" spans="2:19">
      <c r="B27" s="30" t="s">
        <v>20</v>
      </c>
    </row>
    <row r="28" spans="2:19">
      <c r="B28" s="35"/>
    </row>
    <row r="29" spans="2:19">
      <c r="B29" s="35"/>
    </row>
    <row r="30" spans="2:19">
      <c r="B30" s="2"/>
      <c r="G30" s="5" t="str">
        <f>IF(B30&lt;&gt;"",SUM(C30:F30),"")</f>
        <v/>
      </c>
    </row>
    <row r="31" spans="2:19">
      <c r="G31" s="5" t="str">
        <f t="shared" ref="G31:G74" si="15">IF(B31&lt;&gt;"",SUM(C31:F31),"")</f>
        <v/>
      </c>
    </row>
    <row r="32" spans="2:19">
      <c r="G32" s="5" t="str">
        <f t="shared" si="15"/>
        <v/>
      </c>
    </row>
    <row r="33" spans="7:7">
      <c r="G33" s="5" t="str">
        <f t="shared" si="15"/>
        <v/>
      </c>
    </row>
    <row r="34" spans="7:7">
      <c r="G34" s="5" t="str">
        <f t="shared" si="15"/>
        <v/>
      </c>
    </row>
    <row r="35" spans="7:7">
      <c r="G35" s="5" t="str">
        <f t="shared" si="15"/>
        <v/>
      </c>
    </row>
    <row r="36" spans="7:7">
      <c r="G36" s="5" t="str">
        <f t="shared" si="15"/>
        <v/>
      </c>
    </row>
    <row r="37" spans="7:7">
      <c r="G37" s="5" t="str">
        <f t="shared" si="15"/>
        <v/>
      </c>
    </row>
    <row r="38" spans="7:7">
      <c r="G38" s="5" t="str">
        <f t="shared" si="15"/>
        <v/>
      </c>
    </row>
    <row r="39" spans="7:7">
      <c r="G39" s="5" t="str">
        <f t="shared" si="15"/>
        <v/>
      </c>
    </row>
    <row r="40" spans="7:7">
      <c r="G40" s="5" t="str">
        <f t="shared" si="15"/>
        <v/>
      </c>
    </row>
    <row r="41" spans="7:7">
      <c r="G41" s="5" t="str">
        <f t="shared" si="15"/>
        <v/>
      </c>
    </row>
    <row r="42" spans="7:7">
      <c r="G42" s="5" t="str">
        <f t="shared" si="15"/>
        <v/>
      </c>
    </row>
    <row r="43" spans="7:7">
      <c r="G43" s="5" t="str">
        <f t="shared" si="15"/>
        <v/>
      </c>
    </row>
    <row r="44" spans="7:7">
      <c r="G44" s="5" t="str">
        <f t="shared" si="15"/>
        <v/>
      </c>
    </row>
    <row r="45" spans="7:7">
      <c r="G45" s="5" t="str">
        <f t="shared" si="15"/>
        <v/>
      </c>
    </row>
    <row r="46" spans="7:7">
      <c r="G46" s="5" t="str">
        <f t="shared" si="15"/>
        <v/>
      </c>
    </row>
    <row r="47" spans="7:7">
      <c r="G47" s="5" t="str">
        <f t="shared" si="15"/>
        <v/>
      </c>
    </row>
    <row r="48" spans="7:7">
      <c r="G48" s="5" t="str">
        <f t="shared" si="15"/>
        <v/>
      </c>
    </row>
    <row r="49" spans="7:7">
      <c r="G49" s="5" t="str">
        <f t="shared" si="15"/>
        <v/>
      </c>
    </row>
    <row r="50" spans="7:7">
      <c r="G50" s="5" t="str">
        <f t="shared" si="15"/>
        <v/>
      </c>
    </row>
    <row r="51" spans="7:7">
      <c r="G51" s="5" t="str">
        <f t="shared" si="15"/>
        <v/>
      </c>
    </row>
    <row r="52" spans="7:7">
      <c r="G52" s="5" t="str">
        <f t="shared" si="15"/>
        <v/>
      </c>
    </row>
    <row r="53" spans="7:7">
      <c r="G53" s="5" t="str">
        <f t="shared" si="15"/>
        <v/>
      </c>
    </row>
    <row r="54" spans="7:7">
      <c r="G54" s="5" t="str">
        <f t="shared" si="15"/>
        <v/>
      </c>
    </row>
    <row r="55" spans="7:7">
      <c r="G55" s="5" t="str">
        <f t="shared" si="15"/>
        <v/>
      </c>
    </row>
    <row r="56" spans="7:7">
      <c r="G56" s="5" t="str">
        <f t="shared" si="15"/>
        <v/>
      </c>
    </row>
    <row r="57" spans="7:7">
      <c r="G57" s="5" t="str">
        <f t="shared" si="15"/>
        <v/>
      </c>
    </row>
    <row r="58" spans="7:7">
      <c r="G58" s="5" t="str">
        <f t="shared" si="15"/>
        <v/>
      </c>
    </row>
    <row r="59" spans="7:7">
      <c r="G59" s="5" t="str">
        <f t="shared" si="15"/>
        <v/>
      </c>
    </row>
    <row r="60" spans="7:7">
      <c r="G60" s="5" t="str">
        <f t="shared" si="15"/>
        <v/>
      </c>
    </row>
    <row r="61" spans="7:7">
      <c r="G61" s="5" t="str">
        <f t="shared" si="15"/>
        <v/>
      </c>
    </row>
    <row r="62" spans="7:7">
      <c r="G62" s="5" t="str">
        <f t="shared" si="15"/>
        <v/>
      </c>
    </row>
    <row r="63" spans="7:7">
      <c r="G63" s="5" t="str">
        <f t="shared" si="15"/>
        <v/>
      </c>
    </row>
    <row r="64" spans="7:7">
      <c r="G64" s="5" t="str">
        <f t="shared" si="15"/>
        <v/>
      </c>
    </row>
    <row r="65" spans="7:7">
      <c r="G65" s="5" t="str">
        <f t="shared" si="15"/>
        <v/>
      </c>
    </row>
    <row r="66" spans="7:7">
      <c r="G66" s="5" t="str">
        <f t="shared" si="15"/>
        <v/>
      </c>
    </row>
    <row r="67" spans="7:7">
      <c r="G67" s="5" t="str">
        <f t="shared" si="15"/>
        <v/>
      </c>
    </row>
    <row r="68" spans="7:7">
      <c r="G68" s="5" t="str">
        <f t="shared" si="15"/>
        <v/>
      </c>
    </row>
    <row r="69" spans="7:7">
      <c r="G69" s="5" t="str">
        <f t="shared" si="15"/>
        <v/>
      </c>
    </row>
    <row r="70" spans="7:7">
      <c r="G70" s="5" t="str">
        <f t="shared" si="15"/>
        <v/>
      </c>
    </row>
    <row r="71" spans="7:7">
      <c r="G71" s="5" t="str">
        <f t="shared" si="15"/>
        <v/>
      </c>
    </row>
    <row r="72" spans="7:7">
      <c r="G72" s="5" t="str">
        <f t="shared" si="15"/>
        <v/>
      </c>
    </row>
    <row r="73" spans="7:7">
      <c r="G73" s="5" t="str">
        <f t="shared" si="15"/>
        <v/>
      </c>
    </row>
    <row r="74" spans="7:7">
      <c r="G74" s="5" t="str">
        <f t="shared" si="15"/>
        <v/>
      </c>
    </row>
    <row r="75" spans="7:7">
      <c r="G75" s="5" t="str">
        <f t="shared" ref="G75:G138" si="16">IF(B75&lt;&gt;"",SUM(C75:F75),"")</f>
        <v/>
      </c>
    </row>
    <row r="76" spans="7:7">
      <c r="G76" s="5" t="str">
        <f t="shared" si="16"/>
        <v/>
      </c>
    </row>
    <row r="77" spans="7:7">
      <c r="G77" s="5" t="str">
        <f t="shared" si="16"/>
        <v/>
      </c>
    </row>
    <row r="78" spans="7:7">
      <c r="G78" s="5" t="str">
        <f t="shared" si="16"/>
        <v/>
      </c>
    </row>
    <row r="79" spans="7:7">
      <c r="G79" s="5" t="str">
        <f t="shared" si="16"/>
        <v/>
      </c>
    </row>
    <row r="80" spans="7:7">
      <c r="G80" s="5" t="str">
        <f t="shared" si="16"/>
        <v/>
      </c>
    </row>
    <row r="81" spans="7:7">
      <c r="G81" s="5" t="str">
        <f t="shared" si="16"/>
        <v/>
      </c>
    </row>
    <row r="82" spans="7:7">
      <c r="G82" s="5" t="str">
        <f t="shared" si="16"/>
        <v/>
      </c>
    </row>
    <row r="83" spans="7:7">
      <c r="G83" s="5" t="str">
        <f t="shared" si="16"/>
        <v/>
      </c>
    </row>
    <row r="84" spans="7:7">
      <c r="G84" s="5" t="str">
        <f t="shared" si="16"/>
        <v/>
      </c>
    </row>
    <row r="85" spans="7:7">
      <c r="G85" s="5" t="str">
        <f t="shared" si="16"/>
        <v/>
      </c>
    </row>
    <row r="86" spans="7:7">
      <c r="G86" s="5" t="str">
        <f t="shared" si="16"/>
        <v/>
      </c>
    </row>
    <row r="87" spans="7:7">
      <c r="G87" s="5" t="str">
        <f t="shared" si="16"/>
        <v/>
      </c>
    </row>
    <row r="88" spans="7:7">
      <c r="G88" s="5" t="str">
        <f t="shared" si="16"/>
        <v/>
      </c>
    </row>
    <row r="89" spans="7:7">
      <c r="G89" s="5" t="str">
        <f t="shared" si="16"/>
        <v/>
      </c>
    </row>
    <row r="90" spans="7:7">
      <c r="G90" s="5" t="str">
        <f t="shared" si="16"/>
        <v/>
      </c>
    </row>
    <row r="91" spans="7:7">
      <c r="G91" s="5" t="str">
        <f t="shared" si="16"/>
        <v/>
      </c>
    </row>
    <row r="92" spans="7:7">
      <c r="G92" s="5" t="str">
        <f t="shared" si="16"/>
        <v/>
      </c>
    </row>
    <row r="93" spans="7:7">
      <c r="G93" s="5" t="str">
        <f t="shared" si="16"/>
        <v/>
      </c>
    </row>
    <row r="94" spans="7:7">
      <c r="G94" s="5" t="str">
        <f t="shared" si="16"/>
        <v/>
      </c>
    </row>
    <row r="95" spans="7:7">
      <c r="G95" s="5" t="str">
        <f t="shared" si="16"/>
        <v/>
      </c>
    </row>
    <row r="96" spans="7:7">
      <c r="G96" s="5" t="str">
        <f t="shared" si="16"/>
        <v/>
      </c>
    </row>
    <row r="97" spans="7:7">
      <c r="G97" s="5" t="str">
        <f t="shared" si="16"/>
        <v/>
      </c>
    </row>
    <row r="98" spans="7:7">
      <c r="G98" s="5" t="str">
        <f t="shared" si="16"/>
        <v/>
      </c>
    </row>
    <row r="99" spans="7:7">
      <c r="G99" s="5" t="str">
        <f t="shared" si="16"/>
        <v/>
      </c>
    </row>
    <row r="100" spans="7:7">
      <c r="G100" s="5" t="str">
        <f t="shared" si="16"/>
        <v/>
      </c>
    </row>
    <row r="101" spans="7:7">
      <c r="G101" s="5" t="str">
        <f t="shared" si="16"/>
        <v/>
      </c>
    </row>
    <row r="102" spans="7:7">
      <c r="G102" s="5" t="str">
        <f t="shared" si="16"/>
        <v/>
      </c>
    </row>
    <row r="103" spans="7:7">
      <c r="G103" s="5" t="str">
        <f t="shared" si="16"/>
        <v/>
      </c>
    </row>
    <row r="104" spans="7:7">
      <c r="G104" s="5" t="str">
        <f t="shared" si="16"/>
        <v/>
      </c>
    </row>
    <row r="105" spans="7:7">
      <c r="G105" s="5" t="str">
        <f t="shared" si="16"/>
        <v/>
      </c>
    </row>
    <row r="106" spans="7:7">
      <c r="G106" s="5" t="str">
        <f t="shared" si="16"/>
        <v/>
      </c>
    </row>
    <row r="107" spans="7:7">
      <c r="G107" s="5" t="str">
        <f t="shared" si="16"/>
        <v/>
      </c>
    </row>
    <row r="108" spans="7:7">
      <c r="G108" s="5" t="str">
        <f t="shared" si="16"/>
        <v/>
      </c>
    </row>
    <row r="109" spans="7:7">
      <c r="G109" s="5" t="str">
        <f t="shared" si="16"/>
        <v/>
      </c>
    </row>
    <row r="110" spans="7:7">
      <c r="G110" s="5" t="str">
        <f t="shared" si="16"/>
        <v/>
      </c>
    </row>
    <row r="111" spans="7:7">
      <c r="G111" s="5" t="str">
        <f t="shared" si="16"/>
        <v/>
      </c>
    </row>
    <row r="112" spans="7:7">
      <c r="G112" s="5" t="str">
        <f t="shared" si="16"/>
        <v/>
      </c>
    </row>
    <row r="113" spans="7:7">
      <c r="G113" s="5" t="str">
        <f t="shared" si="16"/>
        <v/>
      </c>
    </row>
    <row r="114" spans="7:7">
      <c r="G114" s="5" t="str">
        <f t="shared" si="16"/>
        <v/>
      </c>
    </row>
    <row r="115" spans="7:7">
      <c r="G115" s="5" t="str">
        <f t="shared" si="16"/>
        <v/>
      </c>
    </row>
    <row r="116" spans="7:7">
      <c r="G116" s="5" t="str">
        <f t="shared" si="16"/>
        <v/>
      </c>
    </row>
    <row r="117" spans="7:7">
      <c r="G117" s="5" t="str">
        <f t="shared" si="16"/>
        <v/>
      </c>
    </row>
    <row r="118" spans="7:7">
      <c r="G118" s="5" t="str">
        <f t="shared" si="16"/>
        <v/>
      </c>
    </row>
    <row r="119" spans="7:7">
      <c r="G119" s="5" t="str">
        <f t="shared" si="16"/>
        <v/>
      </c>
    </row>
    <row r="120" spans="7:7">
      <c r="G120" s="5" t="str">
        <f t="shared" si="16"/>
        <v/>
      </c>
    </row>
    <row r="121" spans="7:7">
      <c r="G121" s="5" t="str">
        <f t="shared" si="16"/>
        <v/>
      </c>
    </row>
    <row r="122" spans="7:7">
      <c r="G122" s="5" t="str">
        <f t="shared" si="16"/>
        <v/>
      </c>
    </row>
    <row r="123" spans="7:7">
      <c r="G123" s="5" t="str">
        <f t="shared" si="16"/>
        <v/>
      </c>
    </row>
    <row r="124" spans="7:7">
      <c r="G124" s="5" t="str">
        <f t="shared" si="16"/>
        <v/>
      </c>
    </row>
    <row r="125" spans="7:7">
      <c r="G125" s="5" t="str">
        <f t="shared" si="16"/>
        <v/>
      </c>
    </row>
    <row r="126" spans="7:7">
      <c r="G126" s="5" t="str">
        <f t="shared" si="16"/>
        <v/>
      </c>
    </row>
    <row r="127" spans="7:7">
      <c r="G127" s="5" t="str">
        <f t="shared" si="16"/>
        <v/>
      </c>
    </row>
    <row r="128" spans="7:7">
      <c r="G128" s="5" t="str">
        <f t="shared" si="16"/>
        <v/>
      </c>
    </row>
    <row r="129" spans="7:7">
      <c r="G129" s="5" t="str">
        <f t="shared" si="16"/>
        <v/>
      </c>
    </row>
    <row r="130" spans="7:7">
      <c r="G130" s="5" t="str">
        <f t="shared" si="16"/>
        <v/>
      </c>
    </row>
    <row r="131" spans="7:7">
      <c r="G131" s="5" t="str">
        <f t="shared" si="16"/>
        <v/>
      </c>
    </row>
    <row r="132" spans="7:7">
      <c r="G132" s="5" t="str">
        <f t="shared" si="16"/>
        <v/>
      </c>
    </row>
    <row r="133" spans="7:7">
      <c r="G133" s="5" t="str">
        <f t="shared" si="16"/>
        <v/>
      </c>
    </row>
    <row r="134" spans="7:7">
      <c r="G134" s="5" t="str">
        <f t="shared" si="16"/>
        <v/>
      </c>
    </row>
    <row r="135" spans="7:7">
      <c r="G135" s="5" t="str">
        <f t="shared" si="16"/>
        <v/>
      </c>
    </row>
    <row r="136" spans="7:7">
      <c r="G136" s="5" t="str">
        <f t="shared" si="16"/>
        <v/>
      </c>
    </row>
    <row r="137" spans="7:7">
      <c r="G137" s="5" t="str">
        <f t="shared" si="16"/>
        <v/>
      </c>
    </row>
    <row r="138" spans="7:7">
      <c r="G138" s="5" t="str">
        <f t="shared" si="16"/>
        <v/>
      </c>
    </row>
    <row r="139" spans="7:7">
      <c r="G139" s="5" t="str">
        <f t="shared" ref="G139:G202" si="17">IF(B139&lt;&gt;"",SUM(C139:F139),"")</f>
        <v/>
      </c>
    </row>
    <row r="140" spans="7:7">
      <c r="G140" s="5" t="str">
        <f t="shared" si="17"/>
        <v/>
      </c>
    </row>
    <row r="141" spans="7:7">
      <c r="G141" s="5" t="str">
        <f t="shared" si="17"/>
        <v/>
      </c>
    </row>
    <row r="142" spans="7:7">
      <c r="G142" s="5" t="str">
        <f t="shared" si="17"/>
        <v/>
      </c>
    </row>
    <row r="143" spans="7:7">
      <c r="G143" s="5" t="str">
        <f t="shared" si="17"/>
        <v/>
      </c>
    </row>
    <row r="144" spans="7:7">
      <c r="G144" s="5" t="str">
        <f t="shared" si="17"/>
        <v/>
      </c>
    </row>
    <row r="145" spans="7:7">
      <c r="G145" s="5" t="str">
        <f t="shared" si="17"/>
        <v/>
      </c>
    </row>
    <row r="146" spans="7:7">
      <c r="G146" s="5" t="str">
        <f t="shared" si="17"/>
        <v/>
      </c>
    </row>
    <row r="147" spans="7:7">
      <c r="G147" s="5" t="str">
        <f t="shared" si="17"/>
        <v/>
      </c>
    </row>
    <row r="148" spans="7:7">
      <c r="G148" s="5" t="str">
        <f t="shared" si="17"/>
        <v/>
      </c>
    </row>
    <row r="149" spans="7:7">
      <c r="G149" s="5" t="str">
        <f t="shared" si="17"/>
        <v/>
      </c>
    </row>
    <row r="150" spans="7:7">
      <c r="G150" s="5" t="str">
        <f t="shared" si="17"/>
        <v/>
      </c>
    </row>
    <row r="151" spans="7:7">
      <c r="G151" s="5" t="str">
        <f t="shared" si="17"/>
        <v/>
      </c>
    </row>
    <row r="152" spans="7:7">
      <c r="G152" s="5" t="str">
        <f t="shared" si="17"/>
        <v/>
      </c>
    </row>
    <row r="153" spans="7:7">
      <c r="G153" s="5" t="str">
        <f t="shared" si="17"/>
        <v/>
      </c>
    </row>
    <row r="154" spans="7:7">
      <c r="G154" s="5" t="str">
        <f t="shared" si="17"/>
        <v/>
      </c>
    </row>
    <row r="155" spans="7:7">
      <c r="G155" s="5" t="str">
        <f t="shared" si="17"/>
        <v/>
      </c>
    </row>
    <row r="156" spans="7:7">
      <c r="G156" s="5" t="str">
        <f t="shared" si="17"/>
        <v/>
      </c>
    </row>
    <row r="157" spans="7:7">
      <c r="G157" s="5" t="str">
        <f t="shared" si="17"/>
        <v/>
      </c>
    </row>
    <row r="158" spans="7:7">
      <c r="G158" s="5" t="str">
        <f t="shared" si="17"/>
        <v/>
      </c>
    </row>
    <row r="159" spans="7:7">
      <c r="G159" s="5" t="str">
        <f t="shared" si="17"/>
        <v/>
      </c>
    </row>
    <row r="160" spans="7:7">
      <c r="G160" s="5" t="str">
        <f t="shared" si="17"/>
        <v/>
      </c>
    </row>
    <row r="161" spans="7:7">
      <c r="G161" s="5" t="str">
        <f t="shared" si="17"/>
        <v/>
      </c>
    </row>
    <row r="162" spans="7:7">
      <c r="G162" s="5" t="str">
        <f t="shared" si="17"/>
        <v/>
      </c>
    </row>
    <row r="163" spans="7:7">
      <c r="G163" s="5" t="str">
        <f t="shared" si="17"/>
        <v/>
      </c>
    </row>
    <row r="164" spans="7:7">
      <c r="G164" s="5" t="str">
        <f t="shared" si="17"/>
        <v/>
      </c>
    </row>
    <row r="165" spans="7:7">
      <c r="G165" s="5" t="str">
        <f t="shared" si="17"/>
        <v/>
      </c>
    </row>
    <row r="166" spans="7:7">
      <c r="G166" s="5" t="str">
        <f t="shared" si="17"/>
        <v/>
      </c>
    </row>
    <row r="167" spans="7:7">
      <c r="G167" s="5" t="str">
        <f t="shared" si="17"/>
        <v/>
      </c>
    </row>
    <row r="168" spans="7:7">
      <c r="G168" s="5" t="str">
        <f t="shared" si="17"/>
        <v/>
      </c>
    </row>
    <row r="169" spans="7:7">
      <c r="G169" s="5" t="str">
        <f t="shared" si="17"/>
        <v/>
      </c>
    </row>
    <row r="170" spans="7:7">
      <c r="G170" s="5" t="str">
        <f t="shared" si="17"/>
        <v/>
      </c>
    </row>
    <row r="171" spans="7:7">
      <c r="G171" s="5" t="str">
        <f t="shared" si="17"/>
        <v/>
      </c>
    </row>
    <row r="172" spans="7:7">
      <c r="G172" s="5" t="str">
        <f t="shared" si="17"/>
        <v/>
      </c>
    </row>
    <row r="173" spans="7:7">
      <c r="G173" s="5" t="str">
        <f t="shared" si="17"/>
        <v/>
      </c>
    </row>
    <row r="174" spans="7:7">
      <c r="G174" s="5" t="str">
        <f t="shared" si="17"/>
        <v/>
      </c>
    </row>
    <row r="175" spans="7:7">
      <c r="G175" s="5" t="str">
        <f t="shared" si="17"/>
        <v/>
      </c>
    </row>
    <row r="176" spans="7:7">
      <c r="G176" s="5" t="str">
        <f t="shared" si="17"/>
        <v/>
      </c>
    </row>
    <row r="177" spans="7:7">
      <c r="G177" s="5" t="str">
        <f t="shared" si="17"/>
        <v/>
      </c>
    </row>
    <row r="178" spans="7:7">
      <c r="G178" s="5" t="str">
        <f t="shared" si="17"/>
        <v/>
      </c>
    </row>
    <row r="179" spans="7:7">
      <c r="G179" s="5" t="str">
        <f t="shared" si="17"/>
        <v/>
      </c>
    </row>
    <row r="180" spans="7:7">
      <c r="G180" s="5" t="str">
        <f t="shared" si="17"/>
        <v/>
      </c>
    </row>
    <row r="181" spans="7:7">
      <c r="G181" s="5" t="str">
        <f t="shared" si="17"/>
        <v/>
      </c>
    </row>
    <row r="182" spans="7:7">
      <c r="G182" s="5" t="str">
        <f t="shared" si="17"/>
        <v/>
      </c>
    </row>
    <row r="183" spans="7:7">
      <c r="G183" s="5" t="str">
        <f t="shared" si="17"/>
        <v/>
      </c>
    </row>
    <row r="184" spans="7:7">
      <c r="G184" s="5" t="str">
        <f t="shared" si="17"/>
        <v/>
      </c>
    </row>
    <row r="185" spans="7:7">
      <c r="G185" s="5" t="str">
        <f t="shared" si="17"/>
        <v/>
      </c>
    </row>
    <row r="186" spans="7:7">
      <c r="G186" s="5" t="str">
        <f t="shared" si="17"/>
        <v/>
      </c>
    </row>
    <row r="187" spans="7:7">
      <c r="G187" s="5" t="str">
        <f t="shared" si="17"/>
        <v/>
      </c>
    </row>
    <row r="188" spans="7:7">
      <c r="G188" s="5" t="str">
        <f t="shared" si="17"/>
        <v/>
      </c>
    </row>
    <row r="189" spans="7:7">
      <c r="G189" s="5" t="str">
        <f t="shared" si="17"/>
        <v/>
      </c>
    </row>
    <row r="190" spans="7:7">
      <c r="G190" s="5" t="str">
        <f t="shared" si="17"/>
        <v/>
      </c>
    </row>
    <row r="191" spans="7:7">
      <c r="G191" s="5" t="str">
        <f t="shared" si="17"/>
        <v/>
      </c>
    </row>
    <row r="192" spans="7:7">
      <c r="G192" s="5" t="str">
        <f t="shared" si="17"/>
        <v/>
      </c>
    </row>
    <row r="193" spans="7:7">
      <c r="G193" s="5" t="str">
        <f t="shared" si="17"/>
        <v/>
      </c>
    </row>
    <row r="194" spans="7:7">
      <c r="G194" s="5" t="str">
        <f t="shared" si="17"/>
        <v/>
      </c>
    </row>
    <row r="195" spans="7:7">
      <c r="G195" s="5" t="str">
        <f t="shared" si="17"/>
        <v/>
      </c>
    </row>
    <row r="196" spans="7:7">
      <c r="G196" s="5" t="str">
        <f t="shared" si="17"/>
        <v/>
      </c>
    </row>
    <row r="197" spans="7:7">
      <c r="G197" s="5" t="str">
        <f t="shared" si="17"/>
        <v/>
      </c>
    </row>
    <row r="198" spans="7:7">
      <c r="G198" s="5" t="str">
        <f t="shared" si="17"/>
        <v/>
      </c>
    </row>
    <row r="199" spans="7:7">
      <c r="G199" s="5" t="str">
        <f t="shared" si="17"/>
        <v/>
      </c>
    </row>
    <row r="200" spans="7:7">
      <c r="G200" s="5" t="str">
        <f t="shared" si="17"/>
        <v/>
      </c>
    </row>
    <row r="201" spans="7:7">
      <c r="G201" s="5" t="str">
        <f t="shared" si="17"/>
        <v/>
      </c>
    </row>
    <row r="202" spans="7:7">
      <c r="G202" s="5" t="str">
        <f t="shared" si="17"/>
        <v/>
      </c>
    </row>
    <row r="203" spans="7:7">
      <c r="G203" s="5" t="str">
        <f t="shared" ref="G203:G266" si="18">IF(B203&lt;&gt;"",SUM(C203:F203),"")</f>
        <v/>
      </c>
    </row>
    <row r="204" spans="7:7">
      <c r="G204" s="5" t="str">
        <f t="shared" si="18"/>
        <v/>
      </c>
    </row>
    <row r="205" spans="7:7">
      <c r="G205" s="5" t="str">
        <f t="shared" si="18"/>
        <v/>
      </c>
    </row>
    <row r="206" spans="7:7">
      <c r="G206" s="5" t="str">
        <f t="shared" si="18"/>
        <v/>
      </c>
    </row>
    <row r="207" spans="7:7">
      <c r="G207" s="5" t="str">
        <f t="shared" si="18"/>
        <v/>
      </c>
    </row>
    <row r="208" spans="7:7">
      <c r="G208" s="5" t="str">
        <f t="shared" si="18"/>
        <v/>
      </c>
    </row>
    <row r="209" spans="7:7">
      <c r="G209" s="5" t="str">
        <f t="shared" si="18"/>
        <v/>
      </c>
    </row>
    <row r="210" spans="7:7">
      <c r="G210" s="5" t="str">
        <f t="shared" si="18"/>
        <v/>
      </c>
    </row>
    <row r="211" spans="7:7">
      <c r="G211" s="5" t="str">
        <f t="shared" si="18"/>
        <v/>
      </c>
    </row>
    <row r="212" spans="7:7">
      <c r="G212" s="5" t="str">
        <f t="shared" si="18"/>
        <v/>
      </c>
    </row>
    <row r="213" spans="7:7">
      <c r="G213" s="5" t="str">
        <f t="shared" si="18"/>
        <v/>
      </c>
    </row>
    <row r="214" spans="7:7">
      <c r="G214" s="5" t="str">
        <f t="shared" si="18"/>
        <v/>
      </c>
    </row>
    <row r="215" spans="7:7">
      <c r="G215" s="5" t="str">
        <f t="shared" si="18"/>
        <v/>
      </c>
    </row>
    <row r="216" spans="7:7">
      <c r="G216" s="5" t="str">
        <f t="shared" si="18"/>
        <v/>
      </c>
    </row>
    <row r="217" spans="7:7">
      <c r="G217" s="5" t="str">
        <f t="shared" si="18"/>
        <v/>
      </c>
    </row>
    <row r="218" spans="7:7">
      <c r="G218" s="5" t="str">
        <f t="shared" si="18"/>
        <v/>
      </c>
    </row>
    <row r="219" spans="7:7">
      <c r="G219" s="5" t="str">
        <f t="shared" si="18"/>
        <v/>
      </c>
    </row>
    <row r="220" spans="7:7">
      <c r="G220" s="5" t="str">
        <f t="shared" si="18"/>
        <v/>
      </c>
    </row>
    <row r="221" spans="7:7">
      <c r="G221" s="5" t="str">
        <f t="shared" si="18"/>
        <v/>
      </c>
    </row>
    <row r="222" spans="7:7">
      <c r="G222" s="5" t="str">
        <f t="shared" si="18"/>
        <v/>
      </c>
    </row>
    <row r="223" spans="7:7">
      <c r="G223" s="5" t="str">
        <f t="shared" si="18"/>
        <v/>
      </c>
    </row>
    <row r="224" spans="7:7">
      <c r="G224" s="5" t="str">
        <f t="shared" si="18"/>
        <v/>
      </c>
    </row>
    <row r="225" spans="7:7">
      <c r="G225" s="5" t="str">
        <f t="shared" si="18"/>
        <v/>
      </c>
    </row>
    <row r="226" spans="7:7">
      <c r="G226" s="5" t="str">
        <f t="shared" si="18"/>
        <v/>
      </c>
    </row>
    <row r="227" spans="7:7">
      <c r="G227" s="5" t="str">
        <f t="shared" si="18"/>
        <v/>
      </c>
    </row>
    <row r="228" spans="7:7">
      <c r="G228" s="5" t="str">
        <f t="shared" si="18"/>
        <v/>
      </c>
    </row>
    <row r="229" spans="7:7">
      <c r="G229" s="5" t="str">
        <f t="shared" si="18"/>
        <v/>
      </c>
    </row>
    <row r="230" spans="7:7">
      <c r="G230" s="5" t="str">
        <f t="shared" si="18"/>
        <v/>
      </c>
    </row>
    <row r="231" spans="7:7">
      <c r="G231" s="5" t="str">
        <f t="shared" si="18"/>
        <v/>
      </c>
    </row>
    <row r="232" spans="7:7">
      <c r="G232" s="5" t="str">
        <f t="shared" si="18"/>
        <v/>
      </c>
    </row>
    <row r="233" spans="7:7">
      <c r="G233" s="5" t="str">
        <f t="shared" si="18"/>
        <v/>
      </c>
    </row>
    <row r="234" spans="7:7">
      <c r="G234" s="5" t="str">
        <f t="shared" si="18"/>
        <v/>
      </c>
    </row>
    <row r="235" spans="7:7">
      <c r="G235" s="5" t="str">
        <f t="shared" si="18"/>
        <v/>
      </c>
    </row>
    <row r="236" spans="7:7">
      <c r="G236" s="5" t="str">
        <f t="shared" si="18"/>
        <v/>
      </c>
    </row>
    <row r="237" spans="7:7">
      <c r="G237" s="5" t="str">
        <f t="shared" si="18"/>
        <v/>
      </c>
    </row>
    <row r="238" spans="7:7">
      <c r="G238" s="5" t="str">
        <f t="shared" si="18"/>
        <v/>
      </c>
    </row>
    <row r="239" spans="7:7">
      <c r="G239" s="5" t="str">
        <f t="shared" si="18"/>
        <v/>
      </c>
    </row>
    <row r="240" spans="7:7">
      <c r="G240" s="5" t="str">
        <f t="shared" si="18"/>
        <v/>
      </c>
    </row>
    <row r="241" spans="7:7">
      <c r="G241" s="5" t="str">
        <f t="shared" si="18"/>
        <v/>
      </c>
    </row>
    <row r="242" spans="7:7">
      <c r="G242" s="5" t="str">
        <f t="shared" si="18"/>
        <v/>
      </c>
    </row>
    <row r="243" spans="7:7">
      <c r="G243" s="5" t="str">
        <f t="shared" si="18"/>
        <v/>
      </c>
    </row>
    <row r="244" spans="7:7">
      <c r="G244" s="5" t="str">
        <f t="shared" si="18"/>
        <v/>
      </c>
    </row>
    <row r="245" spans="7:7">
      <c r="G245" s="5" t="str">
        <f t="shared" si="18"/>
        <v/>
      </c>
    </row>
    <row r="246" spans="7:7">
      <c r="G246" s="5" t="str">
        <f t="shared" si="18"/>
        <v/>
      </c>
    </row>
    <row r="247" spans="7:7">
      <c r="G247" s="5" t="str">
        <f t="shared" si="18"/>
        <v/>
      </c>
    </row>
    <row r="248" spans="7:7">
      <c r="G248" s="5" t="str">
        <f t="shared" si="18"/>
        <v/>
      </c>
    </row>
    <row r="249" spans="7:7">
      <c r="G249" s="5" t="str">
        <f t="shared" si="18"/>
        <v/>
      </c>
    </row>
    <row r="250" spans="7:7">
      <c r="G250" s="5" t="str">
        <f t="shared" si="18"/>
        <v/>
      </c>
    </row>
    <row r="251" spans="7:7">
      <c r="G251" s="5" t="str">
        <f t="shared" si="18"/>
        <v/>
      </c>
    </row>
    <row r="252" spans="7:7">
      <c r="G252" s="5" t="str">
        <f t="shared" si="18"/>
        <v/>
      </c>
    </row>
    <row r="253" spans="7:7">
      <c r="G253" s="5" t="str">
        <f t="shared" si="18"/>
        <v/>
      </c>
    </row>
    <row r="254" spans="7:7">
      <c r="G254" s="5" t="str">
        <f t="shared" si="18"/>
        <v/>
      </c>
    </row>
    <row r="255" spans="7:7">
      <c r="G255" s="5" t="str">
        <f t="shared" si="18"/>
        <v/>
      </c>
    </row>
    <row r="256" spans="7:7">
      <c r="G256" s="5" t="str">
        <f t="shared" si="18"/>
        <v/>
      </c>
    </row>
    <row r="257" spans="7:7">
      <c r="G257" s="5" t="str">
        <f t="shared" si="18"/>
        <v/>
      </c>
    </row>
    <row r="258" spans="7:7">
      <c r="G258" s="5" t="str">
        <f t="shared" si="18"/>
        <v/>
      </c>
    </row>
    <row r="259" spans="7:7">
      <c r="G259" s="5" t="str">
        <f t="shared" si="18"/>
        <v/>
      </c>
    </row>
    <row r="260" spans="7:7">
      <c r="G260" s="5" t="str">
        <f t="shared" si="18"/>
        <v/>
      </c>
    </row>
    <row r="261" spans="7:7">
      <c r="G261" s="5" t="str">
        <f t="shared" si="18"/>
        <v/>
      </c>
    </row>
    <row r="262" spans="7:7">
      <c r="G262" s="5" t="str">
        <f t="shared" si="18"/>
        <v/>
      </c>
    </row>
    <row r="263" spans="7:7">
      <c r="G263" s="5" t="str">
        <f t="shared" si="18"/>
        <v/>
      </c>
    </row>
    <row r="264" spans="7:7">
      <c r="G264" s="5" t="str">
        <f t="shared" si="18"/>
        <v/>
      </c>
    </row>
    <row r="265" spans="7:7">
      <c r="G265" s="5" t="str">
        <f t="shared" si="18"/>
        <v/>
      </c>
    </row>
    <row r="266" spans="7:7">
      <c r="G266" s="5" t="str">
        <f t="shared" si="18"/>
        <v/>
      </c>
    </row>
    <row r="267" spans="7:7">
      <c r="G267" s="5" t="str">
        <f t="shared" ref="G267:G330" si="19">IF(B267&lt;&gt;"",SUM(C267:F267),"")</f>
        <v/>
      </c>
    </row>
    <row r="268" spans="7:7">
      <c r="G268" s="5" t="str">
        <f t="shared" si="19"/>
        <v/>
      </c>
    </row>
    <row r="269" spans="7:7">
      <c r="G269" s="5" t="str">
        <f t="shared" si="19"/>
        <v/>
      </c>
    </row>
    <row r="270" spans="7:7">
      <c r="G270" s="5" t="str">
        <f t="shared" si="19"/>
        <v/>
      </c>
    </row>
    <row r="271" spans="7:7">
      <c r="G271" s="5" t="str">
        <f t="shared" si="19"/>
        <v/>
      </c>
    </row>
    <row r="272" spans="7:7">
      <c r="G272" s="5" t="str">
        <f t="shared" si="19"/>
        <v/>
      </c>
    </row>
    <row r="273" spans="7:7">
      <c r="G273" s="5" t="str">
        <f t="shared" si="19"/>
        <v/>
      </c>
    </row>
    <row r="274" spans="7:7">
      <c r="G274" s="5" t="str">
        <f t="shared" si="19"/>
        <v/>
      </c>
    </row>
    <row r="275" spans="7:7">
      <c r="G275" s="5" t="str">
        <f t="shared" si="19"/>
        <v/>
      </c>
    </row>
    <row r="276" spans="7:7">
      <c r="G276" s="5" t="str">
        <f t="shared" si="19"/>
        <v/>
      </c>
    </row>
    <row r="277" spans="7:7">
      <c r="G277" s="5" t="str">
        <f t="shared" si="19"/>
        <v/>
      </c>
    </row>
    <row r="278" spans="7:7">
      <c r="G278" s="5" t="str">
        <f t="shared" si="19"/>
        <v/>
      </c>
    </row>
    <row r="279" spans="7:7">
      <c r="G279" s="5" t="str">
        <f t="shared" si="19"/>
        <v/>
      </c>
    </row>
    <row r="280" spans="7:7">
      <c r="G280" s="5" t="str">
        <f t="shared" si="19"/>
        <v/>
      </c>
    </row>
    <row r="281" spans="7:7">
      <c r="G281" s="5" t="str">
        <f t="shared" si="19"/>
        <v/>
      </c>
    </row>
    <row r="282" spans="7:7">
      <c r="G282" s="5" t="str">
        <f t="shared" si="19"/>
        <v/>
      </c>
    </row>
    <row r="283" spans="7:7">
      <c r="G283" s="5" t="str">
        <f t="shared" si="19"/>
        <v/>
      </c>
    </row>
    <row r="284" spans="7:7">
      <c r="G284" s="5" t="str">
        <f t="shared" si="19"/>
        <v/>
      </c>
    </row>
    <row r="285" spans="7:7">
      <c r="G285" s="5" t="str">
        <f t="shared" si="19"/>
        <v/>
      </c>
    </row>
    <row r="286" spans="7:7">
      <c r="G286" s="5" t="str">
        <f t="shared" si="19"/>
        <v/>
      </c>
    </row>
    <row r="287" spans="7:7">
      <c r="G287" s="5" t="str">
        <f t="shared" si="19"/>
        <v/>
      </c>
    </row>
    <row r="288" spans="7:7">
      <c r="G288" s="5" t="str">
        <f t="shared" si="19"/>
        <v/>
      </c>
    </row>
    <row r="289" spans="7:7">
      <c r="G289" s="5" t="str">
        <f t="shared" si="19"/>
        <v/>
      </c>
    </row>
    <row r="290" spans="7:7">
      <c r="G290" s="5" t="str">
        <f t="shared" si="19"/>
        <v/>
      </c>
    </row>
    <row r="291" spans="7:7">
      <c r="G291" s="5" t="str">
        <f t="shared" si="19"/>
        <v/>
      </c>
    </row>
    <row r="292" spans="7:7">
      <c r="G292" s="5" t="str">
        <f t="shared" si="19"/>
        <v/>
      </c>
    </row>
    <row r="293" spans="7:7">
      <c r="G293" s="5" t="str">
        <f t="shared" si="19"/>
        <v/>
      </c>
    </row>
    <row r="294" spans="7:7">
      <c r="G294" s="5" t="str">
        <f t="shared" si="19"/>
        <v/>
      </c>
    </row>
    <row r="295" spans="7:7">
      <c r="G295" s="5" t="str">
        <f t="shared" si="19"/>
        <v/>
      </c>
    </row>
    <row r="296" spans="7:7">
      <c r="G296" s="5" t="str">
        <f t="shared" si="19"/>
        <v/>
      </c>
    </row>
    <row r="297" spans="7:7">
      <c r="G297" s="5" t="str">
        <f t="shared" si="19"/>
        <v/>
      </c>
    </row>
    <row r="298" spans="7:7">
      <c r="G298" s="5" t="str">
        <f t="shared" si="19"/>
        <v/>
      </c>
    </row>
    <row r="299" spans="7:7">
      <c r="G299" s="5" t="str">
        <f t="shared" si="19"/>
        <v/>
      </c>
    </row>
    <row r="300" spans="7:7">
      <c r="G300" s="5" t="str">
        <f t="shared" si="19"/>
        <v/>
      </c>
    </row>
    <row r="301" spans="7:7">
      <c r="G301" s="5" t="str">
        <f t="shared" si="19"/>
        <v/>
      </c>
    </row>
    <row r="302" spans="7:7">
      <c r="G302" s="5" t="str">
        <f t="shared" si="19"/>
        <v/>
      </c>
    </row>
    <row r="303" spans="7:7">
      <c r="G303" s="5" t="str">
        <f t="shared" si="19"/>
        <v/>
      </c>
    </row>
    <row r="304" spans="7:7">
      <c r="G304" s="5" t="str">
        <f t="shared" si="19"/>
        <v/>
      </c>
    </row>
    <row r="305" spans="7:7">
      <c r="G305" s="5" t="str">
        <f t="shared" si="19"/>
        <v/>
      </c>
    </row>
    <row r="306" spans="7:7">
      <c r="G306" s="5" t="str">
        <f t="shared" si="19"/>
        <v/>
      </c>
    </row>
    <row r="307" spans="7:7">
      <c r="G307" s="5" t="str">
        <f t="shared" si="19"/>
        <v/>
      </c>
    </row>
    <row r="308" spans="7:7">
      <c r="G308" s="5" t="str">
        <f t="shared" si="19"/>
        <v/>
      </c>
    </row>
    <row r="309" spans="7:7">
      <c r="G309" s="5" t="str">
        <f t="shared" si="19"/>
        <v/>
      </c>
    </row>
    <row r="310" spans="7:7">
      <c r="G310" s="5" t="str">
        <f t="shared" si="19"/>
        <v/>
      </c>
    </row>
    <row r="311" spans="7:7">
      <c r="G311" s="5" t="str">
        <f t="shared" si="19"/>
        <v/>
      </c>
    </row>
    <row r="312" spans="7:7">
      <c r="G312" s="5" t="str">
        <f t="shared" si="19"/>
        <v/>
      </c>
    </row>
    <row r="313" spans="7:7">
      <c r="G313" s="5" t="str">
        <f t="shared" si="19"/>
        <v/>
      </c>
    </row>
    <row r="314" spans="7:7">
      <c r="G314" s="5" t="str">
        <f t="shared" si="19"/>
        <v/>
      </c>
    </row>
    <row r="315" spans="7:7">
      <c r="G315" s="5" t="str">
        <f t="shared" si="19"/>
        <v/>
      </c>
    </row>
    <row r="316" spans="7:7">
      <c r="G316" s="5" t="str">
        <f t="shared" si="19"/>
        <v/>
      </c>
    </row>
    <row r="317" spans="7:7">
      <c r="G317" s="5" t="str">
        <f t="shared" si="19"/>
        <v/>
      </c>
    </row>
    <row r="318" spans="7:7">
      <c r="G318" s="5" t="str">
        <f t="shared" si="19"/>
        <v/>
      </c>
    </row>
    <row r="319" spans="7:7">
      <c r="G319" s="5" t="str">
        <f t="shared" si="19"/>
        <v/>
      </c>
    </row>
    <row r="320" spans="7:7">
      <c r="G320" s="5" t="str">
        <f t="shared" si="19"/>
        <v/>
      </c>
    </row>
    <row r="321" spans="7:7">
      <c r="G321" s="5" t="str">
        <f t="shared" si="19"/>
        <v/>
      </c>
    </row>
    <row r="322" spans="7:7">
      <c r="G322" s="5" t="str">
        <f t="shared" si="19"/>
        <v/>
      </c>
    </row>
    <row r="323" spans="7:7">
      <c r="G323" s="5" t="str">
        <f t="shared" si="19"/>
        <v/>
      </c>
    </row>
    <row r="324" spans="7:7">
      <c r="G324" s="5" t="str">
        <f t="shared" si="19"/>
        <v/>
      </c>
    </row>
    <row r="325" spans="7:7">
      <c r="G325" s="5" t="str">
        <f t="shared" si="19"/>
        <v/>
      </c>
    </row>
    <row r="326" spans="7:7">
      <c r="G326" s="5" t="str">
        <f t="shared" si="19"/>
        <v/>
      </c>
    </row>
    <row r="327" spans="7:7">
      <c r="G327" s="5" t="str">
        <f t="shared" si="19"/>
        <v/>
      </c>
    </row>
    <row r="328" spans="7:7">
      <c r="G328" s="5" t="str">
        <f t="shared" si="19"/>
        <v/>
      </c>
    </row>
    <row r="329" spans="7:7">
      <c r="G329" s="5" t="str">
        <f t="shared" si="19"/>
        <v/>
      </c>
    </row>
    <row r="330" spans="7:7">
      <c r="G330" s="5" t="str">
        <f t="shared" si="19"/>
        <v/>
      </c>
    </row>
    <row r="331" spans="7:7">
      <c r="G331" s="5" t="str">
        <f t="shared" ref="G331:G394" si="20">IF(B331&lt;&gt;"",SUM(C331:F331),"")</f>
        <v/>
      </c>
    </row>
    <row r="332" spans="7:7">
      <c r="G332" s="5" t="str">
        <f t="shared" si="20"/>
        <v/>
      </c>
    </row>
    <row r="333" spans="7:7">
      <c r="G333" s="5" t="str">
        <f t="shared" si="20"/>
        <v/>
      </c>
    </row>
    <row r="334" spans="7:7">
      <c r="G334" s="5" t="str">
        <f t="shared" si="20"/>
        <v/>
      </c>
    </row>
    <row r="335" spans="7:7">
      <c r="G335" s="5" t="str">
        <f t="shared" si="20"/>
        <v/>
      </c>
    </row>
    <row r="336" spans="7:7">
      <c r="G336" s="5" t="str">
        <f t="shared" si="20"/>
        <v/>
      </c>
    </row>
    <row r="337" spans="7:7">
      <c r="G337" s="5" t="str">
        <f t="shared" si="20"/>
        <v/>
      </c>
    </row>
    <row r="338" spans="7:7">
      <c r="G338" s="5" t="str">
        <f t="shared" si="20"/>
        <v/>
      </c>
    </row>
    <row r="339" spans="7:7">
      <c r="G339" s="5" t="str">
        <f t="shared" si="20"/>
        <v/>
      </c>
    </row>
    <row r="340" spans="7:7">
      <c r="G340" s="5" t="str">
        <f t="shared" si="20"/>
        <v/>
      </c>
    </row>
    <row r="341" spans="7:7">
      <c r="G341" s="5" t="str">
        <f t="shared" si="20"/>
        <v/>
      </c>
    </row>
    <row r="342" spans="7:7">
      <c r="G342" s="5" t="str">
        <f t="shared" si="20"/>
        <v/>
      </c>
    </row>
    <row r="343" spans="7:7">
      <c r="G343" s="5" t="str">
        <f t="shared" si="20"/>
        <v/>
      </c>
    </row>
    <row r="344" spans="7:7">
      <c r="G344" s="5" t="str">
        <f t="shared" si="20"/>
        <v/>
      </c>
    </row>
    <row r="345" spans="7:7">
      <c r="G345" s="5" t="str">
        <f t="shared" si="20"/>
        <v/>
      </c>
    </row>
    <row r="346" spans="7:7">
      <c r="G346" s="5" t="str">
        <f t="shared" si="20"/>
        <v/>
      </c>
    </row>
    <row r="347" spans="7:7">
      <c r="G347" s="5" t="str">
        <f t="shared" si="20"/>
        <v/>
      </c>
    </row>
    <row r="348" spans="7:7">
      <c r="G348" s="5" t="str">
        <f t="shared" si="20"/>
        <v/>
      </c>
    </row>
    <row r="349" spans="7:7">
      <c r="G349" s="5" t="str">
        <f t="shared" si="20"/>
        <v/>
      </c>
    </row>
    <row r="350" spans="7:7">
      <c r="G350" s="5" t="str">
        <f t="shared" si="20"/>
        <v/>
      </c>
    </row>
    <row r="351" spans="7:7">
      <c r="G351" s="5" t="str">
        <f t="shared" si="20"/>
        <v/>
      </c>
    </row>
    <row r="352" spans="7:7">
      <c r="G352" s="5" t="str">
        <f t="shared" si="20"/>
        <v/>
      </c>
    </row>
    <row r="353" spans="7:7">
      <c r="G353" s="5" t="str">
        <f t="shared" si="20"/>
        <v/>
      </c>
    </row>
    <row r="354" spans="7:7">
      <c r="G354" s="5" t="str">
        <f t="shared" si="20"/>
        <v/>
      </c>
    </row>
    <row r="355" spans="7:7">
      <c r="G355" s="5" t="str">
        <f t="shared" si="20"/>
        <v/>
      </c>
    </row>
    <row r="356" spans="7:7">
      <c r="G356" s="5" t="str">
        <f t="shared" si="20"/>
        <v/>
      </c>
    </row>
    <row r="357" spans="7:7">
      <c r="G357" s="5" t="str">
        <f t="shared" si="20"/>
        <v/>
      </c>
    </row>
    <row r="358" spans="7:7">
      <c r="G358" s="5" t="str">
        <f t="shared" si="20"/>
        <v/>
      </c>
    </row>
    <row r="359" spans="7:7">
      <c r="G359" s="5" t="str">
        <f t="shared" si="20"/>
        <v/>
      </c>
    </row>
    <row r="360" spans="7:7">
      <c r="G360" s="5" t="str">
        <f t="shared" si="20"/>
        <v/>
      </c>
    </row>
    <row r="361" spans="7:7">
      <c r="G361" s="5" t="str">
        <f t="shared" si="20"/>
        <v/>
      </c>
    </row>
    <row r="362" spans="7:7">
      <c r="G362" s="5" t="str">
        <f t="shared" si="20"/>
        <v/>
      </c>
    </row>
    <row r="363" spans="7:7">
      <c r="G363" s="5" t="str">
        <f t="shared" si="20"/>
        <v/>
      </c>
    </row>
    <row r="364" spans="7:7">
      <c r="G364" s="5" t="str">
        <f t="shared" si="20"/>
        <v/>
      </c>
    </row>
    <row r="365" spans="7:7">
      <c r="G365" s="5" t="str">
        <f t="shared" si="20"/>
        <v/>
      </c>
    </row>
    <row r="366" spans="7:7">
      <c r="G366" s="5" t="str">
        <f t="shared" si="20"/>
        <v/>
      </c>
    </row>
    <row r="367" spans="7:7">
      <c r="G367" s="5" t="str">
        <f t="shared" si="20"/>
        <v/>
      </c>
    </row>
    <row r="368" spans="7:7">
      <c r="G368" s="5" t="str">
        <f t="shared" si="20"/>
        <v/>
      </c>
    </row>
    <row r="369" spans="7:7">
      <c r="G369" s="5" t="str">
        <f t="shared" si="20"/>
        <v/>
      </c>
    </row>
    <row r="370" spans="7:7">
      <c r="G370" s="5" t="str">
        <f t="shared" si="20"/>
        <v/>
      </c>
    </row>
    <row r="371" spans="7:7">
      <c r="G371" s="5" t="str">
        <f t="shared" si="20"/>
        <v/>
      </c>
    </row>
    <row r="372" spans="7:7">
      <c r="G372" s="5" t="str">
        <f t="shared" si="20"/>
        <v/>
      </c>
    </row>
    <row r="373" spans="7:7">
      <c r="G373" s="5" t="str">
        <f t="shared" si="20"/>
        <v/>
      </c>
    </row>
    <row r="374" spans="7:7">
      <c r="G374" s="5" t="str">
        <f t="shared" si="20"/>
        <v/>
      </c>
    </row>
    <row r="375" spans="7:7">
      <c r="G375" s="5" t="str">
        <f t="shared" si="20"/>
        <v/>
      </c>
    </row>
    <row r="376" spans="7:7">
      <c r="G376" s="5" t="str">
        <f t="shared" si="20"/>
        <v/>
      </c>
    </row>
    <row r="377" spans="7:7">
      <c r="G377" s="5" t="str">
        <f t="shared" si="20"/>
        <v/>
      </c>
    </row>
    <row r="378" spans="7:7">
      <c r="G378" s="5" t="str">
        <f t="shared" si="20"/>
        <v/>
      </c>
    </row>
    <row r="379" spans="7:7">
      <c r="G379" s="5" t="str">
        <f t="shared" si="20"/>
        <v/>
      </c>
    </row>
    <row r="380" spans="7:7">
      <c r="G380" s="5" t="str">
        <f t="shared" si="20"/>
        <v/>
      </c>
    </row>
    <row r="381" spans="7:7">
      <c r="G381" s="5" t="str">
        <f t="shared" si="20"/>
        <v/>
      </c>
    </row>
    <row r="382" spans="7:7">
      <c r="G382" s="5" t="str">
        <f t="shared" si="20"/>
        <v/>
      </c>
    </row>
    <row r="383" spans="7:7">
      <c r="G383" s="5" t="str">
        <f t="shared" si="20"/>
        <v/>
      </c>
    </row>
    <row r="384" spans="7:7">
      <c r="G384" s="5" t="str">
        <f t="shared" si="20"/>
        <v/>
      </c>
    </row>
    <row r="385" spans="7:7">
      <c r="G385" s="5" t="str">
        <f t="shared" si="20"/>
        <v/>
      </c>
    </row>
    <row r="386" spans="7:7">
      <c r="G386" s="5" t="str">
        <f t="shared" si="20"/>
        <v/>
      </c>
    </row>
    <row r="387" spans="7:7">
      <c r="G387" s="5" t="str">
        <f t="shared" si="20"/>
        <v/>
      </c>
    </row>
    <row r="388" spans="7:7">
      <c r="G388" s="5" t="str">
        <f t="shared" si="20"/>
        <v/>
      </c>
    </row>
    <row r="389" spans="7:7">
      <c r="G389" s="5" t="str">
        <f t="shared" si="20"/>
        <v/>
      </c>
    </row>
    <row r="390" spans="7:7">
      <c r="G390" s="5" t="str">
        <f t="shared" si="20"/>
        <v/>
      </c>
    </row>
    <row r="391" spans="7:7">
      <c r="G391" s="5" t="str">
        <f t="shared" si="20"/>
        <v/>
      </c>
    </row>
    <row r="392" spans="7:7">
      <c r="G392" s="5" t="str">
        <f t="shared" si="20"/>
        <v/>
      </c>
    </row>
    <row r="393" spans="7:7">
      <c r="G393" s="5" t="str">
        <f t="shared" si="20"/>
        <v/>
      </c>
    </row>
    <row r="394" spans="7:7">
      <c r="G394" s="5" t="str">
        <f t="shared" si="20"/>
        <v/>
      </c>
    </row>
    <row r="395" spans="7:7">
      <c r="G395" s="5" t="str">
        <f t="shared" ref="G395:G446" si="21">IF(B395&lt;&gt;"",SUM(C395:F395),"")</f>
        <v/>
      </c>
    </row>
    <row r="396" spans="7:7">
      <c r="G396" s="5" t="str">
        <f t="shared" si="21"/>
        <v/>
      </c>
    </row>
    <row r="397" spans="7:7">
      <c r="G397" s="5" t="str">
        <f t="shared" si="21"/>
        <v/>
      </c>
    </row>
    <row r="398" spans="7:7">
      <c r="G398" s="5" t="str">
        <f t="shared" si="21"/>
        <v/>
      </c>
    </row>
    <row r="399" spans="7:7">
      <c r="G399" s="5" t="str">
        <f t="shared" si="21"/>
        <v/>
      </c>
    </row>
    <row r="400" spans="7:7">
      <c r="G400" s="5" t="str">
        <f t="shared" si="21"/>
        <v/>
      </c>
    </row>
    <row r="401" spans="7:7">
      <c r="G401" s="5" t="str">
        <f t="shared" si="21"/>
        <v/>
      </c>
    </row>
    <row r="402" spans="7:7">
      <c r="G402" s="5" t="str">
        <f t="shared" si="21"/>
        <v/>
      </c>
    </row>
    <row r="403" spans="7:7">
      <c r="G403" s="5" t="str">
        <f t="shared" si="21"/>
        <v/>
      </c>
    </row>
    <row r="404" spans="7:7">
      <c r="G404" s="5" t="str">
        <f t="shared" si="21"/>
        <v/>
      </c>
    </row>
    <row r="405" spans="7:7">
      <c r="G405" s="5" t="str">
        <f t="shared" si="21"/>
        <v/>
      </c>
    </row>
    <row r="406" spans="7:7">
      <c r="G406" s="5" t="str">
        <f t="shared" si="21"/>
        <v/>
      </c>
    </row>
    <row r="407" spans="7:7">
      <c r="G407" s="5" t="str">
        <f t="shared" si="21"/>
        <v/>
      </c>
    </row>
    <row r="408" spans="7:7">
      <c r="G408" s="5" t="str">
        <f t="shared" si="21"/>
        <v/>
      </c>
    </row>
    <row r="409" spans="7:7">
      <c r="G409" s="5" t="str">
        <f t="shared" si="21"/>
        <v/>
      </c>
    </row>
    <row r="410" spans="7:7">
      <c r="G410" s="5" t="str">
        <f t="shared" si="21"/>
        <v/>
      </c>
    </row>
    <row r="411" spans="7:7">
      <c r="G411" s="5" t="str">
        <f t="shared" si="21"/>
        <v/>
      </c>
    </row>
    <row r="412" spans="7:7">
      <c r="G412" s="5" t="str">
        <f t="shared" si="21"/>
        <v/>
      </c>
    </row>
    <row r="413" spans="7:7">
      <c r="G413" s="5" t="str">
        <f t="shared" si="21"/>
        <v/>
      </c>
    </row>
    <row r="414" spans="7:7">
      <c r="G414" s="5" t="str">
        <f t="shared" si="21"/>
        <v/>
      </c>
    </row>
    <row r="415" spans="7:7">
      <c r="G415" s="5" t="str">
        <f t="shared" si="21"/>
        <v/>
      </c>
    </row>
    <row r="416" spans="7:7">
      <c r="G416" s="5" t="str">
        <f t="shared" si="21"/>
        <v/>
      </c>
    </row>
    <row r="417" spans="7:7">
      <c r="G417" s="5" t="str">
        <f t="shared" si="21"/>
        <v/>
      </c>
    </row>
    <row r="418" spans="7:7">
      <c r="G418" s="5" t="str">
        <f t="shared" si="21"/>
        <v/>
      </c>
    </row>
    <row r="419" spans="7:7">
      <c r="G419" s="5" t="str">
        <f t="shared" si="21"/>
        <v/>
      </c>
    </row>
    <row r="420" spans="7:7">
      <c r="G420" s="5" t="str">
        <f t="shared" si="21"/>
        <v/>
      </c>
    </row>
    <row r="421" spans="7:7">
      <c r="G421" s="5" t="str">
        <f t="shared" si="21"/>
        <v/>
      </c>
    </row>
    <row r="422" spans="7:7">
      <c r="G422" s="5" t="str">
        <f t="shared" si="21"/>
        <v/>
      </c>
    </row>
    <row r="423" spans="7:7">
      <c r="G423" s="5" t="str">
        <f t="shared" si="21"/>
        <v/>
      </c>
    </row>
    <row r="424" spans="7:7">
      <c r="G424" s="5" t="str">
        <f t="shared" si="21"/>
        <v/>
      </c>
    </row>
    <row r="425" spans="7:7">
      <c r="G425" s="5" t="str">
        <f t="shared" si="21"/>
        <v/>
      </c>
    </row>
    <row r="426" spans="7:7">
      <c r="G426" s="5" t="str">
        <f t="shared" si="21"/>
        <v/>
      </c>
    </row>
    <row r="427" spans="7:7">
      <c r="G427" s="5" t="str">
        <f t="shared" si="21"/>
        <v/>
      </c>
    </row>
    <row r="428" spans="7:7">
      <c r="G428" s="5" t="str">
        <f t="shared" si="21"/>
        <v/>
      </c>
    </row>
    <row r="429" spans="7:7">
      <c r="G429" s="5" t="str">
        <f t="shared" si="21"/>
        <v/>
      </c>
    </row>
    <row r="430" spans="7:7">
      <c r="G430" s="5" t="str">
        <f t="shared" si="21"/>
        <v/>
      </c>
    </row>
    <row r="431" spans="7:7">
      <c r="G431" s="5" t="str">
        <f t="shared" si="21"/>
        <v/>
      </c>
    </row>
    <row r="432" spans="7:7">
      <c r="G432" s="5" t="str">
        <f t="shared" si="21"/>
        <v/>
      </c>
    </row>
    <row r="433" spans="7:7">
      <c r="G433" s="5" t="str">
        <f t="shared" si="21"/>
        <v/>
      </c>
    </row>
    <row r="434" spans="7:7">
      <c r="G434" s="5" t="str">
        <f t="shared" si="21"/>
        <v/>
      </c>
    </row>
    <row r="435" spans="7:7">
      <c r="G435" s="5" t="str">
        <f t="shared" si="21"/>
        <v/>
      </c>
    </row>
    <row r="436" spans="7:7">
      <c r="G436" s="5" t="str">
        <f t="shared" si="21"/>
        <v/>
      </c>
    </row>
    <row r="437" spans="7:7">
      <c r="G437" s="5" t="str">
        <f t="shared" si="21"/>
        <v/>
      </c>
    </row>
    <row r="438" spans="7:7">
      <c r="G438" s="5" t="str">
        <f t="shared" si="21"/>
        <v/>
      </c>
    </row>
    <row r="439" spans="7:7">
      <c r="G439" s="5" t="str">
        <f t="shared" si="21"/>
        <v/>
      </c>
    </row>
    <row r="440" spans="7:7">
      <c r="G440" s="5" t="str">
        <f t="shared" si="21"/>
        <v/>
      </c>
    </row>
    <row r="441" spans="7:7">
      <c r="G441" s="5" t="str">
        <f t="shared" si="21"/>
        <v/>
      </c>
    </row>
    <row r="442" spans="7:7">
      <c r="G442" s="5" t="str">
        <f t="shared" si="21"/>
        <v/>
      </c>
    </row>
    <row r="443" spans="7:7">
      <c r="G443" s="5" t="str">
        <f t="shared" si="21"/>
        <v/>
      </c>
    </row>
    <row r="444" spans="7:7">
      <c r="G444" s="5" t="str">
        <f t="shared" si="21"/>
        <v/>
      </c>
    </row>
    <row r="445" spans="7:7">
      <c r="G445" s="5" t="str">
        <f t="shared" si="21"/>
        <v/>
      </c>
    </row>
    <row r="446" spans="7:7">
      <c r="G446" s="5" t="str">
        <f t="shared" si="21"/>
        <v/>
      </c>
    </row>
  </sheetData>
  <sheetProtection sort="0" autoFilter="0" pivotTables="0"/>
  <autoFilter ref="H5:H20" xr:uid="{F686D439-7B13-47AA-BE4C-76E87BE82DF9}"/>
  <sortState xmlns:xlrd2="http://schemas.microsoft.com/office/spreadsheetml/2017/richdata2" ref="B6:L18">
    <sortCondition ref="B6:B18"/>
  </sortState>
  <pageMargins left="0.78740157480314965" right="0.78740157480314965" top="0.78740157480314965" bottom="0.78740157480314965" header="0" footer="0"/>
  <pageSetup paperSize="9" scale="7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FF0000"/>
    <pageSetUpPr fitToPage="1"/>
  </sheetPr>
  <dimension ref="B1:S493"/>
  <sheetViews>
    <sheetView zoomScaleNormal="100" workbookViewId="0">
      <pane ySplit="5" topLeftCell="A24" activePane="bottomLeft" state="frozen"/>
      <selection pane="bottomLeft" activeCell="F6" sqref="F6:F67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5" width="13.5703125" style="15" customWidth="1"/>
    <col min="6" max="6" width="14.140625" style="15" bestFit="1" customWidth="1"/>
    <col min="7" max="7" width="14.140625" style="5" bestFit="1" customWidth="1"/>
    <col min="8" max="8" width="14.5703125" style="1" customWidth="1"/>
    <col min="9" max="9" width="13" style="1" customWidth="1"/>
    <col min="10" max="11" width="9.5703125" style="9" customWidth="1"/>
    <col min="12" max="12" width="13.8554687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22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377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66" t="s">
        <v>741</v>
      </c>
      <c r="C6" s="38"/>
      <c r="D6" s="38"/>
      <c r="E6" s="38"/>
      <c r="F6" s="39"/>
      <c r="G6" s="40"/>
      <c r="H6" s="23">
        <f t="shared" ref="H6:H37" si="0">SUM(C6:G6)</f>
        <v>0</v>
      </c>
      <c r="I6" s="464">
        <f t="shared" ref="I6:I37" si="1">L6-(L6*J6)</f>
        <v>125.44</v>
      </c>
      <c r="J6" s="16"/>
      <c r="K6" s="17"/>
      <c r="L6" s="414">
        <v>125.44</v>
      </c>
      <c r="M6" s="177"/>
      <c r="N6" s="25">
        <f t="shared" ref="N6" si="2">I6*C6</f>
        <v>0</v>
      </c>
      <c r="O6" s="25">
        <f t="shared" ref="O6" si="3">I6*D6</f>
        <v>0</v>
      </c>
      <c r="P6" s="25">
        <f t="shared" ref="P6" si="4">I6*E6</f>
        <v>0</v>
      </c>
      <c r="Q6" s="26">
        <f t="shared" ref="Q6" si="5">I6*F6</f>
        <v>0</v>
      </c>
      <c r="R6" s="27">
        <f t="shared" ref="R6" si="6">I6*G6</f>
        <v>0</v>
      </c>
      <c r="S6" s="28">
        <f>SUM(N6:R6)</f>
        <v>0</v>
      </c>
    </row>
    <row r="7" spans="2:19">
      <c r="B7" s="466" t="s">
        <v>1091</v>
      </c>
      <c r="C7" s="13"/>
      <c r="D7" s="13"/>
      <c r="E7" s="13"/>
      <c r="F7" s="14"/>
      <c r="G7" s="8"/>
      <c r="H7" s="23">
        <f t="shared" si="0"/>
        <v>0</v>
      </c>
      <c r="I7" s="464">
        <f t="shared" si="1"/>
        <v>498.1774278159059</v>
      </c>
      <c r="J7" s="10"/>
      <c r="K7" s="12"/>
      <c r="L7" s="414">
        <v>498.1774278159059</v>
      </c>
      <c r="M7" s="121"/>
      <c r="N7" s="25">
        <f t="shared" ref="N7:N65" si="7">I7*C7</f>
        <v>0</v>
      </c>
      <c r="O7" s="25">
        <f t="shared" ref="O7:O65" si="8">I7*D7</f>
        <v>0</v>
      </c>
      <c r="P7" s="25">
        <f t="shared" ref="P7:P65" si="9">I7*E7</f>
        <v>0</v>
      </c>
      <c r="Q7" s="26">
        <f t="shared" ref="Q7:Q65" si="10">I7*F7</f>
        <v>0</v>
      </c>
      <c r="R7" s="27">
        <f t="shared" ref="R7:R65" si="11">I7*G7</f>
        <v>0</v>
      </c>
      <c r="S7" s="28">
        <f t="shared" ref="S7:S65" si="12">SUM(N7:R7)</f>
        <v>0</v>
      </c>
    </row>
    <row r="8" spans="2:19">
      <c r="B8" s="466" t="s">
        <v>742</v>
      </c>
      <c r="C8" s="13"/>
      <c r="D8" s="13"/>
      <c r="E8" s="13"/>
      <c r="F8" s="14"/>
      <c r="G8" s="8"/>
      <c r="H8" s="23">
        <f t="shared" si="0"/>
        <v>0</v>
      </c>
      <c r="I8" s="464">
        <f t="shared" si="1"/>
        <v>557.59</v>
      </c>
      <c r="J8" s="10"/>
      <c r="K8" s="12"/>
      <c r="L8" s="414">
        <v>557.59</v>
      </c>
      <c r="M8" s="177"/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2:19">
      <c r="B9" s="466" t="s">
        <v>743</v>
      </c>
      <c r="C9" s="13"/>
      <c r="D9" s="13"/>
      <c r="E9" s="13"/>
      <c r="F9" s="14"/>
      <c r="G9" s="8"/>
      <c r="H9" s="23">
        <f t="shared" si="0"/>
        <v>0</v>
      </c>
      <c r="I9" s="464">
        <f t="shared" si="1"/>
        <v>515.74489795918373</v>
      </c>
      <c r="J9" s="10"/>
      <c r="K9" s="12"/>
      <c r="L9" s="414">
        <v>515.74489795918373</v>
      </c>
      <c r="M9" s="121"/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</row>
    <row r="10" spans="2:19">
      <c r="B10" s="466" t="s">
        <v>744</v>
      </c>
      <c r="C10" s="13"/>
      <c r="D10" s="13"/>
      <c r="E10" s="13"/>
      <c r="F10" s="14">
        <v>80</v>
      </c>
      <c r="G10" s="8"/>
      <c r="H10" s="23">
        <f t="shared" si="0"/>
        <v>80</v>
      </c>
      <c r="I10" s="464">
        <f t="shared" si="1"/>
        <v>66.969387755102034</v>
      </c>
      <c r="J10" s="10"/>
      <c r="K10" s="12"/>
      <c r="L10" s="414">
        <v>66.969387755102034</v>
      </c>
      <c r="M10" s="177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5357.5510204081629</v>
      </c>
      <c r="R10" s="27">
        <f t="shared" si="11"/>
        <v>0</v>
      </c>
      <c r="S10" s="28">
        <f t="shared" si="12"/>
        <v>5357.5510204081629</v>
      </c>
    </row>
    <row r="11" spans="2:19">
      <c r="B11" s="466" t="s">
        <v>745</v>
      </c>
      <c r="C11" s="14"/>
      <c r="D11" s="14"/>
      <c r="E11" s="14"/>
      <c r="F11" s="14"/>
      <c r="G11" s="8"/>
      <c r="H11" s="23">
        <f t="shared" si="0"/>
        <v>0</v>
      </c>
      <c r="I11" s="464">
        <f t="shared" si="1"/>
        <v>157.04081632653063</v>
      </c>
      <c r="J11" s="10"/>
      <c r="K11" s="12"/>
      <c r="L11" s="414">
        <v>157.04081632653063</v>
      </c>
      <c r="M11" s="121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>
      <c r="B12" s="466" t="s">
        <v>746</v>
      </c>
      <c r="C12" s="13"/>
      <c r="D12" s="13"/>
      <c r="E12" s="13"/>
      <c r="F12" s="14"/>
      <c r="G12" s="8"/>
      <c r="H12" s="23">
        <f t="shared" si="0"/>
        <v>0</v>
      </c>
      <c r="I12" s="464">
        <f t="shared" si="1"/>
        <v>5.1734693877551026</v>
      </c>
      <c r="J12" s="10"/>
      <c r="K12" s="12"/>
      <c r="L12" s="414">
        <v>5.1734693877551026</v>
      </c>
      <c r="M12" s="177"/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>
      <c r="B13" s="466" t="s">
        <v>62</v>
      </c>
      <c r="C13" s="13"/>
      <c r="D13" s="13"/>
      <c r="E13" s="13"/>
      <c r="F13" s="14"/>
      <c r="G13" s="8"/>
      <c r="H13" s="23">
        <f t="shared" si="0"/>
        <v>0</v>
      </c>
      <c r="I13" s="464">
        <f t="shared" si="1"/>
        <v>14.805059800203258</v>
      </c>
      <c r="J13" s="10"/>
      <c r="K13" s="12"/>
      <c r="L13" s="414">
        <v>14.805059800203258</v>
      </c>
      <c r="M13" s="121"/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>
      <c r="B14" s="466" t="s">
        <v>747</v>
      </c>
      <c r="C14" s="14"/>
      <c r="D14" s="14"/>
      <c r="E14" s="14"/>
      <c r="F14" s="14">
        <v>1200</v>
      </c>
      <c r="G14" s="8"/>
      <c r="H14" s="23">
        <f t="shared" si="0"/>
        <v>1200</v>
      </c>
      <c r="I14" s="464">
        <f t="shared" si="1"/>
        <v>28.612244897959183</v>
      </c>
      <c r="J14" s="10"/>
      <c r="K14" s="12"/>
      <c r="L14" s="414">
        <v>28.612244897959183</v>
      </c>
      <c r="M14" s="177"/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34334.693877551021</v>
      </c>
      <c r="R14" s="27">
        <f t="shared" si="11"/>
        <v>0</v>
      </c>
      <c r="S14" s="28">
        <f t="shared" si="12"/>
        <v>34334.693877551021</v>
      </c>
    </row>
    <row r="15" spans="2:19">
      <c r="B15" s="466" t="s">
        <v>748</v>
      </c>
      <c r="C15" s="13"/>
      <c r="D15" s="13"/>
      <c r="E15" s="13"/>
      <c r="F15" s="14"/>
      <c r="G15" s="8"/>
      <c r="H15" s="23">
        <f t="shared" si="0"/>
        <v>0</v>
      </c>
      <c r="I15" s="464">
        <f t="shared" si="1"/>
        <v>585.02</v>
      </c>
      <c r="J15" s="10"/>
      <c r="K15" s="12"/>
      <c r="L15" s="414">
        <v>585.02</v>
      </c>
      <c r="M15" s="121"/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2:19">
      <c r="B16" s="466" t="s">
        <v>749</v>
      </c>
      <c r="C16" s="13"/>
      <c r="D16" s="13"/>
      <c r="E16" s="13"/>
      <c r="F16" s="14"/>
      <c r="G16" s="8"/>
      <c r="H16" s="23">
        <f t="shared" si="0"/>
        <v>0</v>
      </c>
      <c r="I16" s="464">
        <f t="shared" si="1"/>
        <v>68.38</v>
      </c>
      <c r="J16" s="10"/>
      <c r="K16" s="12"/>
      <c r="L16" s="414">
        <v>68.38</v>
      </c>
      <c r="M16" s="177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>
      <c r="B17" s="466" t="s">
        <v>750</v>
      </c>
      <c r="C17" s="13"/>
      <c r="D17" s="13"/>
      <c r="E17" s="13"/>
      <c r="F17" s="14"/>
      <c r="G17" s="8"/>
      <c r="H17" s="23">
        <f t="shared" si="0"/>
        <v>0</v>
      </c>
      <c r="I17" s="464">
        <f t="shared" si="1"/>
        <v>152.33000000000001</v>
      </c>
      <c r="J17" s="10"/>
      <c r="K17" s="12"/>
      <c r="L17" s="414">
        <v>152.33000000000001</v>
      </c>
      <c r="M17" s="177"/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>
      <c r="B18" s="466" t="s">
        <v>751</v>
      </c>
      <c r="C18" s="13"/>
      <c r="D18" s="13"/>
      <c r="E18" s="13"/>
      <c r="F18" s="14"/>
      <c r="G18" s="8"/>
      <c r="H18" s="23">
        <f t="shared" si="0"/>
        <v>0</v>
      </c>
      <c r="I18" s="464">
        <f t="shared" si="1"/>
        <v>170.72538571089814</v>
      </c>
      <c r="J18" s="10"/>
      <c r="K18" s="12"/>
      <c r="L18" s="414">
        <v>170.72538571089814</v>
      </c>
      <c r="M18" s="177"/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>
      <c r="B19" s="466" t="s">
        <v>752</v>
      </c>
      <c r="C19" s="13"/>
      <c r="D19" s="13"/>
      <c r="E19" s="13"/>
      <c r="F19" s="14"/>
      <c r="G19" s="8"/>
      <c r="H19" s="23">
        <f t="shared" si="0"/>
        <v>0</v>
      </c>
      <c r="I19" s="464">
        <f t="shared" si="1"/>
        <v>113.07</v>
      </c>
      <c r="J19" s="10"/>
      <c r="K19" s="12"/>
      <c r="L19" s="414">
        <v>113.07</v>
      </c>
      <c r="M19" s="177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>
      <c r="B20" s="466" t="s">
        <v>753</v>
      </c>
      <c r="C20" s="13"/>
      <c r="D20" s="13"/>
      <c r="E20" s="13"/>
      <c r="F20" s="14"/>
      <c r="G20" s="8"/>
      <c r="H20" s="23">
        <f t="shared" si="0"/>
        <v>0</v>
      </c>
      <c r="I20" s="464">
        <f t="shared" si="1"/>
        <v>119.74</v>
      </c>
      <c r="J20" s="10"/>
      <c r="K20" s="12"/>
      <c r="L20" s="414">
        <v>119.74</v>
      </c>
      <c r="M20" s="177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2:19">
      <c r="B21" s="466" t="s">
        <v>754</v>
      </c>
      <c r="C21" s="13"/>
      <c r="D21" s="13"/>
      <c r="E21" s="13"/>
      <c r="F21" s="14"/>
      <c r="G21" s="8"/>
      <c r="H21" s="23">
        <f t="shared" si="0"/>
        <v>0</v>
      </c>
      <c r="I21" s="464">
        <f t="shared" si="1"/>
        <v>65.75</v>
      </c>
      <c r="J21" s="10"/>
      <c r="K21" s="12"/>
      <c r="L21" s="414">
        <v>65.75</v>
      </c>
      <c r="M21" s="177"/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>
      <c r="B22" s="466" t="s">
        <v>755</v>
      </c>
      <c r="C22" s="13"/>
      <c r="D22" s="13"/>
      <c r="E22" s="13"/>
      <c r="F22" s="14"/>
      <c r="G22" s="8"/>
      <c r="H22" s="23">
        <f t="shared" si="0"/>
        <v>0</v>
      </c>
      <c r="I22" s="464">
        <f t="shared" si="1"/>
        <v>21.08</v>
      </c>
      <c r="J22" s="10"/>
      <c r="K22" s="12"/>
      <c r="L22" s="414">
        <v>21.08</v>
      </c>
      <c r="M22" s="177"/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2:19">
      <c r="B23" s="466" t="s">
        <v>756</v>
      </c>
      <c r="C23" s="13"/>
      <c r="D23" s="13"/>
      <c r="E23" s="13"/>
      <c r="F23" s="14"/>
      <c r="G23" s="8"/>
      <c r="H23" s="23">
        <f t="shared" si="0"/>
        <v>0</v>
      </c>
      <c r="I23" s="464">
        <f t="shared" si="1"/>
        <v>78.430000000000007</v>
      </c>
      <c r="J23" s="10"/>
      <c r="K23" s="12"/>
      <c r="L23" s="414">
        <v>78.430000000000007</v>
      </c>
      <c r="M23" s="177"/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2:19">
      <c r="B24" s="466" t="s">
        <v>757</v>
      </c>
      <c r="C24" s="13"/>
      <c r="D24" s="13"/>
      <c r="E24" s="13"/>
      <c r="F24" s="14"/>
      <c r="G24" s="8"/>
      <c r="H24" s="23">
        <f t="shared" si="0"/>
        <v>0</v>
      </c>
      <c r="I24" s="464">
        <f t="shared" si="1"/>
        <v>36.4</v>
      </c>
      <c r="J24" s="10"/>
      <c r="K24" s="12"/>
      <c r="L24" s="414">
        <v>36.4</v>
      </c>
      <c r="M24" s="177"/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>
      <c r="B25" s="466" t="s">
        <v>758</v>
      </c>
      <c r="C25" s="14"/>
      <c r="D25" s="14"/>
      <c r="E25" s="14"/>
      <c r="F25" s="14"/>
      <c r="G25" s="8"/>
      <c r="H25" s="23">
        <f t="shared" si="0"/>
        <v>0</v>
      </c>
      <c r="I25" s="464">
        <f t="shared" si="1"/>
        <v>512.98</v>
      </c>
      <c r="J25" s="10"/>
      <c r="K25" s="12"/>
      <c r="L25" s="414">
        <v>512.98</v>
      </c>
      <c r="M25" s="177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>
      <c r="B26" s="466" t="s">
        <v>759</v>
      </c>
      <c r="C26" s="13"/>
      <c r="D26" s="13"/>
      <c r="E26" s="13"/>
      <c r="F26" s="14"/>
      <c r="G26" s="8"/>
      <c r="H26" s="23">
        <f t="shared" si="0"/>
        <v>0</v>
      </c>
      <c r="I26" s="464">
        <f t="shared" si="1"/>
        <v>11.34</v>
      </c>
      <c r="J26" s="10"/>
      <c r="K26" s="12"/>
      <c r="L26" s="414">
        <v>11.34</v>
      </c>
      <c r="M26" s="177"/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>
      <c r="B27" s="466" t="s">
        <v>760</v>
      </c>
      <c r="C27" s="13"/>
      <c r="D27" s="13"/>
      <c r="E27" s="13"/>
      <c r="F27" s="14"/>
      <c r="G27" s="8"/>
      <c r="H27" s="23">
        <f t="shared" si="0"/>
        <v>0</v>
      </c>
      <c r="I27" s="464">
        <f t="shared" si="1"/>
        <v>32.69</v>
      </c>
      <c r="J27" s="10"/>
      <c r="K27" s="12"/>
      <c r="L27" s="414">
        <v>32.69</v>
      </c>
      <c r="M27" s="177"/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>
      <c r="B28" s="466" t="s">
        <v>1343</v>
      </c>
      <c r="C28" s="13"/>
      <c r="D28" s="13"/>
      <c r="E28" s="13"/>
      <c r="F28" s="14"/>
      <c r="G28" s="8"/>
      <c r="H28" s="23">
        <f t="shared" si="0"/>
        <v>0</v>
      </c>
      <c r="I28" s="464">
        <f t="shared" si="1"/>
        <v>308.16000000000003</v>
      </c>
      <c r="J28" s="10"/>
      <c r="K28" s="12"/>
      <c r="L28" s="414">
        <v>308.16000000000003</v>
      </c>
      <c r="M28" s="121"/>
      <c r="N28" s="25">
        <f t="shared" si="7"/>
        <v>0</v>
      </c>
      <c r="O28" s="25">
        <f t="shared" si="8"/>
        <v>0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0</v>
      </c>
    </row>
    <row r="29" spans="2:19">
      <c r="B29" s="466" t="s">
        <v>761</v>
      </c>
      <c r="C29" s="14"/>
      <c r="D29" s="14"/>
      <c r="E29" s="14"/>
      <c r="F29" s="14">
        <v>0</v>
      </c>
      <c r="G29" s="8"/>
      <c r="H29" s="23">
        <f t="shared" si="0"/>
        <v>0</v>
      </c>
      <c r="I29" s="464">
        <f t="shared" si="1"/>
        <v>20.96</v>
      </c>
      <c r="J29" s="10"/>
      <c r="K29" s="12"/>
      <c r="L29" s="414">
        <v>20.96</v>
      </c>
      <c r="M29" s="177"/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2:19">
      <c r="B30" s="466" t="s">
        <v>762</v>
      </c>
      <c r="C30" s="13"/>
      <c r="D30" s="13"/>
      <c r="E30" s="13"/>
      <c r="F30" s="14">
        <v>24</v>
      </c>
      <c r="G30" s="8"/>
      <c r="H30" s="23">
        <f t="shared" si="0"/>
        <v>24</v>
      </c>
      <c r="I30" s="464">
        <f t="shared" si="1"/>
        <v>42.62</v>
      </c>
      <c r="J30" s="10"/>
      <c r="K30" s="12"/>
      <c r="L30" s="414">
        <v>42.62</v>
      </c>
      <c r="M30" s="121"/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1022.8799999999999</v>
      </c>
      <c r="R30" s="27">
        <f t="shared" si="11"/>
        <v>0</v>
      </c>
      <c r="S30" s="28">
        <f t="shared" si="12"/>
        <v>1022.8799999999999</v>
      </c>
    </row>
    <row r="31" spans="2:19">
      <c r="B31" s="466" t="s">
        <v>568</v>
      </c>
      <c r="C31" s="14"/>
      <c r="D31" s="14"/>
      <c r="E31" s="14"/>
      <c r="F31" s="14"/>
      <c r="G31" s="8"/>
      <c r="H31" s="23">
        <f t="shared" si="0"/>
        <v>0</v>
      </c>
      <c r="I31" s="464">
        <f t="shared" si="1"/>
        <v>29.44</v>
      </c>
      <c r="J31" s="10"/>
      <c r="K31" s="12"/>
      <c r="L31" s="414">
        <v>29.44</v>
      </c>
      <c r="M31" s="177"/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2:19">
      <c r="B32" s="466" t="s">
        <v>763</v>
      </c>
      <c r="C32" s="13"/>
      <c r="D32" s="13"/>
      <c r="E32" s="13"/>
      <c r="F32" s="14">
        <v>240</v>
      </c>
      <c r="G32" s="8"/>
      <c r="H32" s="23">
        <f t="shared" si="0"/>
        <v>240</v>
      </c>
      <c r="I32" s="464">
        <f t="shared" si="1"/>
        <v>67.27</v>
      </c>
      <c r="J32" s="10"/>
      <c r="K32" s="12"/>
      <c r="L32" s="414">
        <v>67.27</v>
      </c>
      <c r="M32" s="121"/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16144.8</v>
      </c>
      <c r="R32" s="27">
        <f t="shared" si="11"/>
        <v>0</v>
      </c>
      <c r="S32" s="28">
        <f t="shared" si="12"/>
        <v>16144.8</v>
      </c>
    </row>
    <row r="33" spans="2:19">
      <c r="B33" s="466" t="s">
        <v>764</v>
      </c>
      <c r="C33" s="13"/>
      <c r="D33" s="13"/>
      <c r="E33" s="13"/>
      <c r="F33" s="14">
        <v>240</v>
      </c>
      <c r="G33" s="8"/>
      <c r="H33" s="23">
        <f t="shared" si="0"/>
        <v>240</v>
      </c>
      <c r="I33" s="464">
        <f t="shared" si="1"/>
        <v>19.03</v>
      </c>
      <c r="J33" s="10"/>
      <c r="K33" s="12"/>
      <c r="L33" s="414">
        <v>19.03</v>
      </c>
      <c r="M33" s="177"/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4567.2000000000007</v>
      </c>
      <c r="R33" s="27">
        <f t="shared" si="11"/>
        <v>0</v>
      </c>
      <c r="S33" s="28">
        <f t="shared" si="12"/>
        <v>4567.2000000000007</v>
      </c>
    </row>
    <row r="34" spans="2:19">
      <c r="B34" s="466" t="s">
        <v>1094</v>
      </c>
      <c r="C34" s="13"/>
      <c r="D34" s="13"/>
      <c r="E34" s="13"/>
      <c r="F34" s="14"/>
      <c r="G34" s="8"/>
      <c r="H34" s="23">
        <f t="shared" si="0"/>
        <v>0</v>
      </c>
      <c r="I34" s="464">
        <f t="shared" si="1"/>
        <v>469.5925861164539</v>
      </c>
      <c r="J34" s="10"/>
      <c r="K34" s="12"/>
      <c r="L34" s="414">
        <v>469.5925861164539</v>
      </c>
      <c r="M34" s="121"/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2:19">
      <c r="B35" s="466" t="s">
        <v>1093</v>
      </c>
      <c r="C35" s="13"/>
      <c r="D35" s="13"/>
      <c r="E35" s="13"/>
      <c r="F35" s="14"/>
      <c r="G35" s="8"/>
      <c r="H35" s="23">
        <f t="shared" si="0"/>
        <v>0</v>
      </c>
      <c r="I35" s="464">
        <f t="shared" si="1"/>
        <v>255.48922139235131</v>
      </c>
      <c r="J35" s="10"/>
      <c r="K35" s="12"/>
      <c r="L35" s="414">
        <v>255.48922139235131</v>
      </c>
      <c r="M35" s="177"/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>
      <c r="B36" s="466" t="s">
        <v>1092</v>
      </c>
      <c r="C36" s="13"/>
      <c r="D36" s="13"/>
      <c r="E36" s="13"/>
      <c r="F36" s="14"/>
      <c r="G36" s="8"/>
      <c r="H36" s="23">
        <f t="shared" si="0"/>
        <v>0</v>
      </c>
      <c r="I36" s="464">
        <f t="shared" si="1"/>
        <v>36.18</v>
      </c>
      <c r="J36" s="10"/>
      <c r="K36" s="12"/>
      <c r="L36" s="414">
        <v>36.18</v>
      </c>
      <c r="M36" s="121"/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2:19">
      <c r="B37" s="466" t="s">
        <v>765</v>
      </c>
      <c r="C37" s="13"/>
      <c r="D37" s="13"/>
      <c r="E37" s="13"/>
      <c r="F37" s="14"/>
      <c r="G37" s="8"/>
      <c r="H37" s="23">
        <f t="shared" si="0"/>
        <v>0</v>
      </c>
      <c r="I37" s="464">
        <f t="shared" si="1"/>
        <v>67.254117384857665</v>
      </c>
      <c r="J37" s="10"/>
      <c r="K37" s="12"/>
      <c r="L37" s="414">
        <v>67.254117384857665</v>
      </c>
      <c r="M37" s="177"/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2:19">
      <c r="B38" s="466" t="s">
        <v>766</v>
      </c>
      <c r="C38" s="13"/>
      <c r="D38" s="13"/>
      <c r="E38" s="13"/>
      <c r="F38" s="14"/>
      <c r="G38" s="8"/>
      <c r="H38" s="23">
        <f t="shared" ref="H38:H65" si="13">SUM(C38:G38)</f>
        <v>0</v>
      </c>
      <c r="I38" s="464">
        <f t="shared" ref="I38:I65" si="14">L38-(L38*J38)</f>
        <v>59.93</v>
      </c>
      <c r="J38" s="10"/>
      <c r="K38" s="12"/>
      <c r="L38" s="414">
        <v>59.93</v>
      </c>
      <c r="M38" s="121"/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2:19">
      <c r="B39" s="466" t="s">
        <v>767</v>
      </c>
      <c r="C39" s="13"/>
      <c r="D39" s="13"/>
      <c r="E39" s="13"/>
      <c r="F39" s="14">
        <v>800</v>
      </c>
      <c r="G39" s="8"/>
      <c r="H39" s="23">
        <f t="shared" si="13"/>
        <v>800</v>
      </c>
      <c r="I39" s="464">
        <f t="shared" si="14"/>
        <v>29.777699999999999</v>
      </c>
      <c r="J39" s="10"/>
      <c r="K39" s="12"/>
      <c r="L39" s="414">
        <v>29.777699999999999</v>
      </c>
      <c r="M39" s="177"/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23822.16</v>
      </c>
      <c r="R39" s="27">
        <f t="shared" si="11"/>
        <v>0</v>
      </c>
      <c r="S39" s="28">
        <f t="shared" si="12"/>
        <v>23822.16</v>
      </c>
    </row>
    <row r="40" spans="2:19">
      <c r="B40" s="466" t="s">
        <v>768</v>
      </c>
      <c r="C40" s="13"/>
      <c r="D40" s="13"/>
      <c r="E40" s="13"/>
      <c r="F40" s="14"/>
      <c r="G40" s="8"/>
      <c r="H40" s="23">
        <f t="shared" si="13"/>
        <v>0</v>
      </c>
      <c r="I40" s="464">
        <f t="shared" si="14"/>
        <v>64.2</v>
      </c>
      <c r="J40" s="10"/>
      <c r="K40" s="12"/>
      <c r="L40" s="414">
        <v>64.2</v>
      </c>
      <c r="M40" s="121"/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2:19">
      <c r="B41" s="466" t="s">
        <v>769</v>
      </c>
      <c r="C41" s="13"/>
      <c r="D41" s="13"/>
      <c r="E41" s="13"/>
      <c r="F41" s="14">
        <v>72</v>
      </c>
      <c r="G41" s="8"/>
      <c r="H41" s="23">
        <f t="shared" si="13"/>
        <v>72</v>
      </c>
      <c r="I41" s="464">
        <f t="shared" si="14"/>
        <v>78.08</v>
      </c>
      <c r="J41" s="10"/>
      <c r="K41" s="12"/>
      <c r="L41" s="415">
        <v>78.08</v>
      </c>
      <c r="M41" s="177"/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5621.76</v>
      </c>
      <c r="R41" s="27">
        <f t="shared" si="11"/>
        <v>0</v>
      </c>
      <c r="S41" s="28">
        <f t="shared" si="12"/>
        <v>5621.76</v>
      </c>
    </row>
    <row r="42" spans="2:19">
      <c r="B42" s="466" t="s">
        <v>770</v>
      </c>
      <c r="C42" s="13"/>
      <c r="D42" s="13"/>
      <c r="E42" s="13"/>
      <c r="F42" s="14"/>
      <c r="G42" s="8"/>
      <c r="H42" s="23">
        <f t="shared" si="13"/>
        <v>0</v>
      </c>
      <c r="I42" s="464">
        <f t="shared" si="14"/>
        <v>23.54</v>
      </c>
      <c r="J42" s="10"/>
      <c r="K42" s="12"/>
      <c r="L42" s="415">
        <v>23.54</v>
      </c>
      <c r="M42" s="121"/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2:19">
      <c r="B43" s="466" t="s">
        <v>771</v>
      </c>
      <c r="C43" s="13"/>
      <c r="D43" s="13"/>
      <c r="E43" s="13"/>
      <c r="F43" s="14">
        <v>300</v>
      </c>
      <c r="G43" s="8"/>
      <c r="H43" s="23">
        <f t="shared" si="13"/>
        <v>300</v>
      </c>
      <c r="I43" s="464">
        <f t="shared" si="14"/>
        <v>41.38</v>
      </c>
      <c r="J43" s="10"/>
      <c r="K43" s="12"/>
      <c r="L43" s="415">
        <v>41.38</v>
      </c>
      <c r="M43" s="177"/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12414</v>
      </c>
      <c r="R43" s="27">
        <f t="shared" si="11"/>
        <v>0</v>
      </c>
      <c r="S43" s="28">
        <f t="shared" si="12"/>
        <v>12414</v>
      </c>
    </row>
    <row r="44" spans="2:19">
      <c r="B44" s="466" t="s">
        <v>959</v>
      </c>
      <c r="C44" s="13"/>
      <c r="D44" s="13"/>
      <c r="E44" s="13"/>
      <c r="F44" s="14"/>
      <c r="G44" s="8"/>
      <c r="H44" s="23">
        <f t="shared" si="13"/>
        <v>0</v>
      </c>
      <c r="I44" s="464">
        <f t="shared" si="14"/>
        <v>11.02</v>
      </c>
      <c r="J44" s="10"/>
      <c r="K44" s="12"/>
      <c r="L44" s="414">
        <v>11.02</v>
      </c>
      <c r="M44" s="121"/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>
      <c r="B45" s="466" t="s">
        <v>772</v>
      </c>
      <c r="C45" s="13"/>
      <c r="D45" s="13"/>
      <c r="E45" s="13"/>
      <c r="F45" s="14"/>
      <c r="G45" s="8"/>
      <c r="H45" s="23">
        <f t="shared" si="13"/>
        <v>0</v>
      </c>
      <c r="I45" s="464">
        <f t="shared" si="14"/>
        <v>46.428571428571431</v>
      </c>
      <c r="J45" s="10"/>
      <c r="K45" s="12"/>
      <c r="L45" s="414">
        <v>46.428571428571431</v>
      </c>
      <c r="M45" s="177"/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2:19">
      <c r="B46" s="466" t="s">
        <v>773</v>
      </c>
      <c r="C46" s="13"/>
      <c r="D46" s="13"/>
      <c r="E46" s="13"/>
      <c r="F46" s="14"/>
      <c r="G46" s="8"/>
      <c r="H46" s="23">
        <f t="shared" si="13"/>
        <v>0</v>
      </c>
      <c r="I46" s="464">
        <f t="shared" si="14"/>
        <v>201.11224489795919</v>
      </c>
      <c r="J46" s="10"/>
      <c r="K46" s="12"/>
      <c r="L46" s="414">
        <v>201.11224489795919</v>
      </c>
      <c r="M46" s="121"/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>
      <c r="B47" s="466" t="s">
        <v>774</v>
      </c>
      <c r="C47" s="13"/>
      <c r="D47" s="13"/>
      <c r="E47" s="13"/>
      <c r="F47" s="14">
        <v>144</v>
      </c>
      <c r="G47" s="8"/>
      <c r="H47" s="23">
        <f t="shared" si="13"/>
        <v>144</v>
      </c>
      <c r="I47" s="464">
        <f t="shared" si="14"/>
        <v>118.4591836734694</v>
      </c>
      <c r="J47" s="10"/>
      <c r="K47" s="12"/>
      <c r="L47" s="414">
        <v>118.4591836734694</v>
      </c>
      <c r="M47" s="177"/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17058.122448979593</v>
      </c>
      <c r="R47" s="27">
        <f t="shared" si="11"/>
        <v>0</v>
      </c>
      <c r="S47" s="28">
        <f t="shared" si="12"/>
        <v>17058.122448979593</v>
      </c>
    </row>
    <row r="48" spans="2:19">
      <c r="B48" s="466" t="s">
        <v>775</v>
      </c>
      <c r="C48" s="13"/>
      <c r="D48" s="13"/>
      <c r="E48" s="13"/>
      <c r="F48" s="14"/>
      <c r="G48" s="8"/>
      <c r="H48" s="23">
        <f t="shared" si="13"/>
        <v>0</v>
      </c>
      <c r="I48" s="464">
        <f t="shared" si="14"/>
        <v>57.071428571428569</v>
      </c>
      <c r="J48" s="10"/>
      <c r="K48" s="12"/>
      <c r="L48" s="414">
        <v>57.071428571428569</v>
      </c>
      <c r="M48" s="121"/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2:19">
      <c r="B49" s="466" t="s">
        <v>776</v>
      </c>
      <c r="C49" s="13"/>
      <c r="D49" s="13"/>
      <c r="E49" s="13"/>
      <c r="F49" s="14"/>
      <c r="G49" s="8"/>
      <c r="H49" s="23">
        <f t="shared" si="13"/>
        <v>0</v>
      </c>
      <c r="I49" s="464">
        <f t="shared" si="14"/>
        <v>411.34</v>
      </c>
      <c r="J49" s="10"/>
      <c r="K49" s="12"/>
      <c r="L49" s="414">
        <v>411.34</v>
      </c>
      <c r="M49" s="177"/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19">
      <c r="B50" s="467" t="s">
        <v>1095</v>
      </c>
      <c r="C50" s="13"/>
      <c r="D50" s="13"/>
      <c r="E50" s="13"/>
      <c r="F50" s="14"/>
      <c r="G50" s="8"/>
      <c r="H50" s="23">
        <f t="shared" si="13"/>
        <v>0</v>
      </c>
      <c r="I50" s="464">
        <f t="shared" si="14"/>
        <v>59.85</v>
      </c>
      <c r="J50" s="10"/>
      <c r="K50" s="12"/>
      <c r="L50" s="414">
        <v>59.85</v>
      </c>
      <c r="M50" s="121"/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19">
      <c r="B51" s="466" t="s">
        <v>777</v>
      </c>
      <c r="C51" s="13"/>
      <c r="D51" s="13"/>
      <c r="E51" s="13"/>
      <c r="F51" s="14"/>
      <c r="G51" s="8"/>
      <c r="H51" s="23">
        <f t="shared" si="13"/>
        <v>0</v>
      </c>
      <c r="I51" s="464">
        <f t="shared" si="14"/>
        <v>45.04</v>
      </c>
      <c r="J51" s="10"/>
      <c r="K51" s="12"/>
      <c r="L51" s="414">
        <v>45.04</v>
      </c>
      <c r="M51" s="177"/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</row>
    <row r="52" spans="2:19">
      <c r="B52" s="466" t="s">
        <v>778</v>
      </c>
      <c r="C52" s="13"/>
      <c r="D52" s="13"/>
      <c r="E52" s="13"/>
      <c r="F52" s="14"/>
      <c r="G52" s="8"/>
      <c r="H52" s="23">
        <f t="shared" si="13"/>
        <v>0</v>
      </c>
      <c r="I52" s="464">
        <f t="shared" si="14"/>
        <v>130.55000000000001</v>
      </c>
      <c r="J52" s="10"/>
      <c r="K52" s="12"/>
      <c r="L52" s="414">
        <v>130.55000000000001</v>
      </c>
      <c r="M52" s="121"/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19">
      <c r="B53" s="466" t="s">
        <v>779</v>
      </c>
      <c r="C53" s="13"/>
      <c r="D53" s="13"/>
      <c r="E53" s="13"/>
      <c r="F53" s="14">
        <v>6</v>
      </c>
      <c r="G53" s="8"/>
      <c r="H53" s="23">
        <f t="shared" si="13"/>
        <v>6</v>
      </c>
      <c r="I53" s="464">
        <f t="shared" si="14"/>
        <v>125.68367346938776</v>
      </c>
      <c r="J53" s="10"/>
      <c r="K53" s="12"/>
      <c r="L53" s="414">
        <v>125.68367346938776</v>
      </c>
      <c r="M53" s="177"/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754.10204081632651</v>
      </c>
      <c r="R53" s="27">
        <f t="shared" si="11"/>
        <v>0</v>
      </c>
      <c r="S53" s="28">
        <f t="shared" si="12"/>
        <v>754.10204081632651</v>
      </c>
    </row>
    <row r="54" spans="2:19">
      <c r="B54" s="466" t="s">
        <v>780</v>
      </c>
      <c r="C54" s="13"/>
      <c r="D54" s="13"/>
      <c r="E54" s="13"/>
      <c r="F54" s="14"/>
      <c r="G54" s="8"/>
      <c r="H54" s="23">
        <f t="shared" si="13"/>
        <v>0</v>
      </c>
      <c r="I54" s="464">
        <f t="shared" si="14"/>
        <v>25.714285714285715</v>
      </c>
      <c r="J54" s="10"/>
      <c r="K54" s="12"/>
      <c r="L54" s="414">
        <v>25.714285714285715</v>
      </c>
      <c r="M54" s="121"/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19">
      <c r="B55" s="466" t="s">
        <v>781</v>
      </c>
      <c r="C55" s="13"/>
      <c r="D55" s="13"/>
      <c r="E55" s="13"/>
      <c r="F55" s="14">
        <v>24</v>
      </c>
      <c r="G55" s="8"/>
      <c r="H55" s="23">
        <f t="shared" si="13"/>
        <v>24</v>
      </c>
      <c r="I55" s="464">
        <f t="shared" si="14"/>
        <v>25.163265306122451</v>
      </c>
      <c r="J55" s="10"/>
      <c r="K55" s="12"/>
      <c r="L55" s="414">
        <v>25.163265306122451</v>
      </c>
      <c r="M55" s="177"/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603.91836734693879</v>
      </c>
      <c r="R55" s="27">
        <f t="shared" si="11"/>
        <v>0</v>
      </c>
      <c r="S55" s="28">
        <f t="shared" si="12"/>
        <v>603.91836734693879</v>
      </c>
    </row>
    <row r="56" spans="2:19">
      <c r="B56" s="466" t="s">
        <v>782</v>
      </c>
      <c r="C56" s="13"/>
      <c r="D56" s="13"/>
      <c r="E56" s="13"/>
      <c r="F56" s="14"/>
      <c r="G56" s="8"/>
      <c r="H56" s="23">
        <f t="shared" si="13"/>
        <v>0</v>
      </c>
      <c r="I56" s="464">
        <f t="shared" si="14"/>
        <v>118.76530612244898</v>
      </c>
      <c r="J56" s="10"/>
      <c r="K56" s="12"/>
      <c r="L56" s="414">
        <v>118.76530612244898</v>
      </c>
      <c r="M56" s="121"/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2:19">
      <c r="B57" s="466" t="s">
        <v>783</v>
      </c>
      <c r="C57" s="13"/>
      <c r="D57" s="13"/>
      <c r="E57" s="13"/>
      <c r="F57" s="14">
        <v>8</v>
      </c>
      <c r="G57" s="8"/>
      <c r="H57" s="23">
        <f t="shared" si="13"/>
        <v>8</v>
      </c>
      <c r="I57" s="464">
        <f t="shared" si="14"/>
        <v>264.25</v>
      </c>
      <c r="J57" s="10"/>
      <c r="K57" s="12"/>
      <c r="L57" s="414">
        <v>264.25</v>
      </c>
      <c r="M57" s="177"/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2114</v>
      </c>
      <c r="R57" s="27">
        <f t="shared" si="11"/>
        <v>0</v>
      </c>
      <c r="S57" s="28">
        <f t="shared" si="12"/>
        <v>2114</v>
      </c>
    </row>
    <row r="58" spans="2:19">
      <c r="B58" s="466" t="s">
        <v>784</v>
      </c>
      <c r="C58" s="13"/>
      <c r="D58" s="13"/>
      <c r="E58" s="13"/>
      <c r="F58" s="14"/>
      <c r="G58" s="8"/>
      <c r="H58" s="23">
        <f t="shared" si="13"/>
        <v>0</v>
      </c>
      <c r="I58" s="464">
        <f t="shared" si="14"/>
        <v>19.190000000000001</v>
      </c>
      <c r="J58" s="10"/>
      <c r="K58" s="12"/>
      <c r="L58" s="414">
        <v>19.190000000000001</v>
      </c>
      <c r="M58" s="121"/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</row>
    <row r="59" spans="2:19">
      <c r="B59" s="466" t="s">
        <v>785</v>
      </c>
      <c r="C59" s="13"/>
      <c r="D59" s="13"/>
      <c r="E59" s="13"/>
      <c r="F59" s="14"/>
      <c r="G59" s="8"/>
      <c r="H59" s="23">
        <f t="shared" si="13"/>
        <v>0</v>
      </c>
      <c r="I59" s="464">
        <f t="shared" si="14"/>
        <v>143.59</v>
      </c>
      <c r="J59" s="10"/>
      <c r="K59" s="12"/>
      <c r="L59" s="414">
        <v>143.59</v>
      </c>
      <c r="M59" s="177"/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2:19">
      <c r="B60" s="466" t="s">
        <v>786</v>
      </c>
      <c r="C60" s="13"/>
      <c r="D60" s="13"/>
      <c r="E60" s="13"/>
      <c r="F60" s="14"/>
      <c r="G60" s="8"/>
      <c r="H60" s="23">
        <f t="shared" si="13"/>
        <v>0</v>
      </c>
      <c r="I60" s="464">
        <f t="shared" si="14"/>
        <v>59.79</v>
      </c>
      <c r="J60" s="10"/>
      <c r="K60" s="12"/>
      <c r="L60" s="414">
        <v>59.79</v>
      </c>
      <c r="M60" s="121"/>
      <c r="N60" s="25">
        <f t="shared" si="7"/>
        <v>0</v>
      </c>
      <c r="O60" s="25">
        <f t="shared" si="8"/>
        <v>0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0</v>
      </c>
    </row>
    <row r="61" spans="2:19">
      <c r="B61" s="466" t="s">
        <v>787</v>
      </c>
      <c r="C61" s="13"/>
      <c r="D61" s="13"/>
      <c r="E61" s="13"/>
      <c r="F61" s="14"/>
      <c r="G61" s="8"/>
      <c r="H61" s="23">
        <f t="shared" si="13"/>
        <v>0</v>
      </c>
      <c r="I61" s="464">
        <f t="shared" si="14"/>
        <v>33.76</v>
      </c>
      <c r="J61" s="10"/>
      <c r="K61" s="12"/>
      <c r="L61" s="414">
        <v>33.76</v>
      </c>
      <c r="M61" s="177"/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0</v>
      </c>
      <c r="R61" s="27">
        <f t="shared" si="11"/>
        <v>0</v>
      </c>
      <c r="S61" s="28">
        <f t="shared" si="12"/>
        <v>0</v>
      </c>
    </row>
    <row r="62" spans="2:19">
      <c r="B62" s="466" t="s">
        <v>63</v>
      </c>
      <c r="C62" s="13"/>
      <c r="D62" s="13"/>
      <c r="E62" s="13"/>
      <c r="F62" s="14">
        <v>960</v>
      </c>
      <c r="G62" s="8"/>
      <c r="H62" s="23">
        <f t="shared" si="13"/>
        <v>960</v>
      </c>
      <c r="I62" s="464">
        <f t="shared" si="14"/>
        <v>8.7755102040816322</v>
      </c>
      <c r="J62" s="10"/>
      <c r="K62" s="12"/>
      <c r="L62" s="415">
        <v>8.7755102040816322</v>
      </c>
      <c r="M62" s="121"/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8424.4897959183672</v>
      </c>
      <c r="R62" s="27">
        <f t="shared" si="11"/>
        <v>0</v>
      </c>
      <c r="S62" s="28">
        <f t="shared" si="12"/>
        <v>8424.4897959183672</v>
      </c>
    </row>
    <row r="63" spans="2:19">
      <c r="B63" s="466" t="s">
        <v>64</v>
      </c>
      <c r="C63" s="13"/>
      <c r="D63" s="13"/>
      <c r="E63" s="13"/>
      <c r="F63" s="14"/>
      <c r="G63" s="8"/>
      <c r="H63" s="23">
        <f t="shared" si="13"/>
        <v>0</v>
      </c>
      <c r="I63" s="464">
        <f t="shared" si="14"/>
        <v>10.285714285714286</v>
      </c>
      <c r="J63" s="10"/>
      <c r="K63" s="12"/>
      <c r="L63" s="414">
        <v>10.285714285714286</v>
      </c>
      <c r="M63" s="177"/>
      <c r="N63" s="25">
        <f t="shared" si="7"/>
        <v>0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0</v>
      </c>
      <c r="S63" s="28">
        <f t="shared" si="12"/>
        <v>0</v>
      </c>
    </row>
    <row r="64" spans="2:19">
      <c r="B64" s="466" t="s">
        <v>788</v>
      </c>
      <c r="C64" s="13"/>
      <c r="D64" s="13"/>
      <c r="E64" s="13"/>
      <c r="F64" s="14"/>
      <c r="G64" s="8"/>
      <c r="H64" s="23">
        <f t="shared" si="13"/>
        <v>0</v>
      </c>
      <c r="I64" s="464">
        <f t="shared" si="14"/>
        <v>55.795918367346943</v>
      </c>
      <c r="J64" s="10"/>
      <c r="K64" s="12"/>
      <c r="L64" s="414">
        <v>55.795918367346943</v>
      </c>
      <c r="M64" s="121"/>
      <c r="N64" s="25">
        <f t="shared" si="7"/>
        <v>0</v>
      </c>
      <c r="O64" s="25">
        <f t="shared" si="8"/>
        <v>0</v>
      </c>
      <c r="P64" s="25">
        <f t="shared" si="9"/>
        <v>0</v>
      </c>
      <c r="Q64" s="26">
        <f t="shared" si="10"/>
        <v>0</v>
      </c>
      <c r="R64" s="27">
        <f t="shared" si="11"/>
        <v>0</v>
      </c>
      <c r="S64" s="28">
        <f t="shared" si="12"/>
        <v>0</v>
      </c>
    </row>
    <row r="65" spans="2:19">
      <c r="B65" s="466" t="s">
        <v>789</v>
      </c>
      <c r="C65" s="13"/>
      <c r="D65" s="13"/>
      <c r="E65" s="13"/>
      <c r="F65" s="14"/>
      <c r="G65" s="8"/>
      <c r="H65" s="23">
        <f t="shared" si="13"/>
        <v>0</v>
      </c>
      <c r="I65" s="464">
        <f t="shared" si="14"/>
        <v>251.31632653061223</v>
      </c>
      <c r="J65" s="10"/>
      <c r="K65" s="12"/>
      <c r="L65" s="414">
        <v>251.31632653061223</v>
      </c>
      <c r="M65" s="177"/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</row>
    <row r="66" spans="2:19">
      <c r="B66" s="58" t="s">
        <v>13</v>
      </c>
      <c r="C66" s="376">
        <v>0</v>
      </c>
      <c r="D66" s="376">
        <v>0</v>
      </c>
      <c r="E66" s="376">
        <f t="shared" ref="E66" si="15">P66</f>
        <v>0</v>
      </c>
      <c r="F66" s="376"/>
      <c r="G66" s="376">
        <f t="shared" ref="G66" si="16">R66</f>
        <v>0</v>
      </c>
      <c r="H66" s="376">
        <f t="shared" ref="H66" si="17">S66</f>
        <v>132239.6775510204</v>
      </c>
      <c r="N66" s="29">
        <f t="shared" ref="N66:S66" si="18">SUM(N6:N65)</f>
        <v>0</v>
      </c>
      <c r="O66" s="29">
        <f t="shared" si="18"/>
        <v>0</v>
      </c>
      <c r="P66" s="29">
        <f t="shared" si="18"/>
        <v>0</v>
      </c>
      <c r="Q66" s="29">
        <f t="shared" si="18"/>
        <v>132239.6775510204</v>
      </c>
      <c r="R66" s="29">
        <f t="shared" si="18"/>
        <v>0</v>
      </c>
      <c r="S66" s="29">
        <f t="shared" si="18"/>
        <v>132239.6775510204</v>
      </c>
    </row>
    <row r="67" spans="2:19">
      <c r="B67" s="59" t="s">
        <v>46</v>
      </c>
    </row>
    <row r="68" spans="2:19" ht="16.5" thickBot="1">
      <c r="B68" s="2"/>
    </row>
    <row r="69" spans="2:19">
      <c r="B69" s="60" t="s">
        <v>47</v>
      </c>
    </row>
    <row r="70" spans="2:19">
      <c r="B70" s="61" t="s">
        <v>19</v>
      </c>
    </row>
    <row r="71" spans="2:19">
      <c r="B71" s="61" t="s">
        <v>17</v>
      </c>
    </row>
    <row r="72" spans="2:19" ht="16.5" thickBot="1">
      <c r="B72" s="62" t="s">
        <v>18</v>
      </c>
    </row>
    <row r="73" spans="2:19">
      <c r="B73" s="2"/>
    </row>
    <row r="74" spans="2:19">
      <c r="B74" s="30" t="s">
        <v>20</v>
      </c>
    </row>
    <row r="75" spans="2:19">
      <c r="B75" s="35"/>
    </row>
    <row r="76" spans="2:19">
      <c r="B76" s="35"/>
    </row>
    <row r="77" spans="2:19">
      <c r="B77" s="2"/>
      <c r="G77" s="5" t="str">
        <f>IF(B77&lt;&gt;"",SUM(C77:F77),"")</f>
        <v/>
      </c>
    </row>
    <row r="78" spans="2:19">
      <c r="G78" s="5" t="str">
        <f t="shared" ref="G78:G141" si="19">IF(B78&lt;&gt;"",SUM(C78:F78),"")</f>
        <v/>
      </c>
    </row>
    <row r="79" spans="2:19">
      <c r="G79" s="5" t="str">
        <f t="shared" si="19"/>
        <v/>
      </c>
    </row>
    <row r="80" spans="2:19">
      <c r="G80" s="5" t="str">
        <f t="shared" si="19"/>
        <v/>
      </c>
    </row>
    <row r="81" spans="7:7">
      <c r="G81" s="5" t="str">
        <f t="shared" si="19"/>
        <v/>
      </c>
    </row>
    <row r="82" spans="7:7">
      <c r="G82" s="5" t="str">
        <f t="shared" si="19"/>
        <v/>
      </c>
    </row>
    <row r="83" spans="7:7">
      <c r="G83" s="5" t="str">
        <f t="shared" si="19"/>
        <v/>
      </c>
    </row>
    <row r="84" spans="7:7">
      <c r="G84" s="5" t="str">
        <f t="shared" si="19"/>
        <v/>
      </c>
    </row>
    <row r="85" spans="7:7">
      <c r="G85" s="5" t="str">
        <f t="shared" si="19"/>
        <v/>
      </c>
    </row>
    <row r="86" spans="7:7">
      <c r="G86" s="5" t="str">
        <f t="shared" si="19"/>
        <v/>
      </c>
    </row>
    <row r="87" spans="7:7">
      <c r="G87" s="5" t="str">
        <f t="shared" si="19"/>
        <v/>
      </c>
    </row>
    <row r="88" spans="7:7">
      <c r="G88" s="5" t="str">
        <f t="shared" si="19"/>
        <v/>
      </c>
    </row>
    <row r="89" spans="7:7">
      <c r="G89" s="5" t="str">
        <f t="shared" si="19"/>
        <v/>
      </c>
    </row>
    <row r="90" spans="7:7">
      <c r="G90" s="5" t="str">
        <f t="shared" si="19"/>
        <v/>
      </c>
    </row>
    <row r="91" spans="7:7">
      <c r="G91" s="5" t="str">
        <f t="shared" si="19"/>
        <v/>
      </c>
    </row>
    <row r="92" spans="7:7">
      <c r="G92" s="5" t="str">
        <f t="shared" si="19"/>
        <v/>
      </c>
    </row>
    <row r="93" spans="7:7">
      <c r="G93" s="5" t="str">
        <f t="shared" si="19"/>
        <v/>
      </c>
    </row>
    <row r="94" spans="7:7">
      <c r="G94" s="5" t="str">
        <f t="shared" si="19"/>
        <v/>
      </c>
    </row>
    <row r="95" spans="7:7">
      <c r="G95" s="5" t="str">
        <f t="shared" si="19"/>
        <v/>
      </c>
    </row>
    <row r="96" spans="7:7">
      <c r="G96" s="5" t="str">
        <f t="shared" si="19"/>
        <v/>
      </c>
    </row>
    <row r="97" spans="7:7">
      <c r="G97" s="5" t="str">
        <f t="shared" si="19"/>
        <v/>
      </c>
    </row>
    <row r="98" spans="7:7">
      <c r="G98" s="5" t="str">
        <f t="shared" si="19"/>
        <v/>
      </c>
    </row>
    <row r="99" spans="7:7">
      <c r="G99" s="5" t="str">
        <f t="shared" si="19"/>
        <v/>
      </c>
    </row>
    <row r="100" spans="7:7">
      <c r="G100" s="5" t="str">
        <f t="shared" si="19"/>
        <v/>
      </c>
    </row>
    <row r="101" spans="7:7">
      <c r="G101" s="5" t="str">
        <f t="shared" si="19"/>
        <v/>
      </c>
    </row>
    <row r="102" spans="7:7">
      <c r="G102" s="5" t="str">
        <f t="shared" si="19"/>
        <v/>
      </c>
    </row>
    <row r="103" spans="7:7">
      <c r="G103" s="5" t="str">
        <f t="shared" si="19"/>
        <v/>
      </c>
    </row>
    <row r="104" spans="7:7">
      <c r="G104" s="5" t="str">
        <f t="shared" si="19"/>
        <v/>
      </c>
    </row>
    <row r="105" spans="7:7">
      <c r="G105" s="5" t="str">
        <f t="shared" si="19"/>
        <v/>
      </c>
    </row>
    <row r="106" spans="7:7">
      <c r="G106" s="5" t="str">
        <f t="shared" si="19"/>
        <v/>
      </c>
    </row>
    <row r="107" spans="7:7">
      <c r="G107" s="5" t="str">
        <f t="shared" si="19"/>
        <v/>
      </c>
    </row>
    <row r="108" spans="7:7">
      <c r="G108" s="5" t="str">
        <f t="shared" si="19"/>
        <v/>
      </c>
    </row>
    <row r="109" spans="7:7">
      <c r="G109" s="5" t="str">
        <f t="shared" si="19"/>
        <v/>
      </c>
    </row>
    <row r="110" spans="7:7">
      <c r="G110" s="5" t="str">
        <f t="shared" si="19"/>
        <v/>
      </c>
    </row>
    <row r="111" spans="7:7">
      <c r="G111" s="5" t="str">
        <f t="shared" si="19"/>
        <v/>
      </c>
    </row>
    <row r="112" spans="7:7">
      <c r="G112" s="5" t="str">
        <f t="shared" si="19"/>
        <v/>
      </c>
    </row>
    <row r="113" spans="7:7">
      <c r="G113" s="5" t="str">
        <f t="shared" si="19"/>
        <v/>
      </c>
    </row>
    <row r="114" spans="7:7">
      <c r="G114" s="5" t="str">
        <f t="shared" si="19"/>
        <v/>
      </c>
    </row>
    <row r="115" spans="7:7">
      <c r="G115" s="5" t="str">
        <f t="shared" si="19"/>
        <v/>
      </c>
    </row>
    <row r="116" spans="7:7">
      <c r="G116" s="5" t="str">
        <f t="shared" si="19"/>
        <v/>
      </c>
    </row>
    <row r="117" spans="7:7">
      <c r="G117" s="5" t="str">
        <f t="shared" si="19"/>
        <v/>
      </c>
    </row>
    <row r="118" spans="7:7">
      <c r="G118" s="5" t="str">
        <f t="shared" si="19"/>
        <v/>
      </c>
    </row>
    <row r="119" spans="7:7">
      <c r="G119" s="5" t="str">
        <f t="shared" si="19"/>
        <v/>
      </c>
    </row>
    <row r="120" spans="7:7">
      <c r="G120" s="5" t="str">
        <f t="shared" si="19"/>
        <v/>
      </c>
    </row>
    <row r="121" spans="7:7">
      <c r="G121" s="5" t="str">
        <f t="shared" si="19"/>
        <v/>
      </c>
    </row>
    <row r="122" spans="7:7">
      <c r="G122" s="5" t="str">
        <f t="shared" si="19"/>
        <v/>
      </c>
    </row>
    <row r="123" spans="7:7">
      <c r="G123" s="5" t="str">
        <f t="shared" si="19"/>
        <v/>
      </c>
    </row>
    <row r="124" spans="7:7">
      <c r="G124" s="5" t="str">
        <f t="shared" si="19"/>
        <v/>
      </c>
    </row>
    <row r="125" spans="7:7">
      <c r="G125" s="5" t="str">
        <f t="shared" si="19"/>
        <v/>
      </c>
    </row>
    <row r="126" spans="7:7">
      <c r="G126" s="5" t="str">
        <f t="shared" si="19"/>
        <v/>
      </c>
    </row>
    <row r="127" spans="7:7">
      <c r="G127" s="5" t="str">
        <f t="shared" si="19"/>
        <v/>
      </c>
    </row>
    <row r="128" spans="7:7">
      <c r="G128" s="5" t="str">
        <f t="shared" si="19"/>
        <v/>
      </c>
    </row>
    <row r="129" spans="7:7">
      <c r="G129" s="5" t="str">
        <f t="shared" si="19"/>
        <v/>
      </c>
    </row>
    <row r="130" spans="7:7">
      <c r="G130" s="5" t="str">
        <f t="shared" si="19"/>
        <v/>
      </c>
    </row>
    <row r="131" spans="7:7">
      <c r="G131" s="5" t="str">
        <f t="shared" si="19"/>
        <v/>
      </c>
    </row>
    <row r="132" spans="7:7">
      <c r="G132" s="5" t="str">
        <f t="shared" si="19"/>
        <v/>
      </c>
    </row>
    <row r="133" spans="7:7">
      <c r="G133" s="5" t="str">
        <f t="shared" si="19"/>
        <v/>
      </c>
    </row>
    <row r="134" spans="7:7">
      <c r="G134" s="5" t="str">
        <f t="shared" si="19"/>
        <v/>
      </c>
    </row>
    <row r="135" spans="7:7">
      <c r="G135" s="5" t="str">
        <f t="shared" si="19"/>
        <v/>
      </c>
    </row>
    <row r="136" spans="7:7">
      <c r="G136" s="5" t="str">
        <f t="shared" si="19"/>
        <v/>
      </c>
    </row>
    <row r="137" spans="7:7">
      <c r="G137" s="5" t="str">
        <f t="shared" si="19"/>
        <v/>
      </c>
    </row>
    <row r="138" spans="7:7">
      <c r="G138" s="5" t="str">
        <f t="shared" si="19"/>
        <v/>
      </c>
    </row>
    <row r="139" spans="7:7">
      <c r="G139" s="5" t="str">
        <f t="shared" si="19"/>
        <v/>
      </c>
    </row>
    <row r="140" spans="7:7">
      <c r="G140" s="5" t="str">
        <f t="shared" si="19"/>
        <v/>
      </c>
    </row>
    <row r="141" spans="7:7">
      <c r="G141" s="5" t="str">
        <f t="shared" si="19"/>
        <v/>
      </c>
    </row>
    <row r="142" spans="7:7">
      <c r="G142" s="5" t="str">
        <f t="shared" ref="G142:G205" si="20">IF(B142&lt;&gt;"",SUM(C142:F142),"")</f>
        <v/>
      </c>
    </row>
    <row r="143" spans="7:7">
      <c r="G143" s="5" t="str">
        <f t="shared" si="20"/>
        <v/>
      </c>
    </row>
    <row r="144" spans="7:7">
      <c r="G144" s="5" t="str">
        <f t="shared" si="20"/>
        <v/>
      </c>
    </row>
    <row r="145" spans="7:7">
      <c r="G145" s="5" t="str">
        <f t="shared" si="20"/>
        <v/>
      </c>
    </row>
    <row r="146" spans="7:7">
      <c r="G146" s="5" t="str">
        <f t="shared" si="20"/>
        <v/>
      </c>
    </row>
    <row r="147" spans="7:7">
      <c r="G147" s="5" t="str">
        <f t="shared" si="20"/>
        <v/>
      </c>
    </row>
    <row r="148" spans="7:7">
      <c r="G148" s="5" t="str">
        <f t="shared" si="20"/>
        <v/>
      </c>
    </row>
    <row r="149" spans="7:7">
      <c r="G149" s="5" t="str">
        <f t="shared" si="20"/>
        <v/>
      </c>
    </row>
    <row r="150" spans="7:7">
      <c r="G150" s="5" t="str">
        <f t="shared" si="20"/>
        <v/>
      </c>
    </row>
    <row r="151" spans="7:7">
      <c r="G151" s="5" t="str">
        <f t="shared" si="20"/>
        <v/>
      </c>
    </row>
    <row r="152" spans="7:7">
      <c r="G152" s="5" t="str">
        <f t="shared" si="20"/>
        <v/>
      </c>
    </row>
    <row r="153" spans="7:7">
      <c r="G153" s="5" t="str">
        <f t="shared" si="20"/>
        <v/>
      </c>
    </row>
    <row r="154" spans="7:7">
      <c r="G154" s="5" t="str">
        <f t="shared" si="20"/>
        <v/>
      </c>
    </row>
    <row r="155" spans="7:7">
      <c r="G155" s="5" t="str">
        <f t="shared" si="20"/>
        <v/>
      </c>
    </row>
    <row r="156" spans="7:7">
      <c r="G156" s="5" t="str">
        <f t="shared" si="20"/>
        <v/>
      </c>
    </row>
    <row r="157" spans="7:7">
      <c r="G157" s="5" t="str">
        <f t="shared" si="20"/>
        <v/>
      </c>
    </row>
    <row r="158" spans="7:7">
      <c r="G158" s="5" t="str">
        <f t="shared" si="20"/>
        <v/>
      </c>
    </row>
    <row r="159" spans="7:7">
      <c r="G159" s="5" t="str">
        <f t="shared" si="20"/>
        <v/>
      </c>
    </row>
    <row r="160" spans="7:7">
      <c r="G160" s="5" t="str">
        <f t="shared" si="20"/>
        <v/>
      </c>
    </row>
    <row r="161" spans="7:7">
      <c r="G161" s="5" t="str">
        <f t="shared" si="20"/>
        <v/>
      </c>
    </row>
    <row r="162" spans="7:7">
      <c r="G162" s="5" t="str">
        <f t="shared" si="20"/>
        <v/>
      </c>
    </row>
    <row r="163" spans="7:7">
      <c r="G163" s="5" t="str">
        <f t="shared" si="20"/>
        <v/>
      </c>
    </row>
    <row r="164" spans="7:7">
      <c r="G164" s="5" t="str">
        <f t="shared" si="20"/>
        <v/>
      </c>
    </row>
    <row r="165" spans="7:7">
      <c r="G165" s="5" t="str">
        <f t="shared" si="20"/>
        <v/>
      </c>
    </row>
    <row r="166" spans="7:7">
      <c r="G166" s="5" t="str">
        <f t="shared" si="20"/>
        <v/>
      </c>
    </row>
    <row r="167" spans="7:7">
      <c r="G167" s="5" t="str">
        <f t="shared" si="20"/>
        <v/>
      </c>
    </row>
    <row r="168" spans="7:7">
      <c r="G168" s="5" t="str">
        <f t="shared" si="20"/>
        <v/>
      </c>
    </row>
    <row r="169" spans="7:7">
      <c r="G169" s="5" t="str">
        <f t="shared" si="20"/>
        <v/>
      </c>
    </row>
    <row r="170" spans="7:7">
      <c r="G170" s="5" t="str">
        <f t="shared" si="20"/>
        <v/>
      </c>
    </row>
    <row r="171" spans="7:7">
      <c r="G171" s="5" t="str">
        <f t="shared" si="20"/>
        <v/>
      </c>
    </row>
    <row r="172" spans="7:7">
      <c r="G172" s="5" t="str">
        <f t="shared" si="20"/>
        <v/>
      </c>
    </row>
    <row r="173" spans="7:7">
      <c r="G173" s="5" t="str">
        <f t="shared" si="20"/>
        <v/>
      </c>
    </row>
    <row r="174" spans="7:7">
      <c r="G174" s="5" t="str">
        <f t="shared" si="20"/>
        <v/>
      </c>
    </row>
    <row r="175" spans="7:7">
      <c r="G175" s="5" t="str">
        <f t="shared" si="20"/>
        <v/>
      </c>
    </row>
    <row r="176" spans="7:7">
      <c r="G176" s="5" t="str">
        <f t="shared" si="20"/>
        <v/>
      </c>
    </row>
    <row r="177" spans="7:7">
      <c r="G177" s="5" t="str">
        <f t="shared" si="20"/>
        <v/>
      </c>
    </row>
    <row r="178" spans="7:7">
      <c r="G178" s="5" t="str">
        <f t="shared" si="20"/>
        <v/>
      </c>
    </row>
    <row r="179" spans="7:7">
      <c r="G179" s="5" t="str">
        <f t="shared" si="20"/>
        <v/>
      </c>
    </row>
    <row r="180" spans="7:7">
      <c r="G180" s="5" t="str">
        <f t="shared" si="20"/>
        <v/>
      </c>
    </row>
    <row r="181" spans="7:7">
      <c r="G181" s="5" t="str">
        <f t="shared" si="20"/>
        <v/>
      </c>
    </row>
    <row r="182" spans="7:7">
      <c r="G182" s="5" t="str">
        <f t="shared" si="20"/>
        <v/>
      </c>
    </row>
    <row r="183" spans="7:7">
      <c r="G183" s="5" t="str">
        <f t="shared" si="20"/>
        <v/>
      </c>
    </row>
    <row r="184" spans="7:7">
      <c r="G184" s="5" t="str">
        <f t="shared" si="20"/>
        <v/>
      </c>
    </row>
    <row r="185" spans="7:7">
      <c r="G185" s="5" t="str">
        <f t="shared" si="20"/>
        <v/>
      </c>
    </row>
    <row r="186" spans="7:7">
      <c r="G186" s="5" t="str">
        <f t="shared" si="20"/>
        <v/>
      </c>
    </row>
    <row r="187" spans="7:7">
      <c r="G187" s="5" t="str">
        <f t="shared" si="20"/>
        <v/>
      </c>
    </row>
    <row r="188" spans="7:7">
      <c r="G188" s="5" t="str">
        <f t="shared" si="20"/>
        <v/>
      </c>
    </row>
    <row r="189" spans="7:7">
      <c r="G189" s="5" t="str">
        <f t="shared" si="20"/>
        <v/>
      </c>
    </row>
    <row r="190" spans="7:7">
      <c r="G190" s="5" t="str">
        <f t="shared" si="20"/>
        <v/>
      </c>
    </row>
    <row r="191" spans="7:7">
      <c r="G191" s="5" t="str">
        <f t="shared" si="20"/>
        <v/>
      </c>
    </row>
    <row r="192" spans="7:7">
      <c r="G192" s="5" t="str">
        <f t="shared" si="20"/>
        <v/>
      </c>
    </row>
    <row r="193" spans="7:7">
      <c r="G193" s="5" t="str">
        <f t="shared" si="20"/>
        <v/>
      </c>
    </row>
    <row r="194" spans="7:7">
      <c r="G194" s="5" t="str">
        <f t="shared" si="20"/>
        <v/>
      </c>
    </row>
    <row r="195" spans="7:7">
      <c r="G195" s="5" t="str">
        <f t="shared" si="20"/>
        <v/>
      </c>
    </row>
    <row r="196" spans="7:7">
      <c r="G196" s="5" t="str">
        <f t="shared" si="20"/>
        <v/>
      </c>
    </row>
    <row r="197" spans="7:7">
      <c r="G197" s="5" t="str">
        <f t="shared" si="20"/>
        <v/>
      </c>
    </row>
    <row r="198" spans="7:7">
      <c r="G198" s="5" t="str">
        <f t="shared" si="20"/>
        <v/>
      </c>
    </row>
    <row r="199" spans="7:7">
      <c r="G199" s="5" t="str">
        <f t="shared" si="20"/>
        <v/>
      </c>
    </row>
    <row r="200" spans="7:7">
      <c r="G200" s="5" t="str">
        <f t="shared" si="20"/>
        <v/>
      </c>
    </row>
    <row r="201" spans="7:7">
      <c r="G201" s="5" t="str">
        <f t="shared" si="20"/>
        <v/>
      </c>
    </row>
    <row r="202" spans="7:7">
      <c r="G202" s="5" t="str">
        <f t="shared" si="20"/>
        <v/>
      </c>
    </row>
    <row r="203" spans="7:7">
      <c r="G203" s="5" t="str">
        <f t="shared" si="20"/>
        <v/>
      </c>
    </row>
    <row r="204" spans="7:7">
      <c r="G204" s="5" t="str">
        <f t="shared" si="20"/>
        <v/>
      </c>
    </row>
    <row r="205" spans="7:7">
      <c r="G205" s="5" t="str">
        <f t="shared" si="20"/>
        <v/>
      </c>
    </row>
    <row r="206" spans="7:7">
      <c r="G206" s="5" t="str">
        <f t="shared" ref="G206:G269" si="21">IF(B206&lt;&gt;"",SUM(C206:F206),"")</f>
        <v/>
      </c>
    </row>
    <row r="207" spans="7:7">
      <c r="G207" s="5" t="str">
        <f t="shared" si="21"/>
        <v/>
      </c>
    </row>
    <row r="208" spans="7:7">
      <c r="G208" s="5" t="str">
        <f t="shared" si="21"/>
        <v/>
      </c>
    </row>
    <row r="209" spans="7:7">
      <c r="G209" s="5" t="str">
        <f t="shared" si="21"/>
        <v/>
      </c>
    </row>
    <row r="210" spans="7:7">
      <c r="G210" s="5" t="str">
        <f t="shared" si="21"/>
        <v/>
      </c>
    </row>
    <row r="211" spans="7:7">
      <c r="G211" s="5" t="str">
        <f t="shared" si="21"/>
        <v/>
      </c>
    </row>
    <row r="212" spans="7:7">
      <c r="G212" s="5" t="str">
        <f t="shared" si="21"/>
        <v/>
      </c>
    </row>
    <row r="213" spans="7:7">
      <c r="G213" s="5" t="str">
        <f t="shared" si="21"/>
        <v/>
      </c>
    </row>
    <row r="214" spans="7:7">
      <c r="G214" s="5" t="str">
        <f t="shared" si="21"/>
        <v/>
      </c>
    </row>
    <row r="215" spans="7:7">
      <c r="G215" s="5" t="str">
        <f t="shared" si="21"/>
        <v/>
      </c>
    </row>
    <row r="216" spans="7:7">
      <c r="G216" s="5" t="str">
        <f t="shared" si="21"/>
        <v/>
      </c>
    </row>
    <row r="217" spans="7:7">
      <c r="G217" s="5" t="str">
        <f t="shared" si="21"/>
        <v/>
      </c>
    </row>
    <row r="218" spans="7:7">
      <c r="G218" s="5" t="str">
        <f t="shared" si="21"/>
        <v/>
      </c>
    </row>
    <row r="219" spans="7:7">
      <c r="G219" s="5" t="str">
        <f t="shared" si="21"/>
        <v/>
      </c>
    </row>
    <row r="220" spans="7:7">
      <c r="G220" s="5" t="str">
        <f t="shared" si="21"/>
        <v/>
      </c>
    </row>
    <row r="221" spans="7:7">
      <c r="G221" s="5" t="str">
        <f t="shared" si="21"/>
        <v/>
      </c>
    </row>
    <row r="222" spans="7:7">
      <c r="G222" s="5" t="str">
        <f t="shared" si="21"/>
        <v/>
      </c>
    </row>
    <row r="223" spans="7:7">
      <c r="G223" s="5" t="str">
        <f t="shared" si="21"/>
        <v/>
      </c>
    </row>
    <row r="224" spans="7:7">
      <c r="G224" s="5" t="str">
        <f t="shared" si="21"/>
        <v/>
      </c>
    </row>
    <row r="225" spans="7:7">
      <c r="G225" s="5" t="str">
        <f t="shared" si="21"/>
        <v/>
      </c>
    </row>
    <row r="226" spans="7:7">
      <c r="G226" s="5" t="str">
        <f t="shared" si="21"/>
        <v/>
      </c>
    </row>
    <row r="227" spans="7:7">
      <c r="G227" s="5" t="str">
        <f t="shared" si="21"/>
        <v/>
      </c>
    </row>
    <row r="228" spans="7:7">
      <c r="G228" s="5" t="str">
        <f t="shared" si="21"/>
        <v/>
      </c>
    </row>
    <row r="229" spans="7:7">
      <c r="G229" s="5" t="str">
        <f t="shared" si="21"/>
        <v/>
      </c>
    </row>
    <row r="230" spans="7:7">
      <c r="G230" s="5" t="str">
        <f t="shared" si="21"/>
        <v/>
      </c>
    </row>
    <row r="231" spans="7:7">
      <c r="G231" s="5" t="str">
        <f t="shared" si="21"/>
        <v/>
      </c>
    </row>
    <row r="232" spans="7:7">
      <c r="G232" s="5" t="str">
        <f t="shared" si="21"/>
        <v/>
      </c>
    </row>
    <row r="233" spans="7:7">
      <c r="G233" s="5" t="str">
        <f t="shared" si="21"/>
        <v/>
      </c>
    </row>
    <row r="234" spans="7:7">
      <c r="G234" s="5" t="str">
        <f t="shared" si="21"/>
        <v/>
      </c>
    </row>
    <row r="235" spans="7:7">
      <c r="G235" s="5" t="str">
        <f t="shared" si="21"/>
        <v/>
      </c>
    </row>
    <row r="236" spans="7:7">
      <c r="G236" s="5" t="str">
        <f t="shared" si="21"/>
        <v/>
      </c>
    </row>
    <row r="237" spans="7:7">
      <c r="G237" s="5" t="str">
        <f t="shared" si="21"/>
        <v/>
      </c>
    </row>
    <row r="238" spans="7:7">
      <c r="G238" s="5" t="str">
        <f t="shared" si="21"/>
        <v/>
      </c>
    </row>
    <row r="239" spans="7:7">
      <c r="G239" s="5" t="str">
        <f t="shared" si="21"/>
        <v/>
      </c>
    </row>
    <row r="240" spans="7:7">
      <c r="G240" s="5" t="str">
        <f t="shared" si="21"/>
        <v/>
      </c>
    </row>
    <row r="241" spans="7:7">
      <c r="G241" s="5" t="str">
        <f t="shared" si="21"/>
        <v/>
      </c>
    </row>
    <row r="242" spans="7:7">
      <c r="G242" s="5" t="str">
        <f t="shared" si="21"/>
        <v/>
      </c>
    </row>
    <row r="243" spans="7:7">
      <c r="G243" s="5" t="str">
        <f t="shared" si="21"/>
        <v/>
      </c>
    </row>
    <row r="244" spans="7:7">
      <c r="G244" s="5" t="str">
        <f t="shared" si="21"/>
        <v/>
      </c>
    </row>
    <row r="245" spans="7:7">
      <c r="G245" s="5" t="str">
        <f t="shared" si="21"/>
        <v/>
      </c>
    </row>
    <row r="246" spans="7:7">
      <c r="G246" s="5" t="str">
        <f t="shared" si="21"/>
        <v/>
      </c>
    </row>
    <row r="247" spans="7:7">
      <c r="G247" s="5" t="str">
        <f t="shared" si="21"/>
        <v/>
      </c>
    </row>
    <row r="248" spans="7:7">
      <c r="G248" s="5" t="str">
        <f t="shared" si="21"/>
        <v/>
      </c>
    </row>
    <row r="249" spans="7:7">
      <c r="G249" s="5" t="str">
        <f t="shared" si="21"/>
        <v/>
      </c>
    </row>
    <row r="250" spans="7:7">
      <c r="G250" s="5" t="str">
        <f t="shared" si="21"/>
        <v/>
      </c>
    </row>
    <row r="251" spans="7:7">
      <c r="G251" s="5" t="str">
        <f t="shared" si="21"/>
        <v/>
      </c>
    </row>
    <row r="252" spans="7:7">
      <c r="G252" s="5" t="str">
        <f t="shared" si="21"/>
        <v/>
      </c>
    </row>
    <row r="253" spans="7:7">
      <c r="G253" s="5" t="str">
        <f t="shared" si="21"/>
        <v/>
      </c>
    </row>
    <row r="254" spans="7:7">
      <c r="G254" s="5" t="str">
        <f t="shared" si="21"/>
        <v/>
      </c>
    </row>
    <row r="255" spans="7:7">
      <c r="G255" s="5" t="str">
        <f t="shared" si="21"/>
        <v/>
      </c>
    </row>
    <row r="256" spans="7:7">
      <c r="G256" s="5" t="str">
        <f t="shared" si="21"/>
        <v/>
      </c>
    </row>
    <row r="257" spans="7:7">
      <c r="G257" s="5" t="str">
        <f t="shared" si="21"/>
        <v/>
      </c>
    </row>
    <row r="258" spans="7:7">
      <c r="G258" s="5" t="str">
        <f t="shared" si="21"/>
        <v/>
      </c>
    </row>
    <row r="259" spans="7:7">
      <c r="G259" s="5" t="str">
        <f t="shared" si="21"/>
        <v/>
      </c>
    </row>
    <row r="260" spans="7:7">
      <c r="G260" s="5" t="str">
        <f t="shared" si="21"/>
        <v/>
      </c>
    </row>
    <row r="261" spans="7:7">
      <c r="G261" s="5" t="str">
        <f t="shared" si="21"/>
        <v/>
      </c>
    </row>
    <row r="262" spans="7:7">
      <c r="G262" s="5" t="str">
        <f t="shared" si="21"/>
        <v/>
      </c>
    </row>
    <row r="263" spans="7:7">
      <c r="G263" s="5" t="str">
        <f t="shared" si="21"/>
        <v/>
      </c>
    </row>
    <row r="264" spans="7:7">
      <c r="G264" s="5" t="str">
        <f t="shared" si="21"/>
        <v/>
      </c>
    </row>
    <row r="265" spans="7:7">
      <c r="G265" s="5" t="str">
        <f t="shared" si="21"/>
        <v/>
      </c>
    </row>
    <row r="266" spans="7:7">
      <c r="G266" s="5" t="str">
        <f t="shared" si="21"/>
        <v/>
      </c>
    </row>
    <row r="267" spans="7:7">
      <c r="G267" s="5" t="str">
        <f t="shared" si="21"/>
        <v/>
      </c>
    </row>
    <row r="268" spans="7:7">
      <c r="G268" s="5" t="str">
        <f t="shared" si="21"/>
        <v/>
      </c>
    </row>
    <row r="269" spans="7:7">
      <c r="G269" s="5" t="str">
        <f t="shared" si="21"/>
        <v/>
      </c>
    </row>
    <row r="270" spans="7:7">
      <c r="G270" s="5" t="str">
        <f t="shared" ref="G270:G333" si="22">IF(B270&lt;&gt;"",SUM(C270:F270),"")</f>
        <v/>
      </c>
    </row>
    <row r="271" spans="7:7">
      <c r="G271" s="5" t="str">
        <f t="shared" si="22"/>
        <v/>
      </c>
    </row>
    <row r="272" spans="7:7">
      <c r="G272" s="5" t="str">
        <f t="shared" si="22"/>
        <v/>
      </c>
    </row>
    <row r="273" spans="7:7">
      <c r="G273" s="5" t="str">
        <f t="shared" si="22"/>
        <v/>
      </c>
    </row>
    <row r="274" spans="7:7">
      <c r="G274" s="5" t="str">
        <f t="shared" si="22"/>
        <v/>
      </c>
    </row>
    <row r="275" spans="7:7">
      <c r="G275" s="5" t="str">
        <f t="shared" si="22"/>
        <v/>
      </c>
    </row>
    <row r="276" spans="7:7">
      <c r="G276" s="5" t="str">
        <f t="shared" si="22"/>
        <v/>
      </c>
    </row>
    <row r="277" spans="7:7">
      <c r="G277" s="5" t="str">
        <f t="shared" si="22"/>
        <v/>
      </c>
    </row>
    <row r="278" spans="7:7">
      <c r="G278" s="5" t="str">
        <f t="shared" si="22"/>
        <v/>
      </c>
    </row>
    <row r="279" spans="7:7">
      <c r="G279" s="5" t="str">
        <f t="shared" si="22"/>
        <v/>
      </c>
    </row>
    <row r="280" spans="7:7">
      <c r="G280" s="5" t="str">
        <f t="shared" si="22"/>
        <v/>
      </c>
    </row>
    <row r="281" spans="7:7">
      <c r="G281" s="5" t="str">
        <f t="shared" si="22"/>
        <v/>
      </c>
    </row>
    <row r="282" spans="7:7">
      <c r="G282" s="5" t="str">
        <f t="shared" si="22"/>
        <v/>
      </c>
    </row>
    <row r="283" spans="7:7">
      <c r="G283" s="5" t="str">
        <f t="shared" si="22"/>
        <v/>
      </c>
    </row>
    <row r="284" spans="7:7">
      <c r="G284" s="5" t="str">
        <f t="shared" si="22"/>
        <v/>
      </c>
    </row>
    <row r="285" spans="7:7">
      <c r="G285" s="5" t="str">
        <f t="shared" si="22"/>
        <v/>
      </c>
    </row>
    <row r="286" spans="7:7">
      <c r="G286" s="5" t="str">
        <f t="shared" si="22"/>
        <v/>
      </c>
    </row>
    <row r="287" spans="7:7">
      <c r="G287" s="5" t="str">
        <f t="shared" si="22"/>
        <v/>
      </c>
    </row>
    <row r="288" spans="7:7">
      <c r="G288" s="5" t="str">
        <f t="shared" si="22"/>
        <v/>
      </c>
    </row>
    <row r="289" spans="7:7">
      <c r="G289" s="5" t="str">
        <f t="shared" si="22"/>
        <v/>
      </c>
    </row>
    <row r="290" spans="7:7">
      <c r="G290" s="5" t="str">
        <f t="shared" si="22"/>
        <v/>
      </c>
    </row>
    <row r="291" spans="7:7">
      <c r="G291" s="5" t="str">
        <f t="shared" si="22"/>
        <v/>
      </c>
    </row>
    <row r="292" spans="7:7">
      <c r="G292" s="5" t="str">
        <f t="shared" si="22"/>
        <v/>
      </c>
    </row>
    <row r="293" spans="7:7">
      <c r="G293" s="5" t="str">
        <f t="shared" si="22"/>
        <v/>
      </c>
    </row>
    <row r="294" spans="7:7">
      <c r="G294" s="5" t="str">
        <f t="shared" si="22"/>
        <v/>
      </c>
    </row>
    <row r="295" spans="7:7">
      <c r="G295" s="5" t="str">
        <f t="shared" si="22"/>
        <v/>
      </c>
    </row>
    <row r="296" spans="7:7">
      <c r="G296" s="5" t="str">
        <f t="shared" si="22"/>
        <v/>
      </c>
    </row>
    <row r="297" spans="7:7">
      <c r="G297" s="5" t="str">
        <f t="shared" si="22"/>
        <v/>
      </c>
    </row>
    <row r="298" spans="7:7">
      <c r="G298" s="5" t="str">
        <f t="shared" si="22"/>
        <v/>
      </c>
    </row>
    <row r="299" spans="7:7">
      <c r="G299" s="5" t="str">
        <f t="shared" si="22"/>
        <v/>
      </c>
    </row>
    <row r="300" spans="7:7">
      <c r="G300" s="5" t="str">
        <f t="shared" si="22"/>
        <v/>
      </c>
    </row>
    <row r="301" spans="7:7">
      <c r="G301" s="5" t="str">
        <f t="shared" si="22"/>
        <v/>
      </c>
    </row>
    <row r="302" spans="7:7">
      <c r="G302" s="5" t="str">
        <f t="shared" si="22"/>
        <v/>
      </c>
    </row>
    <row r="303" spans="7:7">
      <c r="G303" s="5" t="str">
        <f t="shared" si="22"/>
        <v/>
      </c>
    </row>
    <row r="304" spans="7:7">
      <c r="G304" s="5" t="str">
        <f t="shared" si="22"/>
        <v/>
      </c>
    </row>
    <row r="305" spans="7:7">
      <c r="G305" s="5" t="str">
        <f t="shared" si="22"/>
        <v/>
      </c>
    </row>
    <row r="306" spans="7:7">
      <c r="G306" s="5" t="str">
        <f t="shared" si="22"/>
        <v/>
      </c>
    </row>
    <row r="307" spans="7:7">
      <c r="G307" s="5" t="str">
        <f t="shared" si="22"/>
        <v/>
      </c>
    </row>
    <row r="308" spans="7:7">
      <c r="G308" s="5" t="str">
        <f t="shared" si="22"/>
        <v/>
      </c>
    </row>
    <row r="309" spans="7:7">
      <c r="G309" s="5" t="str">
        <f t="shared" si="22"/>
        <v/>
      </c>
    </row>
    <row r="310" spans="7:7">
      <c r="G310" s="5" t="str">
        <f t="shared" si="22"/>
        <v/>
      </c>
    </row>
    <row r="311" spans="7:7">
      <c r="G311" s="5" t="str">
        <f t="shared" si="22"/>
        <v/>
      </c>
    </row>
    <row r="312" spans="7:7">
      <c r="G312" s="5" t="str">
        <f t="shared" si="22"/>
        <v/>
      </c>
    </row>
    <row r="313" spans="7:7">
      <c r="G313" s="5" t="str">
        <f t="shared" si="22"/>
        <v/>
      </c>
    </row>
    <row r="314" spans="7:7">
      <c r="G314" s="5" t="str">
        <f t="shared" si="22"/>
        <v/>
      </c>
    </row>
    <row r="315" spans="7:7">
      <c r="G315" s="5" t="str">
        <f t="shared" si="22"/>
        <v/>
      </c>
    </row>
    <row r="316" spans="7:7">
      <c r="G316" s="5" t="str">
        <f t="shared" si="22"/>
        <v/>
      </c>
    </row>
    <row r="317" spans="7:7">
      <c r="G317" s="5" t="str">
        <f t="shared" si="22"/>
        <v/>
      </c>
    </row>
    <row r="318" spans="7:7">
      <c r="G318" s="5" t="str">
        <f t="shared" si="22"/>
        <v/>
      </c>
    </row>
    <row r="319" spans="7:7">
      <c r="G319" s="5" t="str">
        <f t="shared" si="22"/>
        <v/>
      </c>
    </row>
    <row r="320" spans="7:7">
      <c r="G320" s="5" t="str">
        <f t="shared" si="22"/>
        <v/>
      </c>
    </row>
    <row r="321" spans="7:7">
      <c r="G321" s="5" t="str">
        <f t="shared" si="22"/>
        <v/>
      </c>
    </row>
    <row r="322" spans="7:7">
      <c r="G322" s="5" t="str">
        <f t="shared" si="22"/>
        <v/>
      </c>
    </row>
    <row r="323" spans="7:7">
      <c r="G323" s="5" t="str">
        <f t="shared" si="22"/>
        <v/>
      </c>
    </row>
    <row r="324" spans="7:7">
      <c r="G324" s="5" t="str">
        <f t="shared" si="22"/>
        <v/>
      </c>
    </row>
    <row r="325" spans="7:7">
      <c r="G325" s="5" t="str">
        <f t="shared" si="22"/>
        <v/>
      </c>
    </row>
    <row r="326" spans="7:7">
      <c r="G326" s="5" t="str">
        <f t="shared" si="22"/>
        <v/>
      </c>
    </row>
    <row r="327" spans="7:7">
      <c r="G327" s="5" t="str">
        <f t="shared" si="22"/>
        <v/>
      </c>
    </row>
    <row r="328" spans="7:7">
      <c r="G328" s="5" t="str">
        <f t="shared" si="22"/>
        <v/>
      </c>
    </row>
    <row r="329" spans="7:7">
      <c r="G329" s="5" t="str">
        <f t="shared" si="22"/>
        <v/>
      </c>
    </row>
    <row r="330" spans="7:7">
      <c r="G330" s="5" t="str">
        <f t="shared" si="22"/>
        <v/>
      </c>
    </row>
    <row r="331" spans="7:7">
      <c r="G331" s="5" t="str">
        <f t="shared" si="22"/>
        <v/>
      </c>
    </row>
    <row r="332" spans="7:7">
      <c r="G332" s="5" t="str">
        <f t="shared" si="22"/>
        <v/>
      </c>
    </row>
    <row r="333" spans="7:7">
      <c r="G333" s="5" t="str">
        <f t="shared" si="22"/>
        <v/>
      </c>
    </row>
    <row r="334" spans="7:7">
      <c r="G334" s="5" t="str">
        <f t="shared" ref="G334:G397" si="23">IF(B334&lt;&gt;"",SUM(C334:F334),"")</f>
        <v/>
      </c>
    </row>
    <row r="335" spans="7:7">
      <c r="G335" s="5" t="str">
        <f t="shared" si="23"/>
        <v/>
      </c>
    </row>
    <row r="336" spans="7:7">
      <c r="G336" s="5" t="str">
        <f t="shared" si="23"/>
        <v/>
      </c>
    </row>
    <row r="337" spans="7:7">
      <c r="G337" s="5" t="str">
        <f t="shared" si="23"/>
        <v/>
      </c>
    </row>
    <row r="338" spans="7:7">
      <c r="G338" s="5" t="str">
        <f t="shared" si="23"/>
        <v/>
      </c>
    </row>
    <row r="339" spans="7:7">
      <c r="G339" s="5" t="str">
        <f t="shared" si="23"/>
        <v/>
      </c>
    </row>
    <row r="340" spans="7:7">
      <c r="G340" s="5" t="str">
        <f t="shared" si="23"/>
        <v/>
      </c>
    </row>
    <row r="341" spans="7:7">
      <c r="G341" s="5" t="str">
        <f t="shared" si="23"/>
        <v/>
      </c>
    </row>
    <row r="342" spans="7:7">
      <c r="G342" s="5" t="str">
        <f t="shared" si="23"/>
        <v/>
      </c>
    </row>
    <row r="343" spans="7:7">
      <c r="G343" s="5" t="str">
        <f t="shared" si="23"/>
        <v/>
      </c>
    </row>
    <row r="344" spans="7:7">
      <c r="G344" s="5" t="str">
        <f t="shared" si="23"/>
        <v/>
      </c>
    </row>
    <row r="345" spans="7:7">
      <c r="G345" s="5" t="str">
        <f t="shared" si="23"/>
        <v/>
      </c>
    </row>
    <row r="346" spans="7:7">
      <c r="G346" s="5" t="str">
        <f t="shared" si="23"/>
        <v/>
      </c>
    </row>
    <row r="347" spans="7:7">
      <c r="G347" s="5" t="str">
        <f t="shared" si="23"/>
        <v/>
      </c>
    </row>
    <row r="348" spans="7:7">
      <c r="G348" s="5" t="str">
        <f t="shared" si="23"/>
        <v/>
      </c>
    </row>
    <row r="349" spans="7:7">
      <c r="G349" s="5" t="str">
        <f t="shared" si="23"/>
        <v/>
      </c>
    </row>
    <row r="350" spans="7:7">
      <c r="G350" s="5" t="str">
        <f t="shared" si="23"/>
        <v/>
      </c>
    </row>
    <row r="351" spans="7:7">
      <c r="G351" s="5" t="str">
        <f t="shared" si="23"/>
        <v/>
      </c>
    </row>
    <row r="352" spans="7:7">
      <c r="G352" s="5" t="str">
        <f t="shared" si="23"/>
        <v/>
      </c>
    </row>
    <row r="353" spans="7:7">
      <c r="G353" s="5" t="str">
        <f t="shared" si="23"/>
        <v/>
      </c>
    </row>
    <row r="354" spans="7:7">
      <c r="G354" s="5" t="str">
        <f t="shared" si="23"/>
        <v/>
      </c>
    </row>
    <row r="355" spans="7:7">
      <c r="G355" s="5" t="str">
        <f t="shared" si="23"/>
        <v/>
      </c>
    </row>
    <row r="356" spans="7:7">
      <c r="G356" s="5" t="str">
        <f t="shared" si="23"/>
        <v/>
      </c>
    </row>
    <row r="357" spans="7:7">
      <c r="G357" s="5" t="str">
        <f t="shared" si="23"/>
        <v/>
      </c>
    </row>
    <row r="358" spans="7:7">
      <c r="G358" s="5" t="str">
        <f t="shared" si="23"/>
        <v/>
      </c>
    </row>
    <row r="359" spans="7:7">
      <c r="G359" s="5" t="str">
        <f t="shared" si="23"/>
        <v/>
      </c>
    </row>
    <row r="360" spans="7:7">
      <c r="G360" s="5" t="str">
        <f t="shared" si="23"/>
        <v/>
      </c>
    </row>
    <row r="361" spans="7:7">
      <c r="G361" s="5" t="str">
        <f t="shared" si="23"/>
        <v/>
      </c>
    </row>
    <row r="362" spans="7:7">
      <c r="G362" s="5" t="str">
        <f t="shared" si="23"/>
        <v/>
      </c>
    </row>
    <row r="363" spans="7:7">
      <c r="G363" s="5" t="str">
        <f t="shared" si="23"/>
        <v/>
      </c>
    </row>
    <row r="364" spans="7:7">
      <c r="G364" s="5" t="str">
        <f t="shared" si="23"/>
        <v/>
      </c>
    </row>
    <row r="365" spans="7:7">
      <c r="G365" s="5" t="str">
        <f t="shared" si="23"/>
        <v/>
      </c>
    </row>
    <row r="366" spans="7:7">
      <c r="G366" s="5" t="str">
        <f t="shared" si="23"/>
        <v/>
      </c>
    </row>
    <row r="367" spans="7:7">
      <c r="G367" s="5" t="str">
        <f t="shared" si="23"/>
        <v/>
      </c>
    </row>
    <row r="368" spans="7:7">
      <c r="G368" s="5" t="str">
        <f t="shared" si="23"/>
        <v/>
      </c>
    </row>
    <row r="369" spans="7:7">
      <c r="G369" s="5" t="str">
        <f t="shared" si="23"/>
        <v/>
      </c>
    </row>
    <row r="370" spans="7:7">
      <c r="G370" s="5" t="str">
        <f t="shared" si="23"/>
        <v/>
      </c>
    </row>
    <row r="371" spans="7:7">
      <c r="G371" s="5" t="str">
        <f t="shared" si="23"/>
        <v/>
      </c>
    </row>
    <row r="372" spans="7:7">
      <c r="G372" s="5" t="str">
        <f t="shared" si="23"/>
        <v/>
      </c>
    </row>
    <row r="373" spans="7:7">
      <c r="G373" s="5" t="str">
        <f t="shared" si="23"/>
        <v/>
      </c>
    </row>
    <row r="374" spans="7:7">
      <c r="G374" s="5" t="str">
        <f t="shared" si="23"/>
        <v/>
      </c>
    </row>
    <row r="375" spans="7:7">
      <c r="G375" s="5" t="str">
        <f t="shared" si="23"/>
        <v/>
      </c>
    </row>
    <row r="376" spans="7:7">
      <c r="G376" s="5" t="str">
        <f t="shared" si="23"/>
        <v/>
      </c>
    </row>
    <row r="377" spans="7:7">
      <c r="G377" s="5" t="str">
        <f t="shared" si="23"/>
        <v/>
      </c>
    </row>
    <row r="378" spans="7:7">
      <c r="G378" s="5" t="str">
        <f t="shared" si="23"/>
        <v/>
      </c>
    </row>
    <row r="379" spans="7:7">
      <c r="G379" s="5" t="str">
        <f t="shared" si="23"/>
        <v/>
      </c>
    </row>
    <row r="380" spans="7:7">
      <c r="G380" s="5" t="str">
        <f t="shared" si="23"/>
        <v/>
      </c>
    </row>
    <row r="381" spans="7:7">
      <c r="G381" s="5" t="str">
        <f t="shared" si="23"/>
        <v/>
      </c>
    </row>
    <row r="382" spans="7:7">
      <c r="G382" s="5" t="str">
        <f t="shared" si="23"/>
        <v/>
      </c>
    </row>
    <row r="383" spans="7:7">
      <c r="G383" s="5" t="str">
        <f t="shared" si="23"/>
        <v/>
      </c>
    </row>
    <row r="384" spans="7:7">
      <c r="G384" s="5" t="str">
        <f t="shared" si="23"/>
        <v/>
      </c>
    </row>
    <row r="385" spans="7:7">
      <c r="G385" s="5" t="str">
        <f t="shared" si="23"/>
        <v/>
      </c>
    </row>
    <row r="386" spans="7:7">
      <c r="G386" s="5" t="str">
        <f t="shared" si="23"/>
        <v/>
      </c>
    </row>
    <row r="387" spans="7:7">
      <c r="G387" s="5" t="str">
        <f t="shared" si="23"/>
        <v/>
      </c>
    </row>
    <row r="388" spans="7:7">
      <c r="G388" s="5" t="str">
        <f t="shared" si="23"/>
        <v/>
      </c>
    </row>
    <row r="389" spans="7:7">
      <c r="G389" s="5" t="str">
        <f t="shared" si="23"/>
        <v/>
      </c>
    </row>
    <row r="390" spans="7:7">
      <c r="G390" s="5" t="str">
        <f t="shared" si="23"/>
        <v/>
      </c>
    </row>
    <row r="391" spans="7:7">
      <c r="G391" s="5" t="str">
        <f t="shared" si="23"/>
        <v/>
      </c>
    </row>
    <row r="392" spans="7:7">
      <c r="G392" s="5" t="str">
        <f t="shared" si="23"/>
        <v/>
      </c>
    </row>
    <row r="393" spans="7:7">
      <c r="G393" s="5" t="str">
        <f t="shared" si="23"/>
        <v/>
      </c>
    </row>
    <row r="394" spans="7:7">
      <c r="G394" s="5" t="str">
        <f t="shared" si="23"/>
        <v/>
      </c>
    </row>
    <row r="395" spans="7:7">
      <c r="G395" s="5" t="str">
        <f t="shared" si="23"/>
        <v/>
      </c>
    </row>
    <row r="396" spans="7:7">
      <c r="G396" s="5" t="str">
        <f t="shared" si="23"/>
        <v/>
      </c>
    </row>
    <row r="397" spans="7:7">
      <c r="G397" s="5" t="str">
        <f t="shared" si="23"/>
        <v/>
      </c>
    </row>
    <row r="398" spans="7:7">
      <c r="G398" s="5" t="str">
        <f t="shared" ref="G398:G461" si="24">IF(B398&lt;&gt;"",SUM(C398:F398),"")</f>
        <v/>
      </c>
    </row>
    <row r="399" spans="7:7">
      <c r="G399" s="5" t="str">
        <f t="shared" si="24"/>
        <v/>
      </c>
    </row>
    <row r="400" spans="7:7">
      <c r="G400" s="5" t="str">
        <f t="shared" si="24"/>
        <v/>
      </c>
    </row>
    <row r="401" spans="7:7">
      <c r="G401" s="5" t="str">
        <f t="shared" si="24"/>
        <v/>
      </c>
    </row>
    <row r="402" spans="7:7">
      <c r="G402" s="5" t="str">
        <f t="shared" si="24"/>
        <v/>
      </c>
    </row>
    <row r="403" spans="7:7">
      <c r="G403" s="5" t="str">
        <f t="shared" si="24"/>
        <v/>
      </c>
    </row>
    <row r="404" spans="7:7">
      <c r="G404" s="5" t="str">
        <f t="shared" si="24"/>
        <v/>
      </c>
    </row>
    <row r="405" spans="7:7">
      <c r="G405" s="5" t="str">
        <f t="shared" si="24"/>
        <v/>
      </c>
    </row>
    <row r="406" spans="7:7">
      <c r="G406" s="5" t="str">
        <f t="shared" si="24"/>
        <v/>
      </c>
    </row>
    <row r="407" spans="7:7">
      <c r="G407" s="5" t="str">
        <f t="shared" si="24"/>
        <v/>
      </c>
    </row>
    <row r="408" spans="7:7">
      <c r="G408" s="5" t="str">
        <f t="shared" si="24"/>
        <v/>
      </c>
    </row>
    <row r="409" spans="7:7">
      <c r="G409" s="5" t="str">
        <f t="shared" si="24"/>
        <v/>
      </c>
    </row>
    <row r="410" spans="7:7">
      <c r="G410" s="5" t="str">
        <f t="shared" si="24"/>
        <v/>
      </c>
    </row>
    <row r="411" spans="7:7">
      <c r="G411" s="5" t="str">
        <f t="shared" si="24"/>
        <v/>
      </c>
    </row>
    <row r="412" spans="7:7">
      <c r="G412" s="5" t="str">
        <f t="shared" si="24"/>
        <v/>
      </c>
    </row>
    <row r="413" spans="7:7">
      <c r="G413" s="5" t="str">
        <f t="shared" si="24"/>
        <v/>
      </c>
    </row>
    <row r="414" spans="7:7">
      <c r="G414" s="5" t="str">
        <f t="shared" si="24"/>
        <v/>
      </c>
    </row>
    <row r="415" spans="7:7">
      <c r="G415" s="5" t="str">
        <f t="shared" si="24"/>
        <v/>
      </c>
    </row>
    <row r="416" spans="7:7">
      <c r="G416" s="5" t="str">
        <f t="shared" si="24"/>
        <v/>
      </c>
    </row>
    <row r="417" spans="7:7">
      <c r="G417" s="5" t="str">
        <f t="shared" si="24"/>
        <v/>
      </c>
    </row>
    <row r="418" spans="7:7">
      <c r="G418" s="5" t="str">
        <f t="shared" si="24"/>
        <v/>
      </c>
    </row>
    <row r="419" spans="7:7">
      <c r="G419" s="5" t="str">
        <f t="shared" si="24"/>
        <v/>
      </c>
    </row>
    <row r="420" spans="7:7">
      <c r="G420" s="5" t="str">
        <f t="shared" si="24"/>
        <v/>
      </c>
    </row>
    <row r="421" spans="7:7">
      <c r="G421" s="5" t="str">
        <f t="shared" si="24"/>
        <v/>
      </c>
    </row>
    <row r="422" spans="7:7">
      <c r="G422" s="5" t="str">
        <f t="shared" si="24"/>
        <v/>
      </c>
    </row>
    <row r="423" spans="7:7">
      <c r="G423" s="5" t="str">
        <f t="shared" si="24"/>
        <v/>
      </c>
    </row>
    <row r="424" spans="7:7">
      <c r="G424" s="5" t="str">
        <f t="shared" si="24"/>
        <v/>
      </c>
    </row>
    <row r="425" spans="7:7">
      <c r="G425" s="5" t="str">
        <f t="shared" si="24"/>
        <v/>
      </c>
    </row>
    <row r="426" spans="7:7">
      <c r="G426" s="5" t="str">
        <f t="shared" si="24"/>
        <v/>
      </c>
    </row>
    <row r="427" spans="7:7">
      <c r="G427" s="5" t="str">
        <f t="shared" si="24"/>
        <v/>
      </c>
    </row>
    <row r="428" spans="7:7">
      <c r="G428" s="5" t="str">
        <f t="shared" si="24"/>
        <v/>
      </c>
    </row>
    <row r="429" spans="7:7">
      <c r="G429" s="5" t="str">
        <f t="shared" si="24"/>
        <v/>
      </c>
    </row>
    <row r="430" spans="7:7">
      <c r="G430" s="5" t="str">
        <f t="shared" si="24"/>
        <v/>
      </c>
    </row>
    <row r="431" spans="7:7">
      <c r="G431" s="5" t="str">
        <f t="shared" si="24"/>
        <v/>
      </c>
    </row>
    <row r="432" spans="7:7">
      <c r="G432" s="5" t="str">
        <f t="shared" si="24"/>
        <v/>
      </c>
    </row>
    <row r="433" spans="7:7">
      <c r="G433" s="5" t="str">
        <f t="shared" si="24"/>
        <v/>
      </c>
    </row>
    <row r="434" spans="7:7">
      <c r="G434" s="5" t="str">
        <f t="shared" si="24"/>
        <v/>
      </c>
    </row>
    <row r="435" spans="7:7">
      <c r="G435" s="5" t="str">
        <f t="shared" si="24"/>
        <v/>
      </c>
    </row>
    <row r="436" spans="7:7">
      <c r="G436" s="5" t="str">
        <f t="shared" si="24"/>
        <v/>
      </c>
    </row>
    <row r="437" spans="7:7">
      <c r="G437" s="5" t="str">
        <f t="shared" si="24"/>
        <v/>
      </c>
    </row>
    <row r="438" spans="7:7">
      <c r="G438" s="5" t="str">
        <f t="shared" si="24"/>
        <v/>
      </c>
    </row>
    <row r="439" spans="7:7">
      <c r="G439" s="5" t="str">
        <f t="shared" si="24"/>
        <v/>
      </c>
    </row>
    <row r="440" spans="7:7">
      <c r="G440" s="5" t="str">
        <f t="shared" si="24"/>
        <v/>
      </c>
    </row>
    <row r="441" spans="7:7">
      <c r="G441" s="5" t="str">
        <f t="shared" si="24"/>
        <v/>
      </c>
    </row>
    <row r="442" spans="7:7">
      <c r="G442" s="5" t="str">
        <f t="shared" si="24"/>
        <v/>
      </c>
    </row>
    <row r="443" spans="7:7">
      <c r="G443" s="5" t="str">
        <f t="shared" si="24"/>
        <v/>
      </c>
    </row>
    <row r="444" spans="7:7">
      <c r="G444" s="5" t="str">
        <f t="shared" si="24"/>
        <v/>
      </c>
    </row>
    <row r="445" spans="7:7">
      <c r="G445" s="5" t="str">
        <f t="shared" si="24"/>
        <v/>
      </c>
    </row>
    <row r="446" spans="7:7">
      <c r="G446" s="5" t="str">
        <f t="shared" si="24"/>
        <v/>
      </c>
    </row>
    <row r="447" spans="7:7">
      <c r="G447" s="5" t="str">
        <f t="shared" si="24"/>
        <v/>
      </c>
    </row>
    <row r="448" spans="7:7">
      <c r="G448" s="5" t="str">
        <f t="shared" si="24"/>
        <v/>
      </c>
    </row>
    <row r="449" spans="7:7">
      <c r="G449" s="5" t="str">
        <f t="shared" si="24"/>
        <v/>
      </c>
    </row>
    <row r="450" spans="7:7">
      <c r="G450" s="5" t="str">
        <f t="shared" si="24"/>
        <v/>
      </c>
    </row>
    <row r="451" spans="7:7">
      <c r="G451" s="5" t="str">
        <f t="shared" si="24"/>
        <v/>
      </c>
    </row>
    <row r="452" spans="7:7">
      <c r="G452" s="5" t="str">
        <f t="shared" si="24"/>
        <v/>
      </c>
    </row>
    <row r="453" spans="7:7">
      <c r="G453" s="5" t="str">
        <f t="shared" si="24"/>
        <v/>
      </c>
    </row>
    <row r="454" spans="7:7">
      <c r="G454" s="5" t="str">
        <f t="shared" si="24"/>
        <v/>
      </c>
    </row>
    <row r="455" spans="7:7">
      <c r="G455" s="5" t="str">
        <f t="shared" si="24"/>
        <v/>
      </c>
    </row>
    <row r="456" spans="7:7">
      <c r="G456" s="5" t="str">
        <f t="shared" si="24"/>
        <v/>
      </c>
    </row>
    <row r="457" spans="7:7">
      <c r="G457" s="5" t="str">
        <f t="shared" si="24"/>
        <v/>
      </c>
    </row>
    <row r="458" spans="7:7">
      <c r="G458" s="5" t="str">
        <f t="shared" si="24"/>
        <v/>
      </c>
    </row>
    <row r="459" spans="7:7">
      <c r="G459" s="5" t="str">
        <f t="shared" si="24"/>
        <v/>
      </c>
    </row>
    <row r="460" spans="7:7">
      <c r="G460" s="5" t="str">
        <f t="shared" si="24"/>
        <v/>
      </c>
    </row>
    <row r="461" spans="7:7">
      <c r="G461" s="5" t="str">
        <f t="shared" si="24"/>
        <v/>
      </c>
    </row>
    <row r="462" spans="7:7">
      <c r="G462" s="5" t="str">
        <f t="shared" ref="G462:G493" si="25">IF(B462&lt;&gt;"",SUM(C462:F462),"")</f>
        <v/>
      </c>
    </row>
    <row r="463" spans="7:7">
      <c r="G463" s="5" t="str">
        <f t="shared" si="25"/>
        <v/>
      </c>
    </row>
    <row r="464" spans="7:7">
      <c r="G464" s="5" t="str">
        <f t="shared" si="25"/>
        <v/>
      </c>
    </row>
    <row r="465" spans="7:7">
      <c r="G465" s="5" t="str">
        <f t="shared" si="25"/>
        <v/>
      </c>
    </row>
    <row r="466" spans="7:7">
      <c r="G466" s="5" t="str">
        <f t="shared" si="25"/>
        <v/>
      </c>
    </row>
    <row r="467" spans="7:7">
      <c r="G467" s="5" t="str">
        <f t="shared" si="25"/>
        <v/>
      </c>
    </row>
    <row r="468" spans="7:7">
      <c r="G468" s="5" t="str">
        <f t="shared" si="25"/>
        <v/>
      </c>
    </row>
    <row r="469" spans="7:7">
      <c r="G469" s="5" t="str">
        <f t="shared" si="25"/>
        <v/>
      </c>
    </row>
    <row r="470" spans="7:7">
      <c r="G470" s="5" t="str">
        <f t="shared" si="25"/>
        <v/>
      </c>
    </row>
    <row r="471" spans="7:7">
      <c r="G471" s="5" t="str">
        <f t="shared" si="25"/>
        <v/>
      </c>
    </row>
    <row r="472" spans="7:7">
      <c r="G472" s="5" t="str">
        <f t="shared" si="25"/>
        <v/>
      </c>
    </row>
    <row r="473" spans="7:7">
      <c r="G473" s="5" t="str">
        <f t="shared" si="25"/>
        <v/>
      </c>
    </row>
    <row r="474" spans="7:7">
      <c r="G474" s="5" t="str">
        <f t="shared" si="25"/>
        <v/>
      </c>
    </row>
    <row r="475" spans="7:7">
      <c r="G475" s="5" t="str">
        <f t="shared" si="25"/>
        <v/>
      </c>
    </row>
    <row r="476" spans="7:7">
      <c r="G476" s="5" t="str">
        <f t="shared" si="25"/>
        <v/>
      </c>
    </row>
    <row r="477" spans="7:7">
      <c r="G477" s="5" t="str">
        <f t="shared" si="25"/>
        <v/>
      </c>
    </row>
    <row r="478" spans="7:7">
      <c r="G478" s="5" t="str">
        <f t="shared" si="25"/>
        <v/>
      </c>
    </row>
    <row r="479" spans="7:7">
      <c r="G479" s="5" t="str">
        <f t="shared" si="25"/>
        <v/>
      </c>
    </row>
    <row r="480" spans="7:7">
      <c r="G480" s="5" t="str">
        <f t="shared" si="25"/>
        <v/>
      </c>
    </row>
    <row r="481" spans="7:7">
      <c r="G481" s="5" t="str">
        <f t="shared" si="25"/>
        <v/>
      </c>
    </row>
    <row r="482" spans="7:7">
      <c r="G482" s="5" t="str">
        <f t="shared" si="25"/>
        <v/>
      </c>
    </row>
    <row r="483" spans="7:7">
      <c r="G483" s="5" t="str">
        <f t="shared" si="25"/>
        <v/>
      </c>
    </row>
    <row r="484" spans="7:7">
      <c r="G484" s="5" t="str">
        <f t="shared" si="25"/>
        <v/>
      </c>
    </row>
    <row r="485" spans="7:7">
      <c r="G485" s="5" t="str">
        <f t="shared" si="25"/>
        <v/>
      </c>
    </row>
    <row r="486" spans="7:7">
      <c r="G486" s="5" t="str">
        <f t="shared" si="25"/>
        <v/>
      </c>
    </row>
    <row r="487" spans="7:7">
      <c r="G487" s="5" t="str">
        <f t="shared" si="25"/>
        <v/>
      </c>
    </row>
    <row r="488" spans="7:7">
      <c r="G488" s="5" t="str">
        <f t="shared" si="25"/>
        <v/>
      </c>
    </row>
    <row r="489" spans="7:7">
      <c r="G489" s="5" t="str">
        <f t="shared" si="25"/>
        <v/>
      </c>
    </row>
    <row r="490" spans="7:7">
      <c r="G490" s="5" t="str">
        <f t="shared" si="25"/>
        <v/>
      </c>
    </row>
    <row r="491" spans="7:7">
      <c r="G491" s="5" t="str">
        <f t="shared" si="25"/>
        <v/>
      </c>
    </row>
    <row r="492" spans="7:7">
      <c r="G492" s="5" t="str">
        <f t="shared" si="25"/>
        <v/>
      </c>
    </row>
    <row r="493" spans="7:7">
      <c r="G493" s="5" t="str">
        <f t="shared" si="25"/>
        <v/>
      </c>
    </row>
  </sheetData>
  <sheetProtection algorithmName="SHA-512" hashValue="GVcTFOS/OmmnKXkhpgx/4dblgWFZKHzpG2dfV8xwovMAPZHwc5FVjqDaT2TA2xZCqX5w4fcW+08YHFQ6Sf2Hmg==" saltValue="sC7UJbW3n96A13dfneOaVg==" spinCount="100000" sheet="1" sort="0" autoFilter="0" pivotTables="0"/>
  <autoFilter ref="B5:I65" xr:uid="{00000000-0001-0000-0400-000000000000}"/>
  <sortState xmlns:xlrd2="http://schemas.microsoft.com/office/spreadsheetml/2017/richdata2" ref="B6:L65">
    <sortCondition ref="B6:B65"/>
  </sortState>
  <pageMargins left="0.78740157480314965" right="0.78740157480314965" top="0.78740157480314965" bottom="0.78740157480314965" header="0" footer="0"/>
  <pageSetup paperSize="9" scale="78" orientation="landscape" horizontalDpi="4294967295" verticalDpi="4294967295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theme="0"/>
    <pageSetUpPr fitToPage="1"/>
  </sheetPr>
  <dimension ref="B1:S495"/>
  <sheetViews>
    <sheetView zoomScaleNormal="100" workbookViewId="0">
      <pane ySplit="5" topLeftCell="A100" activePane="bottomLeft" state="frozen"/>
      <selection pane="bottomLeft" activeCell="G114" sqref="G114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3" width="13.5703125" style="15" customWidth="1"/>
    <col min="4" max="4" width="14.28515625" style="15" bestFit="1" customWidth="1"/>
    <col min="5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2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790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 t="s">
        <v>935</v>
      </c>
      <c r="D4" s="43" t="s">
        <v>935</v>
      </c>
      <c r="E4" s="43" t="s">
        <v>935</v>
      </c>
      <c r="F4" s="43" t="s">
        <v>935</v>
      </c>
      <c r="G4" s="43" t="s">
        <v>935</v>
      </c>
      <c r="H4" s="447"/>
      <c r="I4" s="447" t="s">
        <v>48</v>
      </c>
      <c r="J4" s="448" t="s">
        <v>9</v>
      </c>
      <c r="K4" s="448" t="s">
        <v>9</v>
      </c>
      <c r="L4" s="49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69" t="s">
        <v>1344</v>
      </c>
      <c r="C6" s="13"/>
      <c r="D6" s="13"/>
      <c r="E6" s="13"/>
      <c r="F6" s="14"/>
      <c r="G6" s="8">
        <v>60</v>
      </c>
      <c r="H6" s="24">
        <f>SUM(C6:G6)</f>
        <v>60</v>
      </c>
      <c r="I6" s="456">
        <f>L6-(L6*J6)</f>
        <v>36.984000000000002</v>
      </c>
      <c r="J6" s="10">
        <v>0.08</v>
      </c>
      <c r="K6" s="12">
        <v>0.1</v>
      </c>
      <c r="L6" s="470">
        <v>40.200000000000003</v>
      </c>
      <c r="M6" s="121"/>
      <c r="N6" s="25">
        <f>I6*C6</f>
        <v>0</v>
      </c>
      <c r="O6" s="25">
        <f>I6*D6</f>
        <v>0</v>
      </c>
      <c r="P6" s="25">
        <f>I6*E6</f>
        <v>0</v>
      </c>
      <c r="Q6" s="26">
        <f>I6*F6</f>
        <v>0</v>
      </c>
      <c r="R6" s="27">
        <f>I6*G6</f>
        <v>2219.04</v>
      </c>
      <c r="S6" s="28">
        <f>SUM(N6:R6)</f>
        <v>2219.04</v>
      </c>
    </row>
    <row r="7" spans="2:19">
      <c r="B7" s="469" t="s">
        <v>1345</v>
      </c>
      <c r="C7" s="13"/>
      <c r="D7" s="13"/>
      <c r="E7" s="13"/>
      <c r="F7" s="14"/>
      <c r="G7" s="8"/>
      <c r="H7" s="24">
        <f t="shared" ref="H7:H33" si="0">SUM(C7:G7)</f>
        <v>0</v>
      </c>
      <c r="I7" s="456">
        <f t="shared" ref="I7:I33" si="1">L7-(L7*J7)</f>
        <v>120.2072</v>
      </c>
      <c r="J7" s="10">
        <v>0.08</v>
      </c>
      <c r="K7" s="12">
        <v>0.1</v>
      </c>
      <c r="L7" s="470">
        <v>130.66</v>
      </c>
      <c r="M7" s="121"/>
      <c r="N7" s="25">
        <f t="shared" ref="N7:N70" si="2">I7*C7</f>
        <v>0</v>
      </c>
      <c r="O7" s="25">
        <f t="shared" ref="O7:O70" si="3">I7*D7</f>
        <v>0</v>
      </c>
      <c r="P7" s="25">
        <f t="shared" ref="P7:P70" si="4">I7*E7</f>
        <v>0</v>
      </c>
      <c r="Q7" s="26">
        <f t="shared" ref="Q7:Q70" si="5">I7*F7</f>
        <v>0</v>
      </c>
      <c r="R7" s="27">
        <f t="shared" ref="R7:R70" si="6">I7*G7</f>
        <v>0</v>
      </c>
      <c r="S7" s="28">
        <f t="shared" ref="S7:S70" si="7">SUM(N7:R7)</f>
        <v>0</v>
      </c>
    </row>
    <row r="8" spans="2:19">
      <c r="B8" s="469" t="s">
        <v>1346</v>
      </c>
      <c r="C8" s="13"/>
      <c r="D8" s="13"/>
      <c r="E8" s="13"/>
      <c r="F8" s="14"/>
      <c r="G8" s="8"/>
      <c r="H8" s="24">
        <f t="shared" si="0"/>
        <v>0</v>
      </c>
      <c r="I8" s="456">
        <f t="shared" si="1"/>
        <v>26.238399999999999</v>
      </c>
      <c r="J8" s="10">
        <v>0.08</v>
      </c>
      <c r="K8" s="12">
        <v>0.1</v>
      </c>
      <c r="L8" s="470">
        <v>28.52</v>
      </c>
      <c r="M8" s="121"/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28">
        <f t="shared" si="7"/>
        <v>0</v>
      </c>
    </row>
    <row r="9" spans="2:19">
      <c r="B9" s="469" t="s">
        <v>1347</v>
      </c>
      <c r="C9" s="13"/>
      <c r="D9" s="13"/>
      <c r="E9" s="13"/>
      <c r="F9" s="14"/>
      <c r="G9" s="8"/>
      <c r="H9" s="24">
        <f t="shared" si="0"/>
        <v>0</v>
      </c>
      <c r="I9" s="456">
        <f t="shared" si="1"/>
        <v>40.360399999999998</v>
      </c>
      <c r="J9" s="10">
        <v>0.08</v>
      </c>
      <c r="K9" s="12">
        <v>0.1</v>
      </c>
      <c r="L9" s="470">
        <v>43.87</v>
      </c>
      <c r="M9" s="121"/>
      <c r="N9" s="25">
        <f t="shared" si="2"/>
        <v>0</v>
      </c>
      <c r="O9" s="25">
        <f t="shared" si="3"/>
        <v>0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28">
        <f t="shared" si="7"/>
        <v>0</v>
      </c>
    </row>
    <row r="10" spans="2:19">
      <c r="B10" s="469" t="s">
        <v>1348</v>
      </c>
      <c r="C10" s="13"/>
      <c r="D10" s="13"/>
      <c r="E10" s="13"/>
      <c r="F10" s="14"/>
      <c r="G10" s="8"/>
      <c r="H10" s="24">
        <f t="shared" si="0"/>
        <v>0</v>
      </c>
      <c r="I10" s="456">
        <f t="shared" si="1"/>
        <v>26.054400000000001</v>
      </c>
      <c r="J10" s="10">
        <v>0.08</v>
      </c>
      <c r="K10" s="12">
        <v>0.1</v>
      </c>
      <c r="L10" s="470">
        <v>28.32</v>
      </c>
      <c r="M10" s="121"/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28">
        <f t="shared" si="7"/>
        <v>0</v>
      </c>
    </row>
    <row r="11" spans="2:19">
      <c r="B11" s="469" t="s">
        <v>1349</v>
      </c>
      <c r="C11" s="13"/>
      <c r="D11" s="13"/>
      <c r="E11" s="13"/>
      <c r="F11" s="14"/>
      <c r="G11" s="8"/>
      <c r="H11" s="24">
        <f t="shared" si="0"/>
        <v>0</v>
      </c>
      <c r="I11" s="456">
        <f t="shared" si="1"/>
        <v>22.4848</v>
      </c>
      <c r="J11" s="10">
        <v>0.08</v>
      </c>
      <c r="K11" s="12">
        <v>0.1</v>
      </c>
      <c r="L11" s="470">
        <v>24.44</v>
      </c>
      <c r="M11" s="121"/>
      <c r="N11" s="25">
        <f t="shared" si="2"/>
        <v>0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28">
        <f t="shared" si="7"/>
        <v>0</v>
      </c>
    </row>
    <row r="12" spans="2:19">
      <c r="B12" s="469" t="s">
        <v>1350</v>
      </c>
      <c r="C12" s="13"/>
      <c r="D12" s="13"/>
      <c r="E12" s="13"/>
      <c r="F12" s="14"/>
      <c r="G12" s="8"/>
      <c r="H12" s="24">
        <f t="shared" si="0"/>
        <v>0</v>
      </c>
      <c r="I12" s="456">
        <f t="shared" si="1"/>
        <v>13.1744</v>
      </c>
      <c r="J12" s="10">
        <v>0.08</v>
      </c>
      <c r="K12" s="12">
        <v>0.1</v>
      </c>
      <c r="L12" s="470">
        <v>14.32</v>
      </c>
      <c r="M12" s="121"/>
      <c r="N12" s="25">
        <f t="shared" si="2"/>
        <v>0</v>
      </c>
      <c r="O12" s="25">
        <f t="shared" si="3"/>
        <v>0</v>
      </c>
      <c r="P12" s="25">
        <f t="shared" si="4"/>
        <v>0</v>
      </c>
      <c r="Q12" s="26">
        <f t="shared" si="5"/>
        <v>0</v>
      </c>
      <c r="R12" s="27">
        <f t="shared" si="6"/>
        <v>0</v>
      </c>
      <c r="S12" s="28">
        <f t="shared" si="7"/>
        <v>0</v>
      </c>
    </row>
    <row r="13" spans="2:19">
      <c r="B13" s="469" t="s">
        <v>1351</v>
      </c>
      <c r="C13" s="13"/>
      <c r="D13" s="13"/>
      <c r="E13" s="13"/>
      <c r="F13" s="14"/>
      <c r="G13" s="8"/>
      <c r="H13" s="24">
        <f t="shared" si="0"/>
        <v>0</v>
      </c>
      <c r="I13" s="456">
        <f t="shared" si="1"/>
        <v>21.288800000000002</v>
      </c>
      <c r="J13" s="10">
        <v>0.08</v>
      </c>
      <c r="K13" s="12">
        <v>0.1</v>
      </c>
      <c r="L13" s="470">
        <v>23.14</v>
      </c>
      <c r="M13" s="121"/>
      <c r="N13" s="25">
        <f t="shared" si="2"/>
        <v>0</v>
      </c>
      <c r="O13" s="25">
        <f t="shared" si="3"/>
        <v>0</v>
      </c>
      <c r="P13" s="25">
        <f t="shared" si="4"/>
        <v>0</v>
      </c>
      <c r="Q13" s="26">
        <f t="shared" si="5"/>
        <v>0</v>
      </c>
      <c r="R13" s="27">
        <f t="shared" si="6"/>
        <v>0</v>
      </c>
      <c r="S13" s="28">
        <f t="shared" si="7"/>
        <v>0</v>
      </c>
    </row>
    <row r="14" spans="2:19">
      <c r="B14" s="469" t="s">
        <v>1352</v>
      </c>
      <c r="C14" s="13"/>
      <c r="D14" s="13"/>
      <c r="E14" s="13"/>
      <c r="F14" s="14"/>
      <c r="G14" s="8"/>
      <c r="H14" s="24">
        <f t="shared" si="0"/>
        <v>0</v>
      </c>
      <c r="I14" s="456">
        <f t="shared" si="1"/>
        <v>12.493600000000001</v>
      </c>
      <c r="J14" s="10">
        <v>0.08</v>
      </c>
      <c r="K14" s="12">
        <v>0.1</v>
      </c>
      <c r="L14" s="470">
        <v>13.58</v>
      </c>
      <c r="M14" s="121"/>
      <c r="N14" s="25">
        <f t="shared" si="2"/>
        <v>0</v>
      </c>
      <c r="O14" s="25">
        <f t="shared" si="3"/>
        <v>0</v>
      </c>
      <c r="P14" s="25">
        <f t="shared" si="4"/>
        <v>0</v>
      </c>
      <c r="Q14" s="26">
        <f t="shared" si="5"/>
        <v>0</v>
      </c>
      <c r="R14" s="27">
        <f t="shared" si="6"/>
        <v>0</v>
      </c>
      <c r="S14" s="28">
        <f t="shared" si="7"/>
        <v>0</v>
      </c>
    </row>
    <row r="15" spans="2:19">
      <c r="B15" s="469" t="s">
        <v>1353</v>
      </c>
      <c r="C15" s="13"/>
      <c r="D15" s="13"/>
      <c r="E15" s="13"/>
      <c r="F15" s="14"/>
      <c r="G15" s="8"/>
      <c r="H15" s="24">
        <f t="shared" si="0"/>
        <v>0</v>
      </c>
      <c r="I15" s="456">
        <f t="shared" si="1"/>
        <v>6388.4063999999998</v>
      </c>
      <c r="J15" s="10">
        <v>0.08</v>
      </c>
      <c r="K15" s="12">
        <v>0.1</v>
      </c>
      <c r="L15" s="470">
        <v>6943.92</v>
      </c>
      <c r="M15" s="121"/>
      <c r="N15" s="25">
        <f t="shared" si="2"/>
        <v>0</v>
      </c>
      <c r="O15" s="25">
        <f t="shared" si="3"/>
        <v>0</v>
      </c>
      <c r="P15" s="25">
        <f t="shared" si="4"/>
        <v>0</v>
      </c>
      <c r="Q15" s="26">
        <f t="shared" si="5"/>
        <v>0</v>
      </c>
      <c r="R15" s="27">
        <f t="shared" si="6"/>
        <v>0</v>
      </c>
      <c r="S15" s="28">
        <f t="shared" si="7"/>
        <v>0</v>
      </c>
    </row>
    <row r="16" spans="2:19">
      <c r="B16" s="469" t="s">
        <v>1354</v>
      </c>
      <c r="C16" s="13"/>
      <c r="D16" s="13"/>
      <c r="E16" s="13"/>
      <c r="F16" s="14"/>
      <c r="G16" s="8"/>
      <c r="H16" s="24">
        <f t="shared" si="0"/>
        <v>0</v>
      </c>
      <c r="I16" s="456">
        <f t="shared" si="1"/>
        <v>3716.9471999999996</v>
      </c>
      <c r="J16" s="10">
        <v>0.08</v>
      </c>
      <c r="K16" s="12">
        <v>0.1</v>
      </c>
      <c r="L16" s="470">
        <v>4040.16</v>
      </c>
      <c r="M16" s="121"/>
      <c r="N16" s="25">
        <f t="shared" si="2"/>
        <v>0</v>
      </c>
      <c r="O16" s="25">
        <f t="shared" si="3"/>
        <v>0</v>
      </c>
      <c r="P16" s="25">
        <f t="shared" si="4"/>
        <v>0</v>
      </c>
      <c r="Q16" s="26">
        <f t="shared" si="5"/>
        <v>0</v>
      </c>
      <c r="R16" s="27">
        <f t="shared" si="6"/>
        <v>0</v>
      </c>
      <c r="S16" s="28">
        <f t="shared" si="7"/>
        <v>0</v>
      </c>
    </row>
    <row r="17" spans="2:19">
      <c r="B17" s="469" t="s">
        <v>1355</v>
      </c>
      <c r="C17" s="13"/>
      <c r="D17" s="13"/>
      <c r="E17" s="13"/>
      <c r="F17" s="14"/>
      <c r="G17" s="8"/>
      <c r="H17" s="24">
        <f t="shared" si="0"/>
        <v>0</v>
      </c>
      <c r="I17" s="456">
        <f t="shared" si="1"/>
        <v>266.18359999999996</v>
      </c>
      <c r="J17" s="10">
        <v>0.08</v>
      </c>
      <c r="K17" s="12">
        <v>0.1</v>
      </c>
      <c r="L17" s="470">
        <v>289.33</v>
      </c>
      <c r="M17" s="121"/>
      <c r="N17" s="25">
        <f t="shared" si="2"/>
        <v>0</v>
      </c>
      <c r="O17" s="25">
        <f t="shared" si="3"/>
        <v>0</v>
      </c>
      <c r="P17" s="25">
        <f t="shared" si="4"/>
        <v>0</v>
      </c>
      <c r="Q17" s="26">
        <f t="shared" si="5"/>
        <v>0</v>
      </c>
      <c r="R17" s="27">
        <f t="shared" si="6"/>
        <v>0</v>
      </c>
      <c r="S17" s="28">
        <f t="shared" si="7"/>
        <v>0</v>
      </c>
    </row>
    <row r="18" spans="2:19">
      <c r="B18" s="469" t="s">
        <v>1356</v>
      </c>
      <c r="C18" s="13"/>
      <c r="D18" s="13"/>
      <c r="E18" s="13"/>
      <c r="F18" s="14"/>
      <c r="G18" s="8"/>
      <c r="H18" s="24">
        <f t="shared" si="0"/>
        <v>0</v>
      </c>
      <c r="I18" s="456">
        <f t="shared" si="1"/>
        <v>154.87280000000001</v>
      </c>
      <c r="J18" s="10">
        <v>0.08</v>
      </c>
      <c r="K18" s="12">
        <v>0.1</v>
      </c>
      <c r="L18" s="470">
        <v>168.34</v>
      </c>
      <c r="M18" s="121"/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28">
        <f t="shared" si="7"/>
        <v>0</v>
      </c>
    </row>
    <row r="19" spans="2:19">
      <c r="B19" s="469" t="s">
        <v>1357</v>
      </c>
      <c r="C19" s="13"/>
      <c r="D19" s="13"/>
      <c r="E19" s="13"/>
      <c r="F19" s="14"/>
      <c r="G19" s="8"/>
      <c r="H19" s="24">
        <f t="shared" si="0"/>
        <v>0</v>
      </c>
      <c r="I19" s="456">
        <f t="shared" si="1"/>
        <v>73.259599999999992</v>
      </c>
      <c r="J19" s="10">
        <v>0.08</v>
      </c>
      <c r="K19" s="12">
        <v>0.1</v>
      </c>
      <c r="L19" s="470">
        <v>79.63</v>
      </c>
      <c r="M19" s="121"/>
      <c r="N19" s="25">
        <f t="shared" si="2"/>
        <v>0</v>
      </c>
      <c r="O19" s="25">
        <f t="shared" si="3"/>
        <v>0</v>
      </c>
      <c r="P19" s="25">
        <f t="shared" si="4"/>
        <v>0</v>
      </c>
      <c r="Q19" s="26">
        <f t="shared" si="5"/>
        <v>0</v>
      </c>
      <c r="R19" s="27">
        <f t="shared" si="6"/>
        <v>0</v>
      </c>
      <c r="S19" s="28">
        <f t="shared" si="7"/>
        <v>0</v>
      </c>
    </row>
    <row r="20" spans="2:19">
      <c r="B20" s="469" t="s">
        <v>1358</v>
      </c>
      <c r="C20" s="13"/>
      <c r="D20" s="13"/>
      <c r="E20" s="13"/>
      <c r="F20" s="14"/>
      <c r="G20" s="8"/>
      <c r="H20" s="24">
        <f t="shared" si="0"/>
        <v>0</v>
      </c>
      <c r="I20" s="456">
        <f t="shared" si="1"/>
        <v>20.019200000000001</v>
      </c>
      <c r="J20" s="10">
        <v>0.08</v>
      </c>
      <c r="K20" s="12">
        <v>0.1</v>
      </c>
      <c r="L20" s="470">
        <v>21.76</v>
      </c>
      <c r="M20" s="121"/>
      <c r="N20" s="25">
        <f t="shared" si="2"/>
        <v>0</v>
      </c>
      <c r="O20" s="25">
        <f t="shared" si="3"/>
        <v>0</v>
      </c>
      <c r="P20" s="25">
        <f t="shared" si="4"/>
        <v>0</v>
      </c>
      <c r="Q20" s="26">
        <f t="shared" si="5"/>
        <v>0</v>
      </c>
      <c r="R20" s="27">
        <f t="shared" si="6"/>
        <v>0</v>
      </c>
      <c r="S20" s="28">
        <f t="shared" si="7"/>
        <v>0</v>
      </c>
    </row>
    <row r="21" spans="2:19">
      <c r="B21" s="469" t="s">
        <v>1359</v>
      </c>
      <c r="C21" s="13"/>
      <c r="D21" s="13"/>
      <c r="E21" s="13"/>
      <c r="F21" s="14"/>
      <c r="G21" s="8"/>
      <c r="H21" s="24">
        <f t="shared" si="0"/>
        <v>0</v>
      </c>
      <c r="I21" s="456">
        <f t="shared" si="1"/>
        <v>1747.2640000000001</v>
      </c>
      <c r="J21" s="10">
        <v>0.08</v>
      </c>
      <c r="K21" s="12">
        <v>0.1</v>
      </c>
      <c r="L21" s="470">
        <v>1899.2</v>
      </c>
      <c r="M21" s="121"/>
      <c r="N21" s="25">
        <f t="shared" si="2"/>
        <v>0</v>
      </c>
      <c r="O21" s="25">
        <f t="shared" si="3"/>
        <v>0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28">
        <f t="shared" si="7"/>
        <v>0</v>
      </c>
    </row>
    <row r="22" spans="2:19">
      <c r="B22" s="469" t="s">
        <v>1360</v>
      </c>
      <c r="C22" s="13"/>
      <c r="D22" s="13"/>
      <c r="E22" s="13"/>
      <c r="F22" s="14"/>
      <c r="G22" s="8"/>
      <c r="H22" s="24">
        <f t="shared" si="0"/>
        <v>0</v>
      </c>
      <c r="I22" s="456">
        <f t="shared" si="1"/>
        <v>109.20400000000001</v>
      </c>
      <c r="J22" s="10">
        <v>0.08</v>
      </c>
      <c r="K22" s="12">
        <v>0.1</v>
      </c>
      <c r="L22" s="470">
        <v>118.7</v>
      </c>
      <c r="M22" s="121"/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28">
        <f t="shared" si="7"/>
        <v>0</v>
      </c>
    </row>
    <row r="23" spans="2:19">
      <c r="B23" s="469" t="s">
        <v>1361</v>
      </c>
      <c r="C23" s="13"/>
      <c r="D23" s="13"/>
      <c r="E23" s="13"/>
      <c r="F23" s="14"/>
      <c r="G23" s="8"/>
      <c r="H23" s="24">
        <f t="shared" si="0"/>
        <v>0</v>
      </c>
      <c r="I23" s="456">
        <f t="shared" si="1"/>
        <v>71.594399999999993</v>
      </c>
      <c r="J23" s="10">
        <v>0.08</v>
      </c>
      <c r="K23" s="12">
        <v>0.1</v>
      </c>
      <c r="L23" s="470">
        <v>77.819999999999993</v>
      </c>
      <c r="M23" s="121"/>
      <c r="N23" s="25">
        <f t="shared" si="2"/>
        <v>0</v>
      </c>
      <c r="O23" s="25">
        <f t="shared" si="3"/>
        <v>0</v>
      </c>
      <c r="P23" s="25">
        <f t="shared" si="4"/>
        <v>0</v>
      </c>
      <c r="Q23" s="26">
        <f t="shared" si="5"/>
        <v>0</v>
      </c>
      <c r="R23" s="27">
        <f t="shared" si="6"/>
        <v>0</v>
      </c>
      <c r="S23" s="28">
        <f t="shared" si="7"/>
        <v>0</v>
      </c>
    </row>
    <row r="24" spans="2:19">
      <c r="B24" s="469" t="s">
        <v>1362</v>
      </c>
      <c r="C24" s="13"/>
      <c r="D24" s="13"/>
      <c r="E24" s="13"/>
      <c r="F24" s="14"/>
      <c r="G24" s="8"/>
      <c r="H24" s="24">
        <f t="shared" si="0"/>
        <v>0</v>
      </c>
      <c r="I24" s="456">
        <f t="shared" si="1"/>
        <v>60.729200000000006</v>
      </c>
      <c r="J24" s="10">
        <v>0.08</v>
      </c>
      <c r="K24" s="12">
        <v>0.1</v>
      </c>
      <c r="L24" s="470">
        <v>66.010000000000005</v>
      </c>
      <c r="M24" s="121"/>
      <c r="N24" s="25">
        <f t="shared" si="2"/>
        <v>0</v>
      </c>
      <c r="O24" s="25">
        <f t="shared" si="3"/>
        <v>0</v>
      </c>
      <c r="P24" s="25">
        <f t="shared" si="4"/>
        <v>0</v>
      </c>
      <c r="Q24" s="26">
        <f t="shared" si="5"/>
        <v>0</v>
      </c>
      <c r="R24" s="27">
        <f t="shared" si="6"/>
        <v>0</v>
      </c>
      <c r="S24" s="28">
        <f t="shared" si="7"/>
        <v>0</v>
      </c>
    </row>
    <row r="25" spans="2:19">
      <c r="B25" s="469" t="s">
        <v>1363</v>
      </c>
      <c r="C25" s="13"/>
      <c r="D25" s="13"/>
      <c r="E25" s="13"/>
      <c r="F25" s="14"/>
      <c r="G25" s="8"/>
      <c r="H25" s="24">
        <f t="shared" si="0"/>
        <v>0</v>
      </c>
      <c r="I25" s="456">
        <f t="shared" si="1"/>
        <v>30.5624</v>
      </c>
      <c r="J25" s="10">
        <v>0.08</v>
      </c>
      <c r="K25" s="12">
        <v>0.1</v>
      </c>
      <c r="L25" s="470">
        <v>33.22</v>
      </c>
      <c r="M25" s="121"/>
      <c r="N25" s="25">
        <f t="shared" si="2"/>
        <v>0</v>
      </c>
      <c r="O25" s="25">
        <f t="shared" si="3"/>
        <v>0</v>
      </c>
      <c r="P25" s="25">
        <f t="shared" si="4"/>
        <v>0</v>
      </c>
      <c r="Q25" s="26">
        <f t="shared" si="5"/>
        <v>0</v>
      </c>
      <c r="R25" s="27">
        <f t="shared" si="6"/>
        <v>0</v>
      </c>
      <c r="S25" s="28">
        <f t="shared" si="7"/>
        <v>0</v>
      </c>
    </row>
    <row r="26" spans="2:19">
      <c r="B26" s="469" t="s">
        <v>1364</v>
      </c>
      <c r="C26" s="13"/>
      <c r="D26" s="13"/>
      <c r="E26" s="13"/>
      <c r="F26" s="14"/>
      <c r="G26" s="8"/>
      <c r="H26" s="24">
        <f t="shared" si="0"/>
        <v>0</v>
      </c>
      <c r="I26" s="456">
        <f t="shared" si="1"/>
        <v>62.431199999999997</v>
      </c>
      <c r="J26" s="10">
        <v>0.08</v>
      </c>
      <c r="K26" s="12">
        <v>0.1</v>
      </c>
      <c r="L26" s="470">
        <v>67.86</v>
      </c>
      <c r="M26" s="121"/>
      <c r="N26" s="25">
        <f t="shared" si="2"/>
        <v>0</v>
      </c>
      <c r="O26" s="25">
        <f t="shared" si="3"/>
        <v>0</v>
      </c>
      <c r="P26" s="25">
        <f t="shared" si="4"/>
        <v>0</v>
      </c>
      <c r="Q26" s="26">
        <f t="shared" si="5"/>
        <v>0</v>
      </c>
      <c r="R26" s="27">
        <f t="shared" si="6"/>
        <v>0</v>
      </c>
      <c r="S26" s="28">
        <f t="shared" si="7"/>
        <v>0</v>
      </c>
    </row>
    <row r="27" spans="2:19">
      <c r="B27" s="469" t="s">
        <v>1365</v>
      </c>
      <c r="C27" s="13"/>
      <c r="D27" s="13"/>
      <c r="E27" s="13"/>
      <c r="F27" s="14"/>
      <c r="G27" s="8"/>
      <c r="H27" s="24">
        <f t="shared" si="0"/>
        <v>0</v>
      </c>
      <c r="I27" s="456">
        <f t="shared" si="1"/>
        <v>37.223199999999999</v>
      </c>
      <c r="J27" s="10">
        <v>0.08</v>
      </c>
      <c r="K27" s="12">
        <v>0.1</v>
      </c>
      <c r="L27" s="470">
        <v>40.46</v>
      </c>
      <c r="M27" s="121"/>
      <c r="N27" s="25">
        <f t="shared" si="2"/>
        <v>0</v>
      </c>
      <c r="O27" s="25">
        <f t="shared" si="3"/>
        <v>0</v>
      </c>
      <c r="P27" s="25">
        <f t="shared" si="4"/>
        <v>0</v>
      </c>
      <c r="Q27" s="26">
        <f t="shared" si="5"/>
        <v>0</v>
      </c>
      <c r="R27" s="27">
        <f t="shared" si="6"/>
        <v>0</v>
      </c>
      <c r="S27" s="28">
        <f t="shared" si="7"/>
        <v>0</v>
      </c>
    </row>
    <row r="28" spans="2:19">
      <c r="B28" s="469" t="s">
        <v>1366</v>
      </c>
      <c r="C28" s="13"/>
      <c r="D28" s="13"/>
      <c r="E28" s="13"/>
      <c r="F28" s="14"/>
      <c r="G28" s="8"/>
      <c r="H28" s="24">
        <f t="shared" si="0"/>
        <v>0</v>
      </c>
      <c r="I28" s="456">
        <f t="shared" si="1"/>
        <v>20.102</v>
      </c>
      <c r="J28" s="10">
        <v>0.08</v>
      </c>
      <c r="K28" s="12">
        <v>0.1</v>
      </c>
      <c r="L28" s="470">
        <v>21.85</v>
      </c>
      <c r="M28" s="121"/>
      <c r="N28" s="25">
        <f t="shared" si="2"/>
        <v>0</v>
      </c>
      <c r="O28" s="25">
        <f t="shared" si="3"/>
        <v>0</v>
      </c>
      <c r="P28" s="25">
        <f t="shared" si="4"/>
        <v>0</v>
      </c>
      <c r="Q28" s="26">
        <f t="shared" si="5"/>
        <v>0</v>
      </c>
      <c r="R28" s="27">
        <f t="shared" si="6"/>
        <v>0</v>
      </c>
      <c r="S28" s="28">
        <f t="shared" si="7"/>
        <v>0</v>
      </c>
    </row>
    <row r="29" spans="2:19">
      <c r="B29" s="469" t="s">
        <v>1367</v>
      </c>
      <c r="C29" s="13"/>
      <c r="D29" s="13"/>
      <c r="E29" s="13"/>
      <c r="F29" s="14"/>
      <c r="G29" s="8">
        <v>24</v>
      </c>
      <c r="H29" s="24">
        <f t="shared" si="0"/>
        <v>24</v>
      </c>
      <c r="I29" s="456">
        <f t="shared" si="1"/>
        <v>72.385600000000011</v>
      </c>
      <c r="J29" s="10">
        <v>0.08</v>
      </c>
      <c r="K29" s="12">
        <v>0.1</v>
      </c>
      <c r="L29" s="470">
        <v>78.680000000000007</v>
      </c>
      <c r="M29" s="121"/>
      <c r="N29" s="25">
        <f t="shared" si="2"/>
        <v>0</v>
      </c>
      <c r="O29" s="25">
        <f t="shared" si="3"/>
        <v>0</v>
      </c>
      <c r="P29" s="25">
        <f t="shared" si="4"/>
        <v>0</v>
      </c>
      <c r="Q29" s="26">
        <f t="shared" si="5"/>
        <v>0</v>
      </c>
      <c r="R29" s="27">
        <f t="shared" si="6"/>
        <v>1737.2544000000003</v>
      </c>
      <c r="S29" s="28">
        <f t="shared" si="7"/>
        <v>1737.2544000000003</v>
      </c>
    </row>
    <row r="30" spans="2:19">
      <c r="B30" s="469" t="s">
        <v>1368</v>
      </c>
      <c r="C30" s="13"/>
      <c r="D30" s="13"/>
      <c r="E30" s="13"/>
      <c r="F30" s="14"/>
      <c r="G30" s="8"/>
      <c r="H30" s="24">
        <f t="shared" si="0"/>
        <v>0</v>
      </c>
      <c r="I30" s="456">
        <f t="shared" si="1"/>
        <v>39.605999999999995</v>
      </c>
      <c r="J30" s="10">
        <v>0.08</v>
      </c>
      <c r="K30" s="12">
        <v>0.1</v>
      </c>
      <c r="L30" s="470">
        <v>43.05</v>
      </c>
      <c r="M30" s="121"/>
      <c r="N30" s="25">
        <f t="shared" si="2"/>
        <v>0</v>
      </c>
      <c r="O30" s="25">
        <f t="shared" si="3"/>
        <v>0</v>
      </c>
      <c r="P30" s="25">
        <f t="shared" si="4"/>
        <v>0</v>
      </c>
      <c r="Q30" s="26">
        <f t="shared" si="5"/>
        <v>0</v>
      </c>
      <c r="R30" s="27">
        <f t="shared" si="6"/>
        <v>0</v>
      </c>
      <c r="S30" s="28">
        <f t="shared" si="7"/>
        <v>0</v>
      </c>
    </row>
    <row r="31" spans="2:19">
      <c r="B31" s="469" t="s">
        <v>1369</v>
      </c>
      <c r="C31" s="13"/>
      <c r="D31" s="13"/>
      <c r="E31" s="13"/>
      <c r="F31" s="14"/>
      <c r="G31" s="8"/>
      <c r="H31" s="24">
        <f t="shared" si="0"/>
        <v>0</v>
      </c>
      <c r="I31" s="456">
        <f t="shared" si="1"/>
        <v>23.763599999999997</v>
      </c>
      <c r="J31" s="10">
        <v>0.08</v>
      </c>
      <c r="K31" s="12">
        <v>0.1</v>
      </c>
      <c r="L31" s="470">
        <v>25.83</v>
      </c>
      <c r="M31" s="121"/>
      <c r="N31" s="25">
        <f t="shared" si="2"/>
        <v>0</v>
      </c>
      <c r="O31" s="25">
        <f t="shared" si="3"/>
        <v>0</v>
      </c>
      <c r="P31" s="25">
        <f t="shared" si="4"/>
        <v>0</v>
      </c>
      <c r="Q31" s="26">
        <f t="shared" si="5"/>
        <v>0</v>
      </c>
      <c r="R31" s="27">
        <f t="shared" si="6"/>
        <v>0</v>
      </c>
      <c r="S31" s="28">
        <f t="shared" si="7"/>
        <v>0</v>
      </c>
    </row>
    <row r="32" spans="2:19">
      <c r="B32" s="469" t="s">
        <v>1370</v>
      </c>
      <c r="C32" s="13"/>
      <c r="D32" s="13"/>
      <c r="E32" s="13"/>
      <c r="F32" s="14"/>
      <c r="G32" s="8"/>
      <c r="H32" s="24">
        <f t="shared" si="0"/>
        <v>0</v>
      </c>
      <c r="I32" s="456">
        <f t="shared" si="1"/>
        <v>8.9332000000000011</v>
      </c>
      <c r="J32" s="10">
        <v>0.08</v>
      </c>
      <c r="K32" s="12">
        <v>0.1</v>
      </c>
      <c r="L32" s="470">
        <v>9.7100000000000009</v>
      </c>
      <c r="M32" s="121"/>
      <c r="N32" s="25">
        <f t="shared" si="2"/>
        <v>0</v>
      </c>
      <c r="O32" s="25">
        <f t="shared" si="3"/>
        <v>0</v>
      </c>
      <c r="P32" s="25">
        <f t="shared" si="4"/>
        <v>0</v>
      </c>
      <c r="Q32" s="26">
        <f t="shared" si="5"/>
        <v>0</v>
      </c>
      <c r="R32" s="27">
        <f t="shared" si="6"/>
        <v>0</v>
      </c>
      <c r="S32" s="28">
        <f t="shared" si="7"/>
        <v>0</v>
      </c>
    </row>
    <row r="33" spans="2:19">
      <c r="B33" s="469" t="s">
        <v>1371</v>
      </c>
      <c r="C33" s="13"/>
      <c r="D33" s="13"/>
      <c r="E33" s="13"/>
      <c r="F33" s="14"/>
      <c r="G33" s="8"/>
      <c r="H33" s="24">
        <f t="shared" si="0"/>
        <v>0</v>
      </c>
      <c r="I33" s="456">
        <f t="shared" si="1"/>
        <v>20.782800000000002</v>
      </c>
      <c r="J33" s="10">
        <v>0.08</v>
      </c>
      <c r="K33" s="12">
        <v>0.1</v>
      </c>
      <c r="L33" s="470">
        <v>22.59</v>
      </c>
      <c r="M33" s="121"/>
      <c r="N33" s="25">
        <f t="shared" si="2"/>
        <v>0</v>
      </c>
      <c r="O33" s="25">
        <f t="shared" si="3"/>
        <v>0</v>
      </c>
      <c r="P33" s="25">
        <f t="shared" si="4"/>
        <v>0</v>
      </c>
      <c r="Q33" s="26">
        <f t="shared" si="5"/>
        <v>0</v>
      </c>
      <c r="R33" s="27">
        <f t="shared" si="6"/>
        <v>0</v>
      </c>
      <c r="S33" s="28">
        <f t="shared" si="7"/>
        <v>0</v>
      </c>
    </row>
    <row r="34" spans="2:19">
      <c r="B34" s="469" t="s">
        <v>1372</v>
      </c>
      <c r="C34" s="13"/>
      <c r="D34" s="13"/>
      <c r="E34" s="13"/>
      <c r="F34" s="14"/>
      <c r="G34" s="8">
        <v>600</v>
      </c>
      <c r="H34" s="24">
        <f t="shared" ref="H34:H97" si="8">SUM(C34:G34)</f>
        <v>600</v>
      </c>
      <c r="I34" s="456">
        <f t="shared" ref="I34:I97" si="9">L34-(L34*J34)</f>
        <v>12.889199999999999</v>
      </c>
      <c r="J34" s="10">
        <v>0.08</v>
      </c>
      <c r="K34" s="12">
        <v>0.1</v>
      </c>
      <c r="L34" s="470">
        <v>14.01</v>
      </c>
      <c r="M34" s="121"/>
      <c r="N34" s="25">
        <f t="shared" si="2"/>
        <v>0</v>
      </c>
      <c r="O34" s="25">
        <f t="shared" si="3"/>
        <v>0</v>
      </c>
      <c r="P34" s="25">
        <f t="shared" si="4"/>
        <v>0</v>
      </c>
      <c r="Q34" s="26">
        <f t="shared" si="5"/>
        <v>0</v>
      </c>
      <c r="R34" s="27">
        <f t="shared" si="6"/>
        <v>7733.5199999999995</v>
      </c>
      <c r="S34" s="28">
        <f t="shared" si="7"/>
        <v>7733.5199999999995</v>
      </c>
    </row>
    <row r="35" spans="2:19">
      <c r="B35" s="469" t="s">
        <v>1373</v>
      </c>
      <c r="C35" s="13"/>
      <c r="D35" s="13"/>
      <c r="E35" s="13"/>
      <c r="F35" s="14"/>
      <c r="G35" s="8"/>
      <c r="H35" s="24">
        <f t="shared" si="8"/>
        <v>0</v>
      </c>
      <c r="I35" s="456">
        <f t="shared" si="9"/>
        <v>25.235599999999998</v>
      </c>
      <c r="J35" s="10">
        <v>0.08</v>
      </c>
      <c r="K35" s="12">
        <v>0.1</v>
      </c>
      <c r="L35" s="470">
        <v>27.43</v>
      </c>
      <c r="M35" s="121"/>
      <c r="N35" s="25">
        <f t="shared" si="2"/>
        <v>0</v>
      </c>
      <c r="O35" s="25">
        <f t="shared" si="3"/>
        <v>0</v>
      </c>
      <c r="P35" s="25">
        <f t="shared" si="4"/>
        <v>0</v>
      </c>
      <c r="Q35" s="26">
        <f t="shared" si="5"/>
        <v>0</v>
      </c>
      <c r="R35" s="27">
        <f t="shared" si="6"/>
        <v>0</v>
      </c>
      <c r="S35" s="28">
        <f t="shared" si="7"/>
        <v>0</v>
      </c>
    </row>
    <row r="36" spans="2:19">
      <c r="B36" s="469" t="s">
        <v>1374</v>
      </c>
      <c r="C36" s="13"/>
      <c r="D36" s="13"/>
      <c r="E36" s="13"/>
      <c r="F36" s="14"/>
      <c r="G36" s="8"/>
      <c r="H36" s="24">
        <f t="shared" si="8"/>
        <v>0</v>
      </c>
      <c r="I36" s="456">
        <f t="shared" si="9"/>
        <v>14.03</v>
      </c>
      <c r="J36" s="10">
        <v>0.08</v>
      </c>
      <c r="K36" s="12">
        <v>0.1</v>
      </c>
      <c r="L36" s="470">
        <v>15.25</v>
      </c>
      <c r="M36" s="121"/>
      <c r="N36" s="25">
        <f t="shared" si="2"/>
        <v>0</v>
      </c>
      <c r="O36" s="25">
        <f t="shared" si="3"/>
        <v>0</v>
      </c>
      <c r="P36" s="25">
        <f t="shared" si="4"/>
        <v>0</v>
      </c>
      <c r="Q36" s="26">
        <f t="shared" si="5"/>
        <v>0</v>
      </c>
      <c r="R36" s="27">
        <f t="shared" si="6"/>
        <v>0</v>
      </c>
      <c r="S36" s="28">
        <f t="shared" si="7"/>
        <v>0</v>
      </c>
    </row>
    <row r="37" spans="2:19">
      <c r="B37" s="469" t="s">
        <v>1375</v>
      </c>
      <c r="C37" s="13"/>
      <c r="D37" s="13"/>
      <c r="E37" s="13"/>
      <c r="F37" s="14"/>
      <c r="G37" s="8"/>
      <c r="H37" s="24">
        <f t="shared" si="8"/>
        <v>0</v>
      </c>
      <c r="I37" s="456">
        <f t="shared" si="9"/>
        <v>125.31320000000001</v>
      </c>
      <c r="J37" s="10">
        <v>0.08</v>
      </c>
      <c r="K37" s="12">
        <v>0.1</v>
      </c>
      <c r="L37" s="470">
        <v>136.21</v>
      </c>
      <c r="M37" s="121"/>
      <c r="N37" s="25">
        <f t="shared" si="2"/>
        <v>0</v>
      </c>
      <c r="O37" s="25">
        <f t="shared" si="3"/>
        <v>0</v>
      </c>
      <c r="P37" s="25">
        <f t="shared" si="4"/>
        <v>0</v>
      </c>
      <c r="Q37" s="26">
        <f t="shared" si="5"/>
        <v>0</v>
      </c>
      <c r="R37" s="27">
        <f t="shared" si="6"/>
        <v>0</v>
      </c>
      <c r="S37" s="28">
        <f t="shared" si="7"/>
        <v>0</v>
      </c>
    </row>
    <row r="38" spans="2:19">
      <c r="B38" s="469" t="s">
        <v>1376</v>
      </c>
      <c r="C38" s="13"/>
      <c r="D38" s="13"/>
      <c r="E38" s="13"/>
      <c r="F38" s="14"/>
      <c r="G38" s="8"/>
      <c r="H38" s="24">
        <f t="shared" si="8"/>
        <v>0</v>
      </c>
      <c r="I38" s="456">
        <f t="shared" si="9"/>
        <v>51.860399999999998</v>
      </c>
      <c r="J38" s="10">
        <v>0.08</v>
      </c>
      <c r="K38" s="12">
        <v>0.1</v>
      </c>
      <c r="L38" s="470">
        <v>56.37</v>
      </c>
      <c r="M38" s="121"/>
      <c r="N38" s="25">
        <f t="shared" si="2"/>
        <v>0</v>
      </c>
      <c r="O38" s="25">
        <f t="shared" si="3"/>
        <v>0</v>
      </c>
      <c r="P38" s="25">
        <f t="shared" si="4"/>
        <v>0</v>
      </c>
      <c r="Q38" s="26">
        <f t="shared" si="5"/>
        <v>0</v>
      </c>
      <c r="R38" s="27">
        <f t="shared" si="6"/>
        <v>0</v>
      </c>
      <c r="S38" s="28">
        <f t="shared" si="7"/>
        <v>0</v>
      </c>
    </row>
    <row r="39" spans="2:19">
      <c r="B39" s="469" t="s">
        <v>1377</v>
      </c>
      <c r="C39" s="13"/>
      <c r="D39" s="13"/>
      <c r="E39" s="13"/>
      <c r="F39" s="14"/>
      <c r="G39" s="8"/>
      <c r="H39" s="24">
        <f t="shared" si="8"/>
        <v>0</v>
      </c>
      <c r="I39" s="456">
        <f t="shared" si="9"/>
        <v>30.82</v>
      </c>
      <c r="J39" s="10">
        <v>0.08</v>
      </c>
      <c r="K39" s="12">
        <v>0.1</v>
      </c>
      <c r="L39" s="470">
        <v>33.5</v>
      </c>
      <c r="M39" s="121"/>
      <c r="N39" s="25">
        <f t="shared" si="2"/>
        <v>0</v>
      </c>
      <c r="O39" s="25">
        <f t="shared" si="3"/>
        <v>0</v>
      </c>
      <c r="P39" s="25">
        <f t="shared" si="4"/>
        <v>0</v>
      </c>
      <c r="Q39" s="26">
        <f t="shared" si="5"/>
        <v>0</v>
      </c>
      <c r="R39" s="27">
        <f t="shared" si="6"/>
        <v>0</v>
      </c>
      <c r="S39" s="28">
        <f t="shared" si="7"/>
        <v>0</v>
      </c>
    </row>
    <row r="40" spans="2:19">
      <c r="B40" s="469" t="s">
        <v>1378</v>
      </c>
      <c r="C40" s="13"/>
      <c r="D40" s="13"/>
      <c r="E40" s="13"/>
      <c r="F40" s="14"/>
      <c r="G40" s="8"/>
      <c r="H40" s="24">
        <f t="shared" si="8"/>
        <v>0</v>
      </c>
      <c r="I40" s="456">
        <f t="shared" si="9"/>
        <v>141.6892</v>
      </c>
      <c r="J40" s="10">
        <v>0.08</v>
      </c>
      <c r="K40" s="12">
        <v>0.1</v>
      </c>
      <c r="L40" s="470">
        <v>154.01</v>
      </c>
      <c r="M40" s="121"/>
      <c r="N40" s="25">
        <f t="shared" si="2"/>
        <v>0</v>
      </c>
      <c r="O40" s="25">
        <f t="shared" si="3"/>
        <v>0</v>
      </c>
      <c r="P40" s="25">
        <f t="shared" si="4"/>
        <v>0</v>
      </c>
      <c r="Q40" s="26">
        <f t="shared" si="5"/>
        <v>0</v>
      </c>
      <c r="R40" s="27">
        <f t="shared" si="6"/>
        <v>0</v>
      </c>
      <c r="S40" s="28">
        <f t="shared" si="7"/>
        <v>0</v>
      </c>
    </row>
    <row r="41" spans="2:19">
      <c r="B41" s="469" t="s">
        <v>1379</v>
      </c>
      <c r="C41" s="13"/>
      <c r="D41" s="13"/>
      <c r="E41" s="13"/>
      <c r="F41" s="14"/>
      <c r="G41" s="8"/>
      <c r="H41" s="24">
        <f t="shared" si="8"/>
        <v>0</v>
      </c>
      <c r="I41" s="456">
        <f t="shared" si="9"/>
        <v>19.007200000000001</v>
      </c>
      <c r="J41" s="10">
        <v>0.08</v>
      </c>
      <c r="K41" s="12">
        <v>0.1</v>
      </c>
      <c r="L41" s="470">
        <v>20.66</v>
      </c>
      <c r="M41" s="121"/>
      <c r="N41" s="25">
        <f t="shared" si="2"/>
        <v>0</v>
      </c>
      <c r="O41" s="25">
        <f t="shared" si="3"/>
        <v>0</v>
      </c>
      <c r="P41" s="25">
        <f t="shared" si="4"/>
        <v>0</v>
      </c>
      <c r="Q41" s="26">
        <f t="shared" si="5"/>
        <v>0</v>
      </c>
      <c r="R41" s="27">
        <f t="shared" si="6"/>
        <v>0</v>
      </c>
      <c r="S41" s="28">
        <f t="shared" si="7"/>
        <v>0</v>
      </c>
    </row>
    <row r="42" spans="2:19">
      <c r="B42" s="469" t="s">
        <v>1380</v>
      </c>
      <c r="C42" s="13"/>
      <c r="D42" s="13"/>
      <c r="E42" s="13"/>
      <c r="F42" s="14"/>
      <c r="G42" s="8"/>
      <c r="H42" s="24">
        <f t="shared" si="8"/>
        <v>0</v>
      </c>
      <c r="I42" s="456">
        <f t="shared" si="9"/>
        <v>48.787599999999998</v>
      </c>
      <c r="J42" s="10">
        <v>0.08</v>
      </c>
      <c r="K42" s="12">
        <v>0.1</v>
      </c>
      <c r="L42" s="470">
        <v>53.03</v>
      </c>
      <c r="M42" s="121"/>
      <c r="N42" s="25">
        <f t="shared" si="2"/>
        <v>0</v>
      </c>
      <c r="O42" s="25">
        <f t="shared" si="3"/>
        <v>0</v>
      </c>
      <c r="P42" s="25">
        <f t="shared" si="4"/>
        <v>0</v>
      </c>
      <c r="Q42" s="26">
        <f t="shared" si="5"/>
        <v>0</v>
      </c>
      <c r="R42" s="27">
        <f t="shared" si="6"/>
        <v>0</v>
      </c>
      <c r="S42" s="28">
        <f t="shared" si="7"/>
        <v>0</v>
      </c>
    </row>
    <row r="43" spans="2:19">
      <c r="B43" s="469" t="s">
        <v>1381</v>
      </c>
      <c r="C43" s="13"/>
      <c r="D43" s="13"/>
      <c r="E43" s="13"/>
      <c r="F43" s="14"/>
      <c r="G43" s="8"/>
      <c r="H43" s="24">
        <f t="shared" si="8"/>
        <v>0</v>
      </c>
      <c r="I43" s="456">
        <f t="shared" si="9"/>
        <v>605.74639999999999</v>
      </c>
      <c r="J43" s="10">
        <v>0.08</v>
      </c>
      <c r="K43" s="12">
        <v>0.1</v>
      </c>
      <c r="L43" s="470">
        <v>658.42</v>
      </c>
      <c r="M43" s="121"/>
      <c r="N43" s="25">
        <f t="shared" si="2"/>
        <v>0</v>
      </c>
      <c r="O43" s="25">
        <f t="shared" si="3"/>
        <v>0</v>
      </c>
      <c r="P43" s="25">
        <f t="shared" si="4"/>
        <v>0</v>
      </c>
      <c r="Q43" s="26">
        <f t="shared" si="5"/>
        <v>0</v>
      </c>
      <c r="R43" s="27">
        <f t="shared" si="6"/>
        <v>0</v>
      </c>
      <c r="S43" s="28">
        <f t="shared" si="7"/>
        <v>0</v>
      </c>
    </row>
    <row r="44" spans="2:19">
      <c r="B44" s="469" t="s">
        <v>1382</v>
      </c>
      <c r="C44" s="13"/>
      <c r="D44" s="13"/>
      <c r="E44" s="13"/>
      <c r="F44" s="14"/>
      <c r="G44" s="8">
        <v>24</v>
      </c>
      <c r="H44" s="24">
        <f t="shared" si="8"/>
        <v>24</v>
      </c>
      <c r="I44" s="456">
        <f t="shared" si="9"/>
        <v>134.8168</v>
      </c>
      <c r="J44" s="10">
        <v>0.08</v>
      </c>
      <c r="K44" s="12">
        <v>0.1</v>
      </c>
      <c r="L44" s="470">
        <v>146.54</v>
      </c>
      <c r="M44" s="121"/>
      <c r="N44" s="25">
        <f t="shared" si="2"/>
        <v>0</v>
      </c>
      <c r="O44" s="25">
        <f t="shared" si="3"/>
        <v>0</v>
      </c>
      <c r="P44" s="25">
        <f t="shared" si="4"/>
        <v>0</v>
      </c>
      <c r="Q44" s="26">
        <f t="shared" si="5"/>
        <v>0</v>
      </c>
      <c r="R44" s="27">
        <f t="shared" si="6"/>
        <v>3235.6032</v>
      </c>
      <c r="S44" s="28">
        <f t="shared" si="7"/>
        <v>3235.6032</v>
      </c>
    </row>
    <row r="45" spans="2:19">
      <c r="B45" s="469" t="s">
        <v>1383</v>
      </c>
      <c r="C45" s="13"/>
      <c r="D45" s="13"/>
      <c r="E45" s="13"/>
      <c r="F45" s="14">
        <v>12</v>
      </c>
      <c r="G45" s="8">
        <v>36</v>
      </c>
      <c r="H45" s="24">
        <f t="shared" si="8"/>
        <v>48</v>
      </c>
      <c r="I45" s="456">
        <f t="shared" si="9"/>
        <v>71.180400000000006</v>
      </c>
      <c r="J45" s="10">
        <v>0.08</v>
      </c>
      <c r="K45" s="12">
        <v>0.1</v>
      </c>
      <c r="L45" s="470">
        <v>77.37</v>
      </c>
      <c r="M45" s="121"/>
      <c r="N45" s="25">
        <f t="shared" si="2"/>
        <v>0</v>
      </c>
      <c r="O45" s="25">
        <f t="shared" si="3"/>
        <v>0</v>
      </c>
      <c r="P45" s="25">
        <f t="shared" si="4"/>
        <v>0</v>
      </c>
      <c r="Q45" s="26">
        <f t="shared" si="5"/>
        <v>854.16480000000001</v>
      </c>
      <c r="R45" s="27">
        <f t="shared" si="6"/>
        <v>2562.4944</v>
      </c>
      <c r="S45" s="28">
        <f t="shared" si="7"/>
        <v>3416.6592000000001</v>
      </c>
    </row>
    <row r="46" spans="2:19">
      <c r="B46" s="469" t="s">
        <v>1384</v>
      </c>
      <c r="C46" s="13"/>
      <c r="D46" s="13"/>
      <c r="E46" s="13"/>
      <c r="F46" s="14"/>
      <c r="G46" s="8"/>
      <c r="H46" s="24">
        <f t="shared" si="8"/>
        <v>0</v>
      </c>
      <c r="I46" s="456">
        <f t="shared" si="9"/>
        <v>65.678799999999995</v>
      </c>
      <c r="J46" s="10">
        <v>0.08</v>
      </c>
      <c r="K46" s="12">
        <v>0.1</v>
      </c>
      <c r="L46" s="470">
        <v>71.39</v>
      </c>
      <c r="M46" s="121"/>
      <c r="N46" s="25">
        <f t="shared" si="2"/>
        <v>0</v>
      </c>
      <c r="O46" s="25">
        <f t="shared" si="3"/>
        <v>0</v>
      </c>
      <c r="P46" s="25">
        <f t="shared" si="4"/>
        <v>0</v>
      </c>
      <c r="Q46" s="26">
        <f t="shared" si="5"/>
        <v>0</v>
      </c>
      <c r="R46" s="27">
        <f t="shared" si="6"/>
        <v>0</v>
      </c>
      <c r="S46" s="28">
        <f t="shared" si="7"/>
        <v>0</v>
      </c>
    </row>
    <row r="47" spans="2:19">
      <c r="B47" s="469" t="s">
        <v>1385</v>
      </c>
      <c r="C47" s="13"/>
      <c r="D47" s="13"/>
      <c r="E47" s="13"/>
      <c r="F47" s="14"/>
      <c r="G47" s="8"/>
      <c r="H47" s="24">
        <f t="shared" si="8"/>
        <v>0</v>
      </c>
      <c r="I47" s="456">
        <f t="shared" si="9"/>
        <v>35.410800000000002</v>
      </c>
      <c r="J47" s="10">
        <v>0.08</v>
      </c>
      <c r="K47" s="12">
        <v>0.1</v>
      </c>
      <c r="L47" s="470">
        <v>38.49</v>
      </c>
      <c r="M47" s="121"/>
      <c r="N47" s="25">
        <f t="shared" si="2"/>
        <v>0</v>
      </c>
      <c r="O47" s="25">
        <f t="shared" si="3"/>
        <v>0</v>
      </c>
      <c r="P47" s="25">
        <f t="shared" si="4"/>
        <v>0</v>
      </c>
      <c r="Q47" s="26">
        <f t="shared" si="5"/>
        <v>0</v>
      </c>
      <c r="R47" s="27">
        <f t="shared" si="6"/>
        <v>0</v>
      </c>
      <c r="S47" s="28">
        <f t="shared" si="7"/>
        <v>0</v>
      </c>
    </row>
    <row r="48" spans="2:19">
      <c r="B48" s="469" t="s">
        <v>1386</v>
      </c>
      <c r="C48" s="13"/>
      <c r="D48" s="13"/>
      <c r="E48" s="13"/>
      <c r="F48" s="14"/>
      <c r="G48" s="8"/>
      <c r="H48" s="24">
        <f t="shared" si="8"/>
        <v>0</v>
      </c>
      <c r="I48" s="456">
        <f t="shared" si="9"/>
        <v>802.27679999999998</v>
      </c>
      <c r="J48" s="10">
        <v>0.08</v>
      </c>
      <c r="K48" s="12">
        <v>0.1</v>
      </c>
      <c r="L48" s="470">
        <v>872.04</v>
      </c>
      <c r="M48" s="121"/>
      <c r="N48" s="25">
        <f t="shared" si="2"/>
        <v>0</v>
      </c>
      <c r="O48" s="25">
        <f t="shared" si="3"/>
        <v>0</v>
      </c>
      <c r="P48" s="25">
        <f t="shared" si="4"/>
        <v>0</v>
      </c>
      <c r="Q48" s="26">
        <f t="shared" si="5"/>
        <v>0</v>
      </c>
      <c r="R48" s="27">
        <f t="shared" si="6"/>
        <v>0</v>
      </c>
      <c r="S48" s="28">
        <f t="shared" si="7"/>
        <v>0</v>
      </c>
    </row>
    <row r="49" spans="2:19">
      <c r="B49" s="469" t="s">
        <v>1387</v>
      </c>
      <c r="C49" s="13"/>
      <c r="D49" s="13"/>
      <c r="E49" s="13"/>
      <c r="F49" s="14"/>
      <c r="G49" s="8"/>
      <c r="H49" s="24">
        <f t="shared" si="8"/>
        <v>0</v>
      </c>
      <c r="I49" s="456">
        <f t="shared" si="9"/>
        <v>169.00399999999999</v>
      </c>
      <c r="J49" s="10">
        <v>0.08</v>
      </c>
      <c r="K49" s="12">
        <v>0.1</v>
      </c>
      <c r="L49" s="470">
        <v>183.7</v>
      </c>
      <c r="M49" s="121"/>
      <c r="N49" s="25">
        <f t="shared" si="2"/>
        <v>0</v>
      </c>
      <c r="O49" s="25">
        <f t="shared" si="3"/>
        <v>0</v>
      </c>
      <c r="P49" s="25">
        <f t="shared" si="4"/>
        <v>0</v>
      </c>
      <c r="Q49" s="26">
        <f t="shared" si="5"/>
        <v>0</v>
      </c>
      <c r="R49" s="27">
        <f t="shared" si="6"/>
        <v>0</v>
      </c>
      <c r="S49" s="28">
        <f t="shared" si="7"/>
        <v>0</v>
      </c>
    </row>
    <row r="50" spans="2:19">
      <c r="B50" s="469" t="s">
        <v>1388</v>
      </c>
      <c r="C50" s="13"/>
      <c r="D50" s="13"/>
      <c r="E50" s="13"/>
      <c r="F50" s="14"/>
      <c r="G50" s="8"/>
      <c r="H50" s="24">
        <f t="shared" si="8"/>
        <v>0</v>
      </c>
      <c r="I50" s="456">
        <f t="shared" si="9"/>
        <v>15.299599999999998</v>
      </c>
      <c r="J50" s="10">
        <v>0.08</v>
      </c>
      <c r="K50" s="12">
        <v>0.1</v>
      </c>
      <c r="L50" s="470">
        <v>16.63</v>
      </c>
      <c r="M50" s="121"/>
      <c r="N50" s="25">
        <f t="shared" si="2"/>
        <v>0</v>
      </c>
      <c r="O50" s="25">
        <f t="shared" si="3"/>
        <v>0</v>
      </c>
      <c r="P50" s="25">
        <f t="shared" si="4"/>
        <v>0</v>
      </c>
      <c r="Q50" s="26">
        <f t="shared" si="5"/>
        <v>0</v>
      </c>
      <c r="R50" s="27">
        <f t="shared" si="6"/>
        <v>0</v>
      </c>
      <c r="S50" s="28">
        <f t="shared" si="7"/>
        <v>0</v>
      </c>
    </row>
    <row r="51" spans="2:19">
      <c r="B51" s="469" t="s">
        <v>1389</v>
      </c>
      <c r="C51" s="13"/>
      <c r="D51" s="13"/>
      <c r="E51" s="13"/>
      <c r="F51" s="14"/>
      <c r="G51" s="8"/>
      <c r="H51" s="24">
        <f t="shared" si="8"/>
        <v>0</v>
      </c>
      <c r="I51" s="456">
        <f t="shared" si="9"/>
        <v>151.04560000000001</v>
      </c>
      <c r="J51" s="10">
        <v>0.08</v>
      </c>
      <c r="K51" s="12">
        <v>0.1</v>
      </c>
      <c r="L51" s="470">
        <v>164.18</v>
      </c>
      <c r="M51" s="121"/>
      <c r="N51" s="25">
        <f t="shared" si="2"/>
        <v>0</v>
      </c>
      <c r="O51" s="25">
        <f t="shared" si="3"/>
        <v>0</v>
      </c>
      <c r="P51" s="25">
        <f t="shared" si="4"/>
        <v>0</v>
      </c>
      <c r="Q51" s="26">
        <f t="shared" si="5"/>
        <v>0</v>
      </c>
      <c r="R51" s="27">
        <f t="shared" si="6"/>
        <v>0</v>
      </c>
      <c r="S51" s="28">
        <f t="shared" si="7"/>
        <v>0</v>
      </c>
    </row>
    <row r="52" spans="2:19">
      <c r="B52" s="469" t="s">
        <v>1390</v>
      </c>
      <c r="C52" s="13">
        <v>12</v>
      </c>
      <c r="D52" s="13"/>
      <c r="E52" s="13"/>
      <c r="F52" s="14"/>
      <c r="G52" s="8"/>
      <c r="H52" s="24">
        <f t="shared" si="8"/>
        <v>12</v>
      </c>
      <c r="I52" s="456">
        <f t="shared" si="9"/>
        <v>90.886800000000008</v>
      </c>
      <c r="J52" s="10">
        <v>0.08</v>
      </c>
      <c r="K52" s="12">
        <v>0.1</v>
      </c>
      <c r="L52" s="470">
        <v>98.79</v>
      </c>
      <c r="M52" s="121"/>
      <c r="N52" s="25">
        <f t="shared" si="2"/>
        <v>1090.6416000000002</v>
      </c>
      <c r="O52" s="25">
        <f t="shared" si="3"/>
        <v>0</v>
      </c>
      <c r="P52" s="25">
        <f t="shared" si="4"/>
        <v>0</v>
      </c>
      <c r="Q52" s="26">
        <f t="shared" si="5"/>
        <v>0</v>
      </c>
      <c r="R52" s="27">
        <f t="shared" si="6"/>
        <v>0</v>
      </c>
      <c r="S52" s="28">
        <f t="shared" si="7"/>
        <v>1090.6416000000002</v>
      </c>
    </row>
    <row r="53" spans="2:19">
      <c r="B53" s="469" t="s">
        <v>1391</v>
      </c>
      <c r="C53" s="13"/>
      <c r="D53" s="13"/>
      <c r="E53" s="13"/>
      <c r="F53" s="14"/>
      <c r="G53" s="8"/>
      <c r="H53" s="24">
        <f t="shared" si="8"/>
        <v>0</v>
      </c>
      <c r="I53" s="456">
        <f t="shared" si="9"/>
        <v>1608.7488000000001</v>
      </c>
      <c r="J53" s="10">
        <v>0.08</v>
      </c>
      <c r="K53" s="12">
        <v>0.1</v>
      </c>
      <c r="L53" s="470">
        <v>1748.64</v>
      </c>
      <c r="M53" s="121"/>
      <c r="N53" s="25">
        <f t="shared" si="2"/>
        <v>0</v>
      </c>
      <c r="O53" s="25">
        <f t="shared" si="3"/>
        <v>0</v>
      </c>
      <c r="P53" s="25">
        <f t="shared" si="4"/>
        <v>0</v>
      </c>
      <c r="Q53" s="26">
        <f t="shared" si="5"/>
        <v>0</v>
      </c>
      <c r="R53" s="27">
        <f t="shared" si="6"/>
        <v>0</v>
      </c>
      <c r="S53" s="28">
        <f t="shared" si="7"/>
        <v>0</v>
      </c>
    </row>
    <row r="54" spans="2:19">
      <c r="B54" s="469" t="s">
        <v>1392</v>
      </c>
      <c r="C54" s="13"/>
      <c r="D54" s="13"/>
      <c r="E54" s="13"/>
      <c r="F54" s="14"/>
      <c r="G54" s="8"/>
      <c r="H54" s="24">
        <f t="shared" si="8"/>
        <v>0</v>
      </c>
      <c r="I54" s="456">
        <f t="shared" si="9"/>
        <v>67.031199999999998</v>
      </c>
      <c r="J54" s="10">
        <v>0.08</v>
      </c>
      <c r="K54" s="12">
        <v>0.1</v>
      </c>
      <c r="L54" s="470">
        <v>72.86</v>
      </c>
      <c r="M54" s="121"/>
      <c r="N54" s="25">
        <f t="shared" si="2"/>
        <v>0</v>
      </c>
      <c r="O54" s="25">
        <f t="shared" si="3"/>
        <v>0</v>
      </c>
      <c r="P54" s="25">
        <f t="shared" si="4"/>
        <v>0</v>
      </c>
      <c r="Q54" s="26">
        <f t="shared" si="5"/>
        <v>0</v>
      </c>
      <c r="R54" s="27">
        <f t="shared" si="6"/>
        <v>0</v>
      </c>
      <c r="S54" s="28">
        <f t="shared" si="7"/>
        <v>0</v>
      </c>
    </row>
    <row r="55" spans="2:19">
      <c r="B55" s="469" t="s">
        <v>1393</v>
      </c>
      <c r="C55" s="13"/>
      <c r="D55" s="13"/>
      <c r="E55" s="13"/>
      <c r="F55" s="14">
        <v>72</v>
      </c>
      <c r="G55" s="8"/>
      <c r="H55" s="24">
        <f t="shared" si="8"/>
        <v>72</v>
      </c>
      <c r="I55" s="456">
        <f t="shared" si="9"/>
        <v>39.679600000000001</v>
      </c>
      <c r="J55" s="10">
        <v>0.08</v>
      </c>
      <c r="K55" s="12">
        <v>0.1</v>
      </c>
      <c r="L55" s="470">
        <v>43.13</v>
      </c>
      <c r="M55" s="121"/>
      <c r="N55" s="25">
        <f t="shared" si="2"/>
        <v>0</v>
      </c>
      <c r="O55" s="25">
        <f t="shared" si="3"/>
        <v>0</v>
      </c>
      <c r="P55" s="25">
        <f t="shared" si="4"/>
        <v>0</v>
      </c>
      <c r="Q55" s="26">
        <f t="shared" si="5"/>
        <v>2856.9312</v>
      </c>
      <c r="R55" s="27">
        <f t="shared" si="6"/>
        <v>0</v>
      </c>
      <c r="S55" s="28">
        <f t="shared" si="7"/>
        <v>2856.9312</v>
      </c>
    </row>
    <row r="56" spans="2:19">
      <c r="B56" s="469" t="s">
        <v>1394</v>
      </c>
      <c r="C56" s="13"/>
      <c r="D56" s="13"/>
      <c r="E56" s="13"/>
      <c r="F56" s="14">
        <v>100</v>
      </c>
      <c r="G56" s="8">
        <v>480</v>
      </c>
      <c r="H56" s="24">
        <f t="shared" si="8"/>
        <v>580</v>
      </c>
      <c r="I56" s="456">
        <f t="shared" si="9"/>
        <v>20.433199999999999</v>
      </c>
      <c r="J56" s="10">
        <v>0.08</v>
      </c>
      <c r="K56" s="12">
        <v>0.1</v>
      </c>
      <c r="L56" s="470">
        <v>22.21</v>
      </c>
      <c r="M56" s="121"/>
      <c r="N56" s="25">
        <f t="shared" si="2"/>
        <v>0</v>
      </c>
      <c r="O56" s="25">
        <f t="shared" si="3"/>
        <v>0</v>
      </c>
      <c r="P56" s="25">
        <f t="shared" si="4"/>
        <v>0</v>
      </c>
      <c r="Q56" s="26">
        <f t="shared" si="5"/>
        <v>2043.32</v>
      </c>
      <c r="R56" s="27">
        <f t="shared" si="6"/>
        <v>9807.9359999999997</v>
      </c>
      <c r="S56" s="28">
        <f t="shared" si="7"/>
        <v>11851.255999999999</v>
      </c>
    </row>
    <row r="57" spans="2:19" ht="22.5">
      <c r="B57" s="469" t="s">
        <v>1395</v>
      </c>
      <c r="C57" s="13"/>
      <c r="D57" s="13"/>
      <c r="E57" s="13"/>
      <c r="F57" s="14"/>
      <c r="G57" s="8"/>
      <c r="H57" s="24">
        <f t="shared" si="8"/>
        <v>0</v>
      </c>
      <c r="I57" s="456">
        <f t="shared" si="9"/>
        <v>857.25599999999997</v>
      </c>
      <c r="J57" s="10">
        <v>0.08</v>
      </c>
      <c r="K57" s="12">
        <v>0.1</v>
      </c>
      <c r="L57" s="470">
        <v>931.8</v>
      </c>
      <c r="M57" s="121"/>
      <c r="N57" s="25">
        <f t="shared" si="2"/>
        <v>0</v>
      </c>
      <c r="O57" s="25">
        <f t="shared" si="3"/>
        <v>0</v>
      </c>
      <c r="P57" s="25">
        <f t="shared" si="4"/>
        <v>0</v>
      </c>
      <c r="Q57" s="26">
        <f t="shared" si="5"/>
        <v>0</v>
      </c>
      <c r="R57" s="27">
        <f t="shared" si="6"/>
        <v>0</v>
      </c>
      <c r="S57" s="28">
        <f t="shared" si="7"/>
        <v>0</v>
      </c>
    </row>
    <row r="58" spans="2:19">
      <c r="B58" s="469" t="s">
        <v>1396</v>
      </c>
      <c r="C58" s="13"/>
      <c r="D58" s="13">
        <v>4</v>
      </c>
      <c r="E58" s="13"/>
      <c r="F58" s="14"/>
      <c r="G58" s="8"/>
      <c r="H58" s="24">
        <f t="shared" si="8"/>
        <v>4</v>
      </c>
      <c r="I58" s="456">
        <f t="shared" si="9"/>
        <v>185.56399999999999</v>
      </c>
      <c r="J58" s="10">
        <v>0.08</v>
      </c>
      <c r="K58" s="12">
        <v>0.1</v>
      </c>
      <c r="L58" s="470">
        <v>201.7</v>
      </c>
      <c r="M58" s="121"/>
      <c r="N58" s="25">
        <f t="shared" si="2"/>
        <v>0</v>
      </c>
      <c r="O58" s="25">
        <f t="shared" si="3"/>
        <v>742.25599999999997</v>
      </c>
      <c r="P58" s="25">
        <f t="shared" si="4"/>
        <v>0</v>
      </c>
      <c r="Q58" s="26">
        <f t="shared" si="5"/>
        <v>0</v>
      </c>
      <c r="R58" s="27">
        <f t="shared" si="6"/>
        <v>0</v>
      </c>
      <c r="S58" s="28">
        <f t="shared" si="7"/>
        <v>742.25599999999997</v>
      </c>
    </row>
    <row r="59" spans="2:19">
      <c r="B59" s="469" t="s">
        <v>1397</v>
      </c>
      <c r="C59" s="13"/>
      <c r="D59" s="13"/>
      <c r="E59" s="13"/>
      <c r="F59" s="14"/>
      <c r="G59" s="8"/>
      <c r="H59" s="24">
        <f t="shared" si="8"/>
        <v>0</v>
      </c>
      <c r="I59" s="456">
        <f t="shared" si="9"/>
        <v>46.625599999999999</v>
      </c>
      <c r="J59" s="10">
        <v>0.08</v>
      </c>
      <c r="K59" s="12">
        <v>0.1</v>
      </c>
      <c r="L59" s="470">
        <v>50.68</v>
      </c>
      <c r="M59" s="121"/>
      <c r="N59" s="25">
        <f t="shared" si="2"/>
        <v>0</v>
      </c>
      <c r="O59" s="25">
        <f t="shared" si="3"/>
        <v>0</v>
      </c>
      <c r="P59" s="25">
        <f t="shared" si="4"/>
        <v>0</v>
      </c>
      <c r="Q59" s="26">
        <f t="shared" si="5"/>
        <v>0</v>
      </c>
      <c r="R59" s="27">
        <f t="shared" si="6"/>
        <v>0</v>
      </c>
      <c r="S59" s="28">
        <f t="shared" si="7"/>
        <v>0</v>
      </c>
    </row>
    <row r="60" spans="2:19">
      <c r="B60" s="469" t="s">
        <v>1398</v>
      </c>
      <c r="C60" s="13"/>
      <c r="D60" s="13"/>
      <c r="E60" s="13"/>
      <c r="F60" s="14"/>
      <c r="G60" s="8"/>
      <c r="H60" s="24">
        <f t="shared" si="8"/>
        <v>0</v>
      </c>
      <c r="I60" s="456">
        <f t="shared" si="9"/>
        <v>78.227599999999995</v>
      </c>
      <c r="J60" s="10">
        <v>0.08</v>
      </c>
      <c r="K60" s="12">
        <v>0.1</v>
      </c>
      <c r="L60" s="470">
        <v>85.03</v>
      </c>
      <c r="M60" s="121"/>
      <c r="N60" s="25">
        <f t="shared" si="2"/>
        <v>0</v>
      </c>
      <c r="O60" s="25">
        <f t="shared" si="3"/>
        <v>0</v>
      </c>
      <c r="P60" s="25">
        <f t="shared" si="4"/>
        <v>0</v>
      </c>
      <c r="Q60" s="26">
        <f t="shared" si="5"/>
        <v>0</v>
      </c>
      <c r="R60" s="27">
        <f t="shared" si="6"/>
        <v>0</v>
      </c>
      <c r="S60" s="28">
        <f t="shared" si="7"/>
        <v>0</v>
      </c>
    </row>
    <row r="61" spans="2:19">
      <c r="B61" s="469" t="s">
        <v>1399</v>
      </c>
      <c r="C61" s="13"/>
      <c r="D61" s="13"/>
      <c r="E61" s="13"/>
      <c r="F61" s="14"/>
      <c r="G61" s="8"/>
      <c r="H61" s="24">
        <f t="shared" si="8"/>
        <v>0</v>
      </c>
      <c r="I61" s="456">
        <f t="shared" si="9"/>
        <v>43.810400000000001</v>
      </c>
      <c r="J61" s="10">
        <v>0.08</v>
      </c>
      <c r="K61" s="12">
        <v>0.1</v>
      </c>
      <c r="L61" s="470">
        <v>47.62</v>
      </c>
      <c r="M61" s="121"/>
      <c r="N61" s="25">
        <f t="shared" si="2"/>
        <v>0</v>
      </c>
      <c r="O61" s="25">
        <f t="shared" si="3"/>
        <v>0</v>
      </c>
      <c r="P61" s="25">
        <f t="shared" si="4"/>
        <v>0</v>
      </c>
      <c r="Q61" s="26">
        <f t="shared" si="5"/>
        <v>0</v>
      </c>
      <c r="R61" s="27">
        <f t="shared" si="6"/>
        <v>0</v>
      </c>
      <c r="S61" s="28">
        <f t="shared" si="7"/>
        <v>0</v>
      </c>
    </row>
    <row r="62" spans="2:19">
      <c r="B62" s="469" t="s">
        <v>1400</v>
      </c>
      <c r="C62" s="13"/>
      <c r="D62" s="13"/>
      <c r="E62" s="13"/>
      <c r="F62" s="14"/>
      <c r="G62" s="8"/>
      <c r="H62" s="24">
        <f t="shared" si="8"/>
        <v>0</v>
      </c>
      <c r="I62" s="456">
        <f t="shared" si="9"/>
        <v>35.383200000000002</v>
      </c>
      <c r="J62" s="10">
        <v>0.08</v>
      </c>
      <c r="K62" s="12">
        <v>0.1</v>
      </c>
      <c r="L62" s="470">
        <v>38.46</v>
      </c>
      <c r="M62" s="121"/>
      <c r="N62" s="25">
        <f t="shared" si="2"/>
        <v>0</v>
      </c>
      <c r="O62" s="25">
        <f t="shared" si="3"/>
        <v>0</v>
      </c>
      <c r="P62" s="25">
        <f t="shared" si="4"/>
        <v>0</v>
      </c>
      <c r="Q62" s="26">
        <f t="shared" si="5"/>
        <v>0</v>
      </c>
      <c r="R62" s="27">
        <f t="shared" si="6"/>
        <v>0</v>
      </c>
      <c r="S62" s="28">
        <f t="shared" si="7"/>
        <v>0</v>
      </c>
    </row>
    <row r="63" spans="2:19">
      <c r="B63" s="469" t="s">
        <v>1401</v>
      </c>
      <c r="C63" s="13"/>
      <c r="D63" s="13"/>
      <c r="E63" s="13"/>
      <c r="F63" s="14"/>
      <c r="G63" s="8"/>
      <c r="H63" s="24">
        <f t="shared" si="8"/>
        <v>0</v>
      </c>
      <c r="I63" s="456">
        <f t="shared" si="9"/>
        <v>25.162000000000003</v>
      </c>
      <c r="J63" s="10">
        <v>0.08</v>
      </c>
      <c r="K63" s="12">
        <v>0.1</v>
      </c>
      <c r="L63" s="470">
        <v>27.35</v>
      </c>
      <c r="M63" s="121"/>
      <c r="N63" s="25">
        <f t="shared" si="2"/>
        <v>0</v>
      </c>
      <c r="O63" s="25">
        <f t="shared" si="3"/>
        <v>0</v>
      </c>
      <c r="P63" s="25">
        <f t="shared" si="4"/>
        <v>0</v>
      </c>
      <c r="Q63" s="26">
        <f t="shared" si="5"/>
        <v>0</v>
      </c>
      <c r="R63" s="27">
        <f t="shared" si="6"/>
        <v>0</v>
      </c>
      <c r="S63" s="28">
        <f t="shared" si="7"/>
        <v>0</v>
      </c>
    </row>
    <row r="64" spans="2:19">
      <c r="B64" s="469" t="s">
        <v>1402</v>
      </c>
      <c r="C64" s="13"/>
      <c r="D64" s="13">
        <v>70</v>
      </c>
      <c r="E64" s="13"/>
      <c r="F64" s="14"/>
      <c r="G64" s="8">
        <v>120</v>
      </c>
      <c r="H64" s="24">
        <f t="shared" si="8"/>
        <v>190</v>
      </c>
      <c r="I64" s="456">
        <f t="shared" si="9"/>
        <v>41.179199999999994</v>
      </c>
      <c r="J64" s="10">
        <v>0.08</v>
      </c>
      <c r="K64" s="12">
        <v>0.1</v>
      </c>
      <c r="L64" s="470">
        <v>44.76</v>
      </c>
      <c r="M64" s="121"/>
      <c r="N64" s="25">
        <f t="shared" si="2"/>
        <v>0</v>
      </c>
      <c r="O64" s="25">
        <f t="shared" si="3"/>
        <v>2882.5439999999994</v>
      </c>
      <c r="P64" s="25">
        <f t="shared" si="4"/>
        <v>0</v>
      </c>
      <c r="Q64" s="26">
        <f t="shared" si="5"/>
        <v>0</v>
      </c>
      <c r="R64" s="27">
        <f t="shared" si="6"/>
        <v>4941.503999999999</v>
      </c>
      <c r="S64" s="28">
        <f t="shared" si="7"/>
        <v>7824.0479999999989</v>
      </c>
    </row>
    <row r="65" spans="2:19">
      <c r="B65" s="469" t="s">
        <v>1403</v>
      </c>
      <c r="C65" s="13"/>
      <c r="D65" s="13"/>
      <c r="E65" s="13"/>
      <c r="F65" s="14"/>
      <c r="G65" s="8"/>
      <c r="H65" s="24">
        <f t="shared" si="8"/>
        <v>0</v>
      </c>
      <c r="I65" s="456">
        <f t="shared" si="9"/>
        <v>42.826000000000001</v>
      </c>
      <c r="J65" s="10">
        <v>0.08</v>
      </c>
      <c r="K65" s="12">
        <v>0.1</v>
      </c>
      <c r="L65" s="470">
        <v>46.55</v>
      </c>
      <c r="M65" s="121"/>
      <c r="N65" s="25">
        <f t="shared" si="2"/>
        <v>0</v>
      </c>
      <c r="O65" s="25">
        <f t="shared" si="3"/>
        <v>0</v>
      </c>
      <c r="P65" s="25">
        <f t="shared" si="4"/>
        <v>0</v>
      </c>
      <c r="Q65" s="26">
        <f t="shared" si="5"/>
        <v>0</v>
      </c>
      <c r="R65" s="27">
        <f t="shared" si="6"/>
        <v>0</v>
      </c>
      <c r="S65" s="28">
        <f t="shared" si="7"/>
        <v>0</v>
      </c>
    </row>
    <row r="66" spans="2:19">
      <c r="B66" s="469" t="s">
        <v>1404</v>
      </c>
      <c r="C66" s="13"/>
      <c r="D66" s="13"/>
      <c r="E66" s="13"/>
      <c r="F66" s="14"/>
      <c r="G66" s="8">
        <v>96</v>
      </c>
      <c r="H66" s="24">
        <f t="shared" si="8"/>
        <v>96</v>
      </c>
      <c r="I66" s="456">
        <f t="shared" si="9"/>
        <v>26.9284</v>
      </c>
      <c r="J66" s="10">
        <v>0.08</v>
      </c>
      <c r="K66" s="12">
        <v>0.1</v>
      </c>
      <c r="L66" s="470">
        <v>29.27</v>
      </c>
      <c r="M66" s="121"/>
      <c r="N66" s="25">
        <f t="shared" si="2"/>
        <v>0</v>
      </c>
      <c r="O66" s="25">
        <f t="shared" si="3"/>
        <v>0</v>
      </c>
      <c r="P66" s="25">
        <f t="shared" si="4"/>
        <v>0</v>
      </c>
      <c r="Q66" s="26">
        <f t="shared" si="5"/>
        <v>0</v>
      </c>
      <c r="R66" s="27">
        <f t="shared" si="6"/>
        <v>2585.1264000000001</v>
      </c>
      <c r="S66" s="28">
        <f t="shared" si="7"/>
        <v>2585.1264000000001</v>
      </c>
    </row>
    <row r="67" spans="2:19">
      <c r="B67" s="469" t="s">
        <v>1405</v>
      </c>
      <c r="C67" s="13"/>
      <c r="D67" s="13"/>
      <c r="E67" s="13"/>
      <c r="F67" s="14"/>
      <c r="G67" s="8"/>
      <c r="H67" s="24">
        <f t="shared" si="8"/>
        <v>0</v>
      </c>
      <c r="I67" s="456">
        <f t="shared" si="9"/>
        <v>61.253599999999999</v>
      </c>
      <c r="J67" s="10">
        <v>0.08</v>
      </c>
      <c r="K67" s="12">
        <v>0.1</v>
      </c>
      <c r="L67" s="470">
        <v>66.58</v>
      </c>
      <c r="M67" s="121"/>
      <c r="N67" s="25">
        <f t="shared" si="2"/>
        <v>0</v>
      </c>
      <c r="O67" s="25">
        <f t="shared" si="3"/>
        <v>0</v>
      </c>
      <c r="P67" s="25">
        <f t="shared" si="4"/>
        <v>0</v>
      </c>
      <c r="Q67" s="26">
        <f t="shared" si="5"/>
        <v>0</v>
      </c>
      <c r="R67" s="27">
        <f t="shared" si="6"/>
        <v>0</v>
      </c>
      <c r="S67" s="28">
        <f t="shared" si="7"/>
        <v>0</v>
      </c>
    </row>
    <row r="68" spans="2:19">
      <c r="B68" s="469" t="s">
        <v>1406</v>
      </c>
      <c r="C68" s="13"/>
      <c r="D68" s="13"/>
      <c r="E68" s="13"/>
      <c r="F68" s="14"/>
      <c r="G68" s="8"/>
      <c r="H68" s="24">
        <f t="shared" si="8"/>
        <v>0</v>
      </c>
      <c r="I68" s="456">
        <f t="shared" si="9"/>
        <v>9.8347999999999995</v>
      </c>
      <c r="J68" s="10">
        <v>0.08</v>
      </c>
      <c r="K68" s="12">
        <v>0.1</v>
      </c>
      <c r="L68" s="470">
        <v>10.69</v>
      </c>
      <c r="M68" s="121"/>
      <c r="N68" s="25">
        <f t="shared" si="2"/>
        <v>0</v>
      </c>
      <c r="O68" s="25">
        <f t="shared" si="3"/>
        <v>0</v>
      </c>
      <c r="P68" s="25">
        <f t="shared" si="4"/>
        <v>0</v>
      </c>
      <c r="Q68" s="26">
        <f t="shared" si="5"/>
        <v>0</v>
      </c>
      <c r="R68" s="27">
        <f t="shared" si="6"/>
        <v>0</v>
      </c>
      <c r="S68" s="28">
        <f t="shared" si="7"/>
        <v>0</v>
      </c>
    </row>
    <row r="69" spans="2:19">
      <c r="B69" s="469" t="s">
        <v>1407</v>
      </c>
      <c r="C69" s="13"/>
      <c r="D69" s="13"/>
      <c r="E69" s="13"/>
      <c r="F69" s="14"/>
      <c r="G69" s="8"/>
      <c r="H69" s="24">
        <f t="shared" si="8"/>
        <v>0</v>
      </c>
      <c r="I69" s="456">
        <f t="shared" si="9"/>
        <v>70.481200000000001</v>
      </c>
      <c r="J69" s="10">
        <v>0.08</v>
      </c>
      <c r="K69" s="12">
        <v>0.1</v>
      </c>
      <c r="L69" s="470">
        <v>76.61</v>
      </c>
      <c r="M69" s="121"/>
      <c r="N69" s="25">
        <f t="shared" si="2"/>
        <v>0</v>
      </c>
      <c r="O69" s="25">
        <f t="shared" si="3"/>
        <v>0</v>
      </c>
      <c r="P69" s="25">
        <f t="shared" si="4"/>
        <v>0</v>
      </c>
      <c r="Q69" s="26">
        <f t="shared" si="5"/>
        <v>0</v>
      </c>
      <c r="R69" s="27">
        <f t="shared" si="6"/>
        <v>0</v>
      </c>
      <c r="S69" s="28">
        <f t="shared" si="7"/>
        <v>0</v>
      </c>
    </row>
    <row r="70" spans="2:19">
      <c r="B70" s="469" t="s">
        <v>1408</v>
      </c>
      <c r="C70" s="13"/>
      <c r="D70" s="13"/>
      <c r="E70" s="13"/>
      <c r="F70" s="14"/>
      <c r="G70" s="8"/>
      <c r="H70" s="24">
        <f t="shared" si="8"/>
        <v>0</v>
      </c>
      <c r="I70" s="456">
        <f t="shared" si="9"/>
        <v>28.805199999999999</v>
      </c>
      <c r="J70" s="10">
        <v>0.08</v>
      </c>
      <c r="K70" s="12">
        <v>0.1</v>
      </c>
      <c r="L70" s="470">
        <v>31.31</v>
      </c>
      <c r="M70" s="121"/>
      <c r="N70" s="25">
        <f t="shared" si="2"/>
        <v>0</v>
      </c>
      <c r="O70" s="25">
        <f t="shared" si="3"/>
        <v>0</v>
      </c>
      <c r="P70" s="25">
        <f t="shared" si="4"/>
        <v>0</v>
      </c>
      <c r="Q70" s="26">
        <f t="shared" si="5"/>
        <v>0</v>
      </c>
      <c r="R70" s="27">
        <f t="shared" si="6"/>
        <v>0</v>
      </c>
      <c r="S70" s="28">
        <f t="shared" si="7"/>
        <v>0</v>
      </c>
    </row>
    <row r="71" spans="2:19" ht="22.5">
      <c r="B71" s="469" t="s">
        <v>1409</v>
      </c>
      <c r="C71" s="13"/>
      <c r="D71" s="13"/>
      <c r="E71" s="13"/>
      <c r="F71" s="14"/>
      <c r="G71" s="8"/>
      <c r="H71" s="24">
        <f t="shared" si="8"/>
        <v>0</v>
      </c>
      <c r="I71" s="456">
        <f t="shared" si="9"/>
        <v>829.4351999999999</v>
      </c>
      <c r="J71" s="10">
        <v>0.08</v>
      </c>
      <c r="K71" s="12">
        <v>0.1</v>
      </c>
      <c r="L71" s="470">
        <v>901.56</v>
      </c>
      <c r="M71" s="121"/>
      <c r="N71" s="25">
        <f t="shared" ref="N71:N110" si="10">I71*C71</f>
        <v>0</v>
      </c>
      <c r="O71" s="25">
        <f t="shared" ref="O71:O110" si="11">I71*D71</f>
        <v>0</v>
      </c>
      <c r="P71" s="25">
        <f t="shared" ref="P71:P110" si="12">I71*E71</f>
        <v>0</v>
      </c>
      <c r="Q71" s="26">
        <f t="shared" ref="Q71:Q110" si="13">I71*F71</f>
        <v>0</v>
      </c>
      <c r="R71" s="27">
        <f t="shared" ref="R71:R110" si="14">I71*G71</f>
        <v>0</v>
      </c>
      <c r="S71" s="28">
        <f t="shared" ref="S71:S110" si="15">SUM(N71:R71)</f>
        <v>0</v>
      </c>
    </row>
    <row r="72" spans="2:19">
      <c r="B72" s="469" t="s">
        <v>1410</v>
      </c>
      <c r="C72" s="13"/>
      <c r="D72" s="13"/>
      <c r="E72" s="13"/>
      <c r="F72" s="14"/>
      <c r="G72" s="8"/>
      <c r="H72" s="24">
        <f t="shared" si="8"/>
        <v>0</v>
      </c>
      <c r="I72" s="456">
        <f t="shared" si="9"/>
        <v>178.60879999999997</v>
      </c>
      <c r="J72" s="10">
        <v>0.08</v>
      </c>
      <c r="K72" s="12">
        <v>0.1</v>
      </c>
      <c r="L72" s="470">
        <v>194.14</v>
      </c>
      <c r="M72" s="121"/>
      <c r="N72" s="25">
        <f t="shared" si="10"/>
        <v>0</v>
      </c>
      <c r="O72" s="25">
        <f t="shared" si="11"/>
        <v>0</v>
      </c>
      <c r="P72" s="25">
        <f t="shared" si="12"/>
        <v>0</v>
      </c>
      <c r="Q72" s="26">
        <f t="shared" si="13"/>
        <v>0</v>
      </c>
      <c r="R72" s="27">
        <f t="shared" si="14"/>
        <v>0</v>
      </c>
      <c r="S72" s="28">
        <f t="shared" si="15"/>
        <v>0</v>
      </c>
    </row>
    <row r="73" spans="2:19">
      <c r="B73" s="469" t="s">
        <v>1411</v>
      </c>
      <c r="C73" s="13"/>
      <c r="D73" s="13"/>
      <c r="E73" s="13"/>
      <c r="F73" s="14"/>
      <c r="G73" s="8"/>
      <c r="H73" s="24">
        <f t="shared" si="8"/>
        <v>0</v>
      </c>
      <c r="I73" s="456">
        <f t="shared" si="9"/>
        <v>40.2316</v>
      </c>
      <c r="J73" s="10">
        <v>0.08</v>
      </c>
      <c r="K73" s="12">
        <v>0.1</v>
      </c>
      <c r="L73" s="470">
        <v>43.73</v>
      </c>
      <c r="M73" s="121"/>
      <c r="N73" s="25">
        <f t="shared" si="10"/>
        <v>0</v>
      </c>
      <c r="O73" s="25">
        <f t="shared" si="11"/>
        <v>0</v>
      </c>
      <c r="P73" s="25">
        <f t="shared" si="12"/>
        <v>0</v>
      </c>
      <c r="Q73" s="26">
        <f t="shared" si="13"/>
        <v>0</v>
      </c>
      <c r="R73" s="27">
        <f t="shared" si="14"/>
        <v>0</v>
      </c>
      <c r="S73" s="28">
        <f t="shared" si="15"/>
        <v>0</v>
      </c>
    </row>
    <row r="74" spans="2:19">
      <c r="B74" s="469" t="s">
        <v>1412</v>
      </c>
      <c r="C74" s="13"/>
      <c r="D74" s="13"/>
      <c r="E74" s="13"/>
      <c r="F74" s="14"/>
      <c r="G74" s="8">
        <v>6</v>
      </c>
      <c r="H74" s="24">
        <f t="shared" si="8"/>
        <v>6</v>
      </c>
      <c r="I74" s="456">
        <f t="shared" si="9"/>
        <v>859.28</v>
      </c>
      <c r="J74" s="10">
        <v>0.08</v>
      </c>
      <c r="K74" s="12">
        <v>0.1</v>
      </c>
      <c r="L74" s="470">
        <v>934</v>
      </c>
      <c r="M74" s="121"/>
      <c r="N74" s="25">
        <f t="shared" si="10"/>
        <v>0</v>
      </c>
      <c r="O74" s="25">
        <f t="shared" si="11"/>
        <v>0</v>
      </c>
      <c r="P74" s="25">
        <f t="shared" si="12"/>
        <v>0</v>
      </c>
      <c r="Q74" s="26">
        <f t="shared" si="13"/>
        <v>0</v>
      </c>
      <c r="R74" s="27">
        <f t="shared" si="14"/>
        <v>5155.68</v>
      </c>
      <c r="S74" s="28">
        <f t="shared" si="15"/>
        <v>5155.68</v>
      </c>
    </row>
    <row r="75" spans="2:19">
      <c r="B75" s="469" t="s">
        <v>1413</v>
      </c>
      <c r="C75" s="13"/>
      <c r="D75" s="13"/>
      <c r="E75" s="13"/>
      <c r="F75" s="14"/>
      <c r="G75" s="8"/>
      <c r="H75" s="24">
        <f t="shared" si="8"/>
        <v>0</v>
      </c>
      <c r="I75" s="456">
        <f t="shared" si="9"/>
        <v>8.5928000000000004</v>
      </c>
      <c r="J75" s="10">
        <v>0.08</v>
      </c>
      <c r="K75" s="12">
        <v>0.1</v>
      </c>
      <c r="L75" s="470">
        <v>9.34</v>
      </c>
      <c r="M75" s="121"/>
      <c r="N75" s="25">
        <f t="shared" si="10"/>
        <v>0</v>
      </c>
      <c r="O75" s="25">
        <f t="shared" si="11"/>
        <v>0</v>
      </c>
      <c r="P75" s="25">
        <f t="shared" si="12"/>
        <v>0</v>
      </c>
      <c r="Q75" s="26">
        <f t="shared" si="13"/>
        <v>0</v>
      </c>
      <c r="R75" s="27">
        <f t="shared" si="14"/>
        <v>0</v>
      </c>
      <c r="S75" s="28">
        <f t="shared" si="15"/>
        <v>0</v>
      </c>
    </row>
    <row r="76" spans="2:19" ht="22.5">
      <c r="B76" s="469" t="s">
        <v>1414</v>
      </c>
      <c r="C76" s="13"/>
      <c r="D76" s="13"/>
      <c r="E76" s="13"/>
      <c r="F76" s="14"/>
      <c r="G76" s="8">
        <v>12</v>
      </c>
      <c r="H76" s="24">
        <f t="shared" si="8"/>
        <v>12</v>
      </c>
      <c r="I76" s="456">
        <f t="shared" si="9"/>
        <v>79.635199999999998</v>
      </c>
      <c r="J76" s="10">
        <v>0.08</v>
      </c>
      <c r="K76" s="12">
        <v>0.1</v>
      </c>
      <c r="L76" s="470">
        <v>86.56</v>
      </c>
      <c r="M76" s="121"/>
      <c r="N76" s="25">
        <f t="shared" si="10"/>
        <v>0</v>
      </c>
      <c r="O76" s="25">
        <f t="shared" si="11"/>
        <v>0</v>
      </c>
      <c r="P76" s="25">
        <f t="shared" si="12"/>
        <v>0</v>
      </c>
      <c r="Q76" s="26">
        <f t="shared" si="13"/>
        <v>0</v>
      </c>
      <c r="R76" s="27">
        <f t="shared" si="14"/>
        <v>955.62239999999997</v>
      </c>
      <c r="S76" s="28">
        <f t="shared" si="15"/>
        <v>955.62239999999997</v>
      </c>
    </row>
    <row r="77" spans="2:19" ht="22.5">
      <c r="B77" s="469" t="s">
        <v>1415</v>
      </c>
      <c r="C77" s="13"/>
      <c r="D77" s="13"/>
      <c r="E77" s="13"/>
      <c r="F77" s="14"/>
      <c r="G77" s="8"/>
      <c r="H77" s="24">
        <f t="shared" si="8"/>
        <v>0</v>
      </c>
      <c r="I77" s="456">
        <f t="shared" si="9"/>
        <v>49.22</v>
      </c>
      <c r="J77" s="10">
        <v>0.08</v>
      </c>
      <c r="K77" s="12">
        <v>0.1</v>
      </c>
      <c r="L77" s="470">
        <v>53.5</v>
      </c>
      <c r="M77" s="121"/>
      <c r="N77" s="25">
        <f t="shared" si="10"/>
        <v>0</v>
      </c>
      <c r="O77" s="25">
        <f t="shared" si="11"/>
        <v>0</v>
      </c>
      <c r="P77" s="25">
        <f t="shared" si="12"/>
        <v>0</v>
      </c>
      <c r="Q77" s="26">
        <f t="shared" si="13"/>
        <v>0</v>
      </c>
      <c r="R77" s="27">
        <f t="shared" si="14"/>
        <v>0</v>
      </c>
      <c r="S77" s="28">
        <f t="shared" si="15"/>
        <v>0</v>
      </c>
    </row>
    <row r="78" spans="2:19" ht="22.5">
      <c r="B78" s="469" t="s">
        <v>1416</v>
      </c>
      <c r="C78" s="13"/>
      <c r="D78" s="13"/>
      <c r="E78" s="13"/>
      <c r="F78" s="14"/>
      <c r="G78" s="8"/>
      <c r="H78" s="24">
        <f t="shared" si="8"/>
        <v>0</v>
      </c>
      <c r="I78" s="456">
        <f t="shared" si="9"/>
        <v>6.7804000000000002</v>
      </c>
      <c r="J78" s="10">
        <v>0.08</v>
      </c>
      <c r="K78" s="12">
        <v>0.1</v>
      </c>
      <c r="L78" s="470">
        <v>7.37</v>
      </c>
      <c r="M78" s="121"/>
      <c r="N78" s="25">
        <f t="shared" si="10"/>
        <v>0</v>
      </c>
      <c r="O78" s="25">
        <f t="shared" si="11"/>
        <v>0</v>
      </c>
      <c r="P78" s="25">
        <f t="shared" si="12"/>
        <v>0</v>
      </c>
      <c r="Q78" s="26">
        <f t="shared" si="13"/>
        <v>0</v>
      </c>
      <c r="R78" s="27">
        <f t="shared" si="14"/>
        <v>0</v>
      </c>
      <c r="S78" s="28">
        <f t="shared" si="15"/>
        <v>0</v>
      </c>
    </row>
    <row r="79" spans="2:19">
      <c r="B79" s="469" t="s">
        <v>1417</v>
      </c>
      <c r="C79" s="13"/>
      <c r="D79" s="13"/>
      <c r="E79" s="13"/>
      <c r="F79" s="14"/>
      <c r="G79" s="8"/>
      <c r="H79" s="24">
        <f t="shared" si="8"/>
        <v>0</v>
      </c>
      <c r="I79" s="456">
        <f t="shared" si="9"/>
        <v>290.9776</v>
      </c>
      <c r="J79" s="10">
        <v>0.08</v>
      </c>
      <c r="K79" s="12">
        <v>0.1</v>
      </c>
      <c r="L79" s="470">
        <v>316.27999999999997</v>
      </c>
      <c r="M79" s="121"/>
      <c r="N79" s="25">
        <f t="shared" si="10"/>
        <v>0</v>
      </c>
      <c r="O79" s="25">
        <f t="shared" si="11"/>
        <v>0</v>
      </c>
      <c r="P79" s="25">
        <f t="shared" si="12"/>
        <v>0</v>
      </c>
      <c r="Q79" s="26">
        <f t="shared" si="13"/>
        <v>0</v>
      </c>
      <c r="R79" s="27">
        <f t="shared" si="14"/>
        <v>0</v>
      </c>
      <c r="S79" s="28">
        <f t="shared" si="15"/>
        <v>0</v>
      </c>
    </row>
    <row r="80" spans="2:19">
      <c r="B80" s="469" t="s">
        <v>1418</v>
      </c>
      <c r="C80" s="13"/>
      <c r="D80" s="13"/>
      <c r="E80" s="13"/>
      <c r="F80" s="14"/>
      <c r="G80" s="8"/>
      <c r="H80" s="24">
        <f t="shared" si="8"/>
        <v>0</v>
      </c>
      <c r="I80" s="456">
        <f t="shared" si="9"/>
        <v>157.65120000000002</v>
      </c>
      <c r="J80" s="10">
        <v>0.08</v>
      </c>
      <c r="K80" s="12">
        <v>0.1</v>
      </c>
      <c r="L80" s="470">
        <v>171.36</v>
      </c>
      <c r="M80" s="121"/>
      <c r="N80" s="25">
        <f t="shared" si="10"/>
        <v>0</v>
      </c>
      <c r="O80" s="25">
        <f t="shared" si="11"/>
        <v>0</v>
      </c>
      <c r="P80" s="25">
        <f t="shared" si="12"/>
        <v>0</v>
      </c>
      <c r="Q80" s="26">
        <f t="shared" si="13"/>
        <v>0</v>
      </c>
      <c r="R80" s="27">
        <f t="shared" si="14"/>
        <v>0</v>
      </c>
      <c r="S80" s="28">
        <f t="shared" si="15"/>
        <v>0</v>
      </c>
    </row>
    <row r="81" spans="2:19">
      <c r="B81" s="469" t="s">
        <v>1419</v>
      </c>
      <c r="C81" s="13"/>
      <c r="D81" s="13"/>
      <c r="E81" s="13"/>
      <c r="F81" s="14"/>
      <c r="G81" s="8"/>
      <c r="H81" s="24">
        <f t="shared" si="8"/>
        <v>0</v>
      </c>
      <c r="I81" s="456">
        <f t="shared" si="9"/>
        <v>26.523599999999998</v>
      </c>
      <c r="J81" s="10">
        <v>0.08</v>
      </c>
      <c r="K81" s="12">
        <v>0.1</v>
      </c>
      <c r="L81" s="470">
        <v>28.83</v>
      </c>
      <c r="M81" s="121"/>
      <c r="N81" s="25">
        <f t="shared" si="10"/>
        <v>0</v>
      </c>
      <c r="O81" s="25">
        <f t="shared" si="11"/>
        <v>0</v>
      </c>
      <c r="P81" s="25">
        <f t="shared" si="12"/>
        <v>0</v>
      </c>
      <c r="Q81" s="26">
        <f t="shared" si="13"/>
        <v>0</v>
      </c>
      <c r="R81" s="27">
        <f t="shared" si="14"/>
        <v>0</v>
      </c>
      <c r="S81" s="28">
        <f t="shared" si="15"/>
        <v>0</v>
      </c>
    </row>
    <row r="82" spans="2:19">
      <c r="B82" s="469" t="s">
        <v>1420</v>
      </c>
      <c r="C82" s="13"/>
      <c r="D82" s="13"/>
      <c r="E82" s="13"/>
      <c r="F82" s="14"/>
      <c r="G82" s="8"/>
      <c r="H82" s="24">
        <f t="shared" si="8"/>
        <v>0</v>
      </c>
      <c r="I82" s="456">
        <f t="shared" si="9"/>
        <v>652.28</v>
      </c>
      <c r="J82" s="10">
        <v>0.08</v>
      </c>
      <c r="K82" s="12">
        <v>0.1</v>
      </c>
      <c r="L82" s="470">
        <v>709</v>
      </c>
      <c r="M82" s="121"/>
      <c r="N82" s="25">
        <f t="shared" si="10"/>
        <v>0</v>
      </c>
      <c r="O82" s="25">
        <f t="shared" si="11"/>
        <v>0</v>
      </c>
      <c r="P82" s="25">
        <f t="shared" si="12"/>
        <v>0</v>
      </c>
      <c r="Q82" s="26">
        <f t="shared" si="13"/>
        <v>0</v>
      </c>
      <c r="R82" s="27">
        <f t="shared" si="14"/>
        <v>0</v>
      </c>
      <c r="S82" s="28">
        <f t="shared" si="15"/>
        <v>0</v>
      </c>
    </row>
    <row r="83" spans="2:19">
      <c r="B83" s="469" t="s">
        <v>1421</v>
      </c>
      <c r="C83" s="13"/>
      <c r="D83" s="13"/>
      <c r="E83" s="13"/>
      <c r="F83" s="14"/>
      <c r="G83" s="8"/>
      <c r="H83" s="24">
        <f t="shared" si="8"/>
        <v>0</v>
      </c>
      <c r="I83" s="456">
        <f t="shared" si="9"/>
        <v>6.5228000000000002</v>
      </c>
      <c r="J83" s="10">
        <v>0.08</v>
      </c>
      <c r="K83" s="12">
        <v>0.1</v>
      </c>
      <c r="L83" s="470">
        <v>7.09</v>
      </c>
      <c r="M83" s="121"/>
      <c r="N83" s="25">
        <f t="shared" si="10"/>
        <v>0</v>
      </c>
      <c r="O83" s="25">
        <f t="shared" si="11"/>
        <v>0</v>
      </c>
      <c r="P83" s="25">
        <f t="shared" si="12"/>
        <v>0</v>
      </c>
      <c r="Q83" s="26">
        <f t="shared" si="13"/>
        <v>0</v>
      </c>
      <c r="R83" s="27">
        <f t="shared" si="14"/>
        <v>0</v>
      </c>
      <c r="S83" s="28">
        <f t="shared" si="15"/>
        <v>0</v>
      </c>
    </row>
    <row r="84" spans="2:19">
      <c r="B84" s="469" t="s">
        <v>1422</v>
      </c>
      <c r="C84" s="13"/>
      <c r="D84" s="13">
        <v>3</v>
      </c>
      <c r="E84" s="13"/>
      <c r="F84" s="14"/>
      <c r="G84" s="8"/>
      <c r="H84" s="24">
        <f t="shared" si="8"/>
        <v>3</v>
      </c>
      <c r="I84" s="456">
        <f t="shared" si="9"/>
        <v>1334</v>
      </c>
      <c r="J84" s="10">
        <v>0.08</v>
      </c>
      <c r="K84" s="12">
        <v>0.1</v>
      </c>
      <c r="L84" s="470">
        <v>1450</v>
      </c>
      <c r="M84" s="121"/>
      <c r="N84" s="25">
        <f t="shared" si="10"/>
        <v>0</v>
      </c>
      <c r="O84" s="25">
        <f t="shared" si="11"/>
        <v>4002</v>
      </c>
      <c r="P84" s="25">
        <f t="shared" si="12"/>
        <v>0</v>
      </c>
      <c r="Q84" s="26">
        <f t="shared" si="13"/>
        <v>0</v>
      </c>
      <c r="R84" s="27">
        <f t="shared" si="14"/>
        <v>0</v>
      </c>
      <c r="S84" s="28">
        <f t="shared" si="15"/>
        <v>4002</v>
      </c>
    </row>
    <row r="85" spans="2:19">
      <c r="B85" s="469" t="s">
        <v>1423</v>
      </c>
      <c r="C85" s="13"/>
      <c r="D85" s="13"/>
      <c r="E85" s="13"/>
      <c r="F85" s="14"/>
      <c r="G85" s="8"/>
      <c r="H85" s="24">
        <f t="shared" si="8"/>
        <v>0</v>
      </c>
      <c r="I85" s="456">
        <f t="shared" si="9"/>
        <v>13.34</v>
      </c>
      <c r="J85" s="10">
        <v>0.08</v>
      </c>
      <c r="K85" s="12">
        <v>0.1</v>
      </c>
      <c r="L85" s="470">
        <v>14.5</v>
      </c>
      <c r="M85" s="121"/>
      <c r="N85" s="25">
        <f t="shared" si="10"/>
        <v>0</v>
      </c>
      <c r="O85" s="25">
        <f t="shared" si="11"/>
        <v>0</v>
      </c>
      <c r="P85" s="25">
        <f t="shared" si="12"/>
        <v>0</v>
      </c>
      <c r="Q85" s="26">
        <f t="shared" si="13"/>
        <v>0</v>
      </c>
      <c r="R85" s="27">
        <f t="shared" si="14"/>
        <v>0</v>
      </c>
      <c r="S85" s="28">
        <f t="shared" si="15"/>
        <v>0</v>
      </c>
    </row>
    <row r="86" spans="2:19">
      <c r="B86" s="469" t="s">
        <v>1424</v>
      </c>
      <c r="C86" s="13"/>
      <c r="D86" s="13"/>
      <c r="E86" s="13"/>
      <c r="F86" s="14"/>
      <c r="G86" s="8">
        <v>60</v>
      </c>
      <c r="H86" s="24">
        <f t="shared" si="8"/>
        <v>60</v>
      </c>
      <c r="I86" s="456">
        <f t="shared" si="9"/>
        <v>28.5016</v>
      </c>
      <c r="J86" s="10">
        <v>0.08</v>
      </c>
      <c r="K86" s="12">
        <v>0.1</v>
      </c>
      <c r="L86" s="470">
        <v>30.98</v>
      </c>
      <c r="M86" s="121"/>
      <c r="N86" s="25">
        <f t="shared" si="10"/>
        <v>0</v>
      </c>
      <c r="O86" s="25">
        <f t="shared" si="11"/>
        <v>0</v>
      </c>
      <c r="P86" s="25">
        <f t="shared" si="12"/>
        <v>0</v>
      </c>
      <c r="Q86" s="26">
        <f t="shared" si="13"/>
        <v>0</v>
      </c>
      <c r="R86" s="27">
        <f t="shared" si="14"/>
        <v>1710.096</v>
      </c>
      <c r="S86" s="28">
        <f t="shared" si="15"/>
        <v>1710.096</v>
      </c>
    </row>
    <row r="87" spans="2:19">
      <c r="B87" s="469" t="s">
        <v>1425</v>
      </c>
      <c r="C87" s="13"/>
      <c r="D87" s="13"/>
      <c r="E87" s="13"/>
      <c r="F87" s="14"/>
      <c r="G87" s="8"/>
      <c r="H87" s="24">
        <f t="shared" si="8"/>
        <v>0</v>
      </c>
      <c r="I87" s="456">
        <f t="shared" si="9"/>
        <v>2011.9296000000002</v>
      </c>
      <c r="J87" s="10">
        <v>0.08</v>
      </c>
      <c r="K87" s="12">
        <v>0.1</v>
      </c>
      <c r="L87" s="470">
        <v>2186.88</v>
      </c>
      <c r="M87" s="121"/>
      <c r="N87" s="25">
        <f t="shared" si="10"/>
        <v>0</v>
      </c>
      <c r="O87" s="25">
        <f t="shared" si="11"/>
        <v>0</v>
      </c>
      <c r="P87" s="25">
        <f t="shared" si="12"/>
        <v>0</v>
      </c>
      <c r="Q87" s="26">
        <f t="shared" si="13"/>
        <v>0</v>
      </c>
      <c r="R87" s="27">
        <f t="shared" si="14"/>
        <v>0</v>
      </c>
      <c r="S87" s="28">
        <f t="shared" si="15"/>
        <v>0</v>
      </c>
    </row>
    <row r="88" spans="2:19">
      <c r="B88" s="469" t="s">
        <v>1426</v>
      </c>
      <c r="C88" s="13"/>
      <c r="D88" s="13"/>
      <c r="E88" s="13"/>
      <c r="F88" s="14"/>
      <c r="G88" s="8"/>
      <c r="H88" s="24">
        <f t="shared" si="8"/>
        <v>0</v>
      </c>
      <c r="I88" s="456">
        <f t="shared" si="9"/>
        <v>83.830399999999997</v>
      </c>
      <c r="J88" s="10">
        <v>0.08</v>
      </c>
      <c r="K88" s="12">
        <v>0.1</v>
      </c>
      <c r="L88" s="470">
        <v>91.12</v>
      </c>
      <c r="M88" s="121"/>
      <c r="N88" s="25">
        <f t="shared" si="10"/>
        <v>0</v>
      </c>
      <c r="O88" s="25">
        <f t="shared" si="11"/>
        <v>0</v>
      </c>
      <c r="P88" s="25">
        <f t="shared" si="12"/>
        <v>0</v>
      </c>
      <c r="Q88" s="26">
        <f t="shared" si="13"/>
        <v>0</v>
      </c>
      <c r="R88" s="27">
        <f t="shared" si="14"/>
        <v>0</v>
      </c>
      <c r="S88" s="28">
        <f t="shared" si="15"/>
        <v>0</v>
      </c>
    </row>
    <row r="89" spans="2:19">
      <c r="B89" s="469" t="s">
        <v>1427</v>
      </c>
      <c r="C89" s="13"/>
      <c r="D89" s="13"/>
      <c r="E89" s="13"/>
      <c r="F89" s="14"/>
      <c r="G89" s="8"/>
      <c r="H89" s="24">
        <f t="shared" si="8"/>
        <v>0</v>
      </c>
      <c r="I89" s="456">
        <f t="shared" si="9"/>
        <v>51.280799999999999</v>
      </c>
      <c r="J89" s="10">
        <v>0.08</v>
      </c>
      <c r="K89" s="12">
        <v>0.1</v>
      </c>
      <c r="L89" s="470">
        <v>55.74</v>
      </c>
      <c r="M89" s="121"/>
      <c r="N89" s="25">
        <f t="shared" si="10"/>
        <v>0</v>
      </c>
      <c r="O89" s="25">
        <f t="shared" si="11"/>
        <v>0</v>
      </c>
      <c r="P89" s="25">
        <f t="shared" si="12"/>
        <v>0</v>
      </c>
      <c r="Q89" s="26">
        <f t="shared" si="13"/>
        <v>0</v>
      </c>
      <c r="R89" s="27">
        <f t="shared" si="14"/>
        <v>0</v>
      </c>
      <c r="S89" s="28">
        <f t="shared" si="15"/>
        <v>0</v>
      </c>
    </row>
    <row r="90" spans="2:19">
      <c r="B90" s="469" t="s">
        <v>1428</v>
      </c>
      <c r="C90" s="13"/>
      <c r="D90" s="13"/>
      <c r="E90" s="13">
        <v>72</v>
      </c>
      <c r="F90" s="14"/>
      <c r="G90" s="8"/>
      <c r="H90" s="24">
        <f t="shared" si="8"/>
        <v>72</v>
      </c>
      <c r="I90" s="456">
        <f t="shared" si="9"/>
        <v>57.895600000000002</v>
      </c>
      <c r="J90" s="10">
        <v>0.08</v>
      </c>
      <c r="K90" s="12">
        <v>0.1</v>
      </c>
      <c r="L90" s="470">
        <v>62.93</v>
      </c>
      <c r="M90" s="121"/>
      <c r="N90" s="25">
        <f t="shared" si="10"/>
        <v>0</v>
      </c>
      <c r="O90" s="25">
        <f t="shared" si="11"/>
        <v>0</v>
      </c>
      <c r="P90" s="25">
        <f t="shared" si="12"/>
        <v>4168.4832000000006</v>
      </c>
      <c r="Q90" s="26">
        <f t="shared" si="13"/>
        <v>0</v>
      </c>
      <c r="R90" s="27">
        <f t="shared" si="14"/>
        <v>0</v>
      </c>
      <c r="S90" s="28">
        <f t="shared" si="15"/>
        <v>4168.4832000000006</v>
      </c>
    </row>
    <row r="91" spans="2:19">
      <c r="B91" s="469" t="s">
        <v>1429</v>
      </c>
      <c r="C91" s="13"/>
      <c r="D91" s="13"/>
      <c r="E91" s="13"/>
      <c r="F91" s="14"/>
      <c r="G91" s="8"/>
      <c r="H91" s="24">
        <f t="shared" si="8"/>
        <v>0</v>
      </c>
      <c r="I91" s="456">
        <f t="shared" si="9"/>
        <v>8.6112000000000002</v>
      </c>
      <c r="J91" s="10">
        <v>0.08</v>
      </c>
      <c r="K91" s="12">
        <v>0.1</v>
      </c>
      <c r="L91" s="470">
        <v>9.36</v>
      </c>
      <c r="M91" s="121"/>
      <c r="N91" s="25">
        <f t="shared" si="10"/>
        <v>0</v>
      </c>
      <c r="O91" s="25">
        <f t="shared" si="11"/>
        <v>0</v>
      </c>
      <c r="P91" s="25">
        <f t="shared" si="12"/>
        <v>0</v>
      </c>
      <c r="Q91" s="26">
        <f t="shared" si="13"/>
        <v>0</v>
      </c>
      <c r="R91" s="27">
        <f t="shared" si="14"/>
        <v>0</v>
      </c>
      <c r="S91" s="28">
        <f t="shared" si="15"/>
        <v>0</v>
      </c>
    </row>
    <row r="92" spans="2:19">
      <c r="B92" s="469" t="s">
        <v>1430</v>
      </c>
      <c r="C92" s="13"/>
      <c r="D92" s="13"/>
      <c r="E92" s="13"/>
      <c r="F92" s="14"/>
      <c r="G92" s="8"/>
      <c r="H92" s="24">
        <f t="shared" si="8"/>
        <v>0</v>
      </c>
      <c r="I92" s="456">
        <f t="shared" si="9"/>
        <v>100.5652</v>
      </c>
      <c r="J92" s="10">
        <v>0.08</v>
      </c>
      <c r="K92" s="12">
        <v>0.1</v>
      </c>
      <c r="L92" s="470">
        <v>109.31</v>
      </c>
      <c r="M92" s="121"/>
      <c r="N92" s="25">
        <f t="shared" si="10"/>
        <v>0</v>
      </c>
      <c r="O92" s="25">
        <f t="shared" si="11"/>
        <v>0</v>
      </c>
      <c r="P92" s="25">
        <f t="shared" si="12"/>
        <v>0</v>
      </c>
      <c r="Q92" s="26">
        <f t="shared" si="13"/>
        <v>0</v>
      </c>
      <c r="R92" s="27">
        <f t="shared" si="14"/>
        <v>0</v>
      </c>
      <c r="S92" s="28">
        <f t="shared" si="15"/>
        <v>0</v>
      </c>
    </row>
    <row r="93" spans="2:19">
      <c r="B93" s="469" t="s">
        <v>1431</v>
      </c>
      <c r="C93" s="13"/>
      <c r="D93" s="13"/>
      <c r="E93" s="13"/>
      <c r="F93" s="14">
        <v>120</v>
      </c>
      <c r="G93" s="8"/>
      <c r="H93" s="24">
        <f t="shared" si="8"/>
        <v>120</v>
      </c>
      <c r="I93" s="456">
        <f t="shared" si="9"/>
        <v>58.668400000000005</v>
      </c>
      <c r="J93" s="10">
        <v>0.08</v>
      </c>
      <c r="K93" s="12">
        <v>0.1</v>
      </c>
      <c r="L93" s="470">
        <v>63.77</v>
      </c>
      <c r="M93" s="121"/>
      <c r="N93" s="25">
        <f t="shared" si="10"/>
        <v>0</v>
      </c>
      <c r="O93" s="25">
        <f t="shared" si="11"/>
        <v>0</v>
      </c>
      <c r="P93" s="25">
        <f t="shared" si="12"/>
        <v>0</v>
      </c>
      <c r="Q93" s="26">
        <f t="shared" si="13"/>
        <v>7040.2080000000005</v>
      </c>
      <c r="R93" s="27">
        <f t="shared" si="14"/>
        <v>0</v>
      </c>
      <c r="S93" s="28">
        <f t="shared" si="15"/>
        <v>7040.2080000000005</v>
      </c>
    </row>
    <row r="94" spans="2:19">
      <c r="B94" s="469" t="s">
        <v>1432</v>
      </c>
      <c r="C94" s="13"/>
      <c r="D94" s="13"/>
      <c r="E94" s="13"/>
      <c r="F94" s="14">
        <v>3</v>
      </c>
      <c r="G94" s="8"/>
      <c r="H94" s="24">
        <f t="shared" si="8"/>
        <v>3</v>
      </c>
      <c r="I94" s="456">
        <f t="shared" si="9"/>
        <v>135.47</v>
      </c>
      <c r="J94" s="10">
        <v>0.08</v>
      </c>
      <c r="K94" s="12">
        <v>0.1</v>
      </c>
      <c r="L94" s="470">
        <v>147.25</v>
      </c>
      <c r="M94" s="121"/>
      <c r="N94" s="25">
        <f t="shared" si="10"/>
        <v>0</v>
      </c>
      <c r="O94" s="25">
        <f t="shared" si="11"/>
        <v>0</v>
      </c>
      <c r="P94" s="25">
        <f t="shared" si="12"/>
        <v>0</v>
      </c>
      <c r="Q94" s="26">
        <f t="shared" si="13"/>
        <v>406.40999999999997</v>
      </c>
      <c r="R94" s="27">
        <f t="shared" si="14"/>
        <v>0</v>
      </c>
      <c r="S94" s="28">
        <f t="shared" si="15"/>
        <v>406.40999999999997</v>
      </c>
    </row>
    <row r="95" spans="2:19">
      <c r="B95" s="469" t="s">
        <v>1433</v>
      </c>
      <c r="C95" s="13"/>
      <c r="D95" s="13"/>
      <c r="E95" s="13"/>
      <c r="F95" s="14"/>
      <c r="G95" s="8"/>
      <c r="H95" s="24">
        <f t="shared" si="8"/>
        <v>0</v>
      </c>
      <c r="I95" s="456">
        <f t="shared" si="9"/>
        <v>74.667199999999994</v>
      </c>
      <c r="J95" s="10">
        <v>0.08</v>
      </c>
      <c r="K95" s="12">
        <v>0.1</v>
      </c>
      <c r="L95" s="470">
        <v>81.16</v>
      </c>
      <c r="M95" s="121"/>
      <c r="N95" s="25">
        <f t="shared" si="10"/>
        <v>0</v>
      </c>
      <c r="O95" s="25">
        <f t="shared" si="11"/>
        <v>0</v>
      </c>
      <c r="P95" s="25">
        <f t="shared" si="12"/>
        <v>0</v>
      </c>
      <c r="Q95" s="26">
        <f t="shared" si="13"/>
        <v>0</v>
      </c>
      <c r="R95" s="27">
        <f t="shared" si="14"/>
        <v>0</v>
      </c>
      <c r="S95" s="28">
        <f t="shared" si="15"/>
        <v>0</v>
      </c>
    </row>
    <row r="96" spans="2:19">
      <c r="B96" s="469" t="s">
        <v>1434</v>
      </c>
      <c r="C96" s="13"/>
      <c r="D96" s="13"/>
      <c r="E96" s="13"/>
      <c r="F96" s="14"/>
      <c r="G96" s="8"/>
      <c r="H96" s="24">
        <f t="shared" si="8"/>
        <v>0</v>
      </c>
      <c r="I96" s="456">
        <f t="shared" si="9"/>
        <v>40.360399999999998</v>
      </c>
      <c r="J96" s="10">
        <v>0.08</v>
      </c>
      <c r="K96" s="12">
        <v>0.1</v>
      </c>
      <c r="L96" s="470">
        <v>43.87</v>
      </c>
      <c r="M96" s="121"/>
      <c r="N96" s="25">
        <f t="shared" si="10"/>
        <v>0</v>
      </c>
      <c r="O96" s="25">
        <f t="shared" si="11"/>
        <v>0</v>
      </c>
      <c r="P96" s="25">
        <f t="shared" si="12"/>
        <v>0</v>
      </c>
      <c r="Q96" s="26">
        <f t="shared" si="13"/>
        <v>0</v>
      </c>
      <c r="R96" s="27">
        <f t="shared" si="14"/>
        <v>0</v>
      </c>
      <c r="S96" s="28">
        <f t="shared" si="15"/>
        <v>0</v>
      </c>
    </row>
    <row r="97" spans="2:19" ht="15" customHeight="1">
      <c r="B97" s="469" t="s">
        <v>1435</v>
      </c>
      <c r="C97" s="13"/>
      <c r="D97" s="13"/>
      <c r="E97" s="13"/>
      <c r="F97" s="14"/>
      <c r="G97" s="8"/>
      <c r="H97" s="24">
        <f t="shared" si="8"/>
        <v>0</v>
      </c>
      <c r="I97" s="456">
        <f t="shared" si="9"/>
        <v>19.1084</v>
      </c>
      <c r="J97" s="10">
        <v>0.08</v>
      </c>
      <c r="K97" s="12">
        <v>0.1</v>
      </c>
      <c r="L97" s="470">
        <v>20.77</v>
      </c>
      <c r="M97" s="121"/>
      <c r="N97" s="25">
        <f t="shared" si="10"/>
        <v>0</v>
      </c>
      <c r="O97" s="25">
        <f t="shared" si="11"/>
        <v>0</v>
      </c>
      <c r="P97" s="25">
        <f t="shared" si="12"/>
        <v>0</v>
      </c>
      <c r="Q97" s="26">
        <f t="shared" si="13"/>
        <v>0</v>
      </c>
      <c r="R97" s="27">
        <f t="shared" si="14"/>
        <v>0</v>
      </c>
      <c r="S97" s="28">
        <f t="shared" si="15"/>
        <v>0</v>
      </c>
    </row>
    <row r="98" spans="2:19">
      <c r="B98" s="469" t="s">
        <v>1436</v>
      </c>
      <c r="C98" s="13"/>
      <c r="D98" s="13"/>
      <c r="E98" s="13"/>
      <c r="F98" s="14"/>
      <c r="G98" s="8"/>
      <c r="H98" s="24">
        <f t="shared" ref="H98:H104" si="16">SUM(C98:G98)</f>
        <v>0</v>
      </c>
      <c r="I98" s="456">
        <f t="shared" ref="I98:I104" si="17">L98-(L98*J98)</f>
        <v>118.38560000000001</v>
      </c>
      <c r="J98" s="10">
        <v>0.08</v>
      </c>
      <c r="K98" s="12">
        <v>0.1</v>
      </c>
      <c r="L98" s="470">
        <v>128.68</v>
      </c>
      <c r="M98" s="121"/>
      <c r="N98" s="25">
        <f t="shared" si="10"/>
        <v>0</v>
      </c>
      <c r="O98" s="25">
        <f t="shared" si="11"/>
        <v>0</v>
      </c>
      <c r="P98" s="25">
        <f t="shared" si="12"/>
        <v>0</v>
      </c>
      <c r="Q98" s="26">
        <f t="shared" si="13"/>
        <v>0</v>
      </c>
      <c r="R98" s="27">
        <f t="shared" si="14"/>
        <v>0</v>
      </c>
      <c r="S98" s="28">
        <f t="shared" si="15"/>
        <v>0</v>
      </c>
    </row>
    <row r="99" spans="2:19">
      <c r="B99" s="469" t="s">
        <v>1437</v>
      </c>
      <c r="C99" s="13"/>
      <c r="D99" s="13"/>
      <c r="E99" s="13"/>
      <c r="F99" s="14"/>
      <c r="G99" s="8"/>
      <c r="H99" s="24">
        <f t="shared" si="16"/>
        <v>0</v>
      </c>
      <c r="I99" s="456">
        <f t="shared" si="17"/>
        <v>15.879200000000001</v>
      </c>
      <c r="J99" s="10">
        <v>0.08</v>
      </c>
      <c r="K99" s="12">
        <v>0.1</v>
      </c>
      <c r="L99" s="470">
        <v>17.260000000000002</v>
      </c>
      <c r="M99" s="121"/>
      <c r="N99" s="25">
        <f t="shared" si="10"/>
        <v>0</v>
      </c>
      <c r="O99" s="25">
        <f t="shared" si="11"/>
        <v>0</v>
      </c>
      <c r="P99" s="25">
        <f t="shared" si="12"/>
        <v>0</v>
      </c>
      <c r="Q99" s="26">
        <f t="shared" si="13"/>
        <v>0</v>
      </c>
      <c r="R99" s="27">
        <f t="shared" si="14"/>
        <v>0</v>
      </c>
      <c r="S99" s="28">
        <f t="shared" si="15"/>
        <v>0</v>
      </c>
    </row>
    <row r="100" spans="2:19">
      <c r="B100" s="469" t="s">
        <v>1438</v>
      </c>
      <c r="C100" s="13"/>
      <c r="D100" s="13"/>
      <c r="E100" s="13"/>
      <c r="F100" s="14"/>
      <c r="G100" s="8"/>
      <c r="H100" s="24">
        <f t="shared" si="16"/>
        <v>0</v>
      </c>
      <c r="I100" s="456">
        <f t="shared" si="17"/>
        <v>4.7380000000000004</v>
      </c>
      <c r="J100" s="10">
        <v>0.08</v>
      </c>
      <c r="K100" s="12">
        <v>0.1</v>
      </c>
      <c r="L100" s="470">
        <v>5.15</v>
      </c>
      <c r="M100" s="121"/>
      <c r="N100" s="25">
        <f t="shared" si="10"/>
        <v>0</v>
      </c>
      <c r="O100" s="25">
        <f t="shared" si="11"/>
        <v>0</v>
      </c>
      <c r="P100" s="25">
        <f t="shared" si="12"/>
        <v>0</v>
      </c>
      <c r="Q100" s="26">
        <f t="shared" si="13"/>
        <v>0</v>
      </c>
      <c r="R100" s="27">
        <f t="shared" si="14"/>
        <v>0</v>
      </c>
      <c r="S100" s="28">
        <f t="shared" si="15"/>
        <v>0</v>
      </c>
    </row>
    <row r="101" spans="2:19">
      <c r="B101" s="469" t="s">
        <v>1439</v>
      </c>
      <c r="C101" s="13"/>
      <c r="D101" s="13"/>
      <c r="E101" s="13"/>
      <c r="F101" s="14"/>
      <c r="G101" s="8"/>
      <c r="H101" s="24">
        <f t="shared" si="16"/>
        <v>0</v>
      </c>
      <c r="I101" s="456">
        <f t="shared" si="17"/>
        <v>124.982</v>
      </c>
      <c r="J101" s="10">
        <v>0.08</v>
      </c>
      <c r="K101" s="12">
        <v>0.1</v>
      </c>
      <c r="L101" s="470">
        <v>135.85</v>
      </c>
      <c r="M101" s="121"/>
      <c r="N101" s="25">
        <f t="shared" si="10"/>
        <v>0</v>
      </c>
      <c r="O101" s="25">
        <f t="shared" si="11"/>
        <v>0</v>
      </c>
      <c r="P101" s="25">
        <f t="shared" si="12"/>
        <v>0</v>
      </c>
      <c r="Q101" s="26">
        <f t="shared" si="13"/>
        <v>0</v>
      </c>
      <c r="R101" s="27">
        <f t="shared" si="14"/>
        <v>0</v>
      </c>
      <c r="S101" s="28">
        <f t="shared" si="15"/>
        <v>0</v>
      </c>
    </row>
    <row r="102" spans="2:19">
      <c r="B102" s="469" t="s">
        <v>1440</v>
      </c>
      <c r="C102" s="13"/>
      <c r="D102" s="13"/>
      <c r="E102" s="13"/>
      <c r="F102" s="14"/>
      <c r="G102" s="8"/>
      <c r="H102" s="24">
        <f t="shared" si="16"/>
        <v>0</v>
      </c>
      <c r="I102" s="456">
        <f t="shared" si="17"/>
        <v>20.865600000000001</v>
      </c>
      <c r="J102" s="10">
        <v>0.08</v>
      </c>
      <c r="K102" s="12">
        <v>0.1</v>
      </c>
      <c r="L102" s="470">
        <v>22.68</v>
      </c>
      <c r="M102" s="121"/>
      <c r="N102" s="25">
        <f t="shared" si="10"/>
        <v>0</v>
      </c>
      <c r="O102" s="25">
        <f t="shared" si="11"/>
        <v>0</v>
      </c>
      <c r="P102" s="25">
        <f t="shared" si="12"/>
        <v>0</v>
      </c>
      <c r="Q102" s="26">
        <f t="shared" si="13"/>
        <v>0</v>
      </c>
      <c r="R102" s="27">
        <f t="shared" si="14"/>
        <v>0</v>
      </c>
      <c r="S102" s="28">
        <f t="shared" si="15"/>
        <v>0</v>
      </c>
    </row>
    <row r="103" spans="2:19">
      <c r="B103" s="469" t="s">
        <v>1441</v>
      </c>
      <c r="C103" s="13"/>
      <c r="D103" s="13"/>
      <c r="E103" s="13"/>
      <c r="F103" s="14"/>
      <c r="G103" s="8"/>
      <c r="H103" s="24">
        <f t="shared" si="16"/>
        <v>0</v>
      </c>
      <c r="I103" s="456">
        <f t="shared" si="17"/>
        <v>12.2728</v>
      </c>
      <c r="J103" s="10">
        <v>0.08</v>
      </c>
      <c r="K103" s="12">
        <v>0.1</v>
      </c>
      <c r="L103" s="470">
        <v>13.34</v>
      </c>
      <c r="M103" s="121"/>
      <c r="N103" s="25">
        <f t="shared" si="10"/>
        <v>0</v>
      </c>
      <c r="O103" s="25">
        <f t="shared" si="11"/>
        <v>0</v>
      </c>
      <c r="P103" s="25">
        <f t="shared" si="12"/>
        <v>0</v>
      </c>
      <c r="Q103" s="26">
        <f t="shared" si="13"/>
        <v>0</v>
      </c>
      <c r="R103" s="27">
        <f t="shared" si="14"/>
        <v>0</v>
      </c>
      <c r="S103" s="28">
        <f t="shared" si="15"/>
        <v>0</v>
      </c>
    </row>
    <row r="104" spans="2:19">
      <c r="B104" s="469" t="s">
        <v>1442</v>
      </c>
      <c r="C104" s="13"/>
      <c r="D104" s="13"/>
      <c r="E104" s="13"/>
      <c r="F104" s="14"/>
      <c r="G104" s="8"/>
      <c r="H104" s="24">
        <f t="shared" si="16"/>
        <v>0</v>
      </c>
      <c r="I104" s="456">
        <f t="shared" si="17"/>
        <v>36.855200000000004</v>
      </c>
      <c r="J104" s="10">
        <v>0.08</v>
      </c>
      <c r="K104" s="12">
        <v>0.1</v>
      </c>
      <c r="L104" s="470">
        <v>40.06</v>
      </c>
      <c r="M104" s="121"/>
      <c r="N104" s="25">
        <f t="shared" si="10"/>
        <v>0</v>
      </c>
      <c r="O104" s="25">
        <f t="shared" si="11"/>
        <v>0</v>
      </c>
      <c r="P104" s="25">
        <f t="shared" si="12"/>
        <v>0</v>
      </c>
      <c r="Q104" s="26">
        <f t="shared" si="13"/>
        <v>0</v>
      </c>
      <c r="R104" s="27">
        <f t="shared" si="14"/>
        <v>0</v>
      </c>
      <c r="S104" s="28">
        <f t="shared" si="15"/>
        <v>0</v>
      </c>
    </row>
    <row r="105" spans="2:19">
      <c r="B105" s="469" t="s">
        <v>1443</v>
      </c>
      <c r="C105" s="13"/>
      <c r="D105" s="13"/>
      <c r="E105" s="13"/>
      <c r="F105" s="14"/>
      <c r="G105" s="8"/>
      <c r="H105" s="24">
        <f t="shared" ref="H105:H110" si="18">SUM(C105:G105)</f>
        <v>0</v>
      </c>
      <c r="I105" s="456">
        <f t="shared" ref="I105:I110" si="19">L105-(L105*J105)</f>
        <v>18.510400000000001</v>
      </c>
      <c r="J105" s="10">
        <v>0.08</v>
      </c>
      <c r="K105" s="12">
        <v>0.1</v>
      </c>
      <c r="L105" s="470">
        <v>20.12</v>
      </c>
      <c r="M105" s="121"/>
      <c r="N105" s="25">
        <f t="shared" si="10"/>
        <v>0</v>
      </c>
      <c r="O105" s="25">
        <f t="shared" si="11"/>
        <v>0</v>
      </c>
      <c r="P105" s="25">
        <f t="shared" si="12"/>
        <v>0</v>
      </c>
      <c r="Q105" s="26">
        <f t="shared" si="13"/>
        <v>0</v>
      </c>
      <c r="R105" s="27">
        <f t="shared" si="14"/>
        <v>0</v>
      </c>
      <c r="S105" s="28">
        <f t="shared" si="15"/>
        <v>0</v>
      </c>
    </row>
    <row r="106" spans="2:19">
      <c r="B106" s="469" t="s">
        <v>1444</v>
      </c>
      <c r="C106" s="13"/>
      <c r="D106" s="13"/>
      <c r="E106" s="13"/>
      <c r="F106" s="14"/>
      <c r="G106" s="8"/>
      <c r="H106" s="24">
        <f t="shared" si="18"/>
        <v>0</v>
      </c>
      <c r="I106" s="456">
        <f t="shared" si="19"/>
        <v>67.684399999999997</v>
      </c>
      <c r="J106" s="10">
        <v>0.08</v>
      </c>
      <c r="K106" s="12">
        <v>0.1</v>
      </c>
      <c r="L106" s="470">
        <v>73.569999999999993</v>
      </c>
      <c r="M106" s="121"/>
      <c r="N106" s="25">
        <f t="shared" si="10"/>
        <v>0</v>
      </c>
      <c r="O106" s="25">
        <f t="shared" si="11"/>
        <v>0</v>
      </c>
      <c r="P106" s="25">
        <f t="shared" si="12"/>
        <v>0</v>
      </c>
      <c r="Q106" s="26">
        <f t="shared" si="13"/>
        <v>0</v>
      </c>
      <c r="R106" s="27">
        <f t="shared" si="14"/>
        <v>0</v>
      </c>
      <c r="S106" s="28">
        <f t="shared" si="15"/>
        <v>0</v>
      </c>
    </row>
    <row r="107" spans="2:19">
      <c r="B107" s="469" t="s">
        <v>1445</v>
      </c>
      <c r="C107" s="13"/>
      <c r="D107" s="13"/>
      <c r="E107" s="13"/>
      <c r="F107" s="14"/>
      <c r="G107" s="8"/>
      <c r="H107" s="24">
        <f t="shared" si="18"/>
        <v>0</v>
      </c>
      <c r="I107" s="456">
        <f t="shared" si="19"/>
        <v>10.7364</v>
      </c>
      <c r="J107" s="10">
        <v>0.08</v>
      </c>
      <c r="K107" s="12">
        <v>0.1</v>
      </c>
      <c r="L107" s="470">
        <v>11.67</v>
      </c>
      <c r="M107" s="121"/>
      <c r="N107" s="25">
        <f t="shared" si="10"/>
        <v>0</v>
      </c>
      <c r="O107" s="25">
        <f t="shared" si="11"/>
        <v>0</v>
      </c>
      <c r="P107" s="25">
        <f t="shared" si="12"/>
        <v>0</v>
      </c>
      <c r="Q107" s="26">
        <f t="shared" si="13"/>
        <v>0</v>
      </c>
      <c r="R107" s="27">
        <f t="shared" si="14"/>
        <v>0</v>
      </c>
      <c r="S107" s="28">
        <f t="shared" si="15"/>
        <v>0</v>
      </c>
    </row>
    <row r="108" spans="2:19">
      <c r="B108" s="469" t="s">
        <v>1446</v>
      </c>
      <c r="C108" s="13"/>
      <c r="D108" s="13"/>
      <c r="E108" s="13"/>
      <c r="F108" s="14"/>
      <c r="G108" s="8"/>
      <c r="H108" s="24">
        <f t="shared" si="18"/>
        <v>0</v>
      </c>
      <c r="I108" s="456">
        <f t="shared" si="19"/>
        <v>29.955200000000001</v>
      </c>
      <c r="J108" s="10">
        <v>0.08</v>
      </c>
      <c r="K108" s="12">
        <v>0.1</v>
      </c>
      <c r="L108" s="470">
        <v>32.56</v>
      </c>
      <c r="M108" s="121"/>
      <c r="N108" s="25">
        <f t="shared" si="10"/>
        <v>0</v>
      </c>
      <c r="O108" s="25">
        <f t="shared" si="11"/>
        <v>0</v>
      </c>
      <c r="P108" s="25">
        <f t="shared" si="12"/>
        <v>0</v>
      </c>
      <c r="Q108" s="26">
        <f t="shared" si="13"/>
        <v>0</v>
      </c>
      <c r="R108" s="27">
        <f t="shared" si="14"/>
        <v>0</v>
      </c>
      <c r="S108" s="28">
        <f t="shared" si="15"/>
        <v>0</v>
      </c>
    </row>
    <row r="109" spans="2:19">
      <c r="B109" s="469" t="s">
        <v>1447</v>
      </c>
      <c r="C109" s="13"/>
      <c r="D109" s="13"/>
      <c r="E109" s="13"/>
      <c r="F109" s="14"/>
      <c r="G109" s="8"/>
      <c r="H109" s="24">
        <f t="shared" si="18"/>
        <v>0</v>
      </c>
      <c r="I109" s="456">
        <f t="shared" si="19"/>
        <v>37.821199999999997</v>
      </c>
      <c r="J109" s="10">
        <v>0.08</v>
      </c>
      <c r="K109" s="12">
        <v>0.1</v>
      </c>
      <c r="L109" s="470">
        <v>41.11</v>
      </c>
      <c r="M109" s="121"/>
      <c r="N109" s="25">
        <f t="shared" si="10"/>
        <v>0</v>
      </c>
      <c r="O109" s="25">
        <f t="shared" si="11"/>
        <v>0</v>
      </c>
      <c r="P109" s="25">
        <f t="shared" si="12"/>
        <v>0</v>
      </c>
      <c r="Q109" s="26">
        <f t="shared" si="13"/>
        <v>0</v>
      </c>
      <c r="R109" s="27">
        <f t="shared" si="14"/>
        <v>0</v>
      </c>
      <c r="S109" s="28">
        <f t="shared" si="15"/>
        <v>0</v>
      </c>
    </row>
    <row r="110" spans="2:19">
      <c r="B110" s="469" t="s">
        <v>1448</v>
      </c>
      <c r="C110" s="13"/>
      <c r="D110" s="13"/>
      <c r="E110" s="13"/>
      <c r="F110" s="14"/>
      <c r="G110" s="8">
        <v>24</v>
      </c>
      <c r="H110" s="24">
        <f t="shared" si="18"/>
        <v>24</v>
      </c>
      <c r="I110" s="456">
        <f t="shared" si="19"/>
        <v>25.180400000000002</v>
      </c>
      <c r="J110" s="10">
        <v>0.08</v>
      </c>
      <c r="K110" s="12">
        <v>0.1</v>
      </c>
      <c r="L110" s="470">
        <v>27.37</v>
      </c>
      <c r="M110" s="121"/>
      <c r="N110" s="25">
        <f t="shared" si="10"/>
        <v>0</v>
      </c>
      <c r="O110" s="25">
        <f t="shared" si="11"/>
        <v>0</v>
      </c>
      <c r="P110" s="25">
        <f t="shared" si="12"/>
        <v>0</v>
      </c>
      <c r="Q110" s="26">
        <f t="shared" si="13"/>
        <v>0</v>
      </c>
      <c r="R110" s="27">
        <f t="shared" si="14"/>
        <v>604.32960000000003</v>
      </c>
      <c r="S110" s="28">
        <f t="shared" si="15"/>
        <v>604.32960000000003</v>
      </c>
    </row>
    <row r="111" spans="2:19">
      <c r="B111" s="58" t="s">
        <v>13</v>
      </c>
      <c r="C111" s="288">
        <f t="shared" ref="C111:G111" si="20">SUM(N6:N110)</f>
        <v>1090.6416000000002</v>
      </c>
      <c r="D111" s="288">
        <f t="shared" si="20"/>
        <v>7626.7999999999993</v>
      </c>
      <c r="E111" s="288">
        <f t="shared" si="20"/>
        <v>4168.4832000000006</v>
      </c>
      <c r="F111" s="288">
        <f t="shared" si="20"/>
        <v>13201.034</v>
      </c>
      <c r="G111" s="288">
        <f t="shared" si="20"/>
        <v>43248.206399999995</v>
      </c>
      <c r="H111" s="288">
        <f>SUM(S6:S110)</f>
        <v>69335.165200000003</v>
      </c>
    </row>
    <row r="112" spans="2:19">
      <c r="B112" s="59" t="s">
        <v>46</v>
      </c>
      <c r="G112" s="5">
        <f>FABIANI!H34</f>
        <v>119040.81039999999</v>
      </c>
    </row>
    <row r="113" spans="2:8" ht="16.5" thickBot="1">
      <c r="B113" s="2"/>
      <c r="G113" s="5">
        <f>G112+H111</f>
        <v>188375.97560000001</v>
      </c>
    </row>
    <row r="114" spans="2:8">
      <c r="B114" s="60" t="s">
        <v>47</v>
      </c>
      <c r="G114" s="15"/>
      <c r="H114" s="15"/>
    </row>
    <row r="115" spans="2:8">
      <c r="B115" s="61" t="s">
        <v>19</v>
      </c>
    </row>
    <row r="116" spans="2:8">
      <c r="B116" s="61" t="s">
        <v>17</v>
      </c>
    </row>
    <row r="117" spans="2:8" ht="16.5" thickBot="1">
      <c r="B117" s="62" t="s">
        <v>18</v>
      </c>
    </row>
    <row r="118" spans="2:8">
      <c r="B118" s="2"/>
    </row>
    <row r="119" spans="2:8">
      <c r="B119" s="30" t="s">
        <v>20</v>
      </c>
    </row>
    <row r="120" spans="2:8">
      <c r="B120" s="35"/>
    </row>
    <row r="121" spans="2:8">
      <c r="B121" s="35"/>
    </row>
    <row r="122" spans="2:8">
      <c r="G122" s="5" t="str">
        <f t="shared" ref="G122:G143" si="21">IF(B122&lt;&gt;"",SUM(C122:F122),"")</f>
        <v/>
      </c>
    </row>
    <row r="123" spans="2:8">
      <c r="G123" s="5" t="str">
        <f t="shared" si="21"/>
        <v/>
      </c>
    </row>
    <row r="124" spans="2:8">
      <c r="G124" s="5" t="str">
        <f t="shared" si="21"/>
        <v/>
      </c>
    </row>
    <row r="125" spans="2:8">
      <c r="G125" s="5" t="str">
        <f t="shared" si="21"/>
        <v/>
      </c>
    </row>
    <row r="126" spans="2:8">
      <c r="G126" s="5" t="str">
        <f t="shared" si="21"/>
        <v/>
      </c>
    </row>
    <row r="127" spans="2:8">
      <c r="G127" s="5" t="str">
        <f t="shared" si="21"/>
        <v/>
      </c>
    </row>
    <row r="128" spans="2:8">
      <c r="G128" s="5" t="str">
        <f t="shared" si="21"/>
        <v/>
      </c>
    </row>
    <row r="129" spans="7:7">
      <c r="G129" s="5" t="str">
        <f t="shared" si="21"/>
        <v/>
      </c>
    </row>
    <row r="130" spans="7:7">
      <c r="G130" s="5" t="str">
        <f t="shared" si="21"/>
        <v/>
      </c>
    </row>
    <row r="131" spans="7:7">
      <c r="G131" s="5" t="str">
        <f t="shared" si="21"/>
        <v/>
      </c>
    </row>
    <row r="132" spans="7:7">
      <c r="G132" s="5" t="str">
        <f t="shared" si="21"/>
        <v/>
      </c>
    </row>
    <row r="133" spans="7:7">
      <c r="G133" s="5" t="str">
        <f t="shared" si="21"/>
        <v/>
      </c>
    </row>
    <row r="134" spans="7:7">
      <c r="G134" s="5" t="str">
        <f t="shared" si="21"/>
        <v/>
      </c>
    </row>
    <row r="135" spans="7:7">
      <c r="G135" s="5" t="str">
        <f t="shared" si="21"/>
        <v/>
      </c>
    </row>
    <row r="136" spans="7:7">
      <c r="G136" s="5" t="str">
        <f t="shared" si="21"/>
        <v/>
      </c>
    </row>
    <row r="137" spans="7:7">
      <c r="G137" s="5" t="str">
        <f t="shared" si="21"/>
        <v/>
      </c>
    </row>
    <row r="138" spans="7:7">
      <c r="G138" s="5" t="str">
        <f t="shared" si="21"/>
        <v/>
      </c>
    </row>
    <row r="139" spans="7:7">
      <c r="G139" s="5" t="str">
        <f t="shared" si="21"/>
        <v/>
      </c>
    </row>
    <row r="140" spans="7:7">
      <c r="G140" s="5" t="str">
        <f t="shared" si="21"/>
        <v/>
      </c>
    </row>
    <row r="141" spans="7:7">
      <c r="G141" s="5" t="str">
        <f t="shared" si="21"/>
        <v/>
      </c>
    </row>
    <row r="142" spans="7:7">
      <c r="G142" s="5" t="str">
        <f t="shared" si="21"/>
        <v/>
      </c>
    </row>
    <row r="143" spans="7:7">
      <c r="G143" s="5" t="str">
        <f t="shared" si="21"/>
        <v/>
      </c>
    </row>
    <row r="144" spans="7:7">
      <c r="G144" s="5" t="str">
        <f t="shared" ref="G144:G207" si="22">IF(B144&lt;&gt;"",SUM(C144:F144),"")</f>
        <v/>
      </c>
    </row>
    <row r="145" spans="7:7">
      <c r="G145" s="5" t="str">
        <f t="shared" si="22"/>
        <v/>
      </c>
    </row>
    <row r="146" spans="7:7">
      <c r="G146" s="5" t="str">
        <f t="shared" si="22"/>
        <v/>
      </c>
    </row>
    <row r="147" spans="7:7">
      <c r="G147" s="5" t="str">
        <f t="shared" si="22"/>
        <v/>
      </c>
    </row>
    <row r="148" spans="7:7">
      <c r="G148" s="5" t="str">
        <f t="shared" si="22"/>
        <v/>
      </c>
    </row>
    <row r="149" spans="7:7">
      <c r="G149" s="5" t="str">
        <f t="shared" si="22"/>
        <v/>
      </c>
    </row>
    <row r="150" spans="7:7">
      <c r="G150" s="5" t="str">
        <f t="shared" si="22"/>
        <v/>
      </c>
    </row>
    <row r="151" spans="7:7">
      <c r="G151" s="5" t="str">
        <f t="shared" si="22"/>
        <v/>
      </c>
    </row>
    <row r="152" spans="7:7">
      <c r="G152" s="5" t="str">
        <f t="shared" si="22"/>
        <v/>
      </c>
    </row>
    <row r="153" spans="7:7">
      <c r="G153" s="5" t="str">
        <f t="shared" si="22"/>
        <v/>
      </c>
    </row>
    <row r="154" spans="7:7">
      <c r="G154" s="5" t="str">
        <f t="shared" si="22"/>
        <v/>
      </c>
    </row>
    <row r="155" spans="7:7">
      <c r="G155" s="5" t="str">
        <f t="shared" si="22"/>
        <v/>
      </c>
    </row>
    <row r="156" spans="7:7">
      <c r="G156" s="5" t="str">
        <f t="shared" si="22"/>
        <v/>
      </c>
    </row>
    <row r="157" spans="7:7">
      <c r="G157" s="5" t="str">
        <f t="shared" si="22"/>
        <v/>
      </c>
    </row>
    <row r="158" spans="7:7">
      <c r="G158" s="5" t="str">
        <f t="shared" si="22"/>
        <v/>
      </c>
    </row>
    <row r="159" spans="7:7">
      <c r="G159" s="5" t="str">
        <f t="shared" si="22"/>
        <v/>
      </c>
    </row>
    <row r="160" spans="7:7">
      <c r="G160" s="5" t="str">
        <f t="shared" si="22"/>
        <v/>
      </c>
    </row>
    <row r="161" spans="7:7">
      <c r="G161" s="5" t="str">
        <f t="shared" si="22"/>
        <v/>
      </c>
    </row>
    <row r="162" spans="7:7">
      <c r="G162" s="5" t="str">
        <f t="shared" si="22"/>
        <v/>
      </c>
    </row>
    <row r="163" spans="7:7">
      <c r="G163" s="5" t="str">
        <f t="shared" si="22"/>
        <v/>
      </c>
    </row>
    <row r="164" spans="7:7">
      <c r="G164" s="5" t="str">
        <f t="shared" si="22"/>
        <v/>
      </c>
    </row>
    <row r="165" spans="7:7">
      <c r="G165" s="5" t="str">
        <f t="shared" si="22"/>
        <v/>
      </c>
    </row>
    <row r="166" spans="7:7">
      <c r="G166" s="5" t="str">
        <f t="shared" si="22"/>
        <v/>
      </c>
    </row>
    <row r="167" spans="7:7">
      <c r="G167" s="5" t="str">
        <f t="shared" si="22"/>
        <v/>
      </c>
    </row>
    <row r="168" spans="7:7">
      <c r="G168" s="5" t="str">
        <f t="shared" si="22"/>
        <v/>
      </c>
    </row>
    <row r="169" spans="7:7">
      <c r="G169" s="5" t="str">
        <f t="shared" si="22"/>
        <v/>
      </c>
    </row>
    <row r="170" spans="7:7">
      <c r="G170" s="5" t="str">
        <f t="shared" si="22"/>
        <v/>
      </c>
    </row>
    <row r="171" spans="7:7">
      <c r="G171" s="5" t="str">
        <f t="shared" si="22"/>
        <v/>
      </c>
    </row>
    <row r="172" spans="7:7">
      <c r="G172" s="5" t="str">
        <f t="shared" si="22"/>
        <v/>
      </c>
    </row>
    <row r="173" spans="7:7">
      <c r="G173" s="5" t="str">
        <f t="shared" si="22"/>
        <v/>
      </c>
    </row>
    <row r="174" spans="7:7">
      <c r="G174" s="5" t="str">
        <f t="shared" si="22"/>
        <v/>
      </c>
    </row>
    <row r="175" spans="7:7">
      <c r="G175" s="5" t="str">
        <f t="shared" si="22"/>
        <v/>
      </c>
    </row>
    <row r="176" spans="7:7">
      <c r="G176" s="5" t="str">
        <f t="shared" si="22"/>
        <v/>
      </c>
    </row>
    <row r="177" spans="7:7">
      <c r="G177" s="5" t="str">
        <f t="shared" si="22"/>
        <v/>
      </c>
    </row>
    <row r="178" spans="7:7">
      <c r="G178" s="5" t="str">
        <f t="shared" si="22"/>
        <v/>
      </c>
    </row>
    <row r="179" spans="7:7">
      <c r="G179" s="5" t="str">
        <f t="shared" si="22"/>
        <v/>
      </c>
    </row>
    <row r="180" spans="7:7">
      <c r="G180" s="5" t="str">
        <f t="shared" si="22"/>
        <v/>
      </c>
    </row>
    <row r="181" spans="7:7">
      <c r="G181" s="5" t="str">
        <f t="shared" si="22"/>
        <v/>
      </c>
    </row>
    <row r="182" spans="7:7">
      <c r="G182" s="5" t="str">
        <f t="shared" si="22"/>
        <v/>
      </c>
    </row>
    <row r="183" spans="7:7">
      <c r="G183" s="5" t="str">
        <f t="shared" si="22"/>
        <v/>
      </c>
    </row>
    <row r="184" spans="7:7">
      <c r="G184" s="5" t="str">
        <f t="shared" si="22"/>
        <v/>
      </c>
    </row>
    <row r="185" spans="7:7">
      <c r="G185" s="5" t="str">
        <f t="shared" si="22"/>
        <v/>
      </c>
    </row>
    <row r="186" spans="7:7">
      <c r="G186" s="5" t="str">
        <f t="shared" si="22"/>
        <v/>
      </c>
    </row>
    <row r="187" spans="7:7">
      <c r="G187" s="5" t="str">
        <f t="shared" si="22"/>
        <v/>
      </c>
    </row>
    <row r="188" spans="7:7">
      <c r="G188" s="5" t="str">
        <f t="shared" si="22"/>
        <v/>
      </c>
    </row>
    <row r="189" spans="7:7">
      <c r="G189" s="5" t="str">
        <f t="shared" si="22"/>
        <v/>
      </c>
    </row>
    <row r="190" spans="7:7">
      <c r="G190" s="5" t="str">
        <f t="shared" si="22"/>
        <v/>
      </c>
    </row>
    <row r="191" spans="7:7">
      <c r="G191" s="5" t="str">
        <f t="shared" si="22"/>
        <v/>
      </c>
    </row>
    <row r="192" spans="7:7">
      <c r="G192" s="5" t="str">
        <f t="shared" si="22"/>
        <v/>
      </c>
    </row>
    <row r="193" spans="7:7">
      <c r="G193" s="5" t="str">
        <f t="shared" si="22"/>
        <v/>
      </c>
    </row>
    <row r="194" spans="7:7">
      <c r="G194" s="5" t="str">
        <f t="shared" si="22"/>
        <v/>
      </c>
    </row>
    <row r="195" spans="7:7">
      <c r="G195" s="5" t="str">
        <f t="shared" si="22"/>
        <v/>
      </c>
    </row>
    <row r="196" spans="7:7">
      <c r="G196" s="5" t="str">
        <f t="shared" si="22"/>
        <v/>
      </c>
    </row>
    <row r="197" spans="7:7">
      <c r="G197" s="5" t="str">
        <f t="shared" si="22"/>
        <v/>
      </c>
    </row>
    <row r="198" spans="7:7">
      <c r="G198" s="5" t="str">
        <f t="shared" si="22"/>
        <v/>
      </c>
    </row>
    <row r="199" spans="7:7">
      <c r="G199" s="5" t="str">
        <f t="shared" si="22"/>
        <v/>
      </c>
    </row>
    <row r="200" spans="7:7">
      <c r="G200" s="5" t="str">
        <f t="shared" si="22"/>
        <v/>
      </c>
    </row>
    <row r="201" spans="7:7">
      <c r="G201" s="5" t="str">
        <f t="shared" si="22"/>
        <v/>
      </c>
    </row>
    <row r="202" spans="7:7">
      <c r="G202" s="5" t="str">
        <f t="shared" si="22"/>
        <v/>
      </c>
    </row>
    <row r="203" spans="7:7">
      <c r="G203" s="5" t="str">
        <f t="shared" si="22"/>
        <v/>
      </c>
    </row>
    <row r="204" spans="7:7">
      <c r="G204" s="5" t="str">
        <f t="shared" si="22"/>
        <v/>
      </c>
    </row>
    <row r="205" spans="7:7">
      <c r="G205" s="5" t="str">
        <f t="shared" si="22"/>
        <v/>
      </c>
    </row>
    <row r="206" spans="7:7">
      <c r="G206" s="5" t="str">
        <f t="shared" si="22"/>
        <v/>
      </c>
    </row>
    <row r="207" spans="7:7">
      <c r="G207" s="5" t="str">
        <f t="shared" si="22"/>
        <v/>
      </c>
    </row>
    <row r="208" spans="7:7">
      <c r="G208" s="5" t="str">
        <f t="shared" ref="G208:G271" si="23">IF(B208&lt;&gt;"",SUM(C208:F208),"")</f>
        <v/>
      </c>
    </row>
    <row r="209" spans="7:7">
      <c r="G209" s="5" t="str">
        <f t="shared" si="23"/>
        <v/>
      </c>
    </row>
    <row r="210" spans="7:7">
      <c r="G210" s="5" t="str">
        <f t="shared" si="23"/>
        <v/>
      </c>
    </row>
    <row r="211" spans="7:7">
      <c r="G211" s="5" t="str">
        <f t="shared" si="23"/>
        <v/>
      </c>
    </row>
    <row r="212" spans="7:7">
      <c r="G212" s="5" t="str">
        <f t="shared" si="23"/>
        <v/>
      </c>
    </row>
    <row r="213" spans="7:7">
      <c r="G213" s="5" t="str">
        <f t="shared" si="23"/>
        <v/>
      </c>
    </row>
    <row r="214" spans="7:7">
      <c r="G214" s="5" t="str">
        <f t="shared" si="23"/>
        <v/>
      </c>
    </row>
    <row r="215" spans="7:7">
      <c r="G215" s="5" t="str">
        <f t="shared" si="23"/>
        <v/>
      </c>
    </row>
    <row r="216" spans="7:7">
      <c r="G216" s="5" t="str">
        <f t="shared" si="23"/>
        <v/>
      </c>
    </row>
    <row r="217" spans="7:7">
      <c r="G217" s="5" t="str">
        <f t="shared" si="23"/>
        <v/>
      </c>
    </row>
    <row r="218" spans="7:7">
      <c r="G218" s="5" t="str">
        <f t="shared" si="23"/>
        <v/>
      </c>
    </row>
    <row r="219" spans="7:7">
      <c r="G219" s="5" t="str">
        <f t="shared" si="23"/>
        <v/>
      </c>
    </row>
    <row r="220" spans="7:7">
      <c r="G220" s="5" t="str">
        <f t="shared" si="23"/>
        <v/>
      </c>
    </row>
    <row r="221" spans="7:7">
      <c r="G221" s="5" t="str">
        <f t="shared" si="23"/>
        <v/>
      </c>
    </row>
    <row r="222" spans="7:7">
      <c r="G222" s="5" t="str">
        <f t="shared" si="23"/>
        <v/>
      </c>
    </row>
    <row r="223" spans="7:7">
      <c r="G223" s="5" t="str">
        <f t="shared" si="23"/>
        <v/>
      </c>
    </row>
    <row r="224" spans="7:7">
      <c r="G224" s="5" t="str">
        <f t="shared" si="23"/>
        <v/>
      </c>
    </row>
    <row r="225" spans="7:7">
      <c r="G225" s="5" t="str">
        <f t="shared" si="23"/>
        <v/>
      </c>
    </row>
    <row r="226" spans="7:7">
      <c r="G226" s="5" t="str">
        <f t="shared" si="23"/>
        <v/>
      </c>
    </row>
    <row r="227" spans="7:7">
      <c r="G227" s="5" t="str">
        <f t="shared" si="23"/>
        <v/>
      </c>
    </row>
    <row r="228" spans="7:7">
      <c r="G228" s="5" t="str">
        <f t="shared" si="23"/>
        <v/>
      </c>
    </row>
    <row r="229" spans="7:7">
      <c r="G229" s="5" t="str">
        <f t="shared" si="23"/>
        <v/>
      </c>
    </row>
    <row r="230" spans="7:7">
      <c r="G230" s="5" t="str">
        <f t="shared" si="23"/>
        <v/>
      </c>
    </row>
    <row r="231" spans="7:7">
      <c r="G231" s="5" t="str">
        <f t="shared" si="23"/>
        <v/>
      </c>
    </row>
    <row r="232" spans="7:7">
      <c r="G232" s="5" t="str">
        <f t="shared" si="23"/>
        <v/>
      </c>
    </row>
    <row r="233" spans="7:7">
      <c r="G233" s="5" t="str">
        <f t="shared" si="23"/>
        <v/>
      </c>
    </row>
    <row r="234" spans="7:7">
      <c r="G234" s="5" t="str">
        <f t="shared" si="23"/>
        <v/>
      </c>
    </row>
    <row r="235" spans="7:7">
      <c r="G235" s="5" t="str">
        <f t="shared" si="23"/>
        <v/>
      </c>
    </row>
    <row r="236" spans="7:7">
      <c r="G236" s="5" t="str">
        <f t="shared" si="23"/>
        <v/>
      </c>
    </row>
    <row r="237" spans="7:7">
      <c r="G237" s="5" t="str">
        <f t="shared" si="23"/>
        <v/>
      </c>
    </row>
    <row r="238" spans="7:7">
      <c r="G238" s="5" t="str">
        <f t="shared" si="23"/>
        <v/>
      </c>
    </row>
    <row r="239" spans="7:7">
      <c r="G239" s="5" t="str">
        <f t="shared" si="23"/>
        <v/>
      </c>
    </row>
    <row r="240" spans="7:7">
      <c r="G240" s="5" t="str">
        <f t="shared" si="23"/>
        <v/>
      </c>
    </row>
    <row r="241" spans="7:7">
      <c r="G241" s="5" t="str">
        <f t="shared" si="23"/>
        <v/>
      </c>
    </row>
    <row r="242" spans="7:7">
      <c r="G242" s="5" t="str">
        <f t="shared" si="23"/>
        <v/>
      </c>
    </row>
    <row r="243" spans="7:7">
      <c r="G243" s="5" t="str">
        <f t="shared" si="23"/>
        <v/>
      </c>
    </row>
    <row r="244" spans="7:7">
      <c r="G244" s="5" t="str">
        <f t="shared" si="23"/>
        <v/>
      </c>
    </row>
    <row r="245" spans="7:7">
      <c r="G245" s="5" t="str">
        <f t="shared" si="23"/>
        <v/>
      </c>
    </row>
    <row r="246" spans="7:7">
      <c r="G246" s="5" t="str">
        <f t="shared" si="23"/>
        <v/>
      </c>
    </row>
    <row r="247" spans="7:7">
      <c r="G247" s="5" t="str">
        <f t="shared" si="23"/>
        <v/>
      </c>
    </row>
    <row r="248" spans="7:7">
      <c r="G248" s="5" t="str">
        <f t="shared" si="23"/>
        <v/>
      </c>
    </row>
    <row r="249" spans="7:7">
      <c r="G249" s="5" t="str">
        <f t="shared" si="23"/>
        <v/>
      </c>
    </row>
    <row r="250" spans="7:7">
      <c r="G250" s="5" t="str">
        <f t="shared" si="23"/>
        <v/>
      </c>
    </row>
    <row r="251" spans="7:7">
      <c r="G251" s="5" t="str">
        <f t="shared" si="23"/>
        <v/>
      </c>
    </row>
    <row r="252" spans="7:7">
      <c r="G252" s="5" t="str">
        <f t="shared" si="23"/>
        <v/>
      </c>
    </row>
    <row r="253" spans="7:7">
      <c r="G253" s="5" t="str">
        <f t="shared" si="23"/>
        <v/>
      </c>
    </row>
    <row r="254" spans="7:7">
      <c r="G254" s="5" t="str">
        <f t="shared" si="23"/>
        <v/>
      </c>
    </row>
    <row r="255" spans="7:7">
      <c r="G255" s="5" t="str">
        <f t="shared" si="23"/>
        <v/>
      </c>
    </row>
    <row r="256" spans="7:7">
      <c r="G256" s="5" t="str">
        <f t="shared" si="23"/>
        <v/>
      </c>
    </row>
    <row r="257" spans="7:7">
      <c r="G257" s="5" t="str">
        <f t="shared" si="23"/>
        <v/>
      </c>
    </row>
    <row r="258" spans="7:7">
      <c r="G258" s="5" t="str">
        <f t="shared" si="23"/>
        <v/>
      </c>
    </row>
    <row r="259" spans="7:7">
      <c r="G259" s="5" t="str">
        <f t="shared" si="23"/>
        <v/>
      </c>
    </row>
    <row r="260" spans="7:7">
      <c r="G260" s="5" t="str">
        <f t="shared" si="23"/>
        <v/>
      </c>
    </row>
    <row r="261" spans="7:7">
      <c r="G261" s="5" t="str">
        <f t="shared" si="23"/>
        <v/>
      </c>
    </row>
    <row r="262" spans="7:7">
      <c r="G262" s="5" t="str">
        <f t="shared" si="23"/>
        <v/>
      </c>
    </row>
    <row r="263" spans="7:7">
      <c r="G263" s="5" t="str">
        <f t="shared" si="23"/>
        <v/>
      </c>
    </row>
    <row r="264" spans="7:7">
      <c r="G264" s="5" t="str">
        <f t="shared" si="23"/>
        <v/>
      </c>
    </row>
    <row r="265" spans="7:7">
      <c r="G265" s="5" t="str">
        <f t="shared" si="23"/>
        <v/>
      </c>
    </row>
    <row r="266" spans="7:7">
      <c r="G266" s="5" t="str">
        <f t="shared" si="23"/>
        <v/>
      </c>
    </row>
    <row r="267" spans="7:7">
      <c r="G267" s="5" t="str">
        <f t="shared" si="23"/>
        <v/>
      </c>
    </row>
    <row r="268" spans="7:7">
      <c r="G268" s="5" t="str">
        <f t="shared" si="23"/>
        <v/>
      </c>
    </row>
    <row r="269" spans="7:7">
      <c r="G269" s="5" t="str">
        <f t="shared" si="23"/>
        <v/>
      </c>
    </row>
    <row r="270" spans="7:7">
      <c r="G270" s="5" t="str">
        <f t="shared" si="23"/>
        <v/>
      </c>
    </row>
    <row r="271" spans="7:7">
      <c r="G271" s="5" t="str">
        <f t="shared" si="23"/>
        <v/>
      </c>
    </row>
    <row r="272" spans="7:7">
      <c r="G272" s="5" t="str">
        <f t="shared" ref="G272:G335" si="24">IF(B272&lt;&gt;"",SUM(C272:F272),"")</f>
        <v/>
      </c>
    </row>
    <row r="273" spans="7:7">
      <c r="G273" s="5" t="str">
        <f t="shared" si="24"/>
        <v/>
      </c>
    </row>
    <row r="274" spans="7:7">
      <c r="G274" s="5" t="str">
        <f t="shared" si="24"/>
        <v/>
      </c>
    </row>
    <row r="275" spans="7:7">
      <c r="G275" s="5" t="str">
        <f t="shared" si="24"/>
        <v/>
      </c>
    </row>
    <row r="276" spans="7:7">
      <c r="G276" s="5" t="str">
        <f t="shared" si="24"/>
        <v/>
      </c>
    </row>
    <row r="277" spans="7:7">
      <c r="G277" s="5" t="str">
        <f t="shared" si="24"/>
        <v/>
      </c>
    </row>
    <row r="278" spans="7:7">
      <c r="G278" s="5" t="str">
        <f t="shared" si="24"/>
        <v/>
      </c>
    </row>
    <row r="279" spans="7:7">
      <c r="G279" s="5" t="str">
        <f t="shared" si="24"/>
        <v/>
      </c>
    </row>
    <row r="280" spans="7:7">
      <c r="G280" s="5" t="str">
        <f t="shared" si="24"/>
        <v/>
      </c>
    </row>
    <row r="281" spans="7:7">
      <c r="G281" s="5" t="str">
        <f t="shared" si="24"/>
        <v/>
      </c>
    </row>
    <row r="282" spans="7:7">
      <c r="G282" s="5" t="str">
        <f t="shared" si="24"/>
        <v/>
      </c>
    </row>
    <row r="283" spans="7:7">
      <c r="G283" s="5" t="str">
        <f t="shared" si="24"/>
        <v/>
      </c>
    </row>
    <row r="284" spans="7:7">
      <c r="G284" s="5" t="str">
        <f t="shared" si="24"/>
        <v/>
      </c>
    </row>
    <row r="285" spans="7:7">
      <c r="G285" s="5" t="str">
        <f t="shared" si="24"/>
        <v/>
      </c>
    </row>
    <row r="286" spans="7:7">
      <c r="G286" s="5" t="str">
        <f t="shared" si="24"/>
        <v/>
      </c>
    </row>
    <row r="287" spans="7:7">
      <c r="G287" s="5" t="str">
        <f t="shared" si="24"/>
        <v/>
      </c>
    </row>
    <row r="288" spans="7:7">
      <c r="G288" s="5" t="str">
        <f t="shared" si="24"/>
        <v/>
      </c>
    </row>
    <row r="289" spans="7:7">
      <c r="G289" s="5" t="str">
        <f t="shared" si="24"/>
        <v/>
      </c>
    </row>
    <row r="290" spans="7:7">
      <c r="G290" s="5" t="str">
        <f t="shared" si="24"/>
        <v/>
      </c>
    </row>
    <row r="291" spans="7:7">
      <c r="G291" s="5" t="str">
        <f t="shared" si="24"/>
        <v/>
      </c>
    </row>
    <row r="292" spans="7:7">
      <c r="G292" s="5" t="str">
        <f t="shared" si="24"/>
        <v/>
      </c>
    </row>
    <row r="293" spans="7:7">
      <c r="G293" s="5" t="str">
        <f t="shared" si="24"/>
        <v/>
      </c>
    </row>
    <row r="294" spans="7:7">
      <c r="G294" s="5" t="str">
        <f t="shared" si="24"/>
        <v/>
      </c>
    </row>
    <row r="295" spans="7:7">
      <c r="G295" s="5" t="str">
        <f t="shared" si="24"/>
        <v/>
      </c>
    </row>
    <row r="296" spans="7:7">
      <c r="G296" s="5" t="str">
        <f t="shared" si="24"/>
        <v/>
      </c>
    </row>
    <row r="297" spans="7:7">
      <c r="G297" s="5" t="str">
        <f t="shared" si="24"/>
        <v/>
      </c>
    </row>
    <row r="298" spans="7:7">
      <c r="G298" s="5" t="str">
        <f t="shared" si="24"/>
        <v/>
      </c>
    </row>
    <row r="299" spans="7:7">
      <c r="G299" s="5" t="str">
        <f t="shared" si="24"/>
        <v/>
      </c>
    </row>
    <row r="300" spans="7:7">
      <c r="G300" s="5" t="str">
        <f t="shared" si="24"/>
        <v/>
      </c>
    </row>
    <row r="301" spans="7:7">
      <c r="G301" s="5" t="str">
        <f t="shared" si="24"/>
        <v/>
      </c>
    </row>
    <row r="302" spans="7:7">
      <c r="G302" s="5" t="str">
        <f t="shared" si="24"/>
        <v/>
      </c>
    </row>
    <row r="303" spans="7:7">
      <c r="G303" s="5" t="str">
        <f t="shared" si="24"/>
        <v/>
      </c>
    </row>
    <row r="304" spans="7:7">
      <c r="G304" s="5" t="str">
        <f t="shared" si="24"/>
        <v/>
      </c>
    </row>
    <row r="305" spans="7:7">
      <c r="G305" s="5" t="str">
        <f t="shared" si="24"/>
        <v/>
      </c>
    </row>
    <row r="306" spans="7:7">
      <c r="G306" s="5" t="str">
        <f t="shared" si="24"/>
        <v/>
      </c>
    </row>
    <row r="307" spans="7:7">
      <c r="G307" s="5" t="str">
        <f t="shared" si="24"/>
        <v/>
      </c>
    </row>
    <row r="308" spans="7:7">
      <c r="G308" s="5" t="str">
        <f t="shared" si="24"/>
        <v/>
      </c>
    </row>
    <row r="309" spans="7:7">
      <c r="G309" s="5" t="str">
        <f t="shared" si="24"/>
        <v/>
      </c>
    </row>
    <row r="310" spans="7:7">
      <c r="G310" s="5" t="str">
        <f t="shared" si="24"/>
        <v/>
      </c>
    </row>
    <row r="311" spans="7:7">
      <c r="G311" s="5" t="str">
        <f t="shared" si="24"/>
        <v/>
      </c>
    </row>
    <row r="312" spans="7:7">
      <c r="G312" s="5" t="str">
        <f t="shared" si="24"/>
        <v/>
      </c>
    </row>
    <row r="313" spans="7:7">
      <c r="G313" s="5" t="str">
        <f t="shared" si="24"/>
        <v/>
      </c>
    </row>
    <row r="314" spans="7:7">
      <c r="G314" s="5" t="str">
        <f t="shared" si="24"/>
        <v/>
      </c>
    </row>
    <row r="315" spans="7:7">
      <c r="G315" s="5" t="str">
        <f t="shared" si="24"/>
        <v/>
      </c>
    </row>
    <row r="316" spans="7:7">
      <c r="G316" s="5" t="str">
        <f t="shared" si="24"/>
        <v/>
      </c>
    </row>
    <row r="317" spans="7:7">
      <c r="G317" s="5" t="str">
        <f t="shared" si="24"/>
        <v/>
      </c>
    </row>
    <row r="318" spans="7:7">
      <c r="G318" s="5" t="str">
        <f t="shared" si="24"/>
        <v/>
      </c>
    </row>
    <row r="319" spans="7:7">
      <c r="G319" s="5" t="str">
        <f t="shared" si="24"/>
        <v/>
      </c>
    </row>
    <row r="320" spans="7:7">
      <c r="G320" s="5" t="str">
        <f t="shared" si="24"/>
        <v/>
      </c>
    </row>
    <row r="321" spans="7:7">
      <c r="G321" s="5" t="str">
        <f t="shared" si="24"/>
        <v/>
      </c>
    </row>
    <row r="322" spans="7:7">
      <c r="G322" s="5" t="str">
        <f t="shared" si="24"/>
        <v/>
      </c>
    </row>
    <row r="323" spans="7:7">
      <c r="G323" s="5" t="str">
        <f t="shared" si="24"/>
        <v/>
      </c>
    </row>
    <row r="324" spans="7:7">
      <c r="G324" s="5" t="str">
        <f t="shared" si="24"/>
        <v/>
      </c>
    </row>
    <row r="325" spans="7:7">
      <c r="G325" s="5" t="str">
        <f t="shared" si="24"/>
        <v/>
      </c>
    </row>
    <row r="326" spans="7:7">
      <c r="G326" s="5" t="str">
        <f t="shared" si="24"/>
        <v/>
      </c>
    </row>
    <row r="327" spans="7:7">
      <c r="G327" s="5" t="str">
        <f t="shared" si="24"/>
        <v/>
      </c>
    </row>
    <row r="328" spans="7:7">
      <c r="G328" s="5" t="str">
        <f t="shared" si="24"/>
        <v/>
      </c>
    </row>
    <row r="329" spans="7:7">
      <c r="G329" s="5" t="str">
        <f t="shared" si="24"/>
        <v/>
      </c>
    </row>
    <row r="330" spans="7:7">
      <c r="G330" s="5" t="str">
        <f t="shared" si="24"/>
        <v/>
      </c>
    </row>
    <row r="331" spans="7:7">
      <c r="G331" s="5" t="str">
        <f t="shared" si="24"/>
        <v/>
      </c>
    </row>
    <row r="332" spans="7:7">
      <c r="G332" s="5" t="str">
        <f t="shared" si="24"/>
        <v/>
      </c>
    </row>
    <row r="333" spans="7:7">
      <c r="G333" s="5" t="str">
        <f t="shared" si="24"/>
        <v/>
      </c>
    </row>
    <row r="334" spans="7:7">
      <c r="G334" s="5" t="str">
        <f t="shared" si="24"/>
        <v/>
      </c>
    </row>
    <row r="335" spans="7:7">
      <c r="G335" s="5" t="str">
        <f t="shared" si="24"/>
        <v/>
      </c>
    </row>
    <row r="336" spans="7:7">
      <c r="G336" s="5" t="str">
        <f t="shared" ref="G336:G399" si="25">IF(B336&lt;&gt;"",SUM(C336:F336),"")</f>
        <v/>
      </c>
    </row>
    <row r="337" spans="7:7">
      <c r="G337" s="5" t="str">
        <f t="shared" si="25"/>
        <v/>
      </c>
    </row>
    <row r="338" spans="7:7">
      <c r="G338" s="5" t="str">
        <f t="shared" si="25"/>
        <v/>
      </c>
    </row>
    <row r="339" spans="7:7">
      <c r="G339" s="5" t="str">
        <f t="shared" si="25"/>
        <v/>
      </c>
    </row>
    <row r="340" spans="7:7">
      <c r="G340" s="5" t="str">
        <f t="shared" si="25"/>
        <v/>
      </c>
    </row>
    <row r="341" spans="7:7">
      <c r="G341" s="5" t="str">
        <f t="shared" si="25"/>
        <v/>
      </c>
    </row>
    <row r="342" spans="7:7">
      <c r="G342" s="5" t="str">
        <f t="shared" si="25"/>
        <v/>
      </c>
    </row>
    <row r="343" spans="7:7">
      <c r="G343" s="5" t="str">
        <f t="shared" si="25"/>
        <v/>
      </c>
    </row>
    <row r="344" spans="7:7">
      <c r="G344" s="5" t="str">
        <f t="shared" si="25"/>
        <v/>
      </c>
    </row>
    <row r="345" spans="7:7">
      <c r="G345" s="5" t="str">
        <f t="shared" si="25"/>
        <v/>
      </c>
    </row>
    <row r="346" spans="7:7">
      <c r="G346" s="5" t="str">
        <f t="shared" si="25"/>
        <v/>
      </c>
    </row>
    <row r="347" spans="7:7">
      <c r="G347" s="5" t="str">
        <f t="shared" si="25"/>
        <v/>
      </c>
    </row>
    <row r="348" spans="7:7">
      <c r="G348" s="5" t="str">
        <f t="shared" si="25"/>
        <v/>
      </c>
    </row>
    <row r="349" spans="7:7">
      <c r="G349" s="5" t="str">
        <f t="shared" si="25"/>
        <v/>
      </c>
    </row>
    <row r="350" spans="7:7">
      <c r="G350" s="5" t="str">
        <f t="shared" si="25"/>
        <v/>
      </c>
    </row>
    <row r="351" spans="7:7">
      <c r="G351" s="5" t="str">
        <f t="shared" si="25"/>
        <v/>
      </c>
    </row>
    <row r="352" spans="7:7">
      <c r="G352" s="5" t="str">
        <f t="shared" si="25"/>
        <v/>
      </c>
    </row>
    <row r="353" spans="7:7">
      <c r="G353" s="5" t="str">
        <f t="shared" si="25"/>
        <v/>
      </c>
    </row>
    <row r="354" spans="7:7">
      <c r="G354" s="5" t="str">
        <f t="shared" si="25"/>
        <v/>
      </c>
    </row>
    <row r="355" spans="7:7">
      <c r="G355" s="5" t="str">
        <f t="shared" si="25"/>
        <v/>
      </c>
    </row>
    <row r="356" spans="7:7">
      <c r="G356" s="5" t="str">
        <f t="shared" si="25"/>
        <v/>
      </c>
    </row>
    <row r="357" spans="7:7">
      <c r="G357" s="5" t="str">
        <f t="shared" si="25"/>
        <v/>
      </c>
    </row>
    <row r="358" spans="7:7">
      <c r="G358" s="5" t="str">
        <f t="shared" si="25"/>
        <v/>
      </c>
    </row>
    <row r="359" spans="7:7">
      <c r="G359" s="5" t="str">
        <f t="shared" si="25"/>
        <v/>
      </c>
    </row>
    <row r="360" spans="7:7">
      <c r="G360" s="5" t="str">
        <f t="shared" si="25"/>
        <v/>
      </c>
    </row>
    <row r="361" spans="7:7">
      <c r="G361" s="5" t="str">
        <f t="shared" si="25"/>
        <v/>
      </c>
    </row>
    <row r="362" spans="7:7">
      <c r="G362" s="5" t="str">
        <f t="shared" si="25"/>
        <v/>
      </c>
    </row>
    <row r="363" spans="7:7">
      <c r="G363" s="5" t="str">
        <f t="shared" si="25"/>
        <v/>
      </c>
    </row>
    <row r="364" spans="7:7">
      <c r="G364" s="5" t="str">
        <f t="shared" si="25"/>
        <v/>
      </c>
    </row>
    <row r="365" spans="7:7">
      <c r="G365" s="5" t="str">
        <f t="shared" si="25"/>
        <v/>
      </c>
    </row>
    <row r="366" spans="7:7">
      <c r="G366" s="5" t="str">
        <f t="shared" si="25"/>
        <v/>
      </c>
    </row>
    <row r="367" spans="7:7">
      <c r="G367" s="5" t="str">
        <f t="shared" si="25"/>
        <v/>
      </c>
    </row>
    <row r="368" spans="7:7">
      <c r="G368" s="5" t="str">
        <f t="shared" si="25"/>
        <v/>
      </c>
    </row>
    <row r="369" spans="7:7">
      <c r="G369" s="5" t="str">
        <f t="shared" si="25"/>
        <v/>
      </c>
    </row>
    <row r="370" spans="7:7">
      <c r="G370" s="5" t="str">
        <f t="shared" si="25"/>
        <v/>
      </c>
    </row>
    <row r="371" spans="7:7">
      <c r="G371" s="5" t="str">
        <f t="shared" si="25"/>
        <v/>
      </c>
    </row>
    <row r="372" spans="7:7">
      <c r="G372" s="5" t="str">
        <f t="shared" si="25"/>
        <v/>
      </c>
    </row>
    <row r="373" spans="7:7">
      <c r="G373" s="5" t="str">
        <f t="shared" si="25"/>
        <v/>
      </c>
    </row>
    <row r="374" spans="7:7">
      <c r="G374" s="5" t="str">
        <f t="shared" si="25"/>
        <v/>
      </c>
    </row>
    <row r="375" spans="7:7">
      <c r="G375" s="5" t="str">
        <f t="shared" si="25"/>
        <v/>
      </c>
    </row>
    <row r="376" spans="7:7">
      <c r="G376" s="5" t="str">
        <f t="shared" si="25"/>
        <v/>
      </c>
    </row>
    <row r="377" spans="7:7">
      <c r="G377" s="5" t="str">
        <f t="shared" si="25"/>
        <v/>
      </c>
    </row>
    <row r="378" spans="7:7">
      <c r="G378" s="5" t="str">
        <f t="shared" si="25"/>
        <v/>
      </c>
    </row>
    <row r="379" spans="7:7">
      <c r="G379" s="5" t="str">
        <f t="shared" si="25"/>
        <v/>
      </c>
    </row>
    <row r="380" spans="7:7">
      <c r="G380" s="5" t="str">
        <f t="shared" si="25"/>
        <v/>
      </c>
    </row>
    <row r="381" spans="7:7">
      <c r="G381" s="5" t="str">
        <f t="shared" si="25"/>
        <v/>
      </c>
    </row>
    <row r="382" spans="7:7">
      <c r="G382" s="5" t="str">
        <f t="shared" si="25"/>
        <v/>
      </c>
    </row>
    <row r="383" spans="7:7">
      <c r="G383" s="5" t="str">
        <f t="shared" si="25"/>
        <v/>
      </c>
    </row>
    <row r="384" spans="7:7">
      <c r="G384" s="5" t="str">
        <f t="shared" si="25"/>
        <v/>
      </c>
    </row>
    <row r="385" spans="7:7">
      <c r="G385" s="5" t="str">
        <f t="shared" si="25"/>
        <v/>
      </c>
    </row>
    <row r="386" spans="7:7">
      <c r="G386" s="5" t="str">
        <f t="shared" si="25"/>
        <v/>
      </c>
    </row>
    <row r="387" spans="7:7">
      <c r="G387" s="5" t="str">
        <f t="shared" si="25"/>
        <v/>
      </c>
    </row>
    <row r="388" spans="7:7">
      <c r="G388" s="5" t="str">
        <f t="shared" si="25"/>
        <v/>
      </c>
    </row>
    <row r="389" spans="7:7">
      <c r="G389" s="5" t="str">
        <f t="shared" si="25"/>
        <v/>
      </c>
    </row>
    <row r="390" spans="7:7">
      <c r="G390" s="5" t="str">
        <f t="shared" si="25"/>
        <v/>
      </c>
    </row>
    <row r="391" spans="7:7">
      <c r="G391" s="5" t="str">
        <f t="shared" si="25"/>
        <v/>
      </c>
    </row>
    <row r="392" spans="7:7">
      <c r="G392" s="5" t="str">
        <f t="shared" si="25"/>
        <v/>
      </c>
    </row>
    <row r="393" spans="7:7">
      <c r="G393" s="5" t="str">
        <f t="shared" si="25"/>
        <v/>
      </c>
    </row>
    <row r="394" spans="7:7">
      <c r="G394" s="5" t="str">
        <f t="shared" si="25"/>
        <v/>
      </c>
    </row>
    <row r="395" spans="7:7">
      <c r="G395" s="5" t="str">
        <f t="shared" si="25"/>
        <v/>
      </c>
    </row>
    <row r="396" spans="7:7">
      <c r="G396" s="5" t="str">
        <f t="shared" si="25"/>
        <v/>
      </c>
    </row>
    <row r="397" spans="7:7">
      <c r="G397" s="5" t="str">
        <f t="shared" si="25"/>
        <v/>
      </c>
    </row>
    <row r="398" spans="7:7">
      <c r="G398" s="5" t="str">
        <f t="shared" si="25"/>
        <v/>
      </c>
    </row>
    <row r="399" spans="7:7">
      <c r="G399" s="5" t="str">
        <f t="shared" si="25"/>
        <v/>
      </c>
    </row>
    <row r="400" spans="7:7">
      <c r="G400" s="5" t="str">
        <f t="shared" ref="G400:G463" si="26">IF(B400&lt;&gt;"",SUM(C400:F400),"")</f>
        <v/>
      </c>
    </row>
    <row r="401" spans="7:7">
      <c r="G401" s="5" t="str">
        <f t="shared" si="26"/>
        <v/>
      </c>
    </row>
    <row r="402" spans="7:7">
      <c r="G402" s="5" t="str">
        <f t="shared" si="26"/>
        <v/>
      </c>
    </row>
    <row r="403" spans="7:7">
      <c r="G403" s="5" t="str">
        <f t="shared" si="26"/>
        <v/>
      </c>
    </row>
    <row r="404" spans="7:7">
      <c r="G404" s="5" t="str">
        <f t="shared" si="26"/>
        <v/>
      </c>
    </row>
    <row r="405" spans="7:7">
      <c r="G405" s="5" t="str">
        <f t="shared" si="26"/>
        <v/>
      </c>
    </row>
    <row r="406" spans="7:7">
      <c r="G406" s="5" t="str">
        <f t="shared" si="26"/>
        <v/>
      </c>
    </row>
    <row r="407" spans="7:7">
      <c r="G407" s="5" t="str">
        <f t="shared" si="26"/>
        <v/>
      </c>
    </row>
    <row r="408" spans="7:7">
      <c r="G408" s="5" t="str">
        <f t="shared" si="26"/>
        <v/>
      </c>
    </row>
    <row r="409" spans="7:7">
      <c r="G409" s="5" t="str">
        <f t="shared" si="26"/>
        <v/>
      </c>
    </row>
    <row r="410" spans="7:7">
      <c r="G410" s="5" t="str">
        <f t="shared" si="26"/>
        <v/>
      </c>
    </row>
    <row r="411" spans="7:7">
      <c r="G411" s="5" t="str">
        <f t="shared" si="26"/>
        <v/>
      </c>
    </row>
    <row r="412" spans="7:7">
      <c r="G412" s="5" t="str">
        <f t="shared" si="26"/>
        <v/>
      </c>
    </row>
    <row r="413" spans="7:7">
      <c r="G413" s="5" t="str">
        <f t="shared" si="26"/>
        <v/>
      </c>
    </row>
    <row r="414" spans="7:7">
      <c r="G414" s="5" t="str">
        <f t="shared" si="26"/>
        <v/>
      </c>
    </row>
    <row r="415" spans="7:7">
      <c r="G415" s="5" t="str">
        <f t="shared" si="26"/>
        <v/>
      </c>
    </row>
    <row r="416" spans="7:7">
      <c r="G416" s="5" t="str">
        <f t="shared" si="26"/>
        <v/>
      </c>
    </row>
    <row r="417" spans="7:7">
      <c r="G417" s="5" t="str">
        <f t="shared" si="26"/>
        <v/>
      </c>
    </row>
    <row r="418" spans="7:7">
      <c r="G418" s="5" t="str">
        <f t="shared" si="26"/>
        <v/>
      </c>
    </row>
    <row r="419" spans="7:7">
      <c r="G419" s="5" t="str">
        <f t="shared" si="26"/>
        <v/>
      </c>
    </row>
    <row r="420" spans="7:7">
      <c r="G420" s="5" t="str">
        <f t="shared" si="26"/>
        <v/>
      </c>
    </row>
    <row r="421" spans="7:7">
      <c r="G421" s="5" t="str">
        <f t="shared" si="26"/>
        <v/>
      </c>
    </row>
    <row r="422" spans="7:7">
      <c r="G422" s="5" t="str">
        <f t="shared" si="26"/>
        <v/>
      </c>
    </row>
    <row r="423" spans="7:7">
      <c r="G423" s="5" t="str">
        <f t="shared" si="26"/>
        <v/>
      </c>
    </row>
    <row r="424" spans="7:7">
      <c r="G424" s="5" t="str">
        <f t="shared" si="26"/>
        <v/>
      </c>
    </row>
    <row r="425" spans="7:7">
      <c r="G425" s="5" t="str">
        <f t="shared" si="26"/>
        <v/>
      </c>
    </row>
    <row r="426" spans="7:7">
      <c r="G426" s="5" t="str">
        <f t="shared" si="26"/>
        <v/>
      </c>
    </row>
    <row r="427" spans="7:7">
      <c r="G427" s="5" t="str">
        <f t="shared" si="26"/>
        <v/>
      </c>
    </row>
    <row r="428" spans="7:7">
      <c r="G428" s="5" t="str">
        <f t="shared" si="26"/>
        <v/>
      </c>
    </row>
    <row r="429" spans="7:7">
      <c r="G429" s="5" t="str">
        <f t="shared" si="26"/>
        <v/>
      </c>
    </row>
    <row r="430" spans="7:7">
      <c r="G430" s="5" t="str">
        <f t="shared" si="26"/>
        <v/>
      </c>
    </row>
    <row r="431" spans="7:7">
      <c r="G431" s="5" t="str">
        <f t="shared" si="26"/>
        <v/>
      </c>
    </row>
    <row r="432" spans="7:7">
      <c r="G432" s="5" t="str">
        <f t="shared" si="26"/>
        <v/>
      </c>
    </row>
    <row r="433" spans="7:7">
      <c r="G433" s="5" t="str">
        <f t="shared" si="26"/>
        <v/>
      </c>
    </row>
    <row r="434" spans="7:7">
      <c r="G434" s="5" t="str">
        <f t="shared" si="26"/>
        <v/>
      </c>
    </row>
    <row r="435" spans="7:7">
      <c r="G435" s="5" t="str">
        <f t="shared" si="26"/>
        <v/>
      </c>
    </row>
    <row r="436" spans="7:7">
      <c r="G436" s="5" t="str">
        <f t="shared" si="26"/>
        <v/>
      </c>
    </row>
    <row r="437" spans="7:7">
      <c r="G437" s="5" t="str">
        <f t="shared" si="26"/>
        <v/>
      </c>
    </row>
    <row r="438" spans="7:7">
      <c r="G438" s="5" t="str">
        <f t="shared" si="26"/>
        <v/>
      </c>
    </row>
    <row r="439" spans="7:7">
      <c r="G439" s="5" t="str">
        <f t="shared" si="26"/>
        <v/>
      </c>
    </row>
    <row r="440" spans="7:7">
      <c r="G440" s="5" t="str">
        <f t="shared" si="26"/>
        <v/>
      </c>
    </row>
    <row r="441" spans="7:7">
      <c r="G441" s="5" t="str">
        <f t="shared" si="26"/>
        <v/>
      </c>
    </row>
    <row r="442" spans="7:7">
      <c r="G442" s="5" t="str">
        <f t="shared" si="26"/>
        <v/>
      </c>
    </row>
    <row r="443" spans="7:7">
      <c r="G443" s="5" t="str">
        <f t="shared" si="26"/>
        <v/>
      </c>
    </row>
    <row r="444" spans="7:7">
      <c r="G444" s="5" t="str">
        <f t="shared" si="26"/>
        <v/>
      </c>
    </row>
    <row r="445" spans="7:7">
      <c r="G445" s="5" t="str">
        <f t="shared" si="26"/>
        <v/>
      </c>
    </row>
    <row r="446" spans="7:7">
      <c r="G446" s="5" t="str">
        <f t="shared" si="26"/>
        <v/>
      </c>
    </row>
    <row r="447" spans="7:7">
      <c r="G447" s="5" t="str">
        <f t="shared" si="26"/>
        <v/>
      </c>
    </row>
    <row r="448" spans="7:7">
      <c r="G448" s="5" t="str">
        <f t="shared" si="26"/>
        <v/>
      </c>
    </row>
    <row r="449" spans="7:7">
      <c r="G449" s="5" t="str">
        <f t="shared" si="26"/>
        <v/>
      </c>
    </row>
    <row r="450" spans="7:7">
      <c r="G450" s="5" t="str">
        <f t="shared" si="26"/>
        <v/>
      </c>
    </row>
    <row r="451" spans="7:7">
      <c r="G451" s="5" t="str">
        <f t="shared" si="26"/>
        <v/>
      </c>
    </row>
    <row r="452" spans="7:7">
      <c r="G452" s="5" t="str">
        <f t="shared" si="26"/>
        <v/>
      </c>
    </row>
    <row r="453" spans="7:7">
      <c r="G453" s="5" t="str">
        <f t="shared" si="26"/>
        <v/>
      </c>
    </row>
    <row r="454" spans="7:7">
      <c r="G454" s="5" t="str">
        <f t="shared" si="26"/>
        <v/>
      </c>
    </row>
    <row r="455" spans="7:7">
      <c r="G455" s="5" t="str">
        <f t="shared" si="26"/>
        <v/>
      </c>
    </row>
    <row r="456" spans="7:7">
      <c r="G456" s="5" t="str">
        <f t="shared" si="26"/>
        <v/>
      </c>
    </row>
    <row r="457" spans="7:7">
      <c r="G457" s="5" t="str">
        <f t="shared" si="26"/>
        <v/>
      </c>
    </row>
    <row r="458" spans="7:7">
      <c r="G458" s="5" t="str">
        <f t="shared" si="26"/>
        <v/>
      </c>
    </row>
    <row r="459" spans="7:7">
      <c r="G459" s="5" t="str">
        <f t="shared" si="26"/>
        <v/>
      </c>
    </row>
    <row r="460" spans="7:7">
      <c r="G460" s="5" t="str">
        <f t="shared" si="26"/>
        <v/>
      </c>
    </row>
    <row r="461" spans="7:7">
      <c r="G461" s="5" t="str">
        <f t="shared" si="26"/>
        <v/>
      </c>
    </row>
    <row r="462" spans="7:7">
      <c r="G462" s="5" t="str">
        <f t="shared" si="26"/>
        <v/>
      </c>
    </row>
    <row r="463" spans="7:7">
      <c r="G463" s="5" t="str">
        <f t="shared" si="26"/>
        <v/>
      </c>
    </row>
    <row r="464" spans="7:7">
      <c r="G464" s="5" t="str">
        <f t="shared" ref="G464:G495" si="27">IF(B464&lt;&gt;"",SUM(C464:F464),"")</f>
        <v/>
      </c>
    </row>
    <row r="465" spans="7:7">
      <c r="G465" s="5" t="str">
        <f t="shared" si="27"/>
        <v/>
      </c>
    </row>
    <row r="466" spans="7:7">
      <c r="G466" s="5" t="str">
        <f t="shared" si="27"/>
        <v/>
      </c>
    </row>
    <row r="467" spans="7:7">
      <c r="G467" s="5" t="str">
        <f t="shared" si="27"/>
        <v/>
      </c>
    </row>
    <row r="468" spans="7:7">
      <c r="G468" s="5" t="str">
        <f t="shared" si="27"/>
        <v/>
      </c>
    </row>
    <row r="469" spans="7:7">
      <c r="G469" s="5" t="str">
        <f t="shared" si="27"/>
        <v/>
      </c>
    </row>
    <row r="470" spans="7:7">
      <c r="G470" s="5" t="str">
        <f t="shared" si="27"/>
        <v/>
      </c>
    </row>
    <row r="471" spans="7:7">
      <c r="G471" s="5" t="str">
        <f t="shared" si="27"/>
        <v/>
      </c>
    </row>
    <row r="472" spans="7:7">
      <c r="G472" s="5" t="str">
        <f t="shared" si="27"/>
        <v/>
      </c>
    </row>
    <row r="473" spans="7:7">
      <c r="G473" s="5" t="str">
        <f t="shared" si="27"/>
        <v/>
      </c>
    </row>
    <row r="474" spans="7:7">
      <c r="G474" s="5" t="str">
        <f t="shared" si="27"/>
        <v/>
      </c>
    </row>
    <row r="475" spans="7:7">
      <c r="G475" s="5" t="str">
        <f t="shared" si="27"/>
        <v/>
      </c>
    </row>
    <row r="476" spans="7:7">
      <c r="G476" s="5" t="str">
        <f t="shared" si="27"/>
        <v/>
      </c>
    </row>
    <row r="477" spans="7:7">
      <c r="G477" s="5" t="str">
        <f t="shared" si="27"/>
        <v/>
      </c>
    </row>
    <row r="478" spans="7:7">
      <c r="G478" s="5" t="str">
        <f t="shared" si="27"/>
        <v/>
      </c>
    </row>
    <row r="479" spans="7:7">
      <c r="G479" s="5" t="str">
        <f t="shared" si="27"/>
        <v/>
      </c>
    </row>
    <row r="480" spans="7:7">
      <c r="G480" s="5" t="str">
        <f t="shared" si="27"/>
        <v/>
      </c>
    </row>
    <row r="481" spans="7:7">
      <c r="G481" s="5" t="str">
        <f t="shared" si="27"/>
        <v/>
      </c>
    </row>
    <row r="482" spans="7:7">
      <c r="G482" s="5" t="str">
        <f t="shared" si="27"/>
        <v/>
      </c>
    </row>
    <row r="483" spans="7:7">
      <c r="G483" s="5" t="str">
        <f t="shared" si="27"/>
        <v/>
      </c>
    </row>
    <row r="484" spans="7:7">
      <c r="G484" s="5" t="str">
        <f t="shared" si="27"/>
        <v/>
      </c>
    </row>
    <row r="485" spans="7:7">
      <c r="G485" s="5" t="str">
        <f t="shared" si="27"/>
        <v/>
      </c>
    </row>
    <row r="486" spans="7:7">
      <c r="G486" s="5" t="str">
        <f t="shared" si="27"/>
        <v/>
      </c>
    </row>
    <row r="487" spans="7:7">
      <c r="G487" s="5" t="str">
        <f t="shared" si="27"/>
        <v/>
      </c>
    </row>
    <row r="488" spans="7:7">
      <c r="G488" s="5" t="str">
        <f t="shared" si="27"/>
        <v/>
      </c>
    </row>
    <row r="489" spans="7:7">
      <c r="G489" s="5" t="str">
        <f t="shared" si="27"/>
        <v/>
      </c>
    </row>
    <row r="490" spans="7:7">
      <c r="G490" s="5" t="str">
        <f t="shared" si="27"/>
        <v/>
      </c>
    </row>
    <row r="491" spans="7:7">
      <c r="G491" s="5" t="str">
        <f t="shared" si="27"/>
        <v/>
      </c>
    </row>
    <row r="492" spans="7:7">
      <c r="G492" s="5" t="str">
        <f t="shared" si="27"/>
        <v/>
      </c>
    </row>
    <row r="493" spans="7:7">
      <c r="G493" s="5" t="str">
        <f t="shared" si="27"/>
        <v/>
      </c>
    </row>
    <row r="494" spans="7:7">
      <c r="G494" s="5" t="str">
        <f t="shared" si="27"/>
        <v/>
      </c>
    </row>
    <row r="495" spans="7:7">
      <c r="G495" s="5" t="str">
        <f t="shared" si="27"/>
        <v/>
      </c>
    </row>
  </sheetData>
  <sheetProtection sort="0" autoFilter="0" pivotTables="0"/>
  <autoFilter ref="B5:S112" xr:uid="{00000000-0001-0000-0500-000000000000}"/>
  <sortState xmlns:xlrd2="http://schemas.microsoft.com/office/spreadsheetml/2017/richdata2" ref="B6:T105">
    <sortCondition ref="B6:B105"/>
  </sortState>
  <pageMargins left="0.78740157480314965" right="0.78740157480314965" top="0.78740157480314965" bottom="0.78740157480314965" header="0" footer="0"/>
  <pageSetup paperSize="9" scale="86" orientation="landscape" verticalDpi="4294967295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theme="0"/>
    <pageSetUpPr fitToPage="1"/>
  </sheetPr>
  <dimension ref="B1:S461"/>
  <sheetViews>
    <sheetView workbookViewId="0">
      <pane ySplit="5" topLeftCell="A6" activePane="bottomLeft" state="frozen"/>
      <selection pane="bottomLeft" activeCell="G34" sqref="G34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23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 t="s">
        <v>936</v>
      </c>
      <c r="D4" s="43" t="s">
        <v>936</v>
      </c>
      <c r="E4" s="43" t="s">
        <v>936</v>
      </c>
      <c r="F4" s="43" t="s">
        <v>936</v>
      </c>
      <c r="G4" s="43" t="s">
        <v>936</v>
      </c>
      <c r="H4" s="447"/>
      <c r="I4" s="447" t="s">
        <v>48</v>
      </c>
      <c r="J4" s="448" t="s">
        <v>9</v>
      </c>
      <c r="K4" s="448" t="s">
        <v>9</v>
      </c>
      <c r="L4" s="471">
        <v>4.5454545454545456E-2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68" t="s">
        <v>1449</v>
      </c>
      <c r="C6" s="14"/>
      <c r="D6" s="14"/>
      <c r="E6" s="14"/>
      <c r="F6" s="14"/>
      <c r="G6" s="14"/>
      <c r="H6" s="23">
        <f t="shared" ref="H6:H11" si="0">SUM(C6:G6)</f>
        <v>0</v>
      </c>
      <c r="I6" s="464">
        <f t="shared" ref="I6:I33" si="1">L6-(L6*J6)</f>
        <v>107.04719999999999</v>
      </c>
      <c r="J6" s="16">
        <v>0.06</v>
      </c>
      <c r="K6" s="17">
        <v>0.1</v>
      </c>
      <c r="L6" s="470">
        <v>113.88</v>
      </c>
      <c r="M6" s="122">
        <v>4</v>
      </c>
      <c r="N6" s="25">
        <f t="shared" ref="N6:N33" si="2">I6*C6</f>
        <v>0</v>
      </c>
      <c r="O6" s="25">
        <f t="shared" ref="O6:O33" si="3">I6*D6</f>
        <v>0</v>
      </c>
      <c r="P6" s="25">
        <f t="shared" ref="P6:P33" si="4">I6*E6</f>
        <v>0</v>
      </c>
      <c r="Q6" s="26">
        <f t="shared" ref="Q6:Q33" si="5">I6*F6</f>
        <v>0</v>
      </c>
      <c r="R6" s="27">
        <f t="shared" ref="R6:R33" si="6">I6*G6</f>
        <v>0</v>
      </c>
      <c r="S6" s="28">
        <f>SUM(N6:R6)</f>
        <v>0</v>
      </c>
    </row>
    <row r="7" spans="2:19">
      <c r="B7" s="468" t="s">
        <v>1450</v>
      </c>
      <c r="C7" s="14"/>
      <c r="D7" s="14"/>
      <c r="E7" s="14"/>
      <c r="F7" s="14"/>
      <c r="G7" s="14"/>
      <c r="H7" s="24">
        <f t="shared" si="0"/>
        <v>0</v>
      </c>
      <c r="I7" s="456">
        <f t="shared" si="1"/>
        <v>26.3764</v>
      </c>
      <c r="J7" s="16">
        <v>0.06</v>
      </c>
      <c r="K7" s="17">
        <v>0.1</v>
      </c>
      <c r="L7" s="470">
        <v>28.06</v>
      </c>
      <c r="M7" s="122">
        <v>6</v>
      </c>
      <c r="N7" s="25">
        <f t="shared" si="2"/>
        <v>0</v>
      </c>
      <c r="O7" s="25">
        <f t="shared" si="3"/>
        <v>0</v>
      </c>
      <c r="P7" s="25">
        <f t="shared" si="4"/>
        <v>0</v>
      </c>
      <c r="Q7" s="26">
        <f t="shared" si="5"/>
        <v>0</v>
      </c>
      <c r="R7" s="27">
        <f t="shared" si="6"/>
        <v>0</v>
      </c>
      <c r="S7" s="28">
        <f t="shared" ref="S7:S33" si="7">SUM(N7:R7)</f>
        <v>0</v>
      </c>
    </row>
    <row r="8" spans="2:19">
      <c r="B8" s="468" t="s">
        <v>1451</v>
      </c>
      <c r="C8" s="14"/>
      <c r="D8" s="14"/>
      <c r="E8" s="14"/>
      <c r="F8" s="14"/>
      <c r="G8" s="14"/>
      <c r="H8" s="24">
        <f t="shared" si="0"/>
        <v>0</v>
      </c>
      <c r="I8" s="456">
        <f t="shared" si="1"/>
        <v>15.566399999999998</v>
      </c>
      <c r="J8" s="16">
        <v>0.06</v>
      </c>
      <c r="K8" s="17">
        <v>0.1</v>
      </c>
      <c r="L8" s="470">
        <v>16.559999999999999</v>
      </c>
      <c r="M8" s="122">
        <v>12</v>
      </c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28">
        <f t="shared" si="7"/>
        <v>0</v>
      </c>
    </row>
    <row r="9" spans="2:19">
      <c r="B9" s="468" t="s">
        <v>1452</v>
      </c>
      <c r="C9" s="14"/>
      <c r="D9" s="14"/>
      <c r="E9" s="14"/>
      <c r="F9" s="14"/>
      <c r="G9" s="14"/>
      <c r="H9" s="24">
        <f t="shared" si="0"/>
        <v>0</v>
      </c>
      <c r="I9" s="456">
        <f t="shared" si="1"/>
        <v>19.016200000000001</v>
      </c>
      <c r="J9" s="16">
        <v>0.06</v>
      </c>
      <c r="K9" s="17">
        <v>0.1</v>
      </c>
      <c r="L9" s="470">
        <v>20.23</v>
      </c>
      <c r="M9" s="122">
        <v>24</v>
      </c>
      <c r="N9" s="25">
        <f t="shared" si="2"/>
        <v>0</v>
      </c>
      <c r="O9" s="25">
        <f t="shared" si="3"/>
        <v>0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28">
        <f t="shared" si="7"/>
        <v>0</v>
      </c>
    </row>
    <row r="10" spans="2:19">
      <c r="B10" s="468" t="s">
        <v>1453</v>
      </c>
      <c r="C10" s="14"/>
      <c r="D10" s="14"/>
      <c r="E10" s="14"/>
      <c r="F10" s="14"/>
      <c r="G10" s="14"/>
      <c r="H10" s="24">
        <f t="shared" si="0"/>
        <v>0</v>
      </c>
      <c r="I10" s="456">
        <f t="shared" si="1"/>
        <v>67.745799999999988</v>
      </c>
      <c r="J10" s="16">
        <v>0.06</v>
      </c>
      <c r="K10" s="17">
        <v>0.1</v>
      </c>
      <c r="L10" s="470">
        <v>72.069999999999993</v>
      </c>
      <c r="M10" s="122">
        <v>4</v>
      </c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28">
        <f t="shared" si="7"/>
        <v>0</v>
      </c>
    </row>
    <row r="11" spans="2:19">
      <c r="B11" s="468" t="s">
        <v>1454</v>
      </c>
      <c r="C11" s="14"/>
      <c r="D11" s="14"/>
      <c r="E11" s="14"/>
      <c r="F11" s="14"/>
      <c r="G11" s="14"/>
      <c r="H11" s="24">
        <f t="shared" si="0"/>
        <v>0</v>
      </c>
      <c r="I11" s="456">
        <f t="shared" si="1"/>
        <v>287.96900000000005</v>
      </c>
      <c r="J11" s="16">
        <v>0.06</v>
      </c>
      <c r="K11" s="17">
        <v>0.1</v>
      </c>
      <c r="L11" s="470">
        <v>306.35000000000002</v>
      </c>
      <c r="M11" s="122">
        <v>6</v>
      </c>
      <c r="N11" s="25">
        <f t="shared" si="2"/>
        <v>0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28">
        <f t="shared" si="7"/>
        <v>0</v>
      </c>
    </row>
    <row r="12" spans="2:19">
      <c r="B12" s="468" t="s">
        <v>1455</v>
      </c>
      <c r="C12" s="14"/>
      <c r="D12" s="14"/>
      <c r="E12" s="14"/>
      <c r="F12" s="14"/>
      <c r="G12" s="14"/>
      <c r="H12" s="24">
        <f t="shared" ref="H12:H15" si="8">SUM(C12:G12)</f>
        <v>0</v>
      </c>
      <c r="I12" s="456">
        <f t="shared" si="1"/>
        <v>63.497</v>
      </c>
      <c r="J12" s="16">
        <v>0.06</v>
      </c>
      <c r="K12" s="17">
        <v>0.1</v>
      </c>
      <c r="L12" s="470">
        <v>67.55</v>
      </c>
      <c r="M12" s="122">
        <v>4</v>
      </c>
      <c r="N12" s="25">
        <f t="shared" si="2"/>
        <v>0</v>
      </c>
      <c r="O12" s="25">
        <f t="shared" si="3"/>
        <v>0</v>
      </c>
      <c r="P12" s="25">
        <f t="shared" si="4"/>
        <v>0</v>
      </c>
      <c r="Q12" s="26">
        <f t="shared" si="5"/>
        <v>0</v>
      </c>
      <c r="R12" s="27">
        <f t="shared" si="6"/>
        <v>0</v>
      </c>
      <c r="S12" s="28">
        <f t="shared" si="7"/>
        <v>0</v>
      </c>
    </row>
    <row r="13" spans="2:19">
      <c r="B13" s="468" t="s">
        <v>1456</v>
      </c>
      <c r="C13" s="14"/>
      <c r="D13" s="14"/>
      <c r="E13" s="14"/>
      <c r="F13" s="14"/>
      <c r="G13" s="14"/>
      <c r="H13" s="24">
        <f t="shared" si="8"/>
        <v>0</v>
      </c>
      <c r="I13" s="456">
        <f t="shared" si="1"/>
        <v>16.694400000000002</v>
      </c>
      <c r="J13" s="16">
        <v>0.06</v>
      </c>
      <c r="K13" s="17">
        <v>0.1</v>
      </c>
      <c r="L13" s="470">
        <v>17.760000000000002</v>
      </c>
      <c r="M13" s="122">
        <v>4</v>
      </c>
      <c r="N13" s="25">
        <f t="shared" si="2"/>
        <v>0</v>
      </c>
      <c r="O13" s="25">
        <f t="shared" si="3"/>
        <v>0</v>
      </c>
      <c r="P13" s="25">
        <f t="shared" si="4"/>
        <v>0</v>
      </c>
      <c r="Q13" s="26">
        <f t="shared" si="5"/>
        <v>0</v>
      </c>
      <c r="R13" s="27">
        <f t="shared" si="6"/>
        <v>0</v>
      </c>
      <c r="S13" s="28">
        <f t="shared" si="7"/>
        <v>0</v>
      </c>
    </row>
    <row r="14" spans="2:19">
      <c r="B14" s="468" t="s">
        <v>1457</v>
      </c>
      <c r="C14" s="14"/>
      <c r="D14" s="14"/>
      <c r="E14" s="14"/>
      <c r="F14" s="14">
        <v>360</v>
      </c>
      <c r="G14" s="14">
        <v>360</v>
      </c>
      <c r="H14" s="24">
        <f t="shared" si="8"/>
        <v>720</v>
      </c>
      <c r="I14" s="456">
        <f t="shared" si="1"/>
        <v>54.623399999999997</v>
      </c>
      <c r="J14" s="16">
        <v>0.06</v>
      </c>
      <c r="K14" s="17">
        <v>0.1</v>
      </c>
      <c r="L14" s="470">
        <v>58.11</v>
      </c>
      <c r="M14" s="122">
        <v>12</v>
      </c>
      <c r="N14" s="25">
        <f t="shared" si="2"/>
        <v>0</v>
      </c>
      <c r="O14" s="25">
        <f t="shared" si="3"/>
        <v>0</v>
      </c>
      <c r="P14" s="25">
        <f t="shared" si="4"/>
        <v>0</v>
      </c>
      <c r="Q14" s="26">
        <f t="shared" si="5"/>
        <v>19664.423999999999</v>
      </c>
      <c r="R14" s="27">
        <f t="shared" si="6"/>
        <v>19664.423999999999</v>
      </c>
      <c r="S14" s="28">
        <f t="shared" si="7"/>
        <v>39328.847999999998</v>
      </c>
    </row>
    <row r="15" spans="2:19">
      <c r="B15" s="468" t="s">
        <v>1476</v>
      </c>
      <c r="C15" s="14">
        <v>72</v>
      </c>
      <c r="D15" s="14"/>
      <c r="E15" s="14"/>
      <c r="F15" s="14"/>
      <c r="G15" s="14">
        <v>1200</v>
      </c>
      <c r="H15" s="24">
        <f t="shared" si="8"/>
        <v>1272</v>
      </c>
      <c r="I15" s="456">
        <f t="shared" si="1"/>
        <v>13.4514</v>
      </c>
      <c r="J15" s="16">
        <v>0.06</v>
      </c>
      <c r="K15" s="17">
        <v>0.1</v>
      </c>
      <c r="L15" s="470">
        <v>14.31</v>
      </c>
      <c r="M15" s="122">
        <v>4</v>
      </c>
      <c r="N15" s="25">
        <f t="shared" si="2"/>
        <v>968.50080000000003</v>
      </c>
      <c r="O15" s="25">
        <f t="shared" si="3"/>
        <v>0</v>
      </c>
      <c r="P15" s="25">
        <f t="shared" si="4"/>
        <v>0</v>
      </c>
      <c r="Q15" s="26">
        <f t="shared" si="5"/>
        <v>0</v>
      </c>
      <c r="R15" s="27">
        <f t="shared" si="6"/>
        <v>16141.68</v>
      </c>
      <c r="S15" s="28">
        <f t="shared" si="7"/>
        <v>17110.180800000002</v>
      </c>
    </row>
    <row r="16" spans="2:19">
      <c r="B16" s="468" t="s">
        <v>1458</v>
      </c>
      <c r="C16" s="14"/>
      <c r="D16" s="14"/>
      <c r="E16" s="14"/>
      <c r="F16" s="14">
        <v>360</v>
      </c>
      <c r="G16" s="14"/>
      <c r="H16" s="24">
        <f t="shared" ref="H16:H33" si="9">SUM(C16:G16)</f>
        <v>360</v>
      </c>
      <c r="I16" s="456">
        <f t="shared" si="1"/>
        <v>14.682799999999999</v>
      </c>
      <c r="J16" s="16">
        <v>0.06</v>
      </c>
      <c r="K16" s="17">
        <v>0.1</v>
      </c>
      <c r="L16" s="470">
        <v>15.62</v>
      </c>
      <c r="M16" s="122">
        <v>24</v>
      </c>
      <c r="N16" s="25">
        <f t="shared" si="2"/>
        <v>0</v>
      </c>
      <c r="O16" s="25">
        <f t="shared" si="3"/>
        <v>0</v>
      </c>
      <c r="P16" s="25">
        <f t="shared" si="4"/>
        <v>0</v>
      </c>
      <c r="Q16" s="26">
        <f t="shared" si="5"/>
        <v>5285.8079999999991</v>
      </c>
      <c r="R16" s="27">
        <f t="shared" si="6"/>
        <v>0</v>
      </c>
      <c r="S16" s="28">
        <f t="shared" si="7"/>
        <v>5285.8079999999991</v>
      </c>
    </row>
    <row r="17" spans="2:19">
      <c r="B17" s="468" t="s">
        <v>1459</v>
      </c>
      <c r="C17" s="14"/>
      <c r="D17" s="14"/>
      <c r="E17" s="14"/>
      <c r="F17" s="14">
        <v>120</v>
      </c>
      <c r="G17" s="14">
        <v>240</v>
      </c>
      <c r="H17" s="24">
        <f t="shared" si="9"/>
        <v>360</v>
      </c>
      <c r="I17" s="456">
        <f t="shared" si="1"/>
        <v>7.2568000000000001</v>
      </c>
      <c r="J17" s="16">
        <v>0.06</v>
      </c>
      <c r="K17" s="17">
        <v>0.1</v>
      </c>
      <c r="L17" s="470">
        <v>7.72</v>
      </c>
      <c r="M17" s="122">
        <v>24</v>
      </c>
      <c r="N17" s="25">
        <f t="shared" si="2"/>
        <v>0</v>
      </c>
      <c r="O17" s="25">
        <f t="shared" si="3"/>
        <v>0</v>
      </c>
      <c r="P17" s="25">
        <f t="shared" si="4"/>
        <v>0</v>
      </c>
      <c r="Q17" s="26">
        <f t="shared" si="5"/>
        <v>870.81600000000003</v>
      </c>
      <c r="R17" s="27">
        <f t="shared" si="6"/>
        <v>1741.6320000000001</v>
      </c>
      <c r="S17" s="28">
        <f t="shared" si="7"/>
        <v>2612.4480000000003</v>
      </c>
    </row>
    <row r="18" spans="2:19">
      <c r="B18" s="468" t="s">
        <v>1460</v>
      </c>
      <c r="C18" s="14"/>
      <c r="D18" s="14"/>
      <c r="E18" s="14"/>
      <c r="F18" s="14"/>
      <c r="G18" s="14"/>
      <c r="H18" s="24">
        <f t="shared" si="9"/>
        <v>0</v>
      </c>
      <c r="I18" s="456">
        <f t="shared" si="1"/>
        <v>11.533799999999999</v>
      </c>
      <c r="J18" s="16">
        <v>0.06</v>
      </c>
      <c r="K18" s="17">
        <v>0.1</v>
      </c>
      <c r="L18" s="470">
        <v>12.27</v>
      </c>
      <c r="M18" s="122">
        <v>6</v>
      </c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28">
        <f t="shared" si="7"/>
        <v>0</v>
      </c>
    </row>
    <row r="19" spans="2:19">
      <c r="B19" s="468" t="s">
        <v>1461</v>
      </c>
      <c r="C19" s="14"/>
      <c r="D19" s="14"/>
      <c r="E19" s="14"/>
      <c r="F19" s="14">
        <v>60</v>
      </c>
      <c r="G19" s="14">
        <v>120</v>
      </c>
      <c r="H19" s="24">
        <f t="shared" si="9"/>
        <v>180</v>
      </c>
      <c r="I19" s="456">
        <f t="shared" si="1"/>
        <v>9.8605999999999998</v>
      </c>
      <c r="J19" s="16">
        <v>0.06</v>
      </c>
      <c r="K19" s="17">
        <v>0.1</v>
      </c>
      <c r="L19" s="470">
        <v>10.49</v>
      </c>
      <c r="M19" s="122">
        <v>12</v>
      </c>
      <c r="N19" s="25">
        <f t="shared" si="2"/>
        <v>0</v>
      </c>
      <c r="O19" s="25">
        <f t="shared" si="3"/>
        <v>0</v>
      </c>
      <c r="P19" s="25">
        <f t="shared" si="4"/>
        <v>0</v>
      </c>
      <c r="Q19" s="26">
        <f t="shared" si="5"/>
        <v>591.63599999999997</v>
      </c>
      <c r="R19" s="27">
        <f t="shared" si="6"/>
        <v>1183.2719999999999</v>
      </c>
      <c r="S19" s="28">
        <f t="shared" si="7"/>
        <v>1774.9079999999999</v>
      </c>
    </row>
    <row r="20" spans="2:19">
      <c r="B20" s="468" t="s">
        <v>1462</v>
      </c>
      <c r="C20" s="14"/>
      <c r="D20" s="14"/>
      <c r="E20" s="14"/>
      <c r="F20" s="14"/>
      <c r="G20" s="14"/>
      <c r="H20" s="24">
        <f t="shared" si="9"/>
        <v>0</v>
      </c>
      <c r="I20" s="456">
        <f t="shared" si="1"/>
        <v>27.5608</v>
      </c>
      <c r="J20" s="16">
        <v>0.06</v>
      </c>
      <c r="K20" s="17">
        <v>0.1</v>
      </c>
      <c r="L20" s="470">
        <v>29.32</v>
      </c>
      <c r="M20" s="122">
        <v>72</v>
      </c>
      <c r="N20" s="25">
        <f t="shared" si="2"/>
        <v>0</v>
      </c>
      <c r="O20" s="25">
        <f t="shared" si="3"/>
        <v>0</v>
      </c>
      <c r="P20" s="25">
        <f t="shared" si="4"/>
        <v>0</v>
      </c>
      <c r="Q20" s="26">
        <f t="shared" si="5"/>
        <v>0</v>
      </c>
      <c r="R20" s="27">
        <f t="shared" si="6"/>
        <v>0</v>
      </c>
      <c r="S20" s="28">
        <f t="shared" si="7"/>
        <v>0</v>
      </c>
    </row>
    <row r="21" spans="2:19">
      <c r="B21" s="468" t="s">
        <v>1463</v>
      </c>
      <c r="C21" s="14"/>
      <c r="D21" s="14"/>
      <c r="E21" s="14"/>
      <c r="F21" s="14"/>
      <c r="G21" s="14"/>
      <c r="H21" s="24">
        <f t="shared" si="9"/>
        <v>0</v>
      </c>
      <c r="I21" s="456">
        <f t="shared" si="1"/>
        <v>45.054200000000002</v>
      </c>
      <c r="J21" s="16">
        <v>0.06</v>
      </c>
      <c r="K21" s="17">
        <v>0.1</v>
      </c>
      <c r="L21" s="470">
        <v>47.93</v>
      </c>
      <c r="M21" s="122">
        <v>12</v>
      </c>
      <c r="N21" s="25">
        <f t="shared" si="2"/>
        <v>0</v>
      </c>
      <c r="O21" s="25">
        <f t="shared" si="3"/>
        <v>0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28">
        <f t="shared" si="7"/>
        <v>0</v>
      </c>
    </row>
    <row r="22" spans="2:19">
      <c r="B22" s="468" t="s">
        <v>1464</v>
      </c>
      <c r="C22" s="14"/>
      <c r="D22" s="14"/>
      <c r="E22" s="14"/>
      <c r="F22" s="14"/>
      <c r="G22" s="14"/>
      <c r="H22" s="24">
        <f t="shared" si="9"/>
        <v>0</v>
      </c>
      <c r="I22" s="456">
        <f t="shared" si="1"/>
        <v>115.15</v>
      </c>
      <c r="J22" s="16">
        <v>0.06</v>
      </c>
      <c r="K22" s="17">
        <v>0.1</v>
      </c>
      <c r="L22" s="470">
        <v>122.5</v>
      </c>
      <c r="M22" s="122">
        <v>4</v>
      </c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28">
        <f t="shared" si="7"/>
        <v>0</v>
      </c>
    </row>
    <row r="23" spans="2:19">
      <c r="B23" s="468" t="s">
        <v>1465</v>
      </c>
      <c r="C23" s="14">
        <v>24</v>
      </c>
      <c r="D23" s="14"/>
      <c r="E23" s="14"/>
      <c r="F23" s="14"/>
      <c r="G23" s="14">
        <v>300</v>
      </c>
      <c r="H23" s="24">
        <f t="shared" si="9"/>
        <v>324</v>
      </c>
      <c r="I23" s="456">
        <f t="shared" si="1"/>
        <v>5.2169999999999996</v>
      </c>
      <c r="J23" s="16">
        <v>0.06</v>
      </c>
      <c r="K23" s="17">
        <v>0.1</v>
      </c>
      <c r="L23" s="470">
        <v>5.55</v>
      </c>
      <c r="M23" s="122">
        <v>56</v>
      </c>
      <c r="N23" s="25">
        <f t="shared" si="2"/>
        <v>125.208</v>
      </c>
      <c r="O23" s="25">
        <f t="shared" si="3"/>
        <v>0</v>
      </c>
      <c r="P23" s="25">
        <f t="shared" si="4"/>
        <v>0</v>
      </c>
      <c r="Q23" s="26">
        <f t="shared" si="5"/>
        <v>0</v>
      </c>
      <c r="R23" s="27">
        <f t="shared" si="6"/>
        <v>1565.1</v>
      </c>
      <c r="S23" s="28">
        <f t="shared" si="7"/>
        <v>1690.308</v>
      </c>
    </row>
    <row r="24" spans="2:19">
      <c r="B24" s="468" t="s">
        <v>1466</v>
      </c>
      <c r="C24" s="14"/>
      <c r="D24" s="14">
        <v>1200</v>
      </c>
      <c r="E24" s="14">
        <v>500</v>
      </c>
      <c r="F24" s="14">
        <v>2000</v>
      </c>
      <c r="G24" s="14"/>
      <c r="H24" s="24">
        <f t="shared" si="9"/>
        <v>3700</v>
      </c>
      <c r="I24" s="456">
        <f t="shared" si="1"/>
        <v>5.2827999999999999</v>
      </c>
      <c r="J24" s="16">
        <v>0.06</v>
      </c>
      <c r="K24" s="17">
        <v>0.1</v>
      </c>
      <c r="L24" s="470">
        <v>5.62</v>
      </c>
      <c r="M24" s="122">
        <v>24</v>
      </c>
      <c r="N24" s="25">
        <f t="shared" si="2"/>
        <v>0</v>
      </c>
      <c r="O24" s="25">
        <f t="shared" si="3"/>
        <v>6339.36</v>
      </c>
      <c r="P24" s="25">
        <f t="shared" si="4"/>
        <v>2641.4</v>
      </c>
      <c r="Q24" s="26">
        <f t="shared" si="5"/>
        <v>10565.6</v>
      </c>
      <c r="R24" s="27">
        <f t="shared" si="6"/>
        <v>0</v>
      </c>
      <c r="S24" s="28">
        <f t="shared" si="7"/>
        <v>19546.36</v>
      </c>
    </row>
    <row r="25" spans="2:19">
      <c r="B25" s="468" t="s">
        <v>1467</v>
      </c>
      <c r="C25" s="14"/>
      <c r="D25" s="14"/>
      <c r="E25" s="14"/>
      <c r="F25" s="14"/>
      <c r="G25" s="14"/>
      <c r="H25" s="24">
        <f t="shared" si="9"/>
        <v>0</v>
      </c>
      <c r="I25" s="456">
        <f t="shared" si="1"/>
        <v>107.65820000000001</v>
      </c>
      <c r="J25" s="16">
        <v>0.06</v>
      </c>
      <c r="K25" s="17">
        <v>0.1</v>
      </c>
      <c r="L25" s="470">
        <v>114.53</v>
      </c>
      <c r="M25" s="122">
        <v>24</v>
      </c>
      <c r="N25" s="25">
        <f t="shared" si="2"/>
        <v>0</v>
      </c>
      <c r="O25" s="25">
        <f t="shared" si="3"/>
        <v>0</v>
      </c>
      <c r="P25" s="25">
        <f t="shared" si="4"/>
        <v>0</v>
      </c>
      <c r="Q25" s="26">
        <f t="shared" si="5"/>
        <v>0</v>
      </c>
      <c r="R25" s="27">
        <f t="shared" si="6"/>
        <v>0</v>
      </c>
      <c r="S25" s="28">
        <f t="shared" si="7"/>
        <v>0</v>
      </c>
    </row>
    <row r="26" spans="2:19">
      <c r="B26" s="468" t="s">
        <v>1468</v>
      </c>
      <c r="C26" s="14"/>
      <c r="D26" s="14"/>
      <c r="E26" s="14"/>
      <c r="F26" s="14"/>
      <c r="G26" s="14">
        <v>120</v>
      </c>
      <c r="H26" s="24">
        <f t="shared" si="9"/>
        <v>120</v>
      </c>
      <c r="I26" s="456">
        <f t="shared" si="1"/>
        <v>13.667599999999998</v>
      </c>
      <c r="J26" s="16">
        <v>0.06</v>
      </c>
      <c r="K26" s="17">
        <v>0.1</v>
      </c>
      <c r="L26" s="470">
        <v>14.54</v>
      </c>
      <c r="M26" s="122">
        <v>12</v>
      </c>
      <c r="N26" s="25">
        <f t="shared" si="2"/>
        <v>0</v>
      </c>
      <c r="O26" s="25">
        <f t="shared" si="3"/>
        <v>0</v>
      </c>
      <c r="P26" s="25">
        <f t="shared" si="4"/>
        <v>0</v>
      </c>
      <c r="Q26" s="26">
        <f t="shared" si="5"/>
        <v>0</v>
      </c>
      <c r="R26" s="27">
        <f t="shared" si="6"/>
        <v>1640.1119999999999</v>
      </c>
      <c r="S26" s="28">
        <f t="shared" si="7"/>
        <v>1640.1119999999999</v>
      </c>
    </row>
    <row r="27" spans="2:19">
      <c r="B27" s="468" t="s">
        <v>1469</v>
      </c>
      <c r="C27" s="14">
        <v>48</v>
      </c>
      <c r="D27" s="14"/>
      <c r="E27" s="14"/>
      <c r="F27" s="14">
        <v>24</v>
      </c>
      <c r="G27" s="14">
        <v>180</v>
      </c>
      <c r="H27" s="24">
        <f t="shared" si="9"/>
        <v>252</v>
      </c>
      <c r="I27" s="456">
        <f t="shared" si="1"/>
        <v>5.4989999999999997</v>
      </c>
      <c r="J27" s="16">
        <v>0.06</v>
      </c>
      <c r="K27" s="17">
        <v>0.1</v>
      </c>
      <c r="L27" s="470">
        <v>5.85</v>
      </c>
      <c r="M27" s="122">
        <v>10</v>
      </c>
      <c r="N27" s="25">
        <f t="shared" si="2"/>
        <v>263.952</v>
      </c>
      <c r="O27" s="25">
        <f t="shared" si="3"/>
        <v>0</v>
      </c>
      <c r="P27" s="25">
        <f t="shared" si="4"/>
        <v>0</v>
      </c>
      <c r="Q27" s="26">
        <f t="shared" si="5"/>
        <v>131.976</v>
      </c>
      <c r="R27" s="27">
        <f t="shared" si="6"/>
        <v>989.81999999999994</v>
      </c>
      <c r="S27" s="28">
        <f t="shared" si="7"/>
        <v>1385.748</v>
      </c>
    </row>
    <row r="28" spans="2:19">
      <c r="B28" s="468" t="s">
        <v>1470</v>
      </c>
      <c r="C28" s="14"/>
      <c r="D28" s="14"/>
      <c r="E28" s="14"/>
      <c r="F28" s="14">
        <v>36</v>
      </c>
      <c r="G28" s="14">
        <v>600</v>
      </c>
      <c r="H28" s="24">
        <f t="shared" si="9"/>
        <v>636</v>
      </c>
      <c r="I28" s="456">
        <f t="shared" si="1"/>
        <v>14.946</v>
      </c>
      <c r="J28" s="16">
        <v>0.06</v>
      </c>
      <c r="K28" s="17">
        <v>0.1</v>
      </c>
      <c r="L28" s="470">
        <v>15.9</v>
      </c>
      <c r="M28" s="122">
        <v>24</v>
      </c>
      <c r="N28" s="25">
        <f t="shared" si="2"/>
        <v>0</v>
      </c>
      <c r="O28" s="25">
        <f t="shared" si="3"/>
        <v>0</v>
      </c>
      <c r="P28" s="25">
        <f t="shared" si="4"/>
        <v>0</v>
      </c>
      <c r="Q28" s="26">
        <f t="shared" si="5"/>
        <v>538.05600000000004</v>
      </c>
      <c r="R28" s="27">
        <f t="shared" si="6"/>
        <v>8967.6</v>
      </c>
      <c r="S28" s="28">
        <f t="shared" si="7"/>
        <v>9505.6560000000009</v>
      </c>
    </row>
    <row r="29" spans="2:19">
      <c r="B29" s="468" t="s">
        <v>1471</v>
      </c>
      <c r="C29" s="14"/>
      <c r="D29" s="14"/>
      <c r="E29" s="14"/>
      <c r="F29" s="14"/>
      <c r="G29" s="14"/>
      <c r="H29" s="24">
        <f t="shared" si="9"/>
        <v>0</v>
      </c>
      <c r="I29" s="456">
        <f t="shared" si="1"/>
        <v>95.851799999999997</v>
      </c>
      <c r="J29" s="16">
        <v>0.06</v>
      </c>
      <c r="K29" s="17">
        <v>0.1</v>
      </c>
      <c r="L29" s="470">
        <v>101.97</v>
      </c>
      <c r="M29" s="122">
        <v>24</v>
      </c>
      <c r="N29" s="25">
        <f t="shared" si="2"/>
        <v>0</v>
      </c>
      <c r="O29" s="25">
        <f t="shared" si="3"/>
        <v>0</v>
      </c>
      <c r="P29" s="25">
        <f t="shared" si="4"/>
        <v>0</v>
      </c>
      <c r="Q29" s="26">
        <f t="shared" si="5"/>
        <v>0</v>
      </c>
      <c r="R29" s="27">
        <f t="shared" si="6"/>
        <v>0</v>
      </c>
      <c r="S29" s="28">
        <f t="shared" si="7"/>
        <v>0</v>
      </c>
    </row>
    <row r="30" spans="2:19">
      <c r="B30" s="468" t="s">
        <v>1472</v>
      </c>
      <c r="C30" s="14"/>
      <c r="D30" s="14"/>
      <c r="E30" s="14">
        <v>6</v>
      </c>
      <c r="F30" s="14"/>
      <c r="G30" s="14">
        <v>48</v>
      </c>
      <c r="H30" s="24">
        <f t="shared" si="9"/>
        <v>54</v>
      </c>
      <c r="I30" s="456">
        <f t="shared" si="1"/>
        <v>93.02239999999999</v>
      </c>
      <c r="J30" s="16">
        <v>0.06</v>
      </c>
      <c r="K30" s="17">
        <v>0.1</v>
      </c>
      <c r="L30" s="470">
        <v>98.96</v>
      </c>
      <c r="M30" s="122">
        <v>20</v>
      </c>
      <c r="N30" s="25">
        <f t="shared" si="2"/>
        <v>0</v>
      </c>
      <c r="O30" s="25">
        <f t="shared" si="3"/>
        <v>0</v>
      </c>
      <c r="P30" s="25">
        <f t="shared" si="4"/>
        <v>558.13439999999991</v>
      </c>
      <c r="Q30" s="26">
        <f t="shared" si="5"/>
        <v>0</v>
      </c>
      <c r="R30" s="27">
        <f t="shared" si="6"/>
        <v>4465.0751999999993</v>
      </c>
      <c r="S30" s="28">
        <f t="shared" si="7"/>
        <v>5023.2095999999992</v>
      </c>
    </row>
    <row r="31" spans="2:19">
      <c r="B31" s="468" t="s">
        <v>1473</v>
      </c>
      <c r="C31" s="14">
        <v>24</v>
      </c>
      <c r="D31" s="14"/>
      <c r="E31" s="14"/>
      <c r="F31" s="14">
        <v>24</v>
      </c>
      <c r="G31" s="14"/>
      <c r="H31" s="24">
        <f t="shared" si="9"/>
        <v>48</v>
      </c>
      <c r="I31" s="456">
        <f t="shared" si="1"/>
        <v>38.511800000000001</v>
      </c>
      <c r="J31" s="16">
        <v>0.06</v>
      </c>
      <c r="K31" s="17">
        <v>0.1</v>
      </c>
      <c r="L31" s="470">
        <v>40.97</v>
      </c>
      <c r="M31" s="122">
        <v>100</v>
      </c>
      <c r="N31" s="25">
        <f t="shared" si="2"/>
        <v>924.28320000000008</v>
      </c>
      <c r="O31" s="25">
        <f t="shared" si="3"/>
        <v>0</v>
      </c>
      <c r="P31" s="25">
        <f t="shared" si="4"/>
        <v>0</v>
      </c>
      <c r="Q31" s="26">
        <f t="shared" si="5"/>
        <v>924.28320000000008</v>
      </c>
      <c r="R31" s="27">
        <f t="shared" si="6"/>
        <v>0</v>
      </c>
      <c r="S31" s="28">
        <f t="shared" si="7"/>
        <v>1848.5664000000002</v>
      </c>
    </row>
    <row r="32" spans="2:19">
      <c r="B32" s="468" t="s">
        <v>1474</v>
      </c>
      <c r="C32" s="14">
        <v>96</v>
      </c>
      <c r="D32" s="14">
        <v>24</v>
      </c>
      <c r="E32" s="14"/>
      <c r="F32" s="14">
        <v>240</v>
      </c>
      <c r="G32" s="14"/>
      <c r="H32" s="24">
        <f t="shared" si="9"/>
        <v>360</v>
      </c>
      <c r="I32" s="456">
        <f t="shared" si="1"/>
        <v>13.8462</v>
      </c>
      <c r="J32" s="16">
        <v>0.06</v>
      </c>
      <c r="K32" s="17">
        <v>0.1</v>
      </c>
      <c r="L32" s="470">
        <v>14.73</v>
      </c>
      <c r="M32" s="122">
        <v>8</v>
      </c>
      <c r="N32" s="25">
        <f t="shared" si="2"/>
        <v>1329.2352000000001</v>
      </c>
      <c r="O32" s="25">
        <f t="shared" si="3"/>
        <v>332.30880000000002</v>
      </c>
      <c r="P32" s="25">
        <f t="shared" si="4"/>
        <v>0</v>
      </c>
      <c r="Q32" s="26">
        <f t="shared" si="5"/>
        <v>3323.0879999999997</v>
      </c>
      <c r="R32" s="27">
        <f t="shared" si="6"/>
        <v>0</v>
      </c>
      <c r="S32" s="28">
        <f t="shared" si="7"/>
        <v>4984.6319999999996</v>
      </c>
    </row>
    <row r="33" spans="2:19">
      <c r="B33" s="468" t="s">
        <v>1475</v>
      </c>
      <c r="C33" s="14">
        <v>240</v>
      </c>
      <c r="D33" s="14">
        <v>24</v>
      </c>
      <c r="E33" s="14">
        <v>120</v>
      </c>
      <c r="F33" s="14">
        <v>120</v>
      </c>
      <c r="G33" s="14">
        <v>180</v>
      </c>
      <c r="H33" s="24">
        <f t="shared" si="9"/>
        <v>684</v>
      </c>
      <c r="I33" s="456">
        <f t="shared" si="1"/>
        <v>10.6784</v>
      </c>
      <c r="J33" s="16">
        <v>0.06</v>
      </c>
      <c r="K33" s="17">
        <v>0.1</v>
      </c>
      <c r="L33" s="470">
        <v>11.36</v>
      </c>
      <c r="M33" s="122">
        <v>24</v>
      </c>
      <c r="N33" s="25">
        <f t="shared" si="2"/>
        <v>2562.8159999999998</v>
      </c>
      <c r="O33" s="25">
        <f t="shared" si="3"/>
        <v>256.28160000000003</v>
      </c>
      <c r="P33" s="25">
        <f t="shared" si="4"/>
        <v>1281.4079999999999</v>
      </c>
      <c r="Q33" s="26">
        <f t="shared" si="5"/>
        <v>1281.4079999999999</v>
      </c>
      <c r="R33" s="27">
        <f t="shared" si="6"/>
        <v>1922.1120000000001</v>
      </c>
      <c r="S33" s="28">
        <f t="shared" si="7"/>
        <v>7304.0255999999999</v>
      </c>
    </row>
    <row r="34" spans="2:19">
      <c r="B34" s="58" t="s">
        <v>13</v>
      </c>
      <c r="C34" s="288">
        <f t="shared" ref="C34" si="10">N34</f>
        <v>6173.9952000000003</v>
      </c>
      <c r="D34" s="288">
        <f t="shared" ref="D34" si="11">O34</f>
        <v>6927.9503999999997</v>
      </c>
      <c r="E34" s="288">
        <f t="shared" ref="E34" si="12">P34</f>
        <v>4480.9423999999999</v>
      </c>
      <c r="F34" s="288">
        <f t="shared" ref="F34" si="13">Q34</f>
        <v>43177.095199999989</v>
      </c>
      <c r="G34" s="288">
        <f t="shared" ref="G34" si="14">R34</f>
        <v>58280.827199999992</v>
      </c>
      <c r="H34" s="288">
        <f t="shared" ref="H34" si="15">S34</f>
        <v>119040.81039999999</v>
      </c>
      <c r="J34" s="6"/>
      <c r="K34" s="6"/>
      <c r="N34" s="29">
        <f t="shared" ref="N34:S34" si="16">SUM(N6:N33)</f>
        <v>6173.9952000000003</v>
      </c>
      <c r="O34" s="29">
        <f t="shared" si="16"/>
        <v>6927.9503999999997</v>
      </c>
      <c r="P34" s="29">
        <f t="shared" si="16"/>
        <v>4480.9423999999999</v>
      </c>
      <c r="Q34" s="29">
        <f t="shared" si="16"/>
        <v>43177.095199999989</v>
      </c>
      <c r="R34" s="29">
        <f t="shared" si="16"/>
        <v>58280.827199999992</v>
      </c>
      <c r="S34" s="29">
        <f t="shared" si="16"/>
        <v>119040.81039999999</v>
      </c>
    </row>
    <row r="35" spans="2:19">
      <c r="B35" s="59" t="s">
        <v>46</v>
      </c>
      <c r="J35" s="6"/>
      <c r="K35" s="6"/>
    </row>
    <row r="36" spans="2:19" ht="16.5" thickBot="1">
      <c r="B36" s="2"/>
    </row>
    <row r="37" spans="2:19">
      <c r="B37" s="60" t="s">
        <v>47</v>
      </c>
    </row>
    <row r="38" spans="2:19">
      <c r="B38" s="61" t="s">
        <v>19</v>
      </c>
    </row>
    <row r="39" spans="2:19">
      <c r="B39" s="61" t="s">
        <v>17</v>
      </c>
    </row>
    <row r="40" spans="2:19" ht="16.5" thickBot="1">
      <c r="B40" s="62" t="s">
        <v>18</v>
      </c>
    </row>
    <row r="41" spans="2:19">
      <c r="B41" s="2"/>
    </row>
    <row r="42" spans="2:19">
      <c r="B42" s="30" t="s">
        <v>20</v>
      </c>
    </row>
    <row r="43" spans="2:19">
      <c r="B43" s="35"/>
    </row>
    <row r="44" spans="2:19">
      <c r="B44" s="35"/>
    </row>
    <row r="45" spans="2:19">
      <c r="B45" s="2"/>
      <c r="G45" s="5" t="str">
        <f>IF(B45&lt;&gt;"",SUM(C45:F45),"")</f>
        <v/>
      </c>
    </row>
    <row r="46" spans="2:19">
      <c r="G46" s="5" t="str">
        <f t="shared" ref="G46:G109" si="17">IF(B46&lt;&gt;"",SUM(C46:F46),"")</f>
        <v/>
      </c>
    </row>
    <row r="47" spans="2:19">
      <c r="G47" s="5" t="str">
        <f t="shared" si="17"/>
        <v/>
      </c>
    </row>
    <row r="48" spans="2:19">
      <c r="G48" s="5" t="str">
        <f t="shared" si="17"/>
        <v/>
      </c>
    </row>
    <row r="49" spans="7:7">
      <c r="G49" s="5" t="str">
        <f t="shared" si="17"/>
        <v/>
      </c>
    </row>
    <row r="50" spans="7:7">
      <c r="G50" s="5" t="str">
        <f t="shared" si="17"/>
        <v/>
      </c>
    </row>
    <row r="51" spans="7:7">
      <c r="G51" s="5" t="str">
        <f t="shared" si="17"/>
        <v/>
      </c>
    </row>
    <row r="52" spans="7:7">
      <c r="G52" s="5" t="str">
        <f t="shared" si="17"/>
        <v/>
      </c>
    </row>
    <row r="53" spans="7:7">
      <c r="G53" s="5" t="str">
        <f t="shared" si="17"/>
        <v/>
      </c>
    </row>
    <row r="54" spans="7:7">
      <c r="G54" s="5" t="str">
        <f t="shared" si="17"/>
        <v/>
      </c>
    </row>
    <row r="55" spans="7:7">
      <c r="G55" s="5" t="str">
        <f t="shared" si="17"/>
        <v/>
      </c>
    </row>
    <row r="56" spans="7:7">
      <c r="G56" s="5" t="str">
        <f t="shared" si="17"/>
        <v/>
      </c>
    </row>
    <row r="57" spans="7:7">
      <c r="G57" s="5" t="str">
        <f t="shared" si="17"/>
        <v/>
      </c>
    </row>
    <row r="58" spans="7:7">
      <c r="G58" s="5" t="str">
        <f t="shared" si="17"/>
        <v/>
      </c>
    </row>
    <row r="59" spans="7:7">
      <c r="G59" s="5" t="str">
        <f t="shared" si="17"/>
        <v/>
      </c>
    </row>
    <row r="60" spans="7:7">
      <c r="G60" s="5" t="str">
        <f t="shared" si="17"/>
        <v/>
      </c>
    </row>
    <row r="61" spans="7:7">
      <c r="G61" s="5" t="str">
        <f t="shared" si="17"/>
        <v/>
      </c>
    </row>
    <row r="62" spans="7:7">
      <c r="G62" s="5" t="str">
        <f t="shared" si="17"/>
        <v/>
      </c>
    </row>
    <row r="63" spans="7:7">
      <c r="G63" s="5" t="str">
        <f t="shared" si="17"/>
        <v/>
      </c>
    </row>
    <row r="64" spans="7:7">
      <c r="G64" s="5" t="str">
        <f t="shared" si="17"/>
        <v/>
      </c>
    </row>
    <row r="65" spans="7:7">
      <c r="G65" s="5" t="str">
        <f t="shared" si="17"/>
        <v/>
      </c>
    </row>
    <row r="66" spans="7:7">
      <c r="G66" s="5" t="str">
        <f t="shared" si="17"/>
        <v/>
      </c>
    </row>
    <row r="67" spans="7:7">
      <c r="G67" s="5" t="str">
        <f t="shared" si="17"/>
        <v/>
      </c>
    </row>
    <row r="68" spans="7:7">
      <c r="G68" s="5" t="str">
        <f t="shared" si="17"/>
        <v/>
      </c>
    </row>
    <row r="69" spans="7:7">
      <c r="G69" s="5" t="str">
        <f t="shared" si="17"/>
        <v/>
      </c>
    </row>
    <row r="70" spans="7:7">
      <c r="G70" s="5" t="str">
        <f t="shared" si="17"/>
        <v/>
      </c>
    </row>
    <row r="71" spans="7:7">
      <c r="G71" s="5" t="str">
        <f t="shared" si="17"/>
        <v/>
      </c>
    </row>
    <row r="72" spans="7:7">
      <c r="G72" s="5" t="str">
        <f t="shared" si="17"/>
        <v/>
      </c>
    </row>
    <row r="73" spans="7:7">
      <c r="G73" s="5" t="str">
        <f t="shared" si="17"/>
        <v/>
      </c>
    </row>
    <row r="74" spans="7:7">
      <c r="G74" s="5" t="str">
        <f t="shared" si="17"/>
        <v/>
      </c>
    </row>
    <row r="75" spans="7:7">
      <c r="G75" s="5" t="str">
        <f t="shared" si="17"/>
        <v/>
      </c>
    </row>
    <row r="76" spans="7:7">
      <c r="G76" s="5" t="str">
        <f t="shared" si="17"/>
        <v/>
      </c>
    </row>
    <row r="77" spans="7:7">
      <c r="G77" s="5" t="str">
        <f t="shared" si="17"/>
        <v/>
      </c>
    </row>
    <row r="78" spans="7:7">
      <c r="G78" s="5" t="str">
        <f t="shared" si="17"/>
        <v/>
      </c>
    </row>
    <row r="79" spans="7:7">
      <c r="G79" s="5" t="str">
        <f t="shared" si="17"/>
        <v/>
      </c>
    </row>
    <row r="80" spans="7:7">
      <c r="G80" s="5" t="str">
        <f t="shared" si="17"/>
        <v/>
      </c>
    </row>
    <row r="81" spans="7:7">
      <c r="G81" s="5" t="str">
        <f t="shared" si="17"/>
        <v/>
      </c>
    </row>
    <row r="82" spans="7:7">
      <c r="G82" s="5" t="str">
        <f t="shared" si="17"/>
        <v/>
      </c>
    </row>
    <row r="83" spans="7:7">
      <c r="G83" s="5" t="str">
        <f t="shared" si="17"/>
        <v/>
      </c>
    </row>
    <row r="84" spans="7:7">
      <c r="G84" s="5" t="str">
        <f t="shared" si="17"/>
        <v/>
      </c>
    </row>
    <row r="85" spans="7:7">
      <c r="G85" s="5" t="str">
        <f t="shared" si="17"/>
        <v/>
      </c>
    </row>
    <row r="86" spans="7:7">
      <c r="G86" s="5" t="str">
        <f t="shared" si="17"/>
        <v/>
      </c>
    </row>
    <row r="87" spans="7:7">
      <c r="G87" s="5" t="str">
        <f t="shared" si="17"/>
        <v/>
      </c>
    </row>
    <row r="88" spans="7:7">
      <c r="G88" s="5" t="str">
        <f t="shared" si="17"/>
        <v/>
      </c>
    </row>
    <row r="89" spans="7:7">
      <c r="G89" s="5" t="str">
        <f t="shared" si="17"/>
        <v/>
      </c>
    </row>
    <row r="90" spans="7:7">
      <c r="G90" s="5" t="str">
        <f t="shared" si="17"/>
        <v/>
      </c>
    </row>
    <row r="91" spans="7:7">
      <c r="G91" s="5" t="str">
        <f t="shared" si="17"/>
        <v/>
      </c>
    </row>
    <row r="92" spans="7:7">
      <c r="G92" s="5" t="str">
        <f t="shared" si="17"/>
        <v/>
      </c>
    </row>
    <row r="93" spans="7:7">
      <c r="G93" s="5" t="str">
        <f t="shared" si="17"/>
        <v/>
      </c>
    </row>
    <row r="94" spans="7:7">
      <c r="G94" s="5" t="str">
        <f t="shared" si="17"/>
        <v/>
      </c>
    </row>
    <row r="95" spans="7:7">
      <c r="G95" s="5" t="str">
        <f t="shared" si="17"/>
        <v/>
      </c>
    </row>
    <row r="96" spans="7:7">
      <c r="G96" s="5" t="str">
        <f t="shared" si="17"/>
        <v/>
      </c>
    </row>
    <row r="97" spans="7:7">
      <c r="G97" s="5" t="str">
        <f t="shared" si="17"/>
        <v/>
      </c>
    </row>
    <row r="98" spans="7:7">
      <c r="G98" s="5" t="str">
        <f t="shared" si="17"/>
        <v/>
      </c>
    </row>
    <row r="99" spans="7:7">
      <c r="G99" s="5" t="str">
        <f t="shared" si="17"/>
        <v/>
      </c>
    </row>
    <row r="100" spans="7:7">
      <c r="G100" s="5" t="str">
        <f t="shared" si="17"/>
        <v/>
      </c>
    </row>
    <row r="101" spans="7:7">
      <c r="G101" s="5" t="str">
        <f t="shared" si="17"/>
        <v/>
      </c>
    </row>
    <row r="102" spans="7:7">
      <c r="G102" s="5" t="str">
        <f t="shared" si="17"/>
        <v/>
      </c>
    </row>
    <row r="103" spans="7:7">
      <c r="G103" s="5" t="str">
        <f t="shared" si="17"/>
        <v/>
      </c>
    </row>
    <row r="104" spans="7:7">
      <c r="G104" s="5" t="str">
        <f t="shared" si="17"/>
        <v/>
      </c>
    </row>
    <row r="105" spans="7:7">
      <c r="G105" s="5" t="str">
        <f t="shared" si="17"/>
        <v/>
      </c>
    </row>
    <row r="106" spans="7:7">
      <c r="G106" s="5" t="str">
        <f t="shared" si="17"/>
        <v/>
      </c>
    </row>
    <row r="107" spans="7:7">
      <c r="G107" s="5" t="str">
        <f t="shared" si="17"/>
        <v/>
      </c>
    </row>
    <row r="108" spans="7:7">
      <c r="G108" s="5" t="str">
        <f t="shared" si="17"/>
        <v/>
      </c>
    </row>
    <row r="109" spans="7:7">
      <c r="G109" s="5" t="str">
        <f t="shared" si="17"/>
        <v/>
      </c>
    </row>
    <row r="110" spans="7:7">
      <c r="G110" s="5" t="str">
        <f t="shared" ref="G110:G173" si="18">IF(B110&lt;&gt;"",SUM(C110:F110),"")</f>
        <v/>
      </c>
    </row>
    <row r="111" spans="7:7">
      <c r="G111" s="5" t="str">
        <f t="shared" si="18"/>
        <v/>
      </c>
    </row>
    <row r="112" spans="7:7">
      <c r="G112" s="5" t="str">
        <f t="shared" si="18"/>
        <v/>
      </c>
    </row>
    <row r="113" spans="7:7">
      <c r="G113" s="5" t="str">
        <f t="shared" si="18"/>
        <v/>
      </c>
    </row>
    <row r="114" spans="7:7">
      <c r="G114" s="5" t="str">
        <f t="shared" si="18"/>
        <v/>
      </c>
    </row>
    <row r="115" spans="7:7">
      <c r="G115" s="5" t="str">
        <f t="shared" si="18"/>
        <v/>
      </c>
    </row>
    <row r="116" spans="7:7">
      <c r="G116" s="5" t="str">
        <f t="shared" si="18"/>
        <v/>
      </c>
    </row>
    <row r="117" spans="7:7">
      <c r="G117" s="5" t="str">
        <f t="shared" si="18"/>
        <v/>
      </c>
    </row>
    <row r="118" spans="7:7">
      <c r="G118" s="5" t="str">
        <f t="shared" si="18"/>
        <v/>
      </c>
    </row>
    <row r="119" spans="7:7">
      <c r="G119" s="5" t="str">
        <f t="shared" si="18"/>
        <v/>
      </c>
    </row>
    <row r="120" spans="7:7">
      <c r="G120" s="5" t="str">
        <f t="shared" si="18"/>
        <v/>
      </c>
    </row>
    <row r="121" spans="7:7">
      <c r="G121" s="5" t="str">
        <f t="shared" si="18"/>
        <v/>
      </c>
    </row>
    <row r="122" spans="7:7">
      <c r="G122" s="5" t="str">
        <f t="shared" si="18"/>
        <v/>
      </c>
    </row>
    <row r="123" spans="7:7">
      <c r="G123" s="5" t="str">
        <f t="shared" si="18"/>
        <v/>
      </c>
    </row>
    <row r="124" spans="7:7">
      <c r="G124" s="5" t="str">
        <f t="shared" si="18"/>
        <v/>
      </c>
    </row>
    <row r="125" spans="7:7">
      <c r="G125" s="5" t="str">
        <f t="shared" si="18"/>
        <v/>
      </c>
    </row>
    <row r="126" spans="7:7">
      <c r="G126" s="5" t="str">
        <f t="shared" si="18"/>
        <v/>
      </c>
    </row>
    <row r="127" spans="7:7">
      <c r="G127" s="5" t="str">
        <f t="shared" si="18"/>
        <v/>
      </c>
    </row>
    <row r="128" spans="7:7">
      <c r="G128" s="5" t="str">
        <f t="shared" si="18"/>
        <v/>
      </c>
    </row>
    <row r="129" spans="7:7">
      <c r="G129" s="5" t="str">
        <f t="shared" si="18"/>
        <v/>
      </c>
    </row>
    <row r="130" spans="7:7">
      <c r="G130" s="5" t="str">
        <f t="shared" si="18"/>
        <v/>
      </c>
    </row>
    <row r="131" spans="7:7">
      <c r="G131" s="5" t="str">
        <f t="shared" si="18"/>
        <v/>
      </c>
    </row>
    <row r="132" spans="7:7">
      <c r="G132" s="5" t="str">
        <f t="shared" si="18"/>
        <v/>
      </c>
    </row>
    <row r="133" spans="7:7">
      <c r="G133" s="5" t="str">
        <f t="shared" si="18"/>
        <v/>
      </c>
    </row>
    <row r="134" spans="7:7">
      <c r="G134" s="5" t="str">
        <f t="shared" si="18"/>
        <v/>
      </c>
    </row>
    <row r="135" spans="7:7">
      <c r="G135" s="5" t="str">
        <f t="shared" si="18"/>
        <v/>
      </c>
    </row>
    <row r="136" spans="7:7">
      <c r="G136" s="5" t="str">
        <f t="shared" si="18"/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si="18"/>
        <v/>
      </c>
    </row>
    <row r="155" spans="7:7">
      <c r="G155" s="5" t="str">
        <f t="shared" si="18"/>
        <v/>
      </c>
    </row>
    <row r="156" spans="7:7">
      <c r="G156" s="5" t="str">
        <f t="shared" si="18"/>
        <v/>
      </c>
    </row>
    <row r="157" spans="7:7">
      <c r="G157" s="5" t="str">
        <f t="shared" si="18"/>
        <v/>
      </c>
    </row>
    <row r="158" spans="7:7">
      <c r="G158" s="5" t="str">
        <f t="shared" si="18"/>
        <v/>
      </c>
    </row>
    <row r="159" spans="7:7">
      <c r="G159" s="5" t="str">
        <f t="shared" si="18"/>
        <v/>
      </c>
    </row>
    <row r="160" spans="7:7">
      <c r="G160" s="5" t="str">
        <f t="shared" si="18"/>
        <v/>
      </c>
    </row>
    <row r="161" spans="7:7">
      <c r="G161" s="5" t="str">
        <f t="shared" si="18"/>
        <v/>
      </c>
    </row>
    <row r="162" spans="7:7">
      <c r="G162" s="5" t="str">
        <f t="shared" si="18"/>
        <v/>
      </c>
    </row>
    <row r="163" spans="7:7">
      <c r="G163" s="5" t="str">
        <f t="shared" si="18"/>
        <v/>
      </c>
    </row>
    <row r="164" spans="7:7">
      <c r="G164" s="5" t="str">
        <f t="shared" si="18"/>
        <v/>
      </c>
    </row>
    <row r="165" spans="7:7">
      <c r="G165" s="5" t="str">
        <f t="shared" si="18"/>
        <v/>
      </c>
    </row>
    <row r="166" spans="7:7">
      <c r="G166" s="5" t="str">
        <f t="shared" si="18"/>
        <v/>
      </c>
    </row>
    <row r="167" spans="7:7">
      <c r="G167" s="5" t="str">
        <f t="shared" si="18"/>
        <v/>
      </c>
    </row>
    <row r="168" spans="7:7">
      <c r="G168" s="5" t="str">
        <f t="shared" si="18"/>
        <v/>
      </c>
    </row>
    <row r="169" spans="7:7">
      <c r="G169" s="5" t="str">
        <f t="shared" si="18"/>
        <v/>
      </c>
    </row>
    <row r="170" spans="7:7">
      <c r="G170" s="5" t="str">
        <f t="shared" si="18"/>
        <v/>
      </c>
    </row>
    <row r="171" spans="7:7">
      <c r="G171" s="5" t="str">
        <f t="shared" si="18"/>
        <v/>
      </c>
    </row>
    <row r="172" spans="7:7">
      <c r="G172" s="5" t="str">
        <f t="shared" si="18"/>
        <v/>
      </c>
    </row>
    <row r="173" spans="7:7">
      <c r="G173" s="5" t="str">
        <f t="shared" si="18"/>
        <v/>
      </c>
    </row>
    <row r="174" spans="7:7">
      <c r="G174" s="5" t="str">
        <f t="shared" ref="G174:G237" si="19">IF(B174&lt;&gt;"",SUM(C174:F174),"")</f>
        <v/>
      </c>
    </row>
    <row r="175" spans="7:7">
      <c r="G175" s="5" t="str">
        <f t="shared" si="19"/>
        <v/>
      </c>
    </row>
    <row r="176" spans="7:7">
      <c r="G176" s="5" t="str">
        <f t="shared" si="19"/>
        <v/>
      </c>
    </row>
    <row r="177" spans="7:7">
      <c r="G177" s="5" t="str">
        <f t="shared" si="19"/>
        <v/>
      </c>
    </row>
    <row r="178" spans="7:7">
      <c r="G178" s="5" t="str">
        <f t="shared" si="19"/>
        <v/>
      </c>
    </row>
    <row r="179" spans="7:7">
      <c r="G179" s="5" t="str">
        <f t="shared" si="19"/>
        <v/>
      </c>
    </row>
    <row r="180" spans="7:7">
      <c r="G180" s="5" t="str">
        <f t="shared" si="19"/>
        <v/>
      </c>
    </row>
    <row r="181" spans="7:7">
      <c r="G181" s="5" t="str">
        <f t="shared" si="19"/>
        <v/>
      </c>
    </row>
    <row r="182" spans="7:7">
      <c r="G182" s="5" t="str">
        <f t="shared" si="19"/>
        <v/>
      </c>
    </row>
    <row r="183" spans="7:7">
      <c r="G183" s="5" t="str">
        <f t="shared" si="19"/>
        <v/>
      </c>
    </row>
    <row r="184" spans="7:7">
      <c r="G184" s="5" t="str">
        <f t="shared" si="19"/>
        <v/>
      </c>
    </row>
    <row r="185" spans="7:7">
      <c r="G185" s="5" t="str">
        <f t="shared" si="19"/>
        <v/>
      </c>
    </row>
    <row r="186" spans="7:7">
      <c r="G186" s="5" t="str">
        <f t="shared" si="19"/>
        <v/>
      </c>
    </row>
    <row r="187" spans="7:7">
      <c r="G187" s="5" t="str">
        <f t="shared" si="19"/>
        <v/>
      </c>
    </row>
    <row r="188" spans="7:7">
      <c r="G188" s="5" t="str">
        <f t="shared" si="19"/>
        <v/>
      </c>
    </row>
    <row r="189" spans="7:7">
      <c r="G189" s="5" t="str">
        <f t="shared" si="19"/>
        <v/>
      </c>
    </row>
    <row r="190" spans="7:7">
      <c r="G190" s="5" t="str">
        <f t="shared" si="19"/>
        <v/>
      </c>
    </row>
    <row r="191" spans="7:7">
      <c r="G191" s="5" t="str">
        <f t="shared" si="19"/>
        <v/>
      </c>
    </row>
    <row r="192" spans="7:7">
      <c r="G192" s="5" t="str">
        <f t="shared" si="19"/>
        <v/>
      </c>
    </row>
    <row r="193" spans="7:7">
      <c r="G193" s="5" t="str">
        <f t="shared" si="19"/>
        <v/>
      </c>
    </row>
    <row r="194" spans="7:7">
      <c r="G194" s="5" t="str">
        <f t="shared" si="19"/>
        <v/>
      </c>
    </row>
    <row r="195" spans="7:7">
      <c r="G195" s="5" t="str">
        <f t="shared" si="19"/>
        <v/>
      </c>
    </row>
    <row r="196" spans="7:7">
      <c r="G196" s="5" t="str">
        <f t="shared" si="19"/>
        <v/>
      </c>
    </row>
    <row r="197" spans="7:7">
      <c r="G197" s="5" t="str">
        <f t="shared" si="19"/>
        <v/>
      </c>
    </row>
    <row r="198" spans="7:7">
      <c r="G198" s="5" t="str">
        <f t="shared" si="19"/>
        <v/>
      </c>
    </row>
    <row r="199" spans="7:7">
      <c r="G199" s="5" t="str">
        <f t="shared" si="19"/>
        <v/>
      </c>
    </row>
    <row r="200" spans="7:7">
      <c r="G200" s="5" t="str">
        <f t="shared" si="19"/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si="19"/>
        <v/>
      </c>
    </row>
    <row r="219" spans="7:7">
      <c r="G219" s="5" t="str">
        <f t="shared" si="19"/>
        <v/>
      </c>
    </row>
    <row r="220" spans="7:7">
      <c r="G220" s="5" t="str">
        <f t="shared" si="19"/>
        <v/>
      </c>
    </row>
    <row r="221" spans="7:7">
      <c r="G221" s="5" t="str">
        <f t="shared" si="19"/>
        <v/>
      </c>
    </row>
    <row r="222" spans="7:7">
      <c r="G222" s="5" t="str">
        <f t="shared" si="19"/>
        <v/>
      </c>
    </row>
    <row r="223" spans="7:7">
      <c r="G223" s="5" t="str">
        <f t="shared" si="19"/>
        <v/>
      </c>
    </row>
    <row r="224" spans="7:7">
      <c r="G224" s="5" t="str">
        <f t="shared" si="19"/>
        <v/>
      </c>
    </row>
    <row r="225" spans="7:7">
      <c r="G225" s="5" t="str">
        <f t="shared" si="19"/>
        <v/>
      </c>
    </row>
    <row r="226" spans="7:7">
      <c r="G226" s="5" t="str">
        <f t="shared" si="19"/>
        <v/>
      </c>
    </row>
    <row r="227" spans="7:7">
      <c r="G227" s="5" t="str">
        <f t="shared" si="19"/>
        <v/>
      </c>
    </row>
    <row r="228" spans="7:7">
      <c r="G228" s="5" t="str">
        <f t="shared" si="19"/>
        <v/>
      </c>
    </row>
    <row r="229" spans="7:7">
      <c r="G229" s="5" t="str">
        <f t="shared" si="19"/>
        <v/>
      </c>
    </row>
    <row r="230" spans="7:7">
      <c r="G230" s="5" t="str">
        <f t="shared" si="19"/>
        <v/>
      </c>
    </row>
    <row r="231" spans="7:7">
      <c r="G231" s="5" t="str">
        <f t="shared" si="19"/>
        <v/>
      </c>
    </row>
    <row r="232" spans="7:7">
      <c r="G232" s="5" t="str">
        <f t="shared" si="19"/>
        <v/>
      </c>
    </row>
    <row r="233" spans="7:7">
      <c r="G233" s="5" t="str">
        <f t="shared" si="19"/>
        <v/>
      </c>
    </row>
    <row r="234" spans="7:7">
      <c r="G234" s="5" t="str">
        <f t="shared" si="19"/>
        <v/>
      </c>
    </row>
    <row r="235" spans="7:7">
      <c r="G235" s="5" t="str">
        <f t="shared" si="19"/>
        <v/>
      </c>
    </row>
    <row r="236" spans="7:7">
      <c r="G236" s="5" t="str">
        <f t="shared" si="19"/>
        <v/>
      </c>
    </row>
    <row r="237" spans="7:7">
      <c r="G237" s="5" t="str">
        <f t="shared" si="19"/>
        <v/>
      </c>
    </row>
    <row r="238" spans="7:7">
      <c r="G238" s="5" t="str">
        <f t="shared" ref="G238:G301" si="20">IF(B238&lt;&gt;"",SUM(C238:F238),"")</f>
        <v/>
      </c>
    </row>
    <row r="239" spans="7:7">
      <c r="G239" s="5" t="str">
        <f t="shared" si="20"/>
        <v/>
      </c>
    </row>
    <row r="240" spans="7:7">
      <c r="G240" s="5" t="str">
        <f t="shared" si="20"/>
        <v/>
      </c>
    </row>
    <row r="241" spans="7:7">
      <c r="G241" s="5" t="str">
        <f t="shared" si="20"/>
        <v/>
      </c>
    </row>
    <row r="242" spans="7:7">
      <c r="G242" s="5" t="str">
        <f t="shared" si="20"/>
        <v/>
      </c>
    </row>
    <row r="243" spans="7:7">
      <c r="G243" s="5" t="str">
        <f t="shared" si="20"/>
        <v/>
      </c>
    </row>
    <row r="244" spans="7:7">
      <c r="G244" s="5" t="str">
        <f t="shared" si="20"/>
        <v/>
      </c>
    </row>
    <row r="245" spans="7:7">
      <c r="G245" s="5" t="str">
        <f t="shared" si="20"/>
        <v/>
      </c>
    </row>
    <row r="246" spans="7:7">
      <c r="G246" s="5" t="str">
        <f t="shared" si="20"/>
        <v/>
      </c>
    </row>
    <row r="247" spans="7:7">
      <c r="G247" s="5" t="str">
        <f t="shared" si="20"/>
        <v/>
      </c>
    </row>
    <row r="248" spans="7:7">
      <c r="G248" s="5" t="str">
        <f t="shared" si="20"/>
        <v/>
      </c>
    </row>
    <row r="249" spans="7:7">
      <c r="G249" s="5" t="str">
        <f t="shared" si="20"/>
        <v/>
      </c>
    </row>
    <row r="250" spans="7:7">
      <c r="G250" s="5" t="str">
        <f t="shared" si="20"/>
        <v/>
      </c>
    </row>
    <row r="251" spans="7:7">
      <c r="G251" s="5" t="str">
        <f t="shared" si="20"/>
        <v/>
      </c>
    </row>
    <row r="252" spans="7:7">
      <c r="G252" s="5" t="str">
        <f t="shared" si="20"/>
        <v/>
      </c>
    </row>
    <row r="253" spans="7:7">
      <c r="G253" s="5" t="str">
        <f t="shared" si="20"/>
        <v/>
      </c>
    </row>
    <row r="254" spans="7:7">
      <c r="G254" s="5" t="str">
        <f t="shared" si="20"/>
        <v/>
      </c>
    </row>
    <row r="255" spans="7:7">
      <c r="G255" s="5" t="str">
        <f t="shared" si="20"/>
        <v/>
      </c>
    </row>
    <row r="256" spans="7:7">
      <c r="G256" s="5" t="str">
        <f t="shared" si="20"/>
        <v/>
      </c>
    </row>
    <row r="257" spans="7:7">
      <c r="G257" s="5" t="str">
        <f t="shared" si="20"/>
        <v/>
      </c>
    </row>
    <row r="258" spans="7:7">
      <c r="G258" s="5" t="str">
        <f t="shared" si="20"/>
        <v/>
      </c>
    </row>
    <row r="259" spans="7:7">
      <c r="G259" s="5" t="str">
        <f t="shared" si="20"/>
        <v/>
      </c>
    </row>
    <row r="260" spans="7:7">
      <c r="G260" s="5" t="str">
        <f t="shared" si="20"/>
        <v/>
      </c>
    </row>
    <row r="261" spans="7:7">
      <c r="G261" s="5" t="str">
        <f t="shared" si="20"/>
        <v/>
      </c>
    </row>
    <row r="262" spans="7:7">
      <c r="G262" s="5" t="str">
        <f t="shared" si="20"/>
        <v/>
      </c>
    </row>
    <row r="263" spans="7:7">
      <c r="G263" s="5" t="str">
        <f t="shared" si="20"/>
        <v/>
      </c>
    </row>
    <row r="264" spans="7:7">
      <c r="G264" s="5" t="str">
        <f t="shared" si="20"/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si="20"/>
        <v/>
      </c>
    </row>
    <row r="283" spans="7:7">
      <c r="G283" s="5" t="str">
        <f t="shared" si="20"/>
        <v/>
      </c>
    </row>
    <row r="284" spans="7:7">
      <c r="G284" s="5" t="str">
        <f t="shared" si="20"/>
        <v/>
      </c>
    </row>
    <row r="285" spans="7:7">
      <c r="G285" s="5" t="str">
        <f t="shared" si="20"/>
        <v/>
      </c>
    </row>
    <row r="286" spans="7:7">
      <c r="G286" s="5" t="str">
        <f t="shared" si="20"/>
        <v/>
      </c>
    </row>
    <row r="287" spans="7:7">
      <c r="G287" s="5" t="str">
        <f t="shared" si="20"/>
        <v/>
      </c>
    </row>
    <row r="288" spans="7:7">
      <c r="G288" s="5" t="str">
        <f t="shared" si="20"/>
        <v/>
      </c>
    </row>
    <row r="289" spans="7:7">
      <c r="G289" s="5" t="str">
        <f t="shared" si="20"/>
        <v/>
      </c>
    </row>
    <row r="290" spans="7:7">
      <c r="G290" s="5" t="str">
        <f t="shared" si="20"/>
        <v/>
      </c>
    </row>
    <row r="291" spans="7:7">
      <c r="G291" s="5" t="str">
        <f t="shared" si="20"/>
        <v/>
      </c>
    </row>
    <row r="292" spans="7:7">
      <c r="G292" s="5" t="str">
        <f t="shared" si="20"/>
        <v/>
      </c>
    </row>
    <row r="293" spans="7:7">
      <c r="G293" s="5" t="str">
        <f t="shared" si="20"/>
        <v/>
      </c>
    </row>
    <row r="294" spans="7:7">
      <c r="G294" s="5" t="str">
        <f t="shared" si="20"/>
        <v/>
      </c>
    </row>
    <row r="295" spans="7:7">
      <c r="G295" s="5" t="str">
        <f t="shared" si="20"/>
        <v/>
      </c>
    </row>
    <row r="296" spans="7:7">
      <c r="G296" s="5" t="str">
        <f t="shared" si="20"/>
        <v/>
      </c>
    </row>
    <row r="297" spans="7:7">
      <c r="G297" s="5" t="str">
        <f t="shared" si="20"/>
        <v/>
      </c>
    </row>
    <row r="298" spans="7:7">
      <c r="G298" s="5" t="str">
        <f t="shared" si="20"/>
        <v/>
      </c>
    </row>
    <row r="299" spans="7:7">
      <c r="G299" s="5" t="str">
        <f t="shared" si="20"/>
        <v/>
      </c>
    </row>
    <row r="300" spans="7:7">
      <c r="G300" s="5" t="str">
        <f t="shared" si="20"/>
        <v/>
      </c>
    </row>
    <row r="301" spans="7:7">
      <c r="G301" s="5" t="str">
        <f t="shared" si="20"/>
        <v/>
      </c>
    </row>
    <row r="302" spans="7:7">
      <c r="G302" s="5" t="str">
        <f t="shared" ref="G302:G365" si="21">IF(B302&lt;&gt;"",SUM(C302:F302),"")</f>
        <v/>
      </c>
    </row>
    <row r="303" spans="7:7">
      <c r="G303" s="5" t="str">
        <f t="shared" si="21"/>
        <v/>
      </c>
    </row>
    <row r="304" spans="7:7">
      <c r="G304" s="5" t="str">
        <f t="shared" si="21"/>
        <v/>
      </c>
    </row>
    <row r="305" spans="7:7">
      <c r="G305" s="5" t="str">
        <f t="shared" si="21"/>
        <v/>
      </c>
    </row>
    <row r="306" spans="7:7">
      <c r="G306" s="5" t="str">
        <f t="shared" si="21"/>
        <v/>
      </c>
    </row>
    <row r="307" spans="7:7">
      <c r="G307" s="5" t="str">
        <f t="shared" si="21"/>
        <v/>
      </c>
    </row>
    <row r="308" spans="7:7">
      <c r="G308" s="5" t="str">
        <f t="shared" si="21"/>
        <v/>
      </c>
    </row>
    <row r="309" spans="7:7">
      <c r="G309" s="5" t="str">
        <f t="shared" si="21"/>
        <v/>
      </c>
    </row>
    <row r="310" spans="7:7">
      <c r="G310" s="5" t="str">
        <f t="shared" si="21"/>
        <v/>
      </c>
    </row>
    <row r="311" spans="7:7">
      <c r="G311" s="5" t="str">
        <f t="shared" si="21"/>
        <v/>
      </c>
    </row>
    <row r="312" spans="7:7">
      <c r="G312" s="5" t="str">
        <f t="shared" si="21"/>
        <v/>
      </c>
    </row>
    <row r="313" spans="7:7">
      <c r="G313" s="5" t="str">
        <f t="shared" si="21"/>
        <v/>
      </c>
    </row>
    <row r="314" spans="7:7">
      <c r="G314" s="5" t="str">
        <f t="shared" si="21"/>
        <v/>
      </c>
    </row>
    <row r="315" spans="7:7">
      <c r="G315" s="5" t="str">
        <f t="shared" si="21"/>
        <v/>
      </c>
    </row>
    <row r="316" spans="7:7">
      <c r="G316" s="5" t="str">
        <f t="shared" si="21"/>
        <v/>
      </c>
    </row>
    <row r="317" spans="7:7">
      <c r="G317" s="5" t="str">
        <f t="shared" si="21"/>
        <v/>
      </c>
    </row>
    <row r="318" spans="7:7">
      <c r="G318" s="5" t="str">
        <f t="shared" si="21"/>
        <v/>
      </c>
    </row>
    <row r="319" spans="7:7">
      <c r="G319" s="5" t="str">
        <f t="shared" si="21"/>
        <v/>
      </c>
    </row>
    <row r="320" spans="7:7">
      <c r="G320" s="5" t="str">
        <f t="shared" si="21"/>
        <v/>
      </c>
    </row>
    <row r="321" spans="7:7">
      <c r="G321" s="5" t="str">
        <f t="shared" si="21"/>
        <v/>
      </c>
    </row>
    <row r="322" spans="7:7">
      <c r="G322" s="5" t="str">
        <f t="shared" si="21"/>
        <v/>
      </c>
    </row>
    <row r="323" spans="7:7">
      <c r="G323" s="5" t="str">
        <f t="shared" si="21"/>
        <v/>
      </c>
    </row>
    <row r="324" spans="7:7">
      <c r="G324" s="5" t="str">
        <f t="shared" si="21"/>
        <v/>
      </c>
    </row>
    <row r="325" spans="7:7">
      <c r="G325" s="5" t="str">
        <f t="shared" si="21"/>
        <v/>
      </c>
    </row>
    <row r="326" spans="7:7">
      <c r="G326" s="5" t="str">
        <f t="shared" si="21"/>
        <v/>
      </c>
    </row>
    <row r="327" spans="7:7">
      <c r="G327" s="5" t="str">
        <f t="shared" si="21"/>
        <v/>
      </c>
    </row>
    <row r="328" spans="7:7">
      <c r="G328" s="5" t="str">
        <f t="shared" si="21"/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si="21"/>
        <v/>
      </c>
    </row>
    <row r="347" spans="7:7">
      <c r="G347" s="5" t="str">
        <f t="shared" si="21"/>
        <v/>
      </c>
    </row>
    <row r="348" spans="7:7">
      <c r="G348" s="5" t="str">
        <f t="shared" si="21"/>
        <v/>
      </c>
    </row>
    <row r="349" spans="7:7">
      <c r="G349" s="5" t="str">
        <f t="shared" si="21"/>
        <v/>
      </c>
    </row>
    <row r="350" spans="7:7">
      <c r="G350" s="5" t="str">
        <f t="shared" si="21"/>
        <v/>
      </c>
    </row>
    <row r="351" spans="7:7">
      <c r="G351" s="5" t="str">
        <f t="shared" si="21"/>
        <v/>
      </c>
    </row>
    <row r="352" spans="7:7">
      <c r="G352" s="5" t="str">
        <f t="shared" si="21"/>
        <v/>
      </c>
    </row>
    <row r="353" spans="7:7">
      <c r="G353" s="5" t="str">
        <f t="shared" si="21"/>
        <v/>
      </c>
    </row>
    <row r="354" spans="7:7">
      <c r="G354" s="5" t="str">
        <f t="shared" si="21"/>
        <v/>
      </c>
    </row>
    <row r="355" spans="7:7">
      <c r="G355" s="5" t="str">
        <f t="shared" si="21"/>
        <v/>
      </c>
    </row>
    <row r="356" spans="7:7">
      <c r="G356" s="5" t="str">
        <f t="shared" si="21"/>
        <v/>
      </c>
    </row>
    <row r="357" spans="7:7">
      <c r="G357" s="5" t="str">
        <f t="shared" si="21"/>
        <v/>
      </c>
    </row>
    <row r="358" spans="7:7">
      <c r="G358" s="5" t="str">
        <f t="shared" si="21"/>
        <v/>
      </c>
    </row>
    <row r="359" spans="7:7">
      <c r="G359" s="5" t="str">
        <f t="shared" si="21"/>
        <v/>
      </c>
    </row>
    <row r="360" spans="7:7">
      <c r="G360" s="5" t="str">
        <f t="shared" si="21"/>
        <v/>
      </c>
    </row>
    <row r="361" spans="7:7">
      <c r="G361" s="5" t="str">
        <f t="shared" si="21"/>
        <v/>
      </c>
    </row>
    <row r="362" spans="7:7">
      <c r="G362" s="5" t="str">
        <f t="shared" si="21"/>
        <v/>
      </c>
    </row>
    <row r="363" spans="7:7">
      <c r="G363" s="5" t="str">
        <f t="shared" si="21"/>
        <v/>
      </c>
    </row>
    <row r="364" spans="7:7">
      <c r="G364" s="5" t="str">
        <f t="shared" si="21"/>
        <v/>
      </c>
    </row>
    <row r="365" spans="7:7">
      <c r="G365" s="5" t="str">
        <f t="shared" si="21"/>
        <v/>
      </c>
    </row>
    <row r="366" spans="7:7">
      <c r="G366" s="5" t="str">
        <f t="shared" ref="G366:G429" si="22">IF(B366&lt;&gt;"",SUM(C366:F366),"")</f>
        <v/>
      </c>
    </row>
    <row r="367" spans="7:7">
      <c r="G367" s="5" t="str">
        <f t="shared" si="22"/>
        <v/>
      </c>
    </row>
    <row r="368" spans="7:7">
      <c r="G368" s="5" t="str">
        <f t="shared" si="22"/>
        <v/>
      </c>
    </row>
    <row r="369" spans="7:7">
      <c r="G369" s="5" t="str">
        <f t="shared" si="22"/>
        <v/>
      </c>
    </row>
    <row r="370" spans="7:7">
      <c r="G370" s="5" t="str">
        <f t="shared" si="22"/>
        <v/>
      </c>
    </row>
    <row r="371" spans="7:7">
      <c r="G371" s="5" t="str">
        <f t="shared" si="22"/>
        <v/>
      </c>
    </row>
    <row r="372" spans="7:7">
      <c r="G372" s="5" t="str">
        <f t="shared" si="22"/>
        <v/>
      </c>
    </row>
    <row r="373" spans="7:7">
      <c r="G373" s="5" t="str">
        <f t="shared" si="22"/>
        <v/>
      </c>
    </row>
    <row r="374" spans="7:7">
      <c r="G374" s="5" t="str">
        <f t="shared" si="22"/>
        <v/>
      </c>
    </row>
    <row r="375" spans="7:7">
      <c r="G375" s="5" t="str">
        <f t="shared" si="22"/>
        <v/>
      </c>
    </row>
    <row r="376" spans="7:7">
      <c r="G376" s="5" t="str">
        <f t="shared" si="22"/>
        <v/>
      </c>
    </row>
    <row r="377" spans="7:7">
      <c r="G377" s="5" t="str">
        <f t="shared" si="22"/>
        <v/>
      </c>
    </row>
    <row r="378" spans="7:7">
      <c r="G378" s="5" t="str">
        <f t="shared" si="22"/>
        <v/>
      </c>
    </row>
    <row r="379" spans="7:7">
      <c r="G379" s="5" t="str">
        <f t="shared" si="22"/>
        <v/>
      </c>
    </row>
    <row r="380" spans="7:7">
      <c r="G380" s="5" t="str">
        <f t="shared" si="22"/>
        <v/>
      </c>
    </row>
    <row r="381" spans="7:7">
      <c r="G381" s="5" t="str">
        <f t="shared" si="22"/>
        <v/>
      </c>
    </row>
    <row r="382" spans="7:7">
      <c r="G382" s="5" t="str">
        <f t="shared" si="22"/>
        <v/>
      </c>
    </row>
    <row r="383" spans="7:7">
      <c r="G383" s="5" t="str">
        <f t="shared" si="22"/>
        <v/>
      </c>
    </row>
    <row r="384" spans="7:7">
      <c r="G384" s="5" t="str">
        <f t="shared" si="22"/>
        <v/>
      </c>
    </row>
    <row r="385" spans="7:7">
      <c r="G385" s="5" t="str">
        <f t="shared" si="22"/>
        <v/>
      </c>
    </row>
    <row r="386" spans="7:7">
      <c r="G386" s="5" t="str">
        <f t="shared" si="22"/>
        <v/>
      </c>
    </row>
    <row r="387" spans="7:7">
      <c r="G387" s="5" t="str">
        <f t="shared" si="22"/>
        <v/>
      </c>
    </row>
    <row r="388" spans="7:7">
      <c r="G388" s="5" t="str">
        <f t="shared" si="22"/>
        <v/>
      </c>
    </row>
    <row r="389" spans="7:7">
      <c r="G389" s="5" t="str">
        <f t="shared" si="22"/>
        <v/>
      </c>
    </row>
    <row r="390" spans="7:7">
      <c r="G390" s="5" t="str">
        <f t="shared" si="22"/>
        <v/>
      </c>
    </row>
    <row r="391" spans="7:7">
      <c r="G391" s="5" t="str">
        <f t="shared" si="22"/>
        <v/>
      </c>
    </row>
    <row r="392" spans="7:7">
      <c r="G392" s="5" t="str">
        <f t="shared" si="22"/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si="22"/>
        <v/>
      </c>
    </row>
    <row r="411" spans="7:7">
      <c r="G411" s="5" t="str">
        <f t="shared" si="22"/>
        <v/>
      </c>
    </row>
    <row r="412" spans="7:7">
      <c r="G412" s="5" t="str">
        <f t="shared" si="22"/>
        <v/>
      </c>
    </row>
    <row r="413" spans="7:7">
      <c r="G413" s="5" t="str">
        <f t="shared" si="22"/>
        <v/>
      </c>
    </row>
    <row r="414" spans="7:7">
      <c r="G414" s="5" t="str">
        <f t="shared" si="22"/>
        <v/>
      </c>
    </row>
    <row r="415" spans="7:7">
      <c r="G415" s="5" t="str">
        <f t="shared" si="22"/>
        <v/>
      </c>
    </row>
    <row r="416" spans="7:7">
      <c r="G416" s="5" t="str">
        <f t="shared" si="22"/>
        <v/>
      </c>
    </row>
    <row r="417" spans="7:7">
      <c r="G417" s="5" t="str">
        <f t="shared" si="22"/>
        <v/>
      </c>
    </row>
    <row r="418" spans="7:7">
      <c r="G418" s="5" t="str">
        <f t="shared" si="22"/>
        <v/>
      </c>
    </row>
    <row r="419" spans="7:7">
      <c r="G419" s="5" t="str">
        <f t="shared" si="22"/>
        <v/>
      </c>
    </row>
    <row r="420" spans="7:7">
      <c r="G420" s="5" t="str">
        <f t="shared" si="22"/>
        <v/>
      </c>
    </row>
    <row r="421" spans="7:7">
      <c r="G421" s="5" t="str">
        <f t="shared" si="22"/>
        <v/>
      </c>
    </row>
    <row r="422" spans="7:7">
      <c r="G422" s="5" t="str">
        <f t="shared" si="22"/>
        <v/>
      </c>
    </row>
    <row r="423" spans="7:7">
      <c r="G423" s="5" t="str">
        <f t="shared" si="22"/>
        <v/>
      </c>
    </row>
    <row r="424" spans="7:7">
      <c r="G424" s="5" t="str">
        <f t="shared" si="22"/>
        <v/>
      </c>
    </row>
    <row r="425" spans="7:7">
      <c r="G425" s="5" t="str">
        <f t="shared" si="22"/>
        <v/>
      </c>
    </row>
    <row r="426" spans="7:7">
      <c r="G426" s="5" t="str">
        <f t="shared" si="22"/>
        <v/>
      </c>
    </row>
    <row r="427" spans="7:7">
      <c r="G427" s="5" t="str">
        <f t="shared" si="22"/>
        <v/>
      </c>
    </row>
    <row r="428" spans="7:7">
      <c r="G428" s="5" t="str">
        <f t="shared" si="22"/>
        <v/>
      </c>
    </row>
    <row r="429" spans="7:7">
      <c r="G429" s="5" t="str">
        <f t="shared" si="22"/>
        <v/>
      </c>
    </row>
    <row r="430" spans="7:7">
      <c r="G430" s="5" t="str">
        <f t="shared" ref="G430:G461" si="23">IF(B430&lt;&gt;"",SUM(C430:F430),"")</f>
        <v/>
      </c>
    </row>
    <row r="431" spans="7:7">
      <c r="G431" s="5" t="str">
        <f t="shared" si="23"/>
        <v/>
      </c>
    </row>
    <row r="432" spans="7:7">
      <c r="G432" s="5" t="str">
        <f t="shared" si="23"/>
        <v/>
      </c>
    </row>
    <row r="433" spans="7:7">
      <c r="G433" s="5" t="str">
        <f t="shared" si="23"/>
        <v/>
      </c>
    </row>
    <row r="434" spans="7:7">
      <c r="G434" s="5" t="str">
        <f t="shared" si="23"/>
        <v/>
      </c>
    </row>
    <row r="435" spans="7:7">
      <c r="G435" s="5" t="str">
        <f t="shared" si="23"/>
        <v/>
      </c>
    </row>
    <row r="436" spans="7:7">
      <c r="G436" s="5" t="str">
        <f t="shared" si="23"/>
        <v/>
      </c>
    </row>
    <row r="437" spans="7:7">
      <c r="G437" s="5" t="str">
        <f t="shared" si="23"/>
        <v/>
      </c>
    </row>
    <row r="438" spans="7:7">
      <c r="G438" s="5" t="str">
        <f t="shared" si="23"/>
        <v/>
      </c>
    </row>
    <row r="439" spans="7:7">
      <c r="G439" s="5" t="str">
        <f t="shared" si="23"/>
        <v/>
      </c>
    </row>
    <row r="440" spans="7:7">
      <c r="G440" s="5" t="str">
        <f t="shared" si="23"/>
        <v/>
      </c>
    </row>
    <row r="441" spans="7:7">
      <c r="G441" s="5" t="str">
        <f t="shared" si="23"/>
        <v/>
      </c>
    </row>
    <row r="442" spans="7:7">
      <c r="G442" s="5" t="str">
        <f t="shared" si="23"/>
        <v/>
      </c>
    </row>
    <row r="443" spans="7:7">
      <c r="G443" s="5" t="str">
        <f t="shared" si="23"/>
        <v/>
      </c>
    </row>
    <row r="444" spans="7:7">
      <c r="G444" s="5" t="str">
        <f t="shared" si="23"/>
        <v/>
      </c>
    </row>
    <row r="445" spans="7:7">
      <c r="G445" s="5" t="str">
        <f t="shared" si="23"/>
        <v/>
      </c>
    </row>
    <row r="446" spans="7:7">
      <c r="G446" s="5" t="str">
        <f t="shared" si="23"/>
        <v/>
      </c>
    </row>
    <row r="447" spans="7:7">
      <c r="G447" s="5" t="str">
        <f t="shared" si="23"/>
        <v/>
      </c>
    </row>
    <row r="448" spans="7:7">
      <c r="G448" s="5" t="str">
        <f t="shared" si="23"/>
        <v/>
      </c>
    </row>
    <row r="449" spans="7:7">
      <c r="G449" s="5" t="str">
        <f t="shared" si="23"/>
        <v/>
      </c>
    </row>
    <row r="450" spans="7:7">
      <c r="G450" s="5" t="str">
        <f t="shared" si="23"/>
        <v/>
      </c>
    </row>
    <row r="451" spans="7:7">
      <c r="G451" s="5" t="str">
        <f t="shared" si="23"/>
        <v/>
      </c>
    </row>
    <row r="452" spans="7:7">
      <c r="G452" s="5" t="str">
        <f t="shared" si="23"/>
        <v/>
      </c>
    </row>
    <row r="453" spans="7:7">
      <c r="G453" s="5" t="str">
        <f t="shared" si="23"/>
        <v/>
      </c>
    </row>
    <row r="454" spans="7:7">
      <c r="G454" s="5" t="str">
        <f t="shared" si="23"/>
        <v/>
      </c>
    </row>
    <row r="455" spans="7:7">
      <c r="G455" s="5" t="str">
        <f t="shared" si="23"/>
        <v/>
      </c>
    </row>
    <row r="456" spans="7:7">
      <c r="G456" s="5" t="str">
        <f t="shared" si="23"/>
        <v/>
      </c>
    </row>
    <row r="457" spans="7:7">
      <c r="G457" s="5" t="str">
        <f t="shared" si="23"/>
        <v/>
      </c>
    </row>
    <row r="458" spans="7:7">
      <c r="G458" s="5" t="str">
        <f t="shared" si="23"/>
        <v/>
      </c>
    </row>
    <row r="459" spans="7:7">
      <c r="G459" s="5" t="str">
        <f t="shared" si="23"/>
        <v/>
      </c>
    </row>
    <row r="460" spans="7:7">
      <c r="G460" s="5" t="str">
        <f t="shared" si="23"/>
        <v/>
      </c>
    </row>
    <row r="461" spans="7:7">
      <c r="G461" s="5" t="str">
        <f t="shared" si="23"/>
        <v/>
      </c>
    </row>
  </sheetData>
  <sheetProtection sort="0" autoFilter="0" pivotTables="0"/>
  <autoFilter ref="B5:M35" xr:uid="{00000000-0001-0000-0600-000000000000}"/>
  <sortState xmlns:xlrd2="http://schemas.microsoft.com/office/spreadsheetml/2017/richdata2" ref="B6:M33">
    <sortCondition ref="B6:B33"/>
  </sortState>
  <pageMargins left="0.78740157480314965" right="0.78740157480314965" top="0.78740157480314965" bottom="0.78740157480314965" header="0" footer="0"/>
  <pageSetup paperSize="9" scale="79" fitToHeight="0" orientation="landscape" verticalDpi="4294967295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 filterMode="1">
    <tabColor rgb="FF006600"/>
    <pageSetUpPr fitToPage="1"/>
  </sheetPr>
  <dimension ref="B1:V528"/>
  <sheetViews>
    <sheetView zoomScale="110" zoomScaleNormal="110" workbookViewId="0">
      <pane ySplit="5" topLeftCell="A6" activePane="bottomLeft" state="frozen"/>
      <selection pane="bottomLeft" activeCell="V63" sqref="V63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3" width="13.5703125" style="15" customWidth="1"/>
    <col min="4" max="4" width="14.42578125" style="15" bestFit="1" customWidth="1"/>
    <col min="5" max="6" width="13.5703125" style="15" customWidth="1"/>
    <col min="7" max="7" width="14.140625" style="5" bestFit="1" customWidth="1"/>
    <col min="8" max="8" width="14.5703125" style="1" customWidth="1"/>
    <col min="9" max="9" width="13" style="1" customWidth="1"/>
    <col min="10" max="11" width="10.140625" style="9" customWidth="1"/>
    <col min="12" max="12" width="8.5703125" style="6" hidden="1" customWidth="1"/>
    <col min="13" max="13" width="16.42578125" style="6" hidden="1" customWidth="1"/>
    <col min="14" max="14" width="13.85546875" style="6" customWidth="1"/>
    <col min="15" max="15" width="10.5703125" style="1" hidden="1" customWidth="1"/>
    <col min="16" max="16" width="11" style="1" hidden="1" customWidth="1"/>
    <col min="17" max="18" width="10.5703125" style="1" hidden="1" customWidth="1"/>
    <col min="19" max="19" width="12.140625" style="1" hidden="1" customWidth="1"/>
    <col min="20" max="20" width="11.5703125" style="1" hidden="1" customWidth="1"/>
    <col min="21" max="21" width="9.42578125" style="182" bestFit="1" customWidth="1"/>
    <col min="22" max="22" width="9.7109375" style="1" bestFit="1" customWidth="1"/>
    <col min="23" max="16384" width="9.140625" style="1"/>
  </cols>
  <sheetData>
    <row r="1" spans="2:22" ht="4.5" customHeight="1">
      <c r="B1" s="1"/>
      <c r="C1" s="4"/>
      <c r="D1" s="4"/>
      <c r="E1" s="4"/>
      <c r="F1" s="4"/>
      <c r="G1" s="4"/>
    </row>
    <row r="2" spans="2:22" ht="59.25" customHeight="1">
      <c r="B2" s="63" t="s">
        <v>49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  <c r="N2" s="1"/>
    </row>
    <row r="3" spans="2:22" ht="4.5" customHeight="1" thickBot="1">
      <c r="B3" s="1"/>
      <c r="C3" s="4"/>
      <c r="D3" s="4"/>
      <c r="E3" s="4"/>
      <c r="F3" s="4"/>
      <c r="G3" s="4"/>
    </row>
    <row r="4" spans="2:22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72"/>
      <c r="N4" s="449" t="s">
        <v>15</v>
      </c>
      <c r="O4" s="36"/>
      <c r="P4" s="19"/>
      <c r="Q4" s="19"/>
      <c r="R4" s="19"/>
      <c r="S4" s="19"/>
      <c r="T4" s="217"/>
    </row>
    <row r="5" spans="2:22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54" t="s">
        <v>11</v>
      </c>
      <c r="M5" s="473"/>
      <c r="N5" s="455" t="s">
        <v>16</v>
      </c>
      <c r="O5" s="37" t="s">
        <v>0</v>
      </c>
      <c r="P5" s="20" t="s">
        <v>12</v>
      </c>
      <c r="Q5" s="20" t="s">
        <v>2</v>
      </c>
      <c r="R5" s="20" t="s">
        <v>3</v>
      </c>
      <c r="S5" s="21" t="s">
        <v>1</v>
      </c>
      <c r="T5" s="218" t="s">
        <v>4</v>
      </c>
    </row>
    <row r="6" spans="2:22" hidden="1">
      <c r="B6" s="594" t="s">
        <v>1802</v>
      </c>
      <c r="C6" s="106"/>
      <c r="D6" s="38"/>
      <c r="E6" s="38"/>
      <c r="F6" s="39"/>
      <c r="G6" s="40"/>
      <c r="H6" s="23">
        <f>SUM(C6:G6)</f>
        <v>0</v>
      </c>
      <c r="I6" s="464">
        <f t="shared" ref="I6:I68" si="0">L6-(L6*J6)</f>
        <v>130.24818600000003</v>
      </c>
      <c r="J6" s="16"/>
      <c r="K6" s="17"/>
      <c r="L6" s="213">
        <v>130.24818600000003</v>
      </c>
      <c r="M6" s="213"/>
      <c r="N6" s="216"/>
      <c r="O6" s="25">
        <f t="shared" ref="O6" si="1">I6*C6</f>
        <v>0</v>
      </c>
      <c r="P6" s="25">
        <f t="shared" ref="P6" si="2">I6*D6</f>
        <v>0</v>
      </c>
      <c r="Q6" s="25">
        <f t="shared" ref="Q6" si="3">I6*E6</f>
        <v>0</v>
      </c>
      <c r="R6" s="26">
        <f t="shared" ref="R6" si="4">I6*F6</f>
        <v>0</v>
      </c>
      <c r="S6" s="27">
        <f t="shared" ref="S6" si="5">I6*G6</f>
        <v>0</v>
      </c>
      <c r="T6" s="123">
        <f>SUM(O6:S6)</f>
        <v>0</v>
      </c>
      <c r="U6" s="379"/>
    </row>
    <row r="7" spans="2:22" hidden="1">
      <c r="B7" s="594" t="s">
        <v>962</v>
      </c>
      <c r="C7" s="107"/>
      <c r="D7" s="13"/>
      <c r="E7" s="13"/>
      <c r="F7" s="14"/>
      <c r="G7" s="8"/>
      <c r="H7" s="24">
        <f t="shared" ref="H7:H34" si="6">SUM(C7:G7)</f>
        <v>0</v>
      </c>
      <c r="I7" s="464">
        <f t="shared" si="0"/>
        <v>29.257680000000001</v>
      </c>
      <c r="J7" s="10"/>
      <c r="K7" s="12"/>
      <c r="L7" s="213">
        <v>29.257680000000001</v>
      </c>
      <c r="M7" s="213">
        <v>34.316326530612251</v>
      </c>
      <c r="N7" s="216"/>
      <c r="O7" s="25">
        <f t="shared" ref="O7:O34" si="7">I7*C7</f>
        <v>0</v>
      </c>
      <c r="P7" s="25">
        <f t="shared" ref="P7:P34" si="8">I7*D7</f>
        <v>0</v>
      </c>
      <c r="Q7" s="25">
        <f t="shared" ref="Q7:Q34" si="9">I7*E7</f>
        <v>0</v>
      </c>
      <c r="R7" s="26">
        <f t="shared" ref="R7:R34" si="10">I7*F7</f>
        <v>0</v>
      </c>
      <c r="S7" s="27">
        <f t="shared" ref="S7:S34" si="11">I7*G7</f>
        <v>0</v>
      </c>
      <c r="T7" s="123">
        <f t="shared" ref="T7:T34" si="12">SUM(O7:S7)</f>
        <v>0</v>
      </c>
      <c r="U7" s="436"/>
    </row>
    <row r="8" spans="2:22" hidden="1">
      <c r="B8" s="594" t="s">
        <v>1803</v>
      </c>
      <c r="C8" s="107"/>
      <c r="D8" s="13"/>
      <c r="E8" s="13"/>
      <c r="F8" s="14"/>
      <c r="G8" s="8"/>
      <c r="H8" s="24">
        <f t="shared" si="6"/>
        <v>0</v>
      </c>
      <c r="I8" s="464">
        <f>(L8-(L8*J8))/100</f>
        <v>4.9851378000000004</v>
      </c>
      <c r="J8" s="10"/>
      <c r="K8" s="12"/>
      <c r="L8" s="213">
        <v>498.51378</v>
      </c>
      <c r="M8" s="213">
        <v>88.316326530612244</v>
      </c>
      <c r="N8" s="216"/>
      <c r="O8" s="25">
        <f t="shared" si="7"/>
        <v>0</v>
      </c>
      <c r="P8" s="25">
        <f t="shared" si="8"/>
        <v>0</v>
      </c>
      <c r="Q8" s="25">
        <f t="shared" si="9"/>
        <v>0</v>
      </c>
      <c r="R8" s="26">
        <f t="shared" si="10"/>
        <v>0</v>
      </c>
      <c r="S8" s="27">
        <f t="shared" si="11"/>
        <v>0</v>
      </c>
      <c r="T8" s="123">
        <f t="shared" si="12"/>
        <v>0</v>
      </c>
      <c r="U8" s="436"/>
    </row>
    <row r="9" spans="2:22" hidden="1">
      <c r="B9" s="594" t="s">
        <v>1804</v>
      </c>
      <c r="C9" s="107"/>
      <c r="D9" s="13"/>
      <c r="E9" s="13"/>
      <c r="F9" s="14"/>
      <c r="G9" s="8"/>
      <c r="H9" s="24">
        <f t="shared" si="6"/>
        <v>0</v>
      </c>
      <c r="I9" s="464">
        <f t="shared" si="0"/>
        <v>3.3996599999999999</v>
      </c>
      <c r="J9" s="10"/>
      <c r="K9" s="12"/>
      <c r="L9" s="213">
        <v>3.3996599999999999</v>
      </c>
      <c r="M9" s="213">
        <v>21.918367346938776</v>
      </c>
      <c r="N9" s="216"/>
      <c r="O9" s="25">
        <f t="shared" si="7"/>
        <v>0</v>
      </c>
      <c r="P9" s="25">
        <f t="shared" si="8"/>
        <v>0</v>
      </c>
      <c r="Q9" s="25">
        <f t="shared" si="9"/>
        <v>0</v>
      </c>
      <c r="R9" s="26">
        <f t="shared" si="10"/>
        <v>0</v>
      </c>
      <c r="S9" s="27">
        <f t="shared" si="11"/>
        <v>0</v>
      </c>
      <c r="T9" s="123">
        <f t="shared" si="12"/>
        <v>0</v>
      </c>
      <c r="U9" s="436"/>
    </row>
    <row r="10" spans="2:22">
      <c r="B10" s="594" t="s">
        <v>1805</v>
      </c>
      <c r="C10" s="265"/>
      <c r="D10" s="143"/>
      <c r="E10" s="143">
        <v>72</v>
      </c>
      <c r="F10" s="141">
        <v>48</v>
      </c>
      <c r="G10" s="142">
        <v>120</v>
      </c>
      <c r="H10" s="135">
        <f t="shared" si="6"/>
        <v>240</v>
      </c>
      <c r="I10" s="464">
        <v>15.2</v>
      </c>
      <c r="J10" s="10"/>
      <c r="K10" s="12"/>
      <c r="L10" s="213">
        <v>14.3718</v>
      </c>
      <c r="M10" s="213"/>
      <c r="N10" s="216"/>
      <c r="O10" s="25">
        <f t="shared" si="7"/>
        <v>0</v>
      </c>
      <c r="P10" s="25">
        <f t="shared" si="8"/>
        <v>0</v>
      </c>
      <c r="Q10" s="25">
        <f t="shared" si="9"/>
        <v>1094.3999999999999</v>
      </c>
      <c r="R10" s="26">
        <f t="shared" si="10"/>
        <v>729.59999999999991</v>
      </c>
      <c r="S10" s="27">
        <f t="shared" si="11"/>
        <v>1824</v>
      </c>
      <c r="T10" s="123">
        <f t="shared" si="12"/>
        <v>3648</v>
      </c>
      <c r="U10" s="379"/>
      <c r="V10" s="595">
        <f>I10/L10-1</f>
        <v>5.7626741257184033E-2</v>
      </c>
    </row>
    <row r="11" spans="2:22">
      <c r="B11" s="594" t="s">
        <v>1806</v>
      </c>
      <c r="C11" s="265"/>
      <c r="D11" s="143"/>
      <c r="E11" s="143"/>
      <c r="F11" s="141">
        <v>15</v>
      </c>
      <c r="G11" s="142">
        <v>12</v>
      </c>
      <c r="H11" s="135">
        <f t="shared" si="6"/>
        <v>27</v>
      </c>
      <c r="I11" s="464">
        <v>184.75</v>
      </c>
      <c r="J11" s="10"/>
      <c r="K11" s="12"/>
      <c r="L11" s="214">
        <v>179.19298800000001</v>
      </c>
      <c r="M11" s="213"/>
      <c r="N11" s="216"/>
      <c r="O11" s="25">
        <f t="shared" si="7"/>
        <v>0</v>
      </c>
      <c r="P11" s="25">
        <f t="shared" si="8"/>
        <v>0</v>
      </c>
      <c r="Q11" s="25">
        <f t="shared" si="9"/>
        <v>0</v>
      </c>
      <c r="R11" s="26">
        <f t="shared" si="10"/>
        <v>2771.25</v>
      </c>
      <c r="S11" s="27">
        <f t="shared" si="11"/>
        <v>2217</v>
      </c>
      <c r="T11" s="123">
        <f t="shared" si="12"/>
        <v>4988.25</v>
      </c>
      <c r="U11" s="379"/>
      <c r="V11" s="595">
        <f t="shared" ref="V11" si="13">I11/L11-1</f>
        <v>3.1011325063679207E-2</v>
      </c>
    </row>
    <row r="12" spans="2:22">
      <c r="B12" s="594" t="s">
        <v>1807</v>
      </c>
      <c r="C12" s="265"/>
      <c r="D12" s="143">
        <v>80</v>
      </c>
      <c r="E12" s="143">
        <v>48</v>
      </c>
      <c r="F12" s="141">
        <v>360</v>
      </c>
      <c r="G12" s="142">
        <v>480</v>
      </c>
      <c r="H12" s="135">
        <f t="shared" si="6"/>
        <v>968</v>
      </c>
      <c r="I12" s="464"/>
      <c r="J12" s="10"/>
      <c r="K12" s="12" t="s">
        <v>2515</v>
      </c>
      <c r="L12" s="213">
        <v>35.9754</v>
      </c>
      <c r="M12" s="213">
        <v>48.918367346938773</v>
      </c>
      <c r="N12" s="216"/>
      <c r="O12" s="25">
        <f t="shared" si="7"/>
        <v>0</v>
      </c>
      <c r="P12" s="25">
        <f t="shared" si="8"/>
        <v>0</v>
      </c>
      <c r="Q12" s="25">
        <f t="shared" si="9"/>
        <v>0</v>
      </c>
      <c r="R12" s="26">
        <f t="shared" si="10"/>
        <v>0</v>
      </c>
      <c r="S12" s="27">
        <f t="shared" si="11"/>
        <v>0</v>
      </c>
      <c r="T12" s="123">
        <f t="shared" si="12"/>
        <v>0</v>
      </c>
      <c r="U12" s="436"/>
      <c r="V12" s="595"/>
    </row>
    <row r="13" spans="2:22">
      <c r="B13" s="594" t="s">
        <v>1808</v>
      </c>
      <c r="C13" s="265"/>
      <c r="D13" s="143">
        <v>60</v>
      </c>
      <c r="E13" s="143">
        <v>48</v>
      </c>
      <c r="F13" s="141">
        <v>36</v>
      </c>
      <c r="G13" s="142"/>
      <c r="H13" s="135">
        <f t="shared" si="6"/>
        <v>144</v>
      </c>
      <c r="I13" s="464"/>
      <c r="J13" s="10"/>
      <c r="K13" s="12" t="s">
        <v>2515</v>
      </c>
      <c r="L13" s="213">
        <v>96.043199999999999</v>
      </c>
      <c r="M13" s="213">
        <v>313.94897959183675</v>
      </c>
      <c r="N13" s="216"/>
      <c r="O13" s="25">
        <f t="shared" si="7"/>
        <v>0</v>
      </c>
      <c r="P13" s="25">
        <f t="shared" si="8"/>
        <v>0</v>
      </c>
      <c r="Q13" s="25">
        <f t="shared" si="9"/>
        <v>0</v>
      </c>
      <c r="R13" s="26">
        <f t="shared" si="10"/>
        <v>0</v>
      </c>
      <c r="S13" s="27">
        <f t="shared" si="11"/>
        <v>0</v>
      </c>
      <c r="T13" s="123">
        <f t="shared" si="12"/>
        <v>0</v>
      </c>
      <c r="U13" s="436"/>
      <c r="V13" s="595"/>
    </row>
    <row r="14" spans="2:22">
      <c r="B14" s="594" t="s">
        <v>1809</v>
      </c>
      <c r="C14" s="265"/>
      <c r="D14" s="143">
        <v>960</v>
      </c>
      <c r="E14" s="143"/>
      <c r="F14" s="141">
        <v>120</v>
      </c>
      <c r="G14" s="142">
        <v>1200</v>
      </c>
      <c r="H14" s="135">
        <f t="shared" si="6"/>
        <v>2280</v>
      </c>
      <c r="I14" s="464">
        <v>16.68</v>
      </c>
      <c r="J14" s="10"/>
      <c r="K14" s="12"/>
      <c r="L14" s="213">
        <v>23.888400000000001</v>
      </c>
      <c r="M14" s="213">
        <v>27.122448979591834</v>
      </c>
      <c r="N14" s="216"/>
      <c r="O14" s="25">
        <f t="shared" si="7"/>
        <v>0</v>
      </c>
      <c r="P14" s="25">
        <f t="shared" si="8"/>
        <v>16012.8</v>
      </c>
      <c r="Q14" s="25">
        <f t="shared" si="9"/>
        <v>0</v>
      </c>
      <c r="R14" s="26">
        <f t="shared" si="10"/>
        <v>2001.6</v>
      </c>
      <c r="S14" s="27">
        <f t="shared" si="11"/>
        <v>20016</v>
      </c>
      <c r="T14" s="123">
        <f t="shared" si="12"/>
        <v>38030.399999999994</v>
      </c>
      <c r="U14" s="592" t="s">
        <v>2545</v>
      </c>
      <c r="V14" s="595"/>
    </row>
    <row r="15" spans="2:22" hidden="1">
      <c r="B15" s="594" t="s">
        <v>1810</v>
      </c>
      <c r="C15" s="107"/>
      <c r="D15" s="13"/>
      <c r="E15" s="13"/>
      <c r="F15" s="14"/>
      <c r="G15" s="8"/>
      <c r="H15" s="24">
        <f t="shared" si="6"/>
        <v>0</v>
      </c>
      <c r="I15" s="464">
        <f t="shared" si="0"/>
        <v>54.363654000000004</v>
      </c>
      <c r="J15" s="10"/>
      <c r="K15" s="12"/>
      <c r="L15" s="213">
        <v>54.363654000000004</v>
      </c>
      <c r="M15" s="213">
        <v>13.040816326530612</v>
      </c>
      <c r="N15" s="216"/>
      <c r="O15" s="25">
        <f t="shared" si="7"/>
        <v>0</v>
      </c>
      <c r="P15" s="25">
        <f t="shared" si="8"/>
        <v>0</v>
      </c>
      <c r="Q15" s="25">
        <f t="shared" si="9"/>
        <v>0</v>
      </c>
      <c r="R15" s="26">
        <f t="shared" si="10"/>
        <v>0</v>
      </c>
      <c r="S15" s="27">
        <f t="shared" si="11"/>
        <v>0</v>
      </c>
      <c r="T15" s="123">
        <f t="shared" si="12"/>
        <v>0</v>
      </c>
      <c r="U15" s="436"/>
    </row>
    <row r="16" spans="2:22" hidden="1">
      <c r="B16" s="594" t="s">
        <v>1811</v>
      </c>
      <c r="C16" s="107"/>
      <c r="D16" s="13"/>
      <c r="E16" s="13"/>
      <c r="F16" s="14"/>
      <c r="G16" s="8"/>
      <c r="H16" s="24">
        <f t="shared" si="6"/>
        <v>0</v>
      </c>
      <c r="I16" s="464">
        <f t="shared" si="0"/>
        <v>33.284996999999997</v>
      </c>
      <c r="J16" s="10"/>
      <c r="K16" s="12"/>
      <c r="L16" s="213">
        <v>33.284996999999997</v>
      </c>
      <c r="M16" s="213">
        <v>18.649999999999999</v>
      </c>
      <c r="N16" s="216"/>
      <c r="O16" s="25">
        <f t="shared" si="7"/>
        <v>0</v>
      </c>
      <c r="P16" s="25">
        <f t="shared" si="8"/>
        <v>0</v>
      </c>
      <c r="Q16" s="25">
        <f t="shared" si="9"/>
        <v>0</v>
      </c>
      <c r="R16" s="26">
        <f t="shared" si="10"/>
        <v>0</v>
      </c>
      <c r="S16" s="27">
        <f t="shared" si="11"/>
        <v>0</v>
      </c>
      <c r="T16" s="123">
        <f t="shared" si="12"/>
        <v>0</v>
      </c>
      <c r="U16" s="436"/>
    </row>
    <row r="17" spans="2:22">
      <c r="B17" s="594" t="s">
        <v>1812</v>
      </c>
      <c r="C17" s="265"/>
      <c r="D17" s="143">
        <v>30</v>
      </c>
      <c r="E17" s="143">
        <v>36</v>
      </c>
      <c r="F17" s="141">
        <v>36</v>
      </c>
      <c r="G17" s="142"/>
      <c r="H17" s="135">
        <f t="shared" si="6"/>
        <v>102</v>
      </c>
      <c r="I17" s="464">
        <v>22.4</v>
      </c>
      <c r="J17" s="10"/>
      <c r="K17" s="12"/>
      <c r="L17" s="214">
        <v>22.032000000000004</v>
      </c>
      <c r="M17" s="214">
        <v>158.84693877551018</v>
      </c>
      <c r="N17" s="216"/>
      <c r="O17" s="25">
        <f t="shared" si="7"/>
        <v>0</v>
      </c>
      <c r="P17" s="25">
        <f t="shared" si="8"/>
        <v>672</v>
      </c>
      <c r="Q17" s="25">
        <f t="shared" si="9"/>
        <v>806.4</v>
      </c>
      <c r="R17" s="26">
        <f t="shared" si="10"/>
        <v>806.4</v>
      </c>
      <c r="S17" s="27">
        <f t="shared" si="11"/>
        <v>0</v>
      </c>
      <c r="T17" s="123">
        <f t="shared" si="12"/>
        <v>2284.8000000000002</v>
      </c>
      <c r="U17" s="436"/>
      <c r="V17" s="595">
        <f t="shared" ref="V17:V19" si="14">I17/L17-1</f>
        <v>1.6702977487290882E-2</v>
      </c>
    </row>
    <row r="18" spans="2:22">
      <c r="B18" s="594" t="s">
        <v>1813</v>
      </c>
      <c r="C18" s="265"/>
      <c r="D18" s="143">
        <v>160</v>
      </c>
      <c r="E18" s="143">
        <v>96</v>
      </c>
      <c r="F18" s="141">
        <v>240</v>
      </c>
      <c r="G18" s="142">
        <v>180</v>
      </c>
      <c r="H18" s="135">
        <f t="shared" si="6"/>
        <v>676</v>
      </c>
      <c r="I18" s="464">
        <v>56.8</v>
      </c>
      <c r="J18" s="10"/>
      <c r="K18" s="12"/>
      <c r="L18" s="213">
        <v>53.590800000000002</v>
      </c>
      <c r="M18" s="213"/>
      <c r="N18" s="216"/>
      <c r="O18" s="25">
        <f t="shared" si="7"/>
        <v>0</v>
      </c>
      <c r="P18" s="25">
        <f t="shared" si="8"/>
        <v>9088</v>
      </c>
      <c r="Q18" s="25">
        <f t="shared" si="9"/>
        <v>5452.7999999999993</v>
      </c>
      <c r="R18" s="26">
        <f t="shared" si="10"/>
        <v>13632</v>
      </c>
      <c r="S18" s="27">
        <f t="shared" si="11"/>
        <v>10224</v>
      </c>
      <c r="T18" s="123">
        <f t="shared" si="12"/>
        <v>38396.800000000003</v>
      </c>
      <c r="U18" s="379"/>
      <c r="V18" s="595">
        <f t="shared" si="14"/>
        <v>5.988341282458931E-2</v>
      </c>
    </row>
    <row r="19" spans="2:22">
      <c r="B19" s="594" t="s">
        <v>1814</v>
      </c>
      <c r="C19" s="265"/>
      <c r="D19" s="143"/>
      <c r="E19" s="143">
        <v>12</v>
      </c>
      <c r="F19" s="141"/>
      <c r="G19" s="142"/>
      <c r="H19" s="135">
        <f t="shared" si="6"/>
        <v>12</v>
      </c>
      <c r="I19" s="464">
        <v>96.65</v>
      </c>
      <c r="J19" s="10"/>
      <c r="K19" s="12"/>
      <c r="L19" s="213">
        <v>89.040185999999991</v>
      </c>
      <c r="M19" s="213">
        <v>22.642857142857146</v>
      </c>
      <c r="N19" s="216"/>
      <c r="O19" s="25">
        <f t="shared" si="7"/>
        <v>0</v>
      </c>
      <c r="P19" s="25">
        <f t="shared" si="8"/>
        <v>0</v>
      </c>
      <c r="Q19" s="25">
        <f t="shared" si="9"/>
        <v>1159.8000000000002</v>
      </c>
      <c r="R19" s="26">
        <f t="shared" si="10"/>
        <v>0</v>
      </c>
      <c r="S19" s="27">
        <f t="shared" si="11"/>
        <v>0</v>
      </c>
      <c r="T19" s="123">
        <f t="shared" si="12"/>
        <v>1159.8000000000002</v>
      </c>
      <c r="U19" s="436"/>
      <c r="V19" s="595">
        <f t="shared" si="14"/>
        <v>8.5464938269558699E-2</v>
      </c>
    </row>
    <row r="20" spans="2:22" hidden="1">
      <c r="B20" s="594" t="s">
        <v>1815</v>
      </c>
      <c r="C20" s="107"/>
      <c r="D20" s="13"/>
      <c r="E20" s="13"/>
      <c r="F20" s="14"/>
      <c r="G20" s="8"/>
      <c r="H20" s="24">
        <f t="shared" si="6"/>
        <v>0</v>
      </c>
      <c r="I20" s="464">
        <f t="shared" si="0"/>
        <v>430.18321499999996</v>
      </c>
      <c r="J20" s="10"/>
      <c r="K20" s="12"/>
      <c r="L20" s="213">
        <v>430.18321499999996</v>
      </c>
      <c r="M20" s="213">
        <v>42.979591836734691</v>
      </c>
      <c r="N20" s="216"/>
      <c r="O20" s="25">
        <f t="shared" si="7"/>
        <v>0</v>
      </c>
      <c r="P20" s="25">
        <f t="shared" si="8"/>
        <v>0</v>
      </c>
      <c r="Q20" s="25">
        <f t="shared" si="9"/>
        <v>0</v>
      </c>
      <c r="R20" s="26">
        <f t="shared" si="10"/>
        <v>0</v>
      </c>
      <c r="S20" s="27">
        <f t="shared" si="11"/>
        <v>0</v>
      </c>
      <c r="T20" s="123">
        <f t="shared" si="12"/>
        <v>0</v>
      </c>
      <c r="U20" s="436"/>
    </row>
    <row r="21" spans="2:22" hidden="1">
      <c r="B21" s="594" t="s">
        <v>1816</v>
      </c>
      <c r="C21" s="107"/>
      <c r="D21" s="13"/>
      <c r="E21" s="13"/>
      <c r="F21" s="14"/>
      <c r="G21" s="8"/>
      <c r="H21" s="24">
        <f t="shared" si="6"/>
        <v>0</v>
      </c>
      <c r="I21" s="464">
        <f t="shared" si="0"/>
        <v>1832.909553</v>
      </c>
      <c r="J21" s="10"/>
      <c r="K21" s="12"/>
      <c r="L21" s="213">
        <v>1832.909553</v>
      </c>
      <c r="M21" s="213">
        <v>20.84</v>
      </c>
      <c r="N21" s="216"/>
      <c r="O21" s="25">
        <f t="shared" si="7"/>
        <v>0</v>
      </c>
      <c r="P21" s="25">
        <f t="shared" si="8"/>
        <v>0</v>
      </c>
      <c r="Q21" s="25">
        <f t="shared" si="9"/>
        <v>0</v>
      </c>
      <c r="R21" s="26">
        <f t="shared" si="10"/>
        <v>0</v>
      </c>
      <c r="S21" s="27">
        <f t="shared" si="11"/>
        <v>0</v>
      </c>
      <c r="T21" s="123">
        <f t="shared" si="12"/>
        <v>0</v>
      </c>
      <c r="U21" s="436"/>
    </row>
    <row r="22" spans="2:22">
      <c r="B22" s="594" t="s">
        <v>1817</v>
      </c>
      <c r="C22" s="265"/>
      <c r="D22" s="143"/>
      <c r="E22" s="143"/>
      <c r="F22" s="141"/>
      <c r="G22" s="142">
        <v>480</v>
      </c>
      <c r="H22" s="135">
        <f t="shared" si="6"/>
        <v>480</v>
      </c>
      <c r="I22" s="464">
        <v>40.07</v>
      </c>
      <c r="J22" s="10"/>
      <c r="K22" s="12"/>
      <c r="L22" s="213">
        <v>28.485029999999998</v>
      </c>
      <c r="M22" s="213">
        <v>23.448979591836736</v>
      </c>
      <c r="N22" s="216"/>
      <c r="O22" s="25">
        <f t="shared" si="7"/>
        <v>0</v>
      </c>
      <c r="P22" s="25">
        <f t="shared" si="8"/>
        <v>0</v>
      </c>
      <c r="Q22" s="25">
        <f t="shared" si="9"/>
        <v>0</v>
      </c>
      <c r="R22" s="26">
        <f t="shared" si="10"/>
        <v>0</v>
      </c>
      <c r="S22" s="27">
        <f t="shared" si="11"/>
        <v>19233.599999999999</v>
      </c>
      <c r="T22" s="123">
        <f t="shared" si="12"/>
        <v>19233.599999999999</v>
      </c>
      <c r="U22" s="436"/>
      <c r="V22" s="596">
        <f t="shared" ref="V22:V23" si="15">I22/L22-1</f>
        <v>0.40670380196194289</v>
      </c>
    </row>
    <row r="23" spans="2:22">
      <c r="B23" s="594" t="s">
        <v>1818</v>
      </c>
      <c r="C23" s="265"/>
      <c r="D23" s="143"/>
      <c r="E23" s="143"/>
      <c r="F23" s="141"/>
      <c r="G23" s="142">
        <v>480</v>
      </c>
      <c r="H23" s="135">
        <f t="shared" si="6"/>
        <v>480</v>
      </c>
      <c r="I23" s="464">
        <v>98.87</v>
      </c>
      <c r="J23" s="10"/>
      <c r="K23" s="12"/>
      <c r="L23" s="213">
        <v>68.044709999999995</v>
      </c>
      <c r="M23" s="213">
        <v>32.744897959183675</v>
      </c>
      <c r="N23" s="216"/>
      <c r="O23" s="25">
        <f t="shared" si="7"/>
        <v>0</v>
      </c>
      <c r="P23" s="25">
        <f t="shared" si="8"/>
        <v>0</v>
      </c>
      <c r="Q23" s="25">
        <f t="shared" si="9"/>
        <v>0</v>
      </c>
      <c r="R23" s="26">
        <f t="shared" si="10"/>
        <v>0</v>
      </c>
      <c r="S23" s="27">
        <f t="shared" si="11"/>
        <v>47457.600000000006</v>
      </c>
      <c r="T23" s="123">
        <f t="shared" si="12"/>
        <v>47457.600000000006</v>
      </c>
      <c r="U23" s="436"/>
      <c r="V23" s="596">
        <f t="shared" si="15"/>
        <v>0.45301523072109506</v>
      </c>
    </row>
    <row r="24" spans="2:22" hidden="1">
      <c r="B24" s="594" t="s">
        <v>1819</v>
      </c>
      <c r="C24" s="107"/>
      <c r="D24" s="13"/>
      <c r="E24" s="13"/>
      <c r="F24" s="14"/>
      <c r="G24" s="8"/>
      <c r="H24" s="24">
        <f t="shared" si="6"/>
        <v>0</v>
      </c>
      <c r="I24" s="464">
        <f t="shared" si="0"/>
        <v>98.816784000000013</v>
      </c>
      <c r="J24" s="10"/>
      <c r="K24" s="12"/>
      <c r="L24" s="213">
        <v>98.816784000000013</v>
      </c>
      <c r="M24" s="213"/>
      <c r="N24" s="216"/>
      <c r="O24" s="25">
        <f t="shared" si="7"/>
        <v>0</v>
      </c>
      <c r="P24" s="25">
        <f t="shared" si="8"/>
        <v>0</v>
      </c>
      <c r="Q24" s="25">
        <f t="shared" si="9"/>
        <v>0</v>
      </c>
      <c r="R24" s="26">
        <f t="shared" si="10"/>
        <v>0</v>
      </c>
      <c r="S24" s="27">
        <f t="shared" si="11"/>
        <v>0</v>
      </c>
      <c r="T24" s="123">
        <f t="shared" si="12"/>
        <v>0</v>
      </c>
      <c r="U24" s="379"/>
    </row>
    <row r="25" spans="2:22" hidden="1">
      <c r="B25" s="594" t="s">
        <v>1820</v>
      </c>
      <c r="C25" s="107"/>
      <c r="D25" s="13"/>
      <c r="E25" s="13"/>
      <c r="F25" s="14"/>
      <c r="G25" s="8"/>
      <c r="H25" s="24">
        <f t="shared" si="6"/>
        <v>0</v>
      </c>
      <c r="I25" s="464">
        <f t="shared" si="0"/>
        <v>433.84812599999998</v>
      </c>
      <c r="J25" s="10"/>
      <c r="K25" s="12"/>
      <c r="L25" s="213">
        <v>433.84812599999998</v>
      </c>
      <c r="M25" s="213"/>
      <c r="N25" s="216"/>
      <c r="O25" s="25">
        <f t="shared" si="7"/>
        <v>0</v>
      </c>
      <c r="P25" s="25">
        <f t="shared" si="8"/>
        <v>0</v>
      </c>
      <c r="Q25" s="25">
        <f t="shared" si="9"/>
        <v>0</v>
      </c>
      <c r="R25" s="26">
        <f t="shared" si="10"/>
        <v>0</v>
      </c>
      <c r="S25" s="27">
        <f t="shared" si="11"/>
        <v>0</v>
      </c>
      <c r="T25" s="123">
        <f t="shared" si="12"/>
        <v>0</v>
      </c>
      <c r="U25" s="379"/>
    </row>
    <row r="26" spans="2:22">
      <c r="B26" s="594" t="s">
        <v>1821</v>
      </c>
      <c r="C26" s="266"/>
      <c r="D26" s="141"/>
      <c r="E26" s="141">
        <v>24</v>
      </c>
      <c r="F26" s="141">
        <v>60</v>
      </c>
      <c r="G26" s="142"/>
      <c r="H26" s="135">
        <f t="shared" si="6"/>
        <v>84</v>
      </c>
      <c r="I26" s="464">
        <v>27.26</v>
      </c>
      <c r="J26" s="10"/>
      <c r="K26" s="12"/>
      <c r="L26" s="213">
        <v>25.538657999999998</v>
      </c>
      <c r="M26" s="213"/>
      <c r="N26" s="216"/>
      <c r="O26" s="25">
        <f t="shared" si="7"/>
        <v>0</v>
      </c>
      <c r="P26" s="25">
        <f t="shared" si="8"/>
        <v>0</v>
      </c>
      <c r="Q26" s="25">
        <f t="shared" si="9"/>
        <v>654.24</v>
      </c>
      <c r="R26" s="26">
        <f t="shared" si="10"/>
        <v>1635.6000000000001</v>
      </c>
      <c r="S26" s="27">
        <f t="shared" si="11"/>
        <v>0</v>
      </c>
      <c r="T26" s="123">
        <f t="shared" si="12"/>
        <v>2289.84</v>
      </c>
      <c r="U26" s="379"/>
      <c r="V26" s="595">
        <f>I26/L26-1</f>
        <v>6.740142727938192E-2</v>
      </c>
    </row>
    <row r="27" spans="2:22" hidden="1">
      <c r="B27" s="594" t="s">
        <v>1822</v>
      </c>
      <c r="C27" s="108"/>
      <c r="D27" s="14"/>
      <c r="E27" s="14"/>
      <c r="F27" s="14"/>
      <c r="G27" s="8"/>
      <c r="H27" s="24">
        <f t="shared" si="6"/>
        <v>0</v>
      </c>
      <c r="I27" s="464">
        <f t="shared" si="0"/>
        <v>111.972438</v>
      </c>
      <c r="J27" s="10"/>
      <c r="K27" s="12"/>
      <c r="L27" s="213">
        <v>111.972438</v>
      </c>
      <c r="M27" s="213">
        <v>156.83000000000001</v>
      </c>
      <c r="N27" s="216"/>
      <c r="O27" s="25">
        <f t="shared" si="7"/>
        <v>0</v>
      </c>
      <c r="P27" s="25">
        <f t="shared" si="8"/>
        <v>0</v>
      </c>
      <c r="Q27" s="25">
        <f t="shared" si="9"/>
        <v>0</v>
      </c>
      <c r="R27" s="26">
        <f t="shared" si="10"/>
        <v>0</v>
      </c>
      <c r="S27" s="27">
        <f t="shared" si="11"/>
        <v>0</v>
      </c>
      <c r="T27" s="123">
        <f t="shared" si="12"/>
        <v>0</v>
      </c>
      <c r="U27" s="436"/>
    </row>
    <row r="28" spans="2:22">
      <c r="B28" s="594" t="s">
        <v>1823</v>
      </c>
      <c r="C28" s="266"/>
      <c r="D28" s="141">
        <v>6</v>
      </c>
      <c r="E28" s="141">
        <v>12</v>
      </c>
      <c r="F28" s="141">
        <v>12</v>
      </c>
      <c r="G28" s="142"/>
      <c r="H28" s="135">
        <f t="shared" si="6"/>
        <v>30</v>
      </c>
      <c r="I28" s="464">
        <v>82.93</v>
      </c>
      <c r="J28" s="10"/>
      <c r="K28" s="12"/>
      <c r="L28" s="213">
        <v>81.579599999999999</v>
      </c>
      <c r="M28" s="213"/>
      <c r="N28" s="216"/>
      <c r="O28" s="25">
        <f t="shared" si="7"/>
        <v>0</v>
      </c>
      <c r="P28" s="25">
        <f t="shared" si="8"/>
        <v>497.58000000000004</v>
      </c>
      <c r="Q28" s="25">
        <f t="shared" si="9"/>
        <v>995.16000000000008</v>
      </c>
      <c r="R28" s="26">
        <f t="shared" si="10"/>
        <v>995.16000000000008</v>
      </c>
      <c r="S28" s="27">
        <f t="shared" si="11"/>
        <v>0</v>
      </c>
      <c r="T28" s="123">
        <f t="shared" si="12"/>
        <v>2487.9000000000005</v>
      </c>
      <c r="U28" s="379"/>
      <c r="V28" s="595">
        <f t="shared" ref="V28:V31" si="16">I28/L28-1</f>
        <v>1.6553157897317483E-2</v>
      </c>
    </row>
    <row r="29" spans="2:22">
      <c r="B29" s="594" t="s">
        <v>1824</v>
      </c>
      <c r="C29" s="266"/>
      <c r="D29" s="141">
        <v>500</v>
      </c>
      <c r="E29" s="141"/>
      <c r="F29" s="141">
        <v>120</v>
      </c>
      <c r="G29" s="142">
        <v>1800</v>
      </c>
      <c r="H29" s="135">
        <f t="shared" si="6"/>
        <v>2420</v>
      </c>
      <c r="I29" s="464">
        <v>3.53</v>
      </c>
      <c r="J29" s="10"/>
      <c r="K29" s="12"/>
      <c r="L29" s="214">
        <v>3.447498</v>
      </c>
      <c r="M29" s="214">
        <v>405</v>
      </c>
      <c r="N29" s="216"/>
      <c r="O29" s="25">
        <f t="shared" si="7"/>
        <v>0</v>
      </c>
      <c r="P29" s="25">
        <f t="shared" si="8"/>
        <v>1765</v>
      </c>
      <c r="Q29" s="25">
        <f t="shared" si="9"/>
        <v>0</v>
      </c>
      <c r="R29" s="26">
        <f t="shared" si="10"/>
        <v>423.59999999999997</v>
      </c>
      <c r="S29" s="27">
        <f t="shared" si="11"/>
        <v>6354</v>
      </c>
      <c r="T29" s="123">
        <f t="shared" si="12"/>
        <v>8542.6</v>
      </c>
      <c r="U29" s="436"/>
      <c r="V29" s="595">
        <f t="shared" si="16"/>
        <v>2.3930978350096277E-2</v>
      </c>
    </row>
    <row r="30" spans="2:22">
      <c r="B30" s="594" t="s">
        <v>1825</v>
      </c>
      <c r="C30" s="266"/>
      <c r="D30" s="141"/>
      <c r="E30" s="141">
        <v>60</v>
      </c>
      <c r="F30" s="141">
        <v>48</v>
      </c>
      <c r="G30" s="142">
        <v>60</v>
      </c>
      <c r="H30" s="135">
        <f t="shared" si="6"/>
        <v>168</v>
      </c>
      <c r="I30" s="464">
        <v>31.52</v>
      </c>
      <c r="J30" s="10"/>
      <c r="K30" s="12"/>
      <c r="L30" s="213">
        <v>30.396000000000001</v>
      </c>
      <c r="M30" s="213"/>
      <c r="N30" s="216"/>
      <c r="O30" s="25">
        <f t="shared" si="7"/>
        <v>0</v>
      </c>
      <c r="P30" s="25">
        <f t="shared" si="8"/>
        <v>0</v>
      </c>
      <c r="Q30" s="25">
        <f t="shared" si="9"/>
        <v>1891.2</v>
      </c>
      <c r="R30" s="26">
        <f t="shared" si="10"/>
        <v>1512.96</v>
      </c>
      <c r="S30" s="27">
        <f t="shared" si="11"/>
        <v>1891.2</v>
      </c>
      <c r="T30" s="123">
        <f t="shared" si="12"/>
        <v>5295.36</v>
      </c>
      <c r="U30" s="379"/>
      <c r="V30" s="595">
        <f t="shared" si="16"/>
        <v>3.6978549809185468E-2</v>
      </c>
    </row>
    <row r="31" spans="2:22">
      <c r="B31" s="594" t="s">
        <v>1826</v>
      </c>
      <c r="C31" s="266"/>
      <c r="D31" s="141">
        <v>220</v>
      </c>
      <c r="E31" s="141">
        <v>72</v>
      </c>
      <c r="F31" s="141">
        <v>172</v>
      </c>
      <c r="G31" s="142">
        <v>960</v>
      </c>
      <c r="H31" s="135">
        <f t="shared" si="6"/>
        <v>1424</v>
      </c>
      <c r="I31" s="464">
        <v>15.16</v>
      </c>
      <c r="J31" s="10"/>
      <c r="K31" s="12"/>
      <c r="L31" s="213">
        <v>14.6166</v>
      </c>
      <c r="M31" s="213"/>
      <c r="N31" s="216"/>
      <c r="O31" s="25">
        <f t="shared" si="7"/>
        <v>0</v>
      </c>
      <c r="P31" s="25">
        <f t="shared" si="8"/>
        <v>3335.2</v>
      </c>
      <c r="Q31" s="25">
        <f t="shared" si="9"/>
        <v>1091.52</v>
      </c>
      <c r="R31" s="26">
        <f t="shared" si="10"/>
        <v>2607.52</v>
      </c>
      <c r="S31" s="27">
        <f t="shared" si="11"/>
        <v>14553.6</v>
      </c>
      <c r="T31" s="123">
        <f t="shared" si="12"/>
        <v>21587.84</v>
      </c>
      <c r="U31" s="379"/>
      <c r="V31" s="595">
        <f t="shared" si="16"/>
        <v>3.7176908446560741E-2</v>
      </c>
    </row>
    <row r="32" spans="2:22" hidden="1">
      <c r="B32" s="594" t="s">
        <v>1827</v>
      </c>
      <c r="C32" s="108"/>
      <c r="D32" s="14"/>
      <c r="E32" s="14"/>
      <c r="F32" s="14"/>
      <c r="G32" s="8"/>
      <c r="H32" s="24">
        <f t="shared" si="6"/>
        <v>0</v>
      </c>
      <c r="I32" s="464">
        <f t="shared" si="0"/>
        <v>24.312720000000002</v>
      </c>
      <c r="J32" s="10"/>
      <c r="K32" s="12"/>
      <c r="L32" s="213">
        <v>24.312720000000002</v>
      </c>
      <c r="M32" s="213">
        <v>29.27</v>
      </c>
      <c r="N32" s="216"/>
      <c r="O32" s="25">
        <f t="shared" si="7"/>
        <v>0</v>
      </c>
      <c r="P32" s="25">
        <f t="shared" si="8"/>
        <v>0</v>
      </c>
      <c r="Q32" s="25">
        <f t="shared" si="9"/>
        <v>0</v>
      </c>
      <c r="R32" s="26">
        <f t="shared" si="10"/>
        <v>0</v>
      </c>
      <c r="S32" s="27">
        <f t="shared" si="11"/>
        <v>0</v>
      </c>
      <c r="T32" s="123">
        <f t="shared" si="12"/>
        <v>0</v>
      </c>
      <c r="U32" s="436"/>
    </row>
    <row r="33" spans="2:22" hidden="1">
      <c r="B33" s="594" t="s">
        <v>1828</v>
      </c>
      <c r="C33" s="108"/>
      <c r="D33" s="14"/>
      <c r="E33" s="14"/>
      <c r="F33" s="14"/>
      <c r="G33" s="8"/>
      <c r="H33" s="24">
        <f t="shared" si="6"/>
        <v>0</v>
      </c>
      <c r="I33" s="464">
        <f t="shared" si="0"/>
        <v>142.63119</v>
      </c>
      <c r="J33" s="10"/>
      <c r="K33" s="12"/>
      <c r="L33" s="213">
        <v>142.63119</v>
      </c>
      <c r="M33" s="213">
        <v>15.204081632653061</v>
      </c>
      <c r="N33" s="216"/>
      <c r="O33" s="25">
        <f t="shared" si="7"/>
        <v>0</v>
      </c>
      <c r="P33" s="25">
        <f t="shared" si="8"/>
        <v>0</v>
      </c>
      <c r="Q33" s="25">
        <f t="shared" si="9"/>
        <v>0</v>
      </c>
      <c r="R33" s="26">
        <f t="shared" si="10"/>
        <v>0</v>
      </c>
      <c r="S33" s="27">
        <f t="shared" si="11"/>
        <v>0</v>
      </c>
      <c r="T33" s="123">
        <f t="shared" si="12"/>
        <v>0</v>
      </c>
      <c r="U33" s="436"/>
    </row>
    <row r="34" spans="2:22">
      <c r="B34" s="594" t="s">
        <v>1829</v>
      </c>
      <c r="C34" s="266"/>
      <c r="D34" s="141"/>
      <c r="E34" s="141"/>
      <c r="F34" s="141"/>
      <c r="G34" s="142">
        <v>40</v>
      </c>
      <c r="H34" s="135">
        <f t="shared" si="6"/>
        <v>40</v>
      </c>
      <c r="I34" s="464">
        <v>197.54</v>
      </c>
      <c r="J34" s="10"/>
      <c r="K34" s="12"/>
      <c r="L34" s="213">
        <v>163.251</v>
      </c>
      <c r="M34" s="213">
        <v>27.469387755102044</v>
      </c>
      <c r="N34" s="216"/>
      <c r="O34" s="25">
        <f t="shared" si="7"/>
        <v>0</v>
      </c>
      <c r="P34" s="25">
        <f t="shared" si="8"/>
        <v>0</v>
      </c>
      <c r="Q34" s="25">
        <f t="shared" si="9"/>
        <v>0</v>
      </c>
      <c r="R34" s="26">
        <f t="shared" si="10"/>
        <v>0</v>
      </c>
      <c r="S34" s="27">
        <f t="shared" si="11"/>
        <v>7901.5999999999995</v>
      </c>
      <c r="T34" s="123">
        <f t="shared" si="12"/>
        <v>7901.5999999999995</v>
      </c>
      <c r="U34" s="436"/>
      <c r="V34" s="596">
        <f>I34/L34-1</f>
        <v>0.21003852962615843</v>
      </c>
    </row>
    <row r="35" spans="2:22" hidden="1">
      <c r="B35" s="594" t="s">
        <v>1830</v>
      </c>
      <c r="C35" s="108"/>
      <c r="D35" s="14"/>
      <c r="E35" s="14"/>
      <c r="F35" s="14"/>
      <c r="G35" s="8"/>
      <c r="H35" s="24">
        <f t="shared" ref="H35:H66" si="17">SUM(C35:G35)</f>
        <v>0</v>
      </c>
      <c r="I35" s="464">
        <f t="shared" si="0"/>
        <v>69.747599999999991</v>
      </c>
      <c r="J35" s="10"/>
      <c r="K35" s="12"/>
      <c r="L35" s="214">
        <v>69.747599999999991</v>
      </c>
      <c r="M35" s="213"/>
      <c r="N35" s="216"/>
      <c r="O35" s="25">
        <f t="shared" ref="O35:O66" si="18">I35*C35</f>
        <v>0</v>
      </c>
      <c r="P35" s="25">
        <f t="shared" ref="P35:P66" si="19">I35*D35</f>
        <v>0</v>
      </c>
      <c r="Q35" s="25">
        <f t="shared" ref="Q35:Q66" si="20">I35*E35</f>
        <v>0</v>
      </c>
      <c r="R35" s="26">
        <f t="shared" ref="R35:R66" si="21">I35*F35</f>
        <v>0</v>
      </c>
      <c r="S35" s="27">
        <f t="shared" ref="S35:S66" si="22">I35*G35</f>
        <v>0</v>
      </c>
      <c r="T35" s="123">
        <f t="shared" ref="T35:T66" si="23">SUM(O35:S35)</f>
        <v>0</v>
      </c>
      <c r="U35" s="219"/>
    </row>
    <row r="36" spans="2:22" hidden="1">
      <c r="B36" s="594" t="s">
        <v>1831</v>
      </c>
      <c r="C36" s="108"/>
      <c r="D36" s="14"/>
      <c r="E36" s="14"/>
      <c r="F36" s="14"/>
      <c r="G36" s="8"/>
      <c r="H36" s="24">
        <f t="shared" si="17"/>
        <v>0</v>
      </c>
      <c r="I36" s="464">
        <f t="shared" si="0"/>
        <v>213.36472200000003</v>
      </c>
      <c r="J36" s="10"/>
      <c r="K36" s="12"/>
      <c r="L36" s="213">
        <v>213.36472200000003</v>
      </c>
      <c r="M36" s="213"/>
      <c r="N36" s="216"/>
      <c r="O36" s="25">
        <f t="shared" si="18"/>
        <v>0</v>
      </c>
      <c r="P36" s="25">
        <f t="shared" si="19"/>
        <v>0</v>
      </c>
      <c r="Q36" s="25">
        <f t="shared" si="20"/>
        <v>0</v>
      </c>
      <c r="R36" s="26">
        <f t="shared" si="21"/>
        <v>0</v>
      </c>
      <c r="S36" s="27">
        <f t="shared" si="22"/>
        <v>0</v>
      </c>
      <c r="T36" s="123">
        <f t="shared" si="23"/>
        <v>0</v>
      </c>
      <c r="U36" s="219"/>
    </row>
    <row r="37" spans="2:22" hidden="1">
      <c r="B37" s="594" t="s">
        <v>1832</v>
      </c>
      <c r="C37" s="108"/>
      <c r="D37" s="14"/>
      <c r="E37" s="14"/>
      <c r="F37" s="14"/>
      <c r="G37" s="8"/>
      <c r="H37" s="24">
        <f t="shared" si="17"/>
        <v>0</v>
      </c>
      <c r="I37" s="464">
        <f t="shared" si="0"/>
        <v>121.49148600000001</v>
      </c>
      <c r="J37" s="10"/>
      <c r="K37" s="12"/>
      <c r="L37" s="213">
        <v>121.49148600000001</v>
      </c>
      <c r="M37" s="213"/>
      <c r="N37" s="216"/>
      <c r="O37" s="25">
        <f t="shared" si="18"/>
        <v>0</v>
      </c>
      <c r="P37" s="25">
        <f t="shared" si="19"/>
        <v>0</v>
      </c>
      <c r="Q37" s="25">
        <f t="shared" si="20"/>
        <v>0</v>
      </c>
      <c r="R37" s="26">
        <f t="shared" si="21"/>
        <v>0</v>
      </c>
      <c r="S37" s="27">
        <f t="shared" si="22"/>
        <v>0</v>
      </c>
      <c r="T37" s="123">
        <f t="shared" si="23"/>
        <v>0</v>
      </c>
      <c r="U37" s="219"/>
    </row>
    <row r="38" spans="2:22">
      <c r="B38" s="594" t="s">
        <v>1833</v>
      </c>
      <c r="C38" s="266"/>
      <c r="D38" s="141"/>
      <c r="E38" s="141"/>
      <c r="F38" s="141">
        <v>120</v>
      </c>
      <c r="G38" s="142"/>
      <c r="H38" s="135">
        <f t="shared" si="17"/>
        <v>120</v>
      </c>
      <c r="I38" s="464">
        <v>19.670000000000002</v>
      </c>
      <c r="J38" s="10"/>
      <c r="K38" s="12"/>
      <c r="L38" s="213">
        <v>18.4314</v>
      </c>
      <c r="M38" s="213">
        <v>30.3202</v>
      </c>
      <c r="N38" s="216"/>
      <c r="O38" s="25">
        <f t="shared" si="18"/>
        <v>0</v>
      </c>
      <c r="P38" s="25">
        <f t="shared" si="19"/>
        <v>0</v>
      </c>
      <c r="Q38" s="25">
        <f t="shared" si="20"/>
        <v>0</v>
      </c>
      <c r="R38" s="26">
        <f t="shared" si="21"/>
        <v>2360.4</v>
      </c>
      <c r="S38" s="27">
        <f t="shared" si="22"/>
        <v>0</v>
      </c>
      <c r="T38" s="123">
        <f t="shared" si="23"/>
        <v>2360.4</v>
      </c>
      <c r="U38" s="436"/>
      <c r="V38" s="595">
        <f>I38/L38-1</f>
        <v>6.7200538211964478E-2</v>
      </c>
    </row>
    <row r="39" spans="2:22" hidden="1">
      <c r="B39" s="594" t="s">
        <v>66</v>
      </c>
      <c r="C39" s="108"/>
      <c r="D39" s="14"/>
      <c r="E39" s="14"/>
      <c r="F39" s="14"/>
      <c r="G39" s="8"/>
      <c r="H39" s="24">
        <f t="shared" si="17"/>
        <v>0</v>
      </c>
      <c r="I39" s="464">
        <f t="shared" si="0"/>
        <v>39.745115999999996</v>
      </c>
      <c r="J39" s="10"/>
      <c r="K39" s="12"/>
      <c r="L39" s="213">
        <v>39.745115999999996</v>
      </c>
      <c r="M39" s="213"/>
      <c r="N39" s="216"/>
      <c r="O39" s="25">
        <f t="shared" si="18"/>
        <v>0</v>
      </c>
      <c r="P39" s="25">
        <f t="shared" si="19"/>
        <v>0</v>
      </c>
      <c r="Q39" s="25">
        <f t="shared" si="20"/>
        <v>0</v>
      </c>
      <c r="R39" s="26">
        <f t="shared" si="21"/>
        <v>0</v>
      </c>
      <c r="S39" s="27">
        <f t="shared" si="22"/>
        <v>0</v>
      </c>
      <c r="T39" s="123">
        <f t="shared" si="23"/>
        <v>0</v>
      </c>
      <c r="U39" s="219"/>
    </row>
    <row r="40" spans="2:22" hidden="1">
      <c r="B40" s="594" t="s">
        <v>67</v>
      </c>
      <c r="C40" s="108"/>
      <c r="D40" s="14"/>
      <c r="E40" s="14"/>
      <c r="F40" s="14"/>
      <c r="G40" s="8"/>
      <c r="H40" s="24">
        <f t="shared" si="17"/>
        <v>0</v>
      </c>
      <c r="I40" s="464">
        <f t="shared" si="0"/>
        <v>85.352069999999998</v>
      </c>
      <c r="J40" s="10"/>
      <c r="K40" s="12"/>
      <c r="L40" s="213">
        <v>85.352069999999998</v>
      </c>
      <c r="M40" s="213"/>
      <c r="N40" s="216"/>
      <c r="O40" s="25">
        <f t="shared" si="18"/>
        <v>0</v>
      </c>
      <c r="P40" s="25">
        <f t="shared" si="19"/>
        <v>0</v>
      </c>
      <c r="Q40" s="25">
        <f t="shared" si="20"/>
        <v>0</v>
      </c>
      <c r="R40" s="26">
        <f t="shared" si="21"/>
        <v>0</v>
      </c>
      <c r="S40" s="27">
        <f t="shared" si="22"/>
        <v>0</v>
      </c>
      <c r="T40" s="123">
        <f t="shared" si="23"/>
        <v>0</v>
      </c>
      <c r="U40" s="219"/>
    </row>
    <row r="41" spans="2:22">
      <c r="B41" s="594" t="s">
        <v>1834</v>
      </c>
      <c r="C41" s="266"/>
      <c r="D41" s="141"/>
      <c r="E41" s="141"/>
      <c r="F41" s="141">
        <v>10</v>
      </c>
      <c r="G41" s="142"/>
      <c r="H41" s="135">
        <f t="shared" si="17"/>
        <v>10</v>
      </c>
      <c r="I41" s="464">
        <v>171.17</v>
      </c>
      <c r="J41" s="10"/>
      <c r="K41" s="12"/>
      <c r="L41" s="213">
        <v>163.52395200000001</v>
      </c>
      <c r="M41" s="213"/>
      <c r="N41" s="216"/>
      <c r="O41" s="25">
        <f t="shared" si="18"/>
        <v>0</v>
      </c>
      <c r="P41" s="25">
        <f t="shared" si="19"/>
        <v>0</v>
      </c>
      <c r="Q41" s="25">
        <f t="shared" si="20"/>
        <v>0</v>
      </c>
      <c r="R41" s="26">
        <f t="shared" si="21"/>
        <v>1711.6999999999998</v>
      </c>
      <c r="S41" s="27">
        <f t="shared" si="22"/>
        <v>0</v>
      </c>
      <c r="T41" s="123">
        <f t="shared" si="23"/>
        <v>1711.6999999999998</v>
      </c>
      <c r="U41" s="219"/>
      <c r="V41" s="595">
        <f t="shared" ref="V41:V42" si="24">I41/L41-1</f>
        <v>4.6757969743783878E-2</v>
      </c>
    </row>
    <row r="42" spans="2:22">
      <c r="B42" s="594" t="s">
        <v>1835</v>
      </c>
      <c r="C42" s="266"/>
      <c r="D42" s="141"/>
      <c r="E42" s="141"/>
      <c r="F42" s="141">
        <v>12</v>
      </c>
      <c r="G42" s="142"/>
      <c r="H42" s="135">
        <f t="shared" si="17"/>
        <v>12</v>
      </c>
      <c r="I42" s="464">
        <v>20.440000000000001</v>
      </c>
      <c r="J42" s="10"/>
      <c r="K42" s="12"/>
      <c r="L42" s="213">
        <v>18.686399999999999</v>
      </c>
      <c r="M42" s="213"/>
      <c r="N42" s="216"/>
      <c r="O42" s="25">
        <f t="shared" si="18"/>
        <v>0</v>
      </c>
      <c r="P42" s="25">
        <f t="shared" si="19"/>
        <v>0</v>
      </c>
      <c r="Q42" s="25">
        <f t="shared" si="20"/>
        <v>0</v>
      </c>
      <c r="R42" s="26">
        <f t="shared" si="21"/>
        <v>245.28000000000003</v>
      </c>
      <c r="S42" s="27">
        <f t="shared" si="22"/>
        <v>0</v>
      </c>
      <c r="T42" s="123">
        <f t="shared" si="23"/>
        <v>245.28000000000003</v>
      </c>
      <c r="U42" s="219"/>
      <c r="V42" s="595">
        <f t="shared" si="24"/>
        <v>9.3843650997517125E-2</v>
      </c>
    </row>
    <row r="43" spans="2:22" hidden="1">
      <c r="B43" s="594" t="s">
        <v>1836</v>
      </c>
      <c r="C43" s="108"/>
      <c r="D43" s="14"/>
      <c r="E43" s="14"/>
      <c r="F43" s="14"/>
      <c r="G43" s="8"/>
      <c r="H43" s="24">
        <f t="shared" si="17"/>
        <v>0</v>
      </c>
      <c r="I43" s="464">
        <f t="shared" si="0"/>
        <v>5.9648580000000004</v>
      </c>
      <c r="J43" s="10"/>
      <c r="K43" s="12"/>
      <c r="L43" s="213">
        <v>5.9648580000000004</v>
      </c>
      <c r="M43" s="213">
        <v>84.567300000000003</v>
      </c>
      <c r="N43" s="216"/>
      <c r="O43" s="25">
        <f t="shared" si="18"/>
        <v>0</v>
      </c>
      <c r="P43" s="25">
        <f t="shared" si="19"/>
        <v>0</v>
      </c>
      <c r="Q43" s="25">
        <f t="shared" si="20"/>
        <v>0</v>
      </c>
      <c r="R43" s="26">
        <f t="shared" si="21"/>
        <v>0</v>
      </c>
      <c r="S43" s="27">
        <f t="shared" si="22"/>
        <v>0</v>
      </c>
      <c r="T43" s="123">
        <f t="shared" si="23"/>
        <v>0</v>
      </c>
      <c r="U43" s="436"/>
    </row>
    <row r="44" spans="2:22" hidden="1">
      <c r="B44" s="594" t="s">
        <v>1837</v>
      </c>
      <c r="C44" s="108"/>
      <c r="D44" s="14"/>
      <c r="E44" s="14"/>
      <c r="F44" s="14"/>
      <c r="G44" s="8"/>
      <c r="H44" s="24">
        <f t="shared" si="17"/>
        <v>0</v>
      </c>
      <c r="I44" s="464">
        <f t="shared" si="0"/>
        <v>270.91342799999995</v>
      </c>
      <c r="J44" s="10"/>
      <c r="K44" s="12"/>
      <c r="L44" s="214">
        <v>270.91342799999995</v>
      </c>
      <c r="M44" s="213"/>
      <c r="N44" s="216"/>
      <c r="O44" s="25">
        <f t="shared" si="18"/>
        <v>0</v>
      </c>
      <c r="P44" s="25">
        <f t="shared" si="19"/>
        <v>0</v>
      </c>
      <c r="Q44" s="25">
        <f t="shared" si="20"/>
        <v>0</v>
      </c>
      <c r="R44" s="26">
        <f t="shared" si="21"/>
        <v>0</v>
      </c>
      <c r="S44" s="27">
        <f t="shared" si="22"/>
        <v>0</v>
      </c>
      <c r="T44" s="123">
        <f t="shared" si="23"/>
        <v>0</v>
      </c>
      <c r="U44" s="219"/>
    </row>
    <row r="45" spans="2:22" hidden="1">
      <c r="B45" s="594" t="s">
        <v>1838</v>
      </c>
      <c r="C45" s="108"/>
      <c r="D45" s="14"/>
      <c r="E45" s="14"/>
      <c r="F45" s="14"/>
      <c r="G45" s="8"/>
      <c r="H45" s="24">
        <f t="shared" si="17"/>
        <v>0</v>
      </c>
      <c r="I45" s="464">
        <f t="shared" si="0"/>
        <v>34.361352000000004</v>
      </c>
      <c r="J45" s="10"/>
      <c r="K45" s="12"/>
      <c r="L45" s="214">
        <v>34.361352000000004</v>
      </c>
      <c r="M45" s="213"/>
      <c r="N45" s="216"/>
      <c r="O45" s="25">
        <f t="shared" si="18"/>
        <v>0</v>
      </c>
      <c r="P45" s="25">
        <f t="shared" si="19"/>
        <v>0</v>
      </c>
      <c r="Q45" s="25">
        <f t="shared" si="20"/>
        <v>0</v>
      </c>
      <c r="R45" s="26">
        <f t="shared" si="21"/>
        <v>0</v>
      </c>
      <c r="S45" s="27">
        <f t="shared" si="22"/>
        <v>0</v>
      </c>
      <c r="T45" s="123">
        <f t="shared" si="23"/>
        <v>0</v>
      </c>
      <c r="U45" s="219"/>
    </row>
    <row r="46" spans="2:22" hidden="1">
      <c r="B46" s="594" t="s">
        <v>1839</v>
      </c>
      <c r="C46" s="108"/>
      <c r="D46" s="14"/>
      <c r="E46" s="14"/>
      <c r="F46" s="14"/>
      <c r="G46" s="8"/>
      <c r="H46" s="24">
        <f t="shared" si="17"/>
        <v>0</v>
      </c>
      <c r="I46" s="464">
        <f t="shared" si="0"/>
        <v>189.64951800000003</v>
      </c>
      <c r="J46" s="10"/>
      <c r="K46" s="12"/>
      <c r="L46" s="213">
        <v>189.64951800000003</v>
      </c>
      <c r="M46" s="213">
        <v>27.778607142857147</v>
      </c>
      <c r="N46" s="216"/>
      <c r="O46" s="25">
        <f t="shared" si="18"/>
        <v>0</v>
      </c>
      <c r="P46" s="25">
        <f t="shared" si="19"/>
        <v>0</v>
      </c>
      <c r="Q46" s="25">
        <f t="shared" si="20"/>
        <v>0</v>
      </c>
      <c r="R46" s="26">
        <f t="shared" si="21"/>
        <v>0</v>
      </c>
      <c r="S46" s="27">
        <f t="shared" si="22"/>
        <v>0</v>
      </c>
      <c r="T46" s="123">
        <f t="shared" si="23"/>
        <v>0</v>
      </c>
      <c r="U46" s="436"/>
    </row>
    <row r="47" spans="2:22" hidden="1">
      <c r="B47" s="594" t="s">
        <v>1840</v>
      </c>
      <c r="C47" s="108"/>
      <c r="D47" s="14"/>
      <c r="E47" s="14"/>
      <c r="F47" s="14"/>
      <c r="G47" s="8"/>
      <c r="H47" s="24">
        <f t="shared" si="17"/>
        <v>0</v>
      </c>
      <c r="I47" s="464">
        <f t="shared" si="0"/>
        <v>420.82639800000004</v>
      </c>
      <c r="J47" s="10"/>
      <c r="K47" s="12"/>
      <c r="L47" s="213">
        <v>420.82639800000004</v>
      </c>
      <c r="M47" s="213"/>
      <c r="N47" s="216"/>
      <c r="O47" s="25">
        <f t="shared" si="18"/>
        <v>0</v>
      </c>
      <c r="P47" s="25">
        <f t="shared" si="19"/>
        <v>0</v>
      </c>
      <c r="Q47" s="25">
        <f t="shared" si="20"/>
        <v>0</v>
      </c>
      <c r="R47" s="26">
        <f t="shared" si="21"/>
        <v>0</v>
      </c>
      <c r="S47" s="27">
        <f t="shared" si="22"/>
        <v>0</v>
      </c>
      <c r="T47" s="123">
        <f t="shared" si="23"/>
        <v>0</v>
      </c>
      <c r="U47" s="219"/>
    </row>
    <row r="48" spans="2:22" hidden="1">
      <c r="B48" s="594" t="s">
        <v>1841</v>
      </c>
      <c r="C48" s="108"/>
      <c r="D48" s="14"/>
      <c r="E48" s="14"/>
      <c r="F48" s="14"/>
      <c r="G48" s="8"/>
      <c r="H48" s="24">
        <f t="shared" si="17"/>
        <v>0</v>
      </c>
      <c r="I48" s="464">
        <f t="shared" si="0"/>
        <v>25.971342000000003</v>
      </c>
      <c r="J48" s="10"/>
      <c r="K48" s="12"/>
      <c r="L48" s="214">
        <v>25.971342000000003</v>
      </c>
      <c r="M48" s="213"/>
      <c r="N48" s="216"/>
      <c r="O48" s="25">
        <f t="shared" si="18"/>
        <v>0</v>
      </c>
      <c r="P48" s="25">
        <f t="shared" si="19"/>
        <v>0</v>
      </c>
      <c r="Q48" s="25">
        <f t="shared" si="20"/>
        <v>0</v>
      </c>
      <c r="R48" s="26">
        <f t="shared" si="21"/>
        <v>0</v>
      </c>
      <c r="S48" s="27">
        <f t="shared" si="22"/>
        <v>0</v>
      </c>
      <c r="T48" s="123">
        <f t="shared" si="23"/>
        <v>0</v>
      </c>
      <c r="U48" s="219"/>
    </row>
    <row r="49" spans="2:22" hidden="1">
      <c r="B49" s="594" t="s">
        <v>1842</v>
      </c>
      <c r="C49" s="108"/>
      <c r="D49" s="14"/>
      <c r="E49" s="14"/>
      <c r="F49" s="14"/>
      <c r="G49" s="8"/>
      <c r="H49" s="24">
        <f t="shared" si="17"/>
        <v>0</v>
      </c>
      <c r="I49" s="464">
        <f t="shared" si="0"/>
        <v>27.434226000000002</v>
      </c>
      <c r="J49" s="10"/>
      <c r="K49" s="12"/>
      <c r="L49" s="213">
        <v>27.434226000000002</v>
      </c>
      <c r="M49" s="213"/>
      <c r="N49" s="216"/>
      <c r="O49" s="25">
        <f t="shared" si="18"/>
        <v>0</v>
      </c>
      <c r="P49" s="25">
        <f t="shared" si="19"/>
        <v>0</v>
      </c>
      <c r="Q49" s="25">
        <f t="shared" si="20"/>
        <v>0</v>
      </c>
      <c r="R49" s="26">
        <f t="shared" si="21"/>
        <v>0</v>
      </c>
      <c r="S49" s="27">
        <f t="shared" si="22"/>
        <v>0</v>
      </c>
      <c r="T49" s="123">
        <f t="shared" si="23"/>
        <v>0</v>
      </c>
      <c r="U49" s="219"/>
    </row>
    <row r="50" spans="2:22" hidden="1">
      <c r="B50" s="594" t="s">
        <v>1843</v>
      </c>
      <c r="C50" s="108"/>
      <c r="D50" s="14"/>
      <c r="E50" s="14"/>
      <c r="F50" s="14"/>
      <c r="G50" s="8"/>
      <c r="H50" s="24">
        <f t="shared" si="17"/>
        <v>0</v>
      </c>
      <c r="I50" s="464">
        <f t="shared" si="0"/>
        <v>109.273314</v>
      </c>
      <c r="J50" s="10"/>
      <c r="K50" s="12"/>
      <c r="L50" s="213">
        <v>109.273314</v>
      </c>
      <c r="M50" s="213"/>
      <c r="N50" s="216"/>
      <c r="O50" s="25">
        <f t="shared" si="18"/>
        <v>0</v>
      </c>
      <c r="P50" s="25">
        <f t="shared" si="19"/>
        <v>0</v>
      </c>
      <c r="Q50" s="25">
        <f t="shared" si="20"/>
        <v>0</v>
      </c>
      <c r="R50" s="26">
        <f t="shared" si="21"/>
        <v>0</v>
      </c>
      <c r="S50" s="27">
        <f t="shared" si="22"/>
        <v>0</v>
      </c>
      <c r="T50" s="123">
        <f t="shared" si="23"/>
        <v>0</v>
      </c>
      <c r="U50" s="219"/>
    </row>
    <row r="51" spans="2:22" hidden="1">
      <c r="B51" s="594" t="s">
        <v>1844</v>
      </c>
      <c r="C51" s="108"/>
      <c r="D51" s="14"/>
      <c r="E51" s="14"/>
      <c r="F51" s="14"/>
      <c r="G51" s="8"/>
      <c r="H51" s="24">
        <f t="shared" si="17"/>
        <v>0</v>
      </c>
      <c r="I51" s="464">
        <f t="shared" si="0"/>
        <v>193.11098999999999</v>
      </c>
      <c r="J51" s="10"/>
      <c r="K51" s="12"/>
      <c r="L51" s="213">
        <v>193.11098999999999</v>
      </c>
      <c r="M51" s="213">
        <v>109.20944489795919</v>
      </c>
      <c r="N51" s="216"/>
      <c r="O51" s="25">
        <f t="shared" si="18"/>
        <v>0</v>
      </c>
      <c r="P51" s="25">
        <f t="shared" si="19"/>
        <v>0</v>
      </c>
      <c r="Q51" s="25">
        <f t="shared" si="20"/>
        <v>0</v>
      </c>
      <c r="R51" s="26">
        <f t="shared" si="21"/>
        <v>0</v>
      </c>
      <c r="S51" s="27">
        <f t="shared" si="22"/>
        <v>0</v>
      </c>
      <c r="T51" s="123">
        <f t="shared" si="23"/>
        <v>0</v>
      </c>
      <c r="U51" s="436"/>
    </row>
    <row r="52" spans="2:22">
      <c r="B52" s="594" t="s">
        <v>1845</v>
      </c>
      <c r="C52" s="266"/>
      <c r="D52" s="141"/>
      <c r="E52" s="141"/>
      <c r="F52" s="141"/>
      <c r="G52" s="142">
        <v>36</v>
      </c>
      <c r="H52" s="135">
        <f t="shared" si="17"/>
        <v>36</v>
      </c>
      <c r="I52" s="464">
        <v>151.26</v>
      </c>
      <c r="J52" s="10"/>
      <c r="K52" s="12"/>
      <c r="L52" s="214">
        <v>126.25101000000001</v>
      </c>
      <c r="M52" s="214">
        <v>72.851299999999995</v>
      </c>
      <c r="N52" s="216"/>
      <c r="O52" s="25">
        <f t="shared" si="18"/>
        <v>0</v>
      </c>
      <c r="P52" s="25">
        <f t="shared" si="19"/>
        <v>0</v>
      </c>
      <c r="Q52" s="25">
        <f t="shared" si="20"/>
        <v>0</v>
      </c>
      <c r="R52" s="26">
        <f t="shared" si="21"/>
        <v>0</v>
      </c>
      <c r="S52" s="27">
        <f t="shared" si="22"/>
        <v>5445.36</v>
      </c>
      <c r="T52" s="123">
        <f t="shared" si="23"/>
        <v>5445.36</v>
      </c>
      <c r="U52" s="436"/>
      <c r="V52" s="596">
        <f>I52/L52-1</f>
        <v>0.19808942518558847</v>
      </c>
    </row>
    <row r="53" spans="2:22" hidden="1">
      <c r="B53" s="594" t="s">
        <v>1846</v>
      </c>
      <c r="C53" s="108"/>
      <c r="D53" s="14"/>
      <c r="E53" s="14"/>
      <c r="F53" s="14"/>
      <c r="G53" s="8"/>
      <c r="H53" s="24">
        <f t="shared" si="17"/>
        <v>0</v>
      </c>
      <c r="I53" s="464">
        <f t="shared" si="0"/>
        <v>631.90407600000003</v>
      </c>
      <c r="J53" s="10"/>
      <c r="K53" s="12"/>
      <c r="L53" s="214">
        <v>631.90407600000003</v>
      </c>
      <c r="M53" s="214">
        <v>23.419632653061228</v>
      </c>
      <c r="N53" s="216"/>
      <c r="O53" s="25">
        <f t="shared" si="18"/>
        <v>0</v>
      </c>
      <c r="P53" s="25">
        <f t="shared" si="19"/>
        <v>0</v>
      </c>
      <c r="Q53" s="25">
        <f t="shared" si="20"/>
        <v>0</v>
      </c>
      <c r="R53" s="26">
        <f t="shared" si="21"/>
        <v>0</v>
      </c>
      <c r="S53" s="27">
        <f t="shared" si="22"/>
        <v>0</v>
      </c>
      <c r="T53" s="123">
        <f t="shared" si="23"/>
        <v>0</v>
      </c>
      <c r="U53" s="436"/>
    </row>
    <row r="54" spans="2:22" hidden="1">
      <c r="B54" s="594" t="s">
        <v>1847</v>
      </c>
      <c r="C54" s="108"/>
      <c r="D54" s="14"/>
      <c r="E54" s="14"/>
      <c r="F54" s="14"/>
      <c r="G54" s="8"/>
      <c r="H54" s="24">
        <f t="shared" si="17"/>
        <v>0</v>
      </c>
      <c r="I54" s="464">
        <f t="shared" si="0"/>
        <v>23.313426</v>
      </c>
      <c r="J54" s="10"/>
      <c r="K54" s="12"/>
      <c r="L54" s="214">
        <v>23.313426</v>
      </c>
      <c r="M54" s="213"/>
      <c r="N54" s="216"/>
      <c r="O54" s="25">
        <f t="shared" si="18"/>
        <v>0</v>
      </c>
      <c r="P54" s="25">
        <f t="shared" si="19"/>
        <v>0</v>
      </c>
      <c r="Q54" s="25">
        <f t="shared" si="20"/>
        <v>0</v>
      </c>
      <c r="R54" s="26">
        <f t="shared" si="21"/>
        <v>0</v>
      </c>
      <c r="S54" s="27">
        <f t="shared" si="22"/>
        <v>0</v>
      </c>
      <c r="T54" s="123">
        <f t="shared" si="23"/>
        <v>0</v>
      </c>
    </row>
    <row r="55" spans="2:22" hidden="1">
      <c r="B55" s="594" t="s">
        <v>1848</v>
      </c>
      <c r="C55" s="108"/>
      <c r="D55" s="14"/>
      <c r="E55" s="14"/>
      <c r="F55" s="14"/>
      <c r="G55" s="8"/>
      <c r="H55" s="24">
        <f t="shared" si="17"/>
        <v>0</v>
      </c>
      <c r="I55" s="464">
        <f t="shared" si="0"/>
        <v>284.54940000000005</v>
      </c>
      <c r="J55" s="10"/>
      <c r="K55" s="12"/>
      <c r="L55" s="214">
        <v>284.54940000000005</v>
      </c>
      <c r="M55" s="214">
        <v>216.51102040816326</v>
      </c>
      <c r="N55" s="216"/>
      <c r="O55" s="25">
        <f t="shared" si="18"/>
        <v>0</v>
      </c>
      <c r="P55" s="25">
        <f t="shared" si="19"/>
        <v>0</v>
      </c>
      <c r="Q55" s="25">
        <f t="shared" si="20"/>
        <v>0</v>
      </c>
      <c r="R55" s="26">
        <f t="shared" si="21"/>
        <v>0</v>
      </c>
      <c r="S55" s="27">
        <f t="shared" si="22"/>
        <v>0</v>
      </c>
      <c r="T55" s="123">
        <f t="shared" si="23"/>
        <v>0</v>
      </c>
      <c r="U55" s="436"/>
    </row>
    <row r="56" spans="2:22">
      <c r="B56" s="594" t="s">
        <v>1849</v>
      </c>
      <c r="C56" s="266"/>
      <c r="D56" s="141"/>
      <c r="E56" s="141"/>
      <c r="F56" s="141">
        <v>120</v>
      </c>
      <c r="G56" s="142">
        <v>120</v>
      </c>
      <c r="H56" s="135">
        <f t="shared" si="17"/>
        <v>240</v>
      </c>
      <c r="I56" s="464">
        <v>48.63</v>
      </c>
      <c r="J56" s="10"/>
      <c r="K56" s="12"/>
      <c r="L56" s="214">
        <v>44.675999999999995</v>
      </c>
      <c r="M56" s="213"/>
      <c r="N56" s="216"/>
      <c r="O56" s="25">
        <f t="shared" si="18"/>
        <v>0</v>
      </c>
      <c r="P56" s="25">
        <f t="shared" si="19"/>
        <v>0</v>
      </c>
      <c r="Q56" s="25">
        <f t="shared" si="20"/>
        <v>0</v>
      </c>
      <c r="R56" s="26">
        <f t="shared" si="21"/>
        <v>5835.6</v>
      </c>
      <c r="S56" s="27">
        <f t="shared" si="22"/>
        <v>5835.6</v>
      </c>
      <c r="T56" s="123">
        <f t="shared" si="23"/>
        <v>11671.2</v>
      </c>
      <c r="V56" s="595">
        <f t="shared" ref="V56:V58" si="25">I56/L56-1</f>
        <v>8.8503894708568565E-2</v>
      </c>
    </row>
    <row r="57" spans="2:22">
      <c r="B57" s="594" t="s">
        <v>65</v>
      </c>
      <c r="C57" s="266"/>
      <c r="D57" s="141">
        <v>240</v>
      </c>
      <c r="E57" s="141">
        <v>36</v>
      </c>
      <c r="F57" s="141"/>
      <c r="G57" s="142"/>
      <c r="H57" s="135">
        <f t="shared" si="17"/>
        <v>276</v>
      </c>
      <c r="I57" s="464">
        <v>22.34</v>
      </c>
      <c r="J57" s="10"/>
      <c r="K57" s="12"/>
      <c r="L57" s="214">
        <v>21.0426</v>
      </c>
      <c r="M57" s="213"/>
      <c r="N57" s="216"/>
      <c r="O57" s="25">
        <f t="shared" si="18"/>
        <v>0</v>
      </c>
      <c r="P57" s="25">
        <f t="shared" si="19"/>
        <v>5361.6</v>
      </c>
      <c r="Q57" s="25">
        <f t="shared" si="20"/>
        <v>804.24</v>
      </c>
      <c r="R57" s="26">
        <f t="shared" si="21"/>
        <v>0</v>
      </c>
      <c r="S57" s="27">
        <f t="shared" si="22"/>
        <v>0</v>
      </c>
      <c r="T57" s="123">
        <f t="shared" si="23"/>
        <v>6165.84</v>
      </c>
      <c r="V57" s="595">
        <f t="shared" si="25"/>
        <v>6.1655879026355942E-2</v>
      </c>
    </row>
    <row r="58" spans="2:22">
      <c r="B58" s="594" t="s">
        <v>1850</v>
      </c>
      <c r="C58" s="266"/>
      <c r="D58" s="141">
        <v>120</v>
      </c>
      <c r="E58" s="141"/>
      <c r="F58" s="141">
        <v>120</v>
      </c>
      <c r="G58" s="142"/>
      <c r="H58" s="135">
        <f t="shared" si="17"/>
        <v>240</v>
      </c>
      <c r="I58" s="464">
        <v>15.21</v>
      </c>
      <c r="J58" s="10"/>
      <c r="K58" s="12"/>
      <c r="L58" s="214">
        <v>14.178000000000001</v>
      </c>
      <c r="M58" s="213"/>
      <c r="N58" s="216"/>
      <c r="O58" s="25">
        <f t="shared" si="18"/>
        <v>0</v>
      </c>
      <c r="P58" s="25">
        <f t="shared" si="19"/>
        <v>1825.2</v>
      </c>
      <c r="Q58" s="25">
        <f t="shared" si="20"/>
        <v>0</v>
      </c>
      <c r="R58" s="26">
        <f t="shared" si="21"/>
        <v>1825.2</v>
      </c>
      <c r="S58" s="27">
        <f t="shared" si="22"/>
        <v>0</v>
      </c>
      <c r="T58" s="123">
        <f t="shared" si="23"/>
        <v>3650.4</v>
      </c>
      <c r="V58" s="595">
        <f t="shared" si="25"/>
        <v>7.2788827761320452E-2</v>
      </c>
    </row>
    <row r="59" spans="2:22" hidden="1">
      <c r="B59" s="594" t="s">
        <v>1851</v>
      </c>
      <c r="C59" s="108"/>
      <c r="D59" s="14"/>
      <c r="E59" s="14"/>
      <c r="F59" s="14"/>
      <c r="G59" s="8"/>
      <c r="H59" s="24">
        <f t="shared" si="17"/>
        <v>0</v>
      </c>
      <c r="I59" s="464">
        <f t="shared" si="0"/>
        <v>22.654200000000003</v>
      </c>
      <c r="J59" s="10"/>
      <c r="K59" s="12"/>
      <c r="L59" s="214">
        <v>22.654200000000003</v>
      </c>
      <c r="M59" s="213"/>
      <c r="N59" s="216"/>
      <c r="O59" s="25">
        <f t="shared" si="18"/>
        <v>0</v>
      </c>
      <c r="P59" s="25">
        <f t="shared" si="19"/>
        <v>0</v>
      </c>
      <c r="Q59" s="25">
        <f t="shared" si="20"/>
        <v>0</v>
      </c>
      <c r="R59" s="26">
        <f t="shared" si="21"/>
        <v>0</v>
      </c>
      <c r="S59" s="27">
        <f t="shared" si="22"/>
        <v>0</v>
      </c>
      <c r="T59" s="123">
        <f t="shared" si="23"/>
        <v>0</v>
      </c>
    </row>
    <row r="60" spans="2:22">
      <c r="B60" s="594" t="s">
        <v>1852</v>
      </c>
      <c r="C60" s="266"/>
      <c r="D60" s="141"/>
      <c r="E60" s="141"/>
      <c r="F60" s="141"/>
      <c r="G60" s="142">
        <v>24</v>
      </c>
      <c r="H60" s="135">
        <f t="shared" si="17"/>
        <v>24</v>
      </c>
      <c r="I60" s="464">
        <v>9.11</v>
      </c>
      <c r="J60" s="10"/>
      <c r="K60" s="12"/>
      <c r="L60" s="214">
        <v>8.4252000000000002</v>
      </c>
      <c r="M60" s="213"/>
      <c r="N60" s="216"/>
      <c r="O60" s="25">
        <f t="shared" si="18"/>
        <v>0</v>
      </c>
      <c r="P60" s="25">
        <f t="shared" si="19"/>
        <v>0</v>
      </c>
      <c r="Q60" s="25">
        <f t="shared" si="20"/>
        <v>0</v>
      </c>
      <c r="R60" s="26">
        <f t="shared" si="21"/>
        <v>0</v>
      </c>
      <c r="S60" s="27">
        <f t="shared" si="22"/>
        <v>218.64</v>
      </c>
      <c r="T60" s="123">
        <f t="shared" si="23"/>
        <v>218.64</v>
      </c>
      <c r="V60" s="595">
        <f t="shared" ref="V60:V64" si="26">I60/L60-1</f>
        <v>8.127996961496442E-2</v>
      </c>
    </row>
    <row r="61" spans="2:22">
      <c r="B61" s="594" t="s">
        <v>1853</v>
      </c>
      <c r="C61" s="266"/>
      <c r="D61" s="141"/>
      <c r="E61" s="141"/>
      <c r="F61" s="141">
        <v>10</v>
      </c>
      <c r="G61" s="142">
        <v>100</v>
      </c>
      <c r="H61" s="135">
        <f t="shared" si="17"/>
        <v>110</v>
      </c>
      <c r="I61" s="464">
        <v>92.07</v>
      </c>
      <c r="J61" s="10"/>
      <c r="K61" s="12"/>
      <c r="L61" s="214">
        <v>88.359223800000009</v>
      </c>
      <c r="M61" s="213"/>
      <c r="N61" s="216"/>
      <c r="O61" s="25">
        <f t="shared" si="18"/>
        <v>0</v>
      </c>
      <c r="P61" s="25">
        <f t="shared" si="19"/>
        <v>0</v>
      </c>
      <c r="Q61" s="25">
        <f t="shared" si="20"/>
        <v>0</v>
      </c>
      <c r="R61" s="26">
        <f t="shared" si="21"/>
        <v>920.69999999999993</v>
      </c>
      <c r="S61" s="27">
        <f t="shared" si="22"/>
        <v>9207</v>
      </c>
      <c r="T61" s="123">
        <f t="shared" si="23"/>
        <v>10127.700000000001</v>
      </c>
      <c r="V61" s="595">
        <f t="shared" si="26"/>
        <v>4.199647801795181E-2</v>
      </c>
    </row>
    <row r="62" spans="2:22">
      <c r="B62" s="594" t="s">
        <v>1854</v>
      </c>
      <c r="C62" s="266"/>
      <c r="D62" s="141">
        <v>360</v>
      </c>
      <c r="E62" s="141">
        <v>48</v>
      </c>
      <c r="F62" s="141">
        <v>360</v>
      </c>
      <c r="G62" s="142">
        <v>2400</v>
      </c>
      <c r="H62" s="135">
        <f t="shared" si="17"/>
        <v>3168</v>
      </c>
      <c r="I62" s="464">
        <v>12.38</v>
      </c>
      <c r="J62" s="10"/>
      <c r="K62" s="12"/>
      <c r="L62" s="214">
        <v>12.238776000000001</v>
      </c>
      <c r="M62" s="213"/>
      <c r="N62" s="216"/>
      <c r="O62" s="25">
        <f t="shared" si="18"/>
        <v>0</v>
      </c>
      <c r="P62" s="25">
        <f t="shared" si="19"/>
        <v>4456.8</v>
      </c>
      <c r="Q62" s="25">
        <f t="shared" si="20"/>
        <v>594.24</v>
      </c>
      <c r="R62" s="26">
        <f t="shared" si="21"/>
        <v>4456.8</v>
      </c>
      <c r="S62" s="27">
        <f t="shared" si="22"/>
        <v>29712.000000000004</v>
      </c>
      <c r="T62" s="123">
        <f t="shared" si="23"/>
        <v>39219.840000000004</v>
      </c>
      <c r="V62" s="595">
        <f t="shared" si="26"/>
        <v>1.1539062402972311E-2</v>
      </c>
    </row>
    <row r="63" spans="2:22">
      <c r="B63" s="594" t="s">
        <v>1855</v>
      </c>
      <c r="C63" s="266"/>
      <c r="D63" s="141">
        <v>240</v>
      </c>
      <c r="E63" s="141"/>
      <c r="F63" s="141"/>
      <c r="G63" s="142"/>
      <c r="H63" s="135">
        <f t="shared" si="17"/>
        <v>240</v>
      </c>
      <c r="I63" s="464">
        <v>59.78</v>
      </c>
      <c r="J63" s="10"/>
      <c r="K63" s="12"/>
      <c r="L63" s="214">
        <v>53.601306000000001</v>
      </c>
      <c r="M63" s="213"/>
      <c r="N63" s="216"/>
      <c r="O63" s="25">
        <f t="shared" si="18"/>
        <v>0</v>
      </c>
      <c r="P63" s="25">
        <f t="shared" si="19"/>
        <v>14347.2</v>
      </c>
      <c r="Q63" s="25">
        <f t="shared" si="20"/>
        <v>0</v>
      </c>
      <c r="R63" s="26">
        <f t="shared" si="21"/>
        <v>0</v>
      </c>
      <c r="S63" s="27">
        <f t="shared" si="22"/>
        <v>0</v>
      </c>
      <c r="T63" s="123">
        <f t="shared" si="23"/>
        <v>14347.2</v>
      </c>
      <c r="V63" s="595">
        <f t="shared" si="26"/>
        <v>0.11527133312759208</v>
      </c>
    </row>
    <row r="64" spans="2:22">
      <c r="B64" s="594" t="s">
        <v>1856</v>
      </c>
      <c r="C64" s="266"/>
      <c r="D64" s="141"/>
      <c r="E64" s="141"/>
      <c r="F64" s="141">
        <v>180</v>
      </c>
      <c r="G64" s="142">
        <v>720</v>
      </c>
      <c r="H64" s="135">
        <f t="shared" si="17"/>
        <v>900</v>
      </c>
      <c r="I64" s="464">
        <v>42.42</v>
      </c>
      <c r="J64" s="10"/>
      <c r="K64" s="12"/>
      <c r="L64" s="214">
        <v>39.662700000000001</v>
      </c>
      <c r="M64" s="213"/>
      <c r="N64" s="216"/>
      <c r="O64" s="25">
        <f t="shared" si="18"/>
        <v>0</v>
      </c>
      <c r="P64" s="25">
        <f t="shared" si="19"/>
        <v>0</v>
      </c>
      <c r="Q64" s="25">
        <f t="shared" si="20"/>
        <v>0</v>
      </c>
      <c r="R64" s="26">
        <f t="shared" si="21"/>
        <v>7635.6</v>
      </c>
      <c r="S64" s="27">
        <f t="shared" si="22"/>
        <v>30542.400000000001</v>
      </c>
      <c r="T64" s="123">
        <f t="shared" si="23"/>
        <v>38178</v>
      </c>
      <c r="V64" s="595">
        <f t="shared" si="26"/>
        <v>6.9518716577540163E-2</v>
      </c>
    </row>
    <row r="65" spans="2:22" hidden="1">
      <c r="B65" s="594" t="s">
        <v>1857</v>
      </c>
      <c r="C65" s="108"/>
      <c r="D65" s="14"/>
      <c r="E65" s="14"/>
      <c r="F65" s="14"/>
      <c r="G65" s="8"/>
      <c r="H65" s="24">
        <f t="shared" si="17"/>
        <v>0</v>
      </c>
      <c r="I65" s="464">
        <f>(L65-(L65*J65))/10</f>
        <v>0.34305660000000004</v>
      </c>
      <c r="J65" s="10"/>
      <c r="K65" s="12"/>
      <c r="L65" s="214">
        <v>3.4305660000000002</v>
      </c>
      <c r="M65" s="213"/>
      <c r="N65" s="216"/>
      <c r="O65" s="25">
        <f t="shared" si="18"/>
        <v>0</v>
      </c>
      <c r="P65" s="25">
        <f t="shared" si="19"/>
        <v>0</v>
      </c>
      <c r="Q65" s="25">
        <f t="shared" si="20"/>
        <v>0</v>
      </c>
      <c r="R65" s="26">
        <f t="shared" si="21"/>
        <v>0</v>
      </c>
      <c r="S65" s="27">
        <f t="shared" si="22"/>
        <v>0</v>
      </c>
      <c r="T65" s="123">
        <f t="shared" si="23"/>
        <v>0</v>
      </c>
    </row>
    <row r="66" spans="2:22" hidden="1">
      <c r="B66" s="594" t="s">
        <v>1858</v>
      </c>
      <c r="C66" s="108"/>
      <c r="D66" s="14"/>
      <c r="E66" s="14"/>
      <c r="F66" s="14"/>
      <c r="G66" s="8"/>
      <c r="H66" s="24">
        <f t="shared" si="17"/>
        <v>0</v>
      </c>
      <c r="I66" s="464">
        <f t="shared" si="0"/>
        <v>225.964068</v>
      </c>
      <c r="J66" s="10"/>
      <c r="K66" s="12"/>
      <c r="L66" s="214">
        <v>225.964068</v>
      </c>
      <c r="M66" s="213"/>
      <c r="N66" s="216"/>
      <c r="O66" s="25">
        <f t="shared" si="18"/>
        <v>0</v>
      </c>
      <c r="P66" s="25">
        <f t="shared" si="19"/>
        <v>0</v>
      </c>
      <c r="Q66" s="25">
        <f t="shared" si="20"/>
        <v>0</v>
      </c>
      <c r="R66" s="26">
        <f t="shared" si="21"/>
        <v>0</v>
      </c>
      <c r="S66" s="27">
        <f t="shared" si="22"/>
        <v>0</v>
      </c>
      <c r="T66" s="123">
        <f t="shared" si="23"/>
        <v>0</v>
      </c>
    </row>
    <row r="67" spans="2:22" hidden="1">
      <c r="B67" s="594" t="s">
        <v>1859</v>
      </c>
      <c r="C67" s="108"/>
      <c r="D67" s="14"/>
      <c r="E67" s="14"/>
      <c r="F67" s="14"/>
      <c r="G67" s="8"/>
      <c r="H67" s="24">
        <f t="shared" ref="H67:H98" si="27">SUM(C67:G67)</f>
        <v>0</v>
      </c>
      <c r="I67" s="464">
        <f t="shared" si="0"/>
        <v>117.88578600000001</v>
      </c>
      <c r="J67" s="10"/>
      <c r="K67" s="12"/>
      <c r="L67" s="214">
        <v>117.88578600000001</v>
      </c>
      <c r="M67" s="213"/>
      <c r="N67" s="216"/>
      <c r="O67" s="25">
        <f t="shared" ref="O67:O98" si="28">I67*C67</f>
        <v>0</v>
      </c>
      <c r="P67" s="25">
        <f t="shared" ref="P67:P98" si="29">I67*D67</f>
        <v>0</v>
      </c>
      <c r="Q67" s="25">
        <f t="shared" ref="Q67:Q98" si="30">I67*E67</f>
        <v>0</v>
      </c>
      <c r="R67" s="26">
        <f t="shared" ref="R67:R98" si="31">I67*F67</f>
        <v>0</v>
      </c>
      <c r="S67" s="27">
        <f t="shared" ref="S67:S98" si="32">I67*G67</f>
        <v>0</v>
      </c>
      <c r="T67" s="123">
        <f t="shared" ref="T67:T98" si="33">SUM(O67:S67)</f>
        <v>0</v>
      </c>
    </row>
    <row r="68" spans="2:22" hidden="1">
      <c r="B68" s="594" t="s">
        <v>1860</v>
      </c>
      <c r="C68" s="108"/>
      <c r="D68" s="14"/>
      <c r="E68" s="14"/>
      <c r="F68" s="14"/>
      <c r="G68" s="8"/>
      <c r="H68" s="24">
        <f t="shared" si="27"/>
        <v>0</v>
      </c>
      <c r="I68" s="464">
        <f t="shared" si="0"/>
        <v>17.091018000000002</v>
      </c>
      <c r="J68" s="10"/>
      <c r="K68" s="12"/>
      <c r="L68" s="214">
        <v>17.091018000000002</v>
      </c>
      <c r="M68" s="213"/>
      <c r="N68" s="216"/>
      <c r="O68" s="25">
        <f t="shared" si="28"/>
        <v>0</v>
      </c>
      <c r="P68" s="25">
        <f t="shared" si="29"/>
        <v>0</v>
      </c>
      <c r="Q68" s="25">
        <f t="shared" si="30"/>
        <v>0</v>
      </c>
      <c r="R68" s="26">
        <f t="shared" si="31"/>
        <v>0</v>
      </c>
      <c r="S68" s="27">
        <f t="shared" si="32"/>
        <v>0</v>
      </c>
      <c r="T68" s="123">
        <f t="shared" si="33"/>
        <v>0</v>
      </c>
    </row>
    <row r="69" spans="2:22">
      <c r="B69" s="594" t="s">
        <v>1861</v>
      </c>
      <c r="C69" s="266"/>
      <c r="D69" s="141">
        <v>400</v>
      </c>
      <c r="E69" s="141">
        <v>24</v>
      </c>
      <c r="F69" s="141">
        <v>12</v>
      </c>
      <c r="G69" s="142">
        <v>600</v>
      </c>
      <c r="H69" s="135">
        <f t="shared" si="27"/>
        <v>1036</v>
      </c>
      <c r="I69" s="464">
        <v>40.43</v>
      </c>
      <c r="J69" s="10"/>
      <c r="K69" s="12"/>
      <c r="L69" s="214">
        <v>35.531598000000002</v>
      </c>
      <c r="M69" s="213"/>
      <c r="N69" s="216"/>
      <c r="O69" s="25">
        <f t="shared" si="28"/>
        <v>0</v>
      </c>
      <c r="P69" s="25">
        <f t="shared" si="29"/>
        <v>16172</v>
      </c>
      <c r="Q69" s="25">
        <f t="shared" si="30"/>
        <v>970.31999999999994</v>
      </c>
      <c r="R69" s="26">
        <f t="shared" si="31"/>
        <v>485.15999999999997</v>
      </c>
      <c r="S69" s="27">
        <f t="shared" si="32"/>
        <v>24258</v>
      </c>
      <c r="T69" s="123">
        <f t="shared" si="33"/>
        <v>41885.479999999996</v>
      </c>
      <c r="V69" s="595">
        <f t="shared" ref="V69:V70" si="34">I69/L69-1</f>
        <v>0.13786044748114046</v>
      </c>
    </row>
    <row r="70" spans="2:22">
      <c r="B70" s="594" t="s">
        <v>1862</v>
      </c>
      <c r="C70" s="266"/>
      <c r="D70" s="141">
        <v>500</v>
      </c>
      <c r="E70" s="141"/>
      <c r="F70" s="141">
        <v>24</v>
      </c>
      <c r="G70" s="142">
        <v>360</v>
      </c>
      <c r="H70" s="135">
        <f t="shared" si="27"/>
        <v>884</v>
      </c>
      <c r="I70" s="464">
        <v>20.88</v>
      </c>
      <c r="J70" s="10"/>
      <c r="K70" s="12"/>
      <c r="L70" s="214">
        <v>19.851953999999999</v>
      </c>
      <c r="M70" s="213"/>
      <c r="N70" s="216"/>
      <c r="O70" s="25">
        <f t="shared" si="28"/>
        <v>0</v>
      </c>
      <c r="P70" s="25">
        <f t="shared" si="29"/>
        <v>10440</v>
      </c>
      <c r="Q70" s="25">
        <f t="shared" si="30"/>
        <v>0</v>
      </c>
      <c r="R70" s="26">
        <f t="shared" si="31"/>
        <v>501.12</v>
      </c>
      <c r="S70" s="27">
        <f t="shared" si="32"/>
        <v>7516.7999999999993</v>
      </c>
      <c r="T70" s="123">
        <f t="shared" si="33"/>
        <v>18457.919999999998</v>
      </c>
      <c r="V70" s="595">
        <f t="shared" si="34"/>
        <v>5.1785632789598468E-2</v>
      </c>
    </row>
    <row r="71" spans="2:22" hidden="1">
      <c r="B71" s="594" t="s">
        <v>1863</v>
      </c>
      <c r="C71" s="108"/>
      <c r="D71" s="14"/>
      <c r="E71" s="14"/>
      <c r="F71" s="14"/>
      <c r="G71" s="8"/>
      <c r="H71" s="24">
        <f t="shared" si="27"/>
        <v>0</v>
      </c>
      <c r="I71" s="464">
        <f t="shared" ref="I71:I110" si="35">L71-(L71*J71)</f>
        <v>1081.3597320000001</v>
      </c>
      <c r="J71" s="10"/>
      <c r="K71" s="12"/>
      <c r="L71" s="214">
        <v>1081.3597320000001</v>
      </c>
      <c r="M71" s="214">
        <v>257.45357142857142</v>
      </c>
      <c r="N71" s="216"/>
      <c r="O71" s="25">
        <f t="shared" si="28"/>
        <v>0</v>
      </c>
      <c r="P71" s="25">
        <f t="shared" si="29"/>
        <v>0</v>
      </c>
      <c r="Q71" s="25">
        <f t="shared" si="30"/>
        <v>0</v>
      </c>
      <c r="R71" s="26">
        <f t="shared" si="31"/>
        <v>0</v>
      </c>
      <c r="S71" s="27">
        <f t="shared" si="32"/>
        <v>0</v>
      </c>
      <c r="T71" s="123">
        <f t="shared" si="33"/>
        <v>0</v>
      </c>
      <c r="U71" s="436"/>
    </row>
    <row r="72" spans="2:22" hidden="1">
      <c r="B72" s="594" t="s">
        <v>1864</v>
      </c>
      <c r="C72" s="108"/>
      <c r="D72" s="14"/>
      <c r="E72" s="14"/>
      <c r="F72" s="14"/>
      <c r="G72" s="8"/>
      <c r="H72" s="24">
        <f t="shared" si="27"/>
        <v>0</v>
      </c>
      <c r="I72" s="464">
        <f t="shared" si="35"/>
        <v>290.67093</v>
      </c>
      <c r="J72" s="10"/>
      <c r="K72" s="12"/>
      <c r="L72" s="214">
        <v>290.67093</v>
      </c>
      <c r="M72" s="213"/>
      <c r="N72" s="216"/>
      <c r="O72" s="25">
        <f t="shared" si="28"/>
        <v>0</v>
      </c>
      <c r="P72" s="25">
        <f t="shared" si="29"/>
        <v>0</v>
      </c>
      <c r="Q72" s="25">
        <f t="shared" si="30"/>
        <v>0</v>
      </c>
      <c r="R72" s="26">
        <f t="shared" si="31"/>
        <v>0</v>
      </c>
      <c r="S72" s="27">
        <f t="shared" si="32"/>
        <v>0</v>
      </c>
      <c r="T72" s="123">
        <f t="shared" si="33"/>
        <v>0</v>
      </c>
    </row>
    <row r="73" spans="2:22" hidden="1">
      <c r="B73" s="594" t="s">
        <v>1865</v>
      </c>
      <c r="C73" s="108"/>
      <c r="D73" s="14"/>
      <c r="E73" s="14"/>
      <c r="F73" s="14"/>
      <c r="G73" s="8"/>
      <c r="H73" s="24">
        <f t="shared" si="27"/>
        <v>0</v>
      </c>
      <c r="I73" s="464">
        <f t="shared" si="35"/>
        <v>6812.558070000001</v>
      </c>
      <c r="J73" s="10"/>
      <c r="K73" s="12"/>
      <c r="L73" s="214">
        <v>6812.558070000001</v>
      </c>
      <c r="M73" s="214">
        <v>189.97193877551021</v>
      </c>
      <c r="N73" s="216"/>
      <c r="O73" s="25">
        <f t="shared" si="28"/>
        <v>0</v>
      </c>
      <c r="P73" s="25">
        <f t="shared" si="29"/>
        <v>0</v>
      </c>
      <c r="Q73" s="25">
        <f t="shared" si="30"/>
        <v>0</v>
      </c>
      <c r="R73" s="26">
        <f t="shared" si="31"/>
        <v>0</v>
      </c>
      <c r="S73" s="27">
        <f t="shared" si="32"/>
        <v>0</v>
      </c>
      <c r="T73" s="123">
        <f t="shared" si="33"/>
        <v>0</v>
      </c>
      <c r="U73" s="436"/>
    </row>
    <row r="74" spans="2:22" hidden="1">
      <c r="B74" s="594" t="s">
        <v>1866</v>
      </c>
      <c r="C74" s="108"/>
      <c r="D74" s="14"/>
      <c r="E74" s="14"/>
      <c r="F74" s="14"/>
      <c r="G74" s="8"/>
      <c r="H74" s="24">
        <f t="shared" si="27"/>
        <v>0</v>
      </c>
      <c r="I74" s="464">
        <f t="shared" si="35"/>
        <v>1715.4869999999999</v>
      </c>
      <c r="J74" s="10"/>
      <c r="K74" s="12"/>
      <c r="L74" s="214">
        <v>1715.4869999999999</v>
      </c>
      <c r="M74" s="214">
        <v>429.86734693877548</v>
      </c>
      <c r="N74" s="216"/>
      <c r="O74" s="25">
        <f t="shared" si="28"/>
        <v>0</v>
      </c>
      <c r="P74" s="25">
        <f t="shared" si="29"/>
        <v>0</v>
      </c>
      <c r="Q74" s="25">
        <f t="shared" si="30"/>
        <v>0</v>
      </c>
      <c r="R74" s="26">
        <f t="shared" si="31"/>
        <v>0</v>
      </c>
      <c r="S74" s="27">
        <f t="shared" si="32"/>
        <v>0</v>
      </c>
      <c r="T74" s="123">
        <f t="shared" si="33"/>
        <v>0</v>
      </c>
      <c r="U74" s="436"/>
    </row>
    <row r="75" spans="2:22" hidden="1">
      <c r="B75" s="594" t="s">
        <v>1867</v>
      </c>
      <c r="C75" s="108"/>
      <c r="D75" s="14"/>
      <c r="E75" s="14"/>
      <c r="F75" s="14"/>
      <c r="G75" s="8"/>
      <c r="H75" s="24">
        <f t="shared" si="27"/>
        <v>0</v>
      </c>
      <c r="I75" s="464">
        <f t="shared" si="35"/>
        <v>220.33019999999999</v>
      </c>
      <c r="J75" s="10"/>
      <c r="K75" s="12"/>
      <c r="L75" s="214">
        <v>220.33019999999999</v>
      </c>
      <c r="M75" s="214">
        <v>37.102040816326529</v>
      </c>
      <c r="N75" s="216"/>
      <c r="O75" s="25">
        <f t="shared" si="28"/>
        <v>0</v>
      </c>
      <c r="P75" s="25">
        <f t="shared" si="29"/>
        <v>0</v>
      </c>
      <c r="Q75" s="25">
        <f t="shared" si="30"/>
        <v>0</v>
      </c>
      <c r="R75" s="26">
        <f t="shared" si="31"/>
        <v>0</v>
      </c>
      <c r="S75" s="27">
        <f t="shared" si="32"/>
        <v>0</v>
      </c>
      <c r="T75" s="123">
        <f t="shared" si="33"/>
        <v>0</v>
      </c>
      <c r="U75" s="436"/>
    </row>
    <row r="76" spans="2:22" hidden="1">
      <c r="B76" s="594" t="s">
        <v>1868</v>
      </c>
      <c r="C76" s="108"/>
      <c r="D76" s="14"/>
      <c r="E76" s="14"/>
      <c r="F76" s="14"/>
      <c r="G76" s="8"/>
      <c r="H76" s="24">
        <f t="shared" si="27"/>
        <v>0</v>
      </c>
      <c r="I76" s="464">
        <f t="shared" si="35"/>
        <v>25.969200000000001</v>
      </c>
      <c r="J76" s="10"/>
      <c r="K76" s="12"/>
      <c r="L76" s="214">
        <v>25.969200000000001</v>
      </c>
      <c r="M76" s="214">
        <v>39.163265306122454</v>
      </c>
      <c r="N76" s="216"/>
      <c r="O76" s="25">
        <f t="shared" si="28"/>
        <v>0</v>
      </c>
      <c r="P76" s="25">
        <f t="shared" si="29"/>
        <v>0</v>
      </c>
      <c r="Q76" s="25">
        <f t="shared" si="30"/>
        <v>0</v>
      </c>
      <c r="R76" s="26">
        <f t="shared" si="31"/>
        <v>0</v>
      </c>
      <c r="S76" s="27">
        <f t="shared" si="32"/>
        <v>0</v>
      </c>
      <c r="T76" s="123">
        <f t="shared" si="33"/>
        <v>0</v>
      </c>
      <c r="U76" s="436"/>
    </row>
    <row r="77" spans="2:22">
      <c r="B77" s="594" t="s">
        <v>1869</v>
      </c>
      <c r="C77" s="266"/>
      <c r="D77" s="141"/>
      <c r="E77" s="141">
        <v>120</v>
      </c>
      <c r="F77" s="141">
        <v>60</v>
      </c>
      <c r="G77" s="142"/>
      <c r="H77" s="135">
        <f t="shared" si="27"/>
        <v>180</v>
      </c>
      <c r="I77" s="464">
        <v>37.1</v>
      </c>
      <c r="J77" s="10"/>
      <c r="K77" s="12"/>
      <c r="L77" s="214">
        <v>35.802</v>
      </c>
      <c r="M77" s="213"/>
      <c r="N77" s="216"/>
      <c r="O77" s="25">
        <f t="shared" si="28"/>
        <v>0</v>
      </c>
      <c r="P77" s="25">
        <f t="shared" si="29"/>
        <v>0</v>
      </c>
      <c r="Q77" s="25">
        <f t="shared" si="30"/>
        <v>4452</v>
      </c>
      <c r="R77" s="26">
        <f t="shared" si="31"/>
        <v>2226</v>
      </c>
      <c r="S77" s="27">
        <f t="shared" si="32"/>
        <v>0</v>
      </c>
      <c r="T77" s="123">
        <f t="shared" si="33"/>
        <v>6678</v>
      </c>
      <c r="V77" s="595">
        <f>I77/L77-1</f>
        <v>3.6254957823585343E-2</v>
      </c>
    </row>
    <row r="78" spans="2:22" hidden="1">
      <c r="B78" s="594" t="s">
        <v>1870</v>
      </c>
      <c r="C78" s="108"/>
      <c r="D78" s="14"/>
      <c r="E78" s="14"/>
      <c r="F78" s="14"/>
      <c r="G78" s="8"/>
      <c r="H78" s="24">
        <f t="shared" si="27"/>
        <v>0</v>
      </c>
      <c r="I78" s="464">
        <f t="shared" si="35"/>
        <v>134.33808000000002</v>
      </c>
      <c r="J78" s="10"/>
      <c r="K78" s="12"/>
      <c r="L78" s="214">
        <v>134.33808000000002</v>
      </c>
      <c r="M78" s="213"/>
      <c r="N78" s="216"/>
      <c r="O78" s="25">
        <f t="shared" si="28"/>
        <v>0</v>
      </c>
      <c r="P78" s="25">
        <f t="shared" si="29"/>
        <v>0</v>
      </c>
      <c r="Q78" s="25">
        <f t="shared" si="30"/>
        <v>0</v>
      </c>
      <c r="R78" s="26">
        <f t="shared" si="31"/>
        <v>0</v>
      </c>
      <c r="S78" s="27">
        <f t="shared" si="32"/>
        <v>0</v>
      </c>
      <c r="T78" s="123">
        <f t="shared" si="33"/>
        <v>0</v>
      </c>
    </row>
    <row r="79" spans="2:22" hidden="1">
      <c r="B79" s="594" t="s">
        <v>1871</v>
      </c>
      <c r="C79" s="108"/>
      <c r="D79" s="14"/>
      <c r="E79" s="14"/>
      <c r="F79" s="14"/>
      <c r="G79" s="8"/>
      <c r="H79" s="24">
        <f t="shared" si="27"/>
        <v>0</v>
      </c>
      <c r="I79" s="464">
        <f t="shared" si="35"/>
        <v>281.39913000000001</v>
      </c>
      <c r="J79" s="10"/>
      <c r="K79" s="12"/>
      <c r="L79" s="214">
        <v>281.39913000000001</v>
      </c>
      <c r="M79" s="214">
        <v>171.08163265306123</v>
      </c>
      <c r="N79" s="216"/>
      <c r="O79" s="25">
        <f t="shared" si="28"/>
        <v>0</v>
      </c>
      <c r="P79" s="25">
        <f t="shared" si="29"/>
        <v>0</v>
      </c>
      <c r="Q79" s="25">
        <f t="shared" si="30"/>
        <v>0</v>
      </c>
      <c r="R79" s="26">
        <f t="shared" si="31"/>
        <v>0</v>
      </c>
      <c r="S79" s="27">
        <f t="shared" si="32"/>
        <v>0</v>
      </c>
      <c r="T79" s="123">
        <f t="shared" si="33"/>
        <v>0</v>
      </c>
      <c r="U79" s="436"/>
    </row>
    <row r="80" spans="2:22">
      <c r="B80" s="594" t="s">
        <v>1872</v>
      </c>
      <c r="C80" s="266"/>
      <c r="D80" s="141"/>
      <c r="E80" s="141"/>
      <c r="F80" s="141">
        <v>300</v>
      </c>
      <c r="G80" s="142"/>
      <c r="H80" s="135">
        <f t="shared" si="27"/>
        <v>300</v>
      </c>
      <c r="I80" s="464"/>
      <c r="J80" s="10"/>
      <c r="K80" s="12"/>
      <c r="L80" s="214">
        <v>20.634906000000001</v>
      </c>
      <c r="M80" s="213"/>
      <c r="N80" s="216"/>
      <c r="O80" s="25">
        <f t="shared" si="28"/>
        <v>0</v>
      </c>
      <c r="P80" s="25">
        <f t="shared" si="29"/>
        <v>0</v>
      </c>
      <c r="Q80" s="25">
        <f t="shared" si="30"/>
        <v>0</v>
      </c>
      <c r="R80" s="26">
        <f t="shared" si="31"/>
        <v>0</v>
      </c>
      <c r="S80" s="27">
        <f t="shared" si="32"/>
        <v>0</v>
      </c>
      <c r="T80" s="123">
        <f t="shared" si="33"/>
        <v>0</v>
      </c>
      <c r="V80" s="595"/>
    </row>
    <row r="81" spans="2:22">
      <c r="B81" s="594" t="s">
        <v>1873</v>
      </c>
      <c r="C81" s="266"/>
      <c r="D81" s="141"/>
      <c r="E81" s="141"/>
      <c r="F81" s="141">
        <v>120</v>
      </c>
      <c r="G81" s="142"/>
      <c r="H81" s="135">
        <f t="shared" si="27"/>
        <v>120</v>
      </c>
      <c r="I81" s="464"/>
      <c r="J81" s="10"/>
      <c r="K81" s="12"/>
      <c r="L81" s="214">
        <v>50.016210000000001</v>
      </c>
      <c r="M81" s="213"/>
      <c r="N81" s="216"/>
      <c r="O81" s="25">
        <f t="shared" si="28"/>
        <v>0</v>
      </c>
      <c r="P81" s="25">
        <f t="shared" si="29"/>
        <v>0</v>
      </c>
      <c r="Q81" s="25">
        <f t="shared" si="30"/>
        <v>0</v>
      </c>
      <c r="R81" s="26">
        <f t="shared" si="31"/>
        <v>0</v>
      </c>
      <c r="S81" s="27">
        <f t="shared" si="32"/>
        <v>0</v>
      </c>
      <c r="T81" s="123">
        <f t="shared" si="33"/>
        <v>0</v>
      </c>
      <c r="V81" s="595"/>
    </row>
    <row r="82" spans="2:22">
      <c r="B82" s="594" t="s">
        <v>1874</v>
      </c>
      <c r="C82" s="266"/>
      <c r="D82" s="141"/>
      <c r="E82" s="141"/>
      <c r="F82" s="141">
        <v>3</v>
      </c>
      <c r="G82" s="142"/>
      <c r="H82" s="135">
        <f t="shared" si="27"/>
        <v>3</v>
      </c>
      <c r="I82" s="464">
        <v>125.86</v>
      </c>
      <c r="J82" s="10"/>
      <c r="K82" s="12"/>
      <c r="L82" s="214">
        <v>118.26578699999999</v>
      </c>
      <c r="M82" s="213"/>
      <c r="N82" s="216"/>
      <c r="O82" s="25">
        <f t="shared" si="28"/>
        <v>0</v>
      </c>
      <c r="P82" s="25">
        <f t="shared" si="29"/>
        <v>0</v>
      </c>
      <c r="Q82" s="25">
        <f t="shared" si="30"/>
        <v>0</v>
      </c>
      <c r="R82" s="26">
        <f t="shared" si="31"/>
        <v>377.58</v>
      </c>
      <c r="S82" s="27">
        <f t="shared" si="32"/>
        <v>0</v>
      </c>
      <c r="T82" s="123">
        <f t="shared" si="33"/>
        <v>377.58</v>
      </c>
      <c r="V82" s="595">
        <f t="shared" ref="V82" si="36">I82/L82-1</f>
        <v>6.4213101630144376E-2</v>
      </c>
    </row>
    <row r="83" spans="2:22" hidden="1">
      <c r="B83" s="594" t="s">
        <v>1875</v>
      </c>
      <c r="C83" s="108"/>
      <c r="D83" s="14"/>
      <c r="E83" s="14"/>
      <c r="F83" s="14"/>
      <c r="G83" s="8"/>
      <c r="H83" s="24">
        <f t="shared" si="27"/>
        <v>0</v>
      </c>
      <c r="I83" s="464">
        <f t="shared" si="35"/>
        <v>52.157088000000002</v>
      </c>
      <c r="J83" s="10"/>
      <c r="K83" s="12"/>
      <c r="L83" s="214">
        <v>52.157088000000002</v>
      </c>
      <c r="M83" s="214">
        <v>13.813089795918369</v>
      </c>
      <c r="N83" s="216"/>
      <c r="O83" s="25">
        <f t="shared" si="28"/>
        <v>0</v>
      </c>
      <c r="P83" s="25">
        <f t="shared" si="29"/>
        <v>0</v>
      </c>
      <c r="Q83" s="25">
        <f t="shared" si="30"/>
        <v>0</v>
      </c>
      <c r="R83" s="26">
        <f t="shared" si="31"/>
        <v>0</v>
      </c>
      <c r="S83" s="27">
        <f t="shared" si="32"/>
        <v>0</v>
      </c>
      <c r="T83" s="123">
        <f t="shared" si="33"/>
        <v>0</v>
      </c>
      <c r="U83" s="436"/>
    </row>
    <row r="84" spans="2:22" hidden="1">
      <c r="B84" s="594" t="s">
        <v>1876</v>
      </c>
      <c r="C84" s="108"/>
      <c r="D84" s="14"/>
      <c r="E84" s="14"/>
      <c r="F84" s="14"/>
      <c r="G84" s="8"/>
      <c r="H84" s="24">
        <f t="shared" si="27"/>
        <v>0</v>
      </c>
      <c r="I84" s="464">
        <f t="shared" si="35"/>
        <v>495.89212499999996</v>
      </c>
      <c r="J84" s="10"/>
      <c r="K84" s="12"/>
      <c r="L84" s="214">
        <v>495.89212499999996</v>
      </c>
      <c r="M84" s="213"/>
      <c r="N84" s="216"/>
      <c r="O84" s="25">
        <f t="shared" si="28"/>
        <v>0</v>
      </c>
      <c r="P84" s="25">
        <f t="shared" si="29"/>
        <v>0</v>
      </c>
      <c r="Q84" s="25">
        <f t="shared" si="30"/>
        <v>0</v>
      </c>
      <c r="R84" s="26">
        <f t="shared" si="31"/>
        <v>0</v>
      </c>
      <c r="S84" s="27">
        <f t="shared" si="32"/>
        <v>0</v>
      </c>
      <c r="T84" s="123">
        <f t="shared" si="33"/>
        <v>0</v>
      </c>
    </row>
    <row r="85" spans="2:22" hidden="1">
      <c r="B85" s="594" t="s">
        <v>1877</v>
      </c>
      <c r="C85" s="108"/>
      <c r="D85" s="14"/>
      <c r="E85" s="14"/>
      <c r="F85" s="14"/>
      <c r="G85" s="8"/>
      <c r="H85" s="24">
        <f t="shared" si="27"/>
        <v>0</v>
      </c>
      <c r="I85" s="464">
        <f t="shared" si="35"/>
        <v>48.038226000000002</v>
      </c>
      <c r="J85" s="10"/>
      <c r="K85" s="12"/>
      <c r="L85" s="214">
        <v>48.038226000000002</v>
      </c>
      <c r="M85" s="213"/>
      <c r="N85" s="216"/>
      <c r="O85" s="25">
        <f t="shared" si="28"/>
        <v>0</v>
      </c>
      <c r="P85" s="25">
        <f t="shared" si="29"/>
        <v>0</v>
      </c>
      <c r="Q85" s="25">
        <f t="shared" si="30"/>
        <v>0</v>
      </c>
      <c r="R85" s="26">
        <f t="shared" si="31"/>
        <v>0</v>
      </c>
      <c r="S85" s="27">
        <f t="shared" si="32"/>
        <v>0</v>
      </c>
      <c r="T85" s="123">
        <f t="shared" si="33"/>
        <v>0</v>
      </c>
    </row>
    <row r="86" spans="2:22" hidden="1">
      <c r="B86" s="594" t="s">
        <v>963</v>
      </c>
      <c r="C86" s="108"/>
      <c r="D86" s="14"/>
      <c r="E86" s="14"/>
      <c r="F86" s="14"/>
      <c r="G86" s="8"/>
      <c r="H86" s="24">
        <f t="shared" si="27"/>
        <v>0</v>
      </c>
      <c r="I86" s="464">
        <f t="shared" si="35"/>
        <v>8.4579420000000027</v>
      </c>
      <c r="J86" s="10"/>
      <c r="K86" s="12"/>
      <c r="L86" s="214">
        <v>8.4579420000000027</v>
      </c>
      <c r="M86" s="213"/>
      <c r="N86" s="216"/>
      <c r="O86" s="25">
        <f t="shared" si="28"/>
        <v>0</v>
      </c>
      <c r="P86" s="25">
        <f t="shared" si="29"/>
        <v>0</v>
      </c>
      <c r="Q86" s="25">
        <f t="shared" si="30"/>
        <v>0</v>
      </c>
      <c r="R86" s="26">
        <f t="shared" si="31"/>
        <v>0</v>
      </c>
      <c r="S86" s="27">
        <f t="shared" si="32"/>
        <v>0</v>
      </c>
      <c r="T86" s="123">
        <f t="shared" si="33"/>
        <v>0</v>
      </c>
    </row>
    <row r="87" spans="2:22" hidden="1">
      <c r="B87" s="594" t="s">
        <v>1878</v>
      </c>
      <c r="C87" s="108"/>
      <c r="D87" s="14"/>
      <c r="E87" s="14"/>
      <c r="F87" s="14"/>
      <c r="G87" s="8"/>
      <c r="H87" s="24">
        <f t="shared" si="27"/>
        <v>0</v>
      </c>
      <c r="I87" s="464">
        <f t="shared" si="35"/>
        <v>71.264951999999994</v>
      </c>
      <c r="J87" s="10"/>
      <c r="K87" s="12"/>
      <c r="L87" s="214">
        <v>71.264951999999994</v>
      </c>
      <c r="M87" s="213"/>
      <c r="N87" s="216"/>
      <c r="O87" s="25">
        <f t="shared" si="28"/>
        <v>0</v>
      </c>
      <c r="P87" s="25">
        <f t="shared" si="29"/>
        <v>0</v>
      </c>
      <c r="Q87" s="25">
        <f t="shared" si="30"/>
        <v>0</v>
      </c>
      <c r="R87" s="26">
        <f t="shared" si="31"/>
        <v>0</v>
      </c>
      <c r="S87" s="27">
        <f t="shared" si="32"/>
        <v>0</v>
      </c>
      <c r="T87" s="123">
        <f t="shared" si="33"/>
        <v>0</v>
      </c>
    </row>
    <row r="88" spans="2:22" hidden="1">
      <c r="B88" s="594" t="s">
        <v>1879</v>
      </c>
      <c r="C88" s="108"/>
      <c r="D88" s="14"/>
      <c r="E88" s="14"/>
      <c r="F88" s="14"/>
      <c r="G88" s="8"/>
      <c r="H88" s="24">
        <f t="shared" si="27"/>
        <v>0</v>
      </c>
      <c r="I88" s="464">
        <f t="shared" si="35"/>
        <v>12.126932999999999</v>
      </c>
      <c r="J88" s="10"/>
      <c r="K88" s="12"/>
      <c r="L88" s="214">
        <v>12.126932999999999</v>
      </c>
      <c r="M88" s="214">
        <v>795.48259591836722</v>
      </c>
      <c r="N88" s="216"/>
      <c r="O88" s="25">
        <f t="shared" si="28"/>
        <v>0</v>
      </c>
      <c r="P88" s="25">
        <f t="shared" si="29"/>
        <v>0</v>
      </c>
      <c r="Q88" s="25">
        <f t="shared" si="30"/>
        <v>0</v>
      </c>
      <c r="R88" s="26">
        <f t="shared" si="31"/>
        <v>0</v>
      </c>
      <c r="S88" s="27">
        <f t="shared" si="32"/>
        <v>0</v>
      </c>
      <c r="T88" s="123">
        <f t="shared" si="33"/>
        <v>0</v>
      </c>
      <c r="U88" s="436"/>
    </row>
    <row r="89" spans="2:22" hidden="1">
      <c r="B89" s="594" t="s">
        <v>1880</v>
      </c>
      <c r="C89" s="108"/>
      <c r="D89" s="14"/>
      <c r="E89" s="14"/>
      <c r="F89" s="14"/>
      <c r="G89" s="8"/>
      <c r="H89" s="24">
        <f t="shared" si="27"/>
        <v>0</v>
      </c>
      <c r="I89" s="464">
        <f t="shared" si="35"/>
        <v>2600.3096639999999</v>
      </c>
      <c r="J89" s="10"/>
      <c r="K89" s="12"/>
      <c r="L89" s="214">
        <v>2600.3096639999999</v>
      </c>
      <c r="M89" s="214">
        <v>11.11</v>
      </c>
      <c r="N89" s="216"/>
      <c r="O89" s="25">
        <f t="shared" si="28"/>
        <v>0</v>
      </c>
      <c r="P89" s="25">
        <f t="shared" si="29"/>
        <v>0</v>
      </c>
      <c r="Q89" s="25">
        <f t="shared" si="30"/>
        <v>0</v>
      </c>
      <c r="R89" s="26">
        <f t="shared" si="31"/>
        <v>0</v>
      </c>
      <c r="S89" s="27">
        <f t="shared" si="32"/>
        <v>0</v>
      </c>
      <c r="T89" s="123">
        <f t="shared" si="33"/>
        <v>0</v>
      </c>
      <c r="U89" s="436"/>
    </row>
    <row r="90" spans="2:22" hidden="1">
      <c r="B90" s="594" t="s">
        <v>1881</v>
      </c>
      <c r="C90" s="108"/>
      <c r="D90" s="14"/>
      <c r="E90" s="14"/>
      <c r="F90" s="14"/>
      <c r="G90" s="8"/>
      <c r="H90" s="24">
        <f t="shared" si="27"/>
        <v>0</v>
      </c>
      <c r="I90" s="464">
        <f t="shared" si="35"/>
        <v>160.40764799999999</v>
      </c>
      <c r="J90" s="10"/>
      <c r="K90" s="12"/>
      <c r="L90" s="213">
        <v>160.40764799999999</v>
      </c>
      <c r="M90" s="213">
        <v>48.671900000000001</v>
      </c>
      <c r="N90" s="216"/>
      <c r="O90" s="25">
        <f t="shared" si="28"/>
        <v>0</v>
      </c>
      <c r="P90" s="25">
        <f t="shared" si="29"/>
        <v>0</v>
      </c>
      <c r="Q90" s="25">
        <f t="shared" si="30"/>
        <v>0</v>
      </c>
      <c r="R90" s="26">
        <f t="shared" si="31"/>
        <v>0</v>
      </c>
      <c r="S90" s="27">
        <f t="shared" si="32"/>
        <v>0</v>
      </c>
      <c r="T90" s="123">
        <f t="shared" si="33"/>
        <v>0</v>
      </c>
      <c r="U90" s="436"/>
    </row>
    <row r="91" spans="2:22" hidden="1">
      <c r="B91" s="594" t="s">
        <v>1882</v>
      </c>
      <c r="C91" s="108"/>
      <c r="D91" s="14"/>
      <c r="E91" s="14"/>
      <c r="F91" s="14"/>
      <c r="G91" s="8"/>
      <c r="H91" s="24">
        <f t="shared" si="27"/>
        <v>0</v>
      </c>
      <c r="I91" s="464">
        <f t="shared" si="35"/>
        <v>29.266604999999998</v>
      </c>
      <c r="J91" s="10"/>
      <c r="K91" s="12"/>
      <c r="L91" s="213">
        <v>29.266604999999998</v>
      </c>
      <c r="M91" s="213">
        <v>36.334285714285713</v>
      </c>
      <c r="N91" s="216"/>
      <c r="O91" s="25">
        <f t="shared" si="28"/>
        <v>0</v>
      </c>
      <c r="P91" s="25">
        <f t="shared" si="29"/>
        <v>0</v>
      </c>
      <c r="Q91" s="25">
        <f t="shared" si="30"/>
        <v>0</v>
      </c>
      <c r="R91" s="26">
        <f t="shared" si="31"/>
        <v>0</v>
      </c>
      <c r="S91" s="27">
        <f t="shared" si="32"/>
        <v>0</v>
      </c>
      <c r="T91" s="123">
        <f t="shared" si="33"/>
        <v>0</v>
      </c>
      <c r="U91" s="436"/>
    </row>
    <row r="92" spans="2:22" hidden="1">
      <c r="B92" s="594" t="s">
        <v>1883</v>
      </c>
      <c r="C92" s="108"/>
      <c r="D92" s="14"/>
      <c r="E92" s="14"/>
      <c r="F92" s="14"/>
      <c r="G92" s="8"/>
      <c r="H92" s="24">
        <f t="shared" si="27"/>
        <v>0</v>
      </c>
      <c r="I92" s="464">
        <f t="shared" si="35"/>
        <v>228.58077600000001</v>
      </c>
      <c r="J92" s="10"/>
      <c r="K92" s="12"/>
      <c r="L92" s="215">
        <v>228.58077600000001</v>
      </c>
      <c r="M92" s="213"/>
      <c r="N92" s="216"/>
      <c r="O92" s="25">
        <f t="shared" si="28"/>
        <v>0</v>
      </c>
      <c r="P92" s="25">
        <f t="shared" si="29"/>
        <v>0</v>
      </c>
      <c r="Q92" s="25">
        <f t="shared" si="30"/>
        <v>0</v>
      </c>
      <c r="R92" s="26">
        <f t="shared" si="31"/>
        <v>0</v>
      </c>
      <c r="S92" s="27">
        <f t="shared" si="32"/>
        <v>0</v>
      </c>
      <c r="T92" s="123">
        <f t="shared" si="33"/>
        <v>0</v>
      </c>
    </row>
    <row r="93" spans="2:22" hidden="1">
      <c r="B93" s="594" t="s">
        <v>1884</v>
      </c>
      <c r="C93" s="108"/>
      <c r="D93" s="14"/>
      <c r="E93" s="14"/>
      <c r="F93" s="14"/>
      <c r="G93" s="8"/>
      <c r="H93" s="24">
        <f t="shared" si="27"/>
        <v>0</v>
      </c>
      <c r="I93" s="464">
        <f t="shared" si="35"/>
        <v>413.09989800000005</v>
      </c>
      <c r="J93" s="10"/>
      <c r="K93" s="12"/>
      <c r="L93" s="214">
        <v>413.09989800000005</v>
      </c>
      <c r="M93" s="214">
        <v>211.26169999999999</v>
      </c>
      <c r="N93" s="216"/>
      <c r="O93" s="25">
        <f t="shared" si="28"/>
        <v>0</v>
      </c>
      <c r="P93" s="25">
        <f t="shared" si="29"/>
        <v>0</v>
      </c>
      <c r="Q93" s="25">
        <f t="shared" si="30"/>
        <v>0</v>
      </c>
      <c r="R93" s="26">
        <f t="shared" si="31"/>
        <v>0</v>
      </c>
      <c r="S93" s="27">
        <f t="shared" si="32"/>
        <v>0</v>
      </c>
      <c r="T93" s="123">
        <f t="shared" si="33"/>
        <v>0</v>
      </c>
      <c r="U93" s="436"/>
    </row>
    <row r="94" spans="2:22">
      <c r="B94" s="594" t="s">
        <v>1885</v>
      </c>
      <c r="C94" s="266"/>
      <c r="D94" s="141">
        <v>4</v>
      </c>
      <c r="E94" s="141"/>
      <c r="F94" s="141"/>
      <c r="G94" s="142"/>
      <c r="H94" s="135">
        <f t="shared" si="27"/>
        <v>4</v>
      </c>
      <c r="I94" s="464">
        <v>457.86</v>
      </c>
      <c r="J94" s="10"/>
      <c r="K94" s="12"/>
      <c r="L94" s="214">
        <v>432.40768199999997</v>
      </c>
      <c r="M94" s="213"/>
      <c r="N94" s="216"/>
      <c r="O94" s="25">
        <f t="shared" si="28"/>
        <v>0</v>
      </c>
      <c r="P94" s="25">
        <f t="shared" si="29"/>
        <v>1831.44</v>
      </c>
      <c r="Q94" s="25">
        <f t="shared" si="30"/>
        <v>0</v>
      </c>
      <c r="R94" s="26">
        <f t="shared" si="31"/>
        <v>0</v>
      </c>
      <c r="S94" s="27">
        <f t="shared" si="32"/>
        <v>0</v>
      </c>
      <c r="T94" s="123">
        <f t="shared" si="33"/>
        <v>1831.44</v>
      </c>
      <c r="V94" s="595">
        <f>I94/L94-1</f>
        <v>5.8861854355307441E-2</v>
      </c>
    </row>
    <row r="95" spans="2:22" hidden="1">
      <c r="B95" s="594" t="s">
        <v>1886</v>
      </c>
      <c r="C95" s="108"/>
      <c r="D95" s="14"/>
      <c r="E95" s="14"/>
      <c r="F95" s="14"/>
      <c r="G95" s="8"/>
      <c r="H95" s="24">
        <f t="shared" si="27"/>
        <v>0</v>
      </c>
      <c r="I95" s="464">
        <f t="shared" si="35"/>
        <v>240.46795799999998</v>
      </c>
      <c r="J95" s="10"/>
      <c r="K95" s="12"/>
      <c r="L95" s="214">
        <v>240.46795799999998</v>
      </c>
      <c r="M95" s="213"/>
      <c r="N95" s="216"/>
      <c r="O95" s="25">
        <f t="shared" si="28"/>
        <v>0</v>
      </c>
      <c r="P95" s="25">
        <f t="shared" si="29"/>
        <v>0</v>
      </c>
      <c r="Q95" s="25">
        <f t="shared" si="30"/>
        <v>0</v>
      </c>
      <c r="R95" s="26">
        <f t="shared" si="31"/>
        <v>0</v>
      </c>
      <c r="S95" s="27">
        <f t="shared" si="32"/>
        <v>0</v>
      </c>
      <c r="T95" s="123">
        <f t="shared" si="33"/>
        <v>0</v>
      </c>
    </row>
    <row r="96" spans="2:22" hidden="1">
      <c r="B96" s="594" t="s">
        <v>1887</v>
      </c>
      <c r="C96" s="108"/>
      <c r="D96" s="14"/>
      <c r="E96" s="14"/>
      <c r="F96" s="14"/>
      <c r="G96" s="8"/>
      <c r="H96" s="24">
        <f t="shared" si="27"/>
        <v>0</v>
      </c>
      <c r="I96" s="464">
        <f t="shared" si="35"/>
        <v>16.225650000000002</v>
      </c>
      <c r="J96" s="10"/>
      <c r="K96" s="12"/>
      <c r="L96" s="214">
        <v>16.225650000000002</v>
      </c>
      <c r="M96" s="214">
        <v>32.305210714285714</v>
      </c>
      <c r="N96" s="216"/>
      <c r="O96" s="25">
        <f t="shared" si="28"/>
        <v>0</v>
      </c>
      <c r="P96" s="25">
        <f t="shared" si="29"/>
        <v>0</v>
      </c>
      <c r="Q96" s="25">
        <f t="shared" si="30"/>
        <v>0</v>
      </c>
      <c r="R96" s="26">
        <f t="shared" si="31"/>
        <v>0</v>
      </c>
      <c r="S96" s="27">
        <f t="shared" si="32"/>
        <v>0</v>
      </c>
      <c r="T96" s="123">
        <f t="shared" si="33"/>
        <v>0</v>
      </c>
      <c r="U96" s="436"/>
    </row>
    <row r="97" spans="2:22" hidden="1">
      <c r="B97" s="594" t="s">
        <v>1888</v>
      </c>
      <c r="C97" s="108"/>
      <c r="D97" s="14"/>
      <c r="E97" s="14"/>
      <c r="F97" s="14"/>
      <c r="G97" s="8"/>
      <c r="H97" s="24">
        <f t="shared" si="27"/>
        <v>0</v>
      </c>
      <c r="I97" s="464">
        <f t="shared" si="35"/>
        <v>163.22667299999995</v>
      </c>
      <c r="J97" s="10"/>
      <c r="K97" s="12"/>
      <c r="L97" s="214">
        <v>163.22667299999995</v>
      </c>
      <c r="M97" s="214">
        <v>18.049895510204085</v>
      </c>
      <c r="N97" s="216"/>
      <c r="O97" s="25">
        <f t="shared" si="28"/>
        <v>0</v>
      </c>
      <c r="P97" s="25">
        <f t="shared" si="29"/>
        <v>0</v>
      </c>
      <c r="Q97" s="25">
        <f t="shared" si="30"/>
        <v>0</v>
      </c>
      <c r="R97" s="26">
        <f t="shared" si="31"/>
        <v>0</v>
      </c>
      <c r="S97" s="27">
        <f t="shared" si="32"/>
        <v>0</v>
      </c>
      <c r="T97" s="123">
        <f t="shared" si="33"/>
        <v>0</v>
      </c>
      <c r="U97" s="436"/>
    </row>
    <row r="98" spans="2:22" hidden="1">
      <c r="B98" s="594" t="s">
        <v>1889</v>
      </c>
      <c r="C98" s="108"/>
      <c r="D98" s="14"/>
      <c r="E98" s="14"/>
      <c r="F98" s="14"/>
      <c r="G98" s="8"/>
      <c r="H98" s="24">
        <f t="shared" si="27"/>
        <v>0</v>
      </c>
      <c r="I98" s="464">
        <f t="shared" si="35"/>
        <v>216.79839899999999</v>
      </c>
      <c r="J98" s="10"/>
      <c r="K98" s="12"/>
      <c r="L98" s="214">
        <v>216.79839899999999</v>
      </c>
      <c r="M98" s="213"/>
      <c r="N98" s="216"/>
      <c r="O98" s="25">
        <f t="shared" si="28"/>
        <v>0</v>
      </c>
      <c r="P98" s="25">
        <f t="shared" si="29"/>
        <v>0</v>
      </c>
      <c r="Q98" s="25">
        <f t="shared" si="30"/>
        <v>0</v>
      </c>
      <c r="R98" s="26">
        <f t="shared" si="31"/>
        <v>0</v>
      </c>
      <c r="S98" s="27">
        <f t="shared" si="32"/>
        <v>0</v>
      </c>
      <c r="T98" s="123">
        <f t="shared" si="33"/>
        <v>0</v>
      </c>
    </row>
    <row r="99" spans="2:22" hidden="1">
      <c r="B99" s="594" t="s">
        <v>1890</v>
      </c>
      <c r="C99" s="108"/>
      <c r="D99" s="14"/>
      <c r="E99" s="14"/>
      <c r="F99" s="14"/>
      <c r="G99" s="8"/>
      <c r="H99" s="24">
        <f t="shared" ref="H99:H111" si="37">SUM(C99:G99)</f>
        <v>0</v>
      </c>
      <c r="I99" s="464">
        <f t="shared" si="35"/>
        <v>1020.558807</v>
      </c>
      <c r="J99" s="10"/>
      <c r="K99" s="12"/>
      <c r="L99" s="214">
        <v>1020.558807</v>
      </c>
      <c r="M99" s="213"/>
      <c r="N99" s="216"/>
      <c r="O99" s="25">
        <f t="shared" ref="O99:O111" si="38">I99*C99</f>
        <v>0</v>
      </c>
      <c r="P99" s="25">
        <f t="shared" ref="P99:P111" si="39">I99*D99</f>
        <v>0</v>
      </c>
      <c r="Q99" s="25">
        <f t="shared" ref="Q99:Q111" si="40">I99*E99</f>
        <v>0</v>
      </c>
      <c r="R99" s="26">
        <f t="shared" ref="R99:R111" si="41">I99*F99</f>
        <v>0</v>
      </c>
      <c r="S99" s="27">
        <f t="shared" ref="S99:S111" si="42">I99*G99</f>
        <v>0</v>
      </c>
      <c r="T99" s="123">
        <f t="shared" ref="T99:T111" si="43">SUM(O99:S99)</f>
        <v>0</v>
      </c>
    </row>
    <row r="100" spans="2:22" hidden="1">
      <c r="B100" s="594" t="s">
        <v>1891</v>
      </c>
      <c r="C100" s="108"/>
      <c r="D100" s="14"/>
      <c r="E100" s="14"/>
      <c r="F100" s="14"/>
      <c r="G100" s="8"/>
      <c r="H100" s="24">
        <f t="shared" si="37"/>
        <v>0</v>
      </c>
      <c r="I100" s="464">
        <f t="shared" si="35"/>
        <v>962.98919099999978</v>
      </c>
      <c r="J100" s="10"/>
      <c r="K100" s="12"/>
      <c r="L100" s="214">
        <v>962.98919099999978</v>
      </c>
      <c r="M100" s="213"/>
      <c r="N100" s="216"/>
      <c r="O100" s="25">
        <f t="shared" si="38"/>
        <v>0</v>
      </c>
      <c r="P100" s="25">
        <f t="shared" si="39"/>
        <v>0</v>
      </c>
      <c r="Q100" s="25">
        <f t="shared" si="40"/>
        <v>0</v>
      </c>
      <c r="R100" s="26">
        <f t="shared" si="41"/>
        <v>0</v>
      </c>
      <c r="S100" s="27">
        <f t="shared" si="42"/>
        <v>0</v>
      </c>
      <c r="T100" s="123">
        <f t="shared" si="43"/>
        <v>0</v>
      </c>
    </row>
    <row r="101" spans="2:22">
      <c r="B101" s="594" t="s">
        <v>1892</v>
      </c>
      <c r="C101" s="266"/>
      <c r="D101" s="141"/>
      <c r="E101" s="141">
        <v>12</v>
      </c>
      <c r="F101" s="141">
        <v>24</v>
      </c>
      <c r="G101" s="142"/>
      <c r="H101" s="135">
        <f t="shared" si="37"/>
        <v>36</v>
      </c>
      <c r="I101" s="464">
        <v>33.840000000000003</v>
      </c>
      <c r="J101" s="10"/>
      <c r="K101" s="12"/>
      <c r="L101" s="214">
        <v>32.905200000000001</v>
      </c>
      <c r="M101" s="213"/>
      <c r="N101" s="216"/>
      <c r="O101" s="25">
        <f t="shared" si="38"/>
        <v>0</v>
      </c>
      <c r="P101" s="25">
        <f t="shared" si="39"/>
        <v>0</v>
      </c>
      <c r="Q101" s="25">
        <f t="shared" si="40"/>
        <v>406.08000000000004</v>
      </c>
      <c r="R101" s="26">
        <f t="shared" si="41"/>
        <v>812.16000000000008</v>
      </c>
      <c r="S101" s="27">
        <f t="shared" si="42"/>
        <v>0</v>
      </c>
      <c r="T101" s="123">
        <f t="shared" si="43"/>
        <v>1218.2400000000002</v>
      </c>
      <c r="V101" s="595">
        <f t="shared" ref="V101:V102" si="44">I101/L101-1</f>
        <v>2.8408883702272014E-2</v>
      </c>
    </row>
    <row r="102" spans="2:22">
      <c r="B102" s="594" t="s">
        <v>1893</v>
      </c>
      <c r="C102" s="266"/>
      <c r="D102" s="141">
        <v>12</v>
      </c>
      <c r="E102" s="141"/>
      <c r="F102" s="141"/>
      <c r="G102" s="142"/>
      <c r="H102" s="135">
        <f t="shared" si="37"/>
        <v>12</v>
      </c>
      <c r="I102" s="464">
        <v>102.04</v>
      </c>
      <c r="J102" s="10"/>
      <c r="K102" s="12"/>
      <c r="L102" s="214">
        <v>99.195000000000007</v>
      </c>
      <c r="M102" s="213"/>
      <c r="N102" s="216"/>
      <c r="O102" s="25">
        <f t="shared" si="38"/>
        <v>0</v>
      </c>
      <c r="P102" s="25">
        <f t="shared" si="39"/>
        <v>1224.48</v>
      </c>
      <c r="Q102" s="25">
        <f t="shared" si="40"/>
        <v>0</v>
      </c>
      <c r="R102" s="26">
        <f t="shared" si="41"/>
        <v>0</v>
      </c>
      <c r="S102" s="27">
        <f t="shared" si="42"/>
        <v>0</v>
      </c>
      <c r="T102" s="123">
        <f t="shared" si="43"/>
        <v>1224.48</v>
      </c>
      <c r="V102" s="595">
        <f t="shared" si="44"/>
        <v>2.8680881092796984E-2</v>
      </c>
    </row>
    <row r="103" spans="2:22">
      <c r="B103" s="593" t="s">
        <v>2517</v>
      </c>
      <c r="C103" s="141"/>
      <c r="D103" s="141"/>
      <c r="E103" s="141">
        <v>4</v>
      </c>
      <c r="F103" s="141"/>
      <c r="G103" s="142"/>
      <c r="H103" s="135">
        <f t="shared" si="37"/>
        <v>4</v>
      </c>
      <c r="I103" s="464">
        <v>3076.28</v>
      </c>
      <c r="J103" s="10"/>
      <c r="K103" s="12"/>
      <c r="L103" s="214"/>
      <c r="M103" s="214">
        <v>133.26938775510203</v>
      </c>
      <c r="N103" s="216"/>
      <c r="O103" s="25">
        <f t="shared" si="38"/>
        <v>0</v>
      </c>
      <c r="P103" s="25">
        <f t="shared" si="39"/>
        <v>0</v>
      </c>
      <c r="Q103" s="25">
        <f t="shared" si="40"/>
        <v>12305.12</v>
      </c>
      <c r="R103" s="26">
        <f t="shared" si="41"/>
        <v>0</v>
      </c>
      <c r="S103" s="27">
        <f t="shared" si="42"/>
        <v>0</v>
      </c>
      <c r="T103" s="123">
        <f t="shared" si="43"/>
        <v>12305.12</v>
      </c>
      <c r="U103" s="436"/>
      <c r="V103" s="595"/>
    </row>
    <row r="104" spans="2:22">
      <c r="B104" s="593" t="s">
        <v>2546</v>
      </c>
      <c r="C104" s="141"/>
      <c r="D104" s="141"/>
      <c r="E104" s="141">
        <v>4</v>
      </c>
      <c r="F104" s="141"/>
      <c r="G104" s="142"/>
      <c r="H104" s="135">
        <f t="shared" si="37"/>
        <v>4</v>
      </c>
      <c r="I104" s="464">
        <v>812.54</v>
      </c>
      <c r="J104" s="10"/>
      <c r="K104" s="12"/>
      <c r="L104" s="214"/>
      <c r="M104" s="213"/>
      <c r="N104" s="216"/>
      <c r="O104" s="25">
        <f t="shared" si="38"/>
        <v>0</v>
      </c>
      <c r="P104" s="25">
        <f t="shared" si="39"/>
        <v>0</v>
      </c>
      <c r="Q104" s="25">
        <f t="shared" si="40"/>
        <v>3250.16</v>
      </c>
      <c r="R104" s="26">
        <f t="shared" si="41"/>
        <v>0</v>
      </c>
      <c r="S104" s="27">
        <f t="shared" si="42"/>
        <v>0</v>
      </c>
      <c r="T104" s="123">
        <f t="shared" si="43"/>
        <v>3250.16</v>
      </c>
      <c r="V104" s="595"/>
    </row>
    <row r="105" spans="2:22" hidden="1">
      <c r="B105" s="594" t="s">
        <v>1894</v>
      </c>
      <c r="C105" s="108"/>
      <c r="D105" s="14"/>
      <c r="E105" s="14"/>
      <c r="F105" s="14"/>
      <c r="G105" s="8"/>
      <c r="H105" s="24">
        <f t="shared" si="37"/>
        <v>0</v>
      </c>
      <c r="I105" s="464">
        <f t="shared" si="35"/>
        <v>235.99821600000001</v>
      </c>
      <c r="J105" s="10"/>
      <c r="K105" s="12"/>
      <c r="L105" s="214">
        <v>235.99821600000001</v>
      </c>
      <c r="M105" s="214">
        <v>23.704699999999999</v>
      </c>
      <c r="N105" s="216"/>
      <c r="O105" s="25">
        <f t="shared" si="38"/>
        <v>0</v>
      </c>
      <c r="P105" s="25">
        <f t="shared" si="39"/>
        <v>0</v>
      </c>
      <c r="Q105" s="25">
        <f t="shared" si="40"/>
        <v>0</v>
      </c>
      <c r="R105" s="26">
        <f t="shared" si="41"/>
        <v>0</v>
      </c>
      <c r="S105" s="27">
        <f t="shared" si="42"/>
        <v>0</v>
      </c>
      <c r="T105" s="123">
        <f t="shared" si="43"/>
        <v>0</v>
      </c>
      <c r="U105" s="436"/>
    </row>
    <row r="106" spans="2:22">
      <c r="B106" s="594" t="s">
        <v>960</v>
      </c>
      <c r="C106" s="266"/>
      <c r="D106" s="141">
        <v>120</v>
      </c>
      <c r="E106" s="141"/>
      <c r="F106" s="141">
        <v>120</v>
      </c>
      <c r="G106" s="142">
        <v>960</v>
      </c>
      <c r="H106" s="135">
        <f t="shared" si="37"/>
        <v>1200</v>
      </c>
      <c r="I106" s="464">
        <v>16.68</v>
      </c>
      <c r="J106" s="10"/>
      <c r="K106" s="12"/>
      <c r="L106" s="214">
        <v>16.401599999999998</v>
      </c>
      <c r="M106" s="214">
        <v>57.600300000000004</v>
      </c>
      <c r="N106" s="216"/>
      <c r="O106" s="25">
        <f t="shared" si="38"/>
        <v>0</v>
      </c>
      <c r="P106" s="25">
        <f t="shared" si="39"/>
        <v>2001.6</v>
      </c>
      <c r="Q106" s="25">
        <f t="shared" si="40"/>
        <v>0</v>
      </c>
      <c r="R106" s="26">
        <f t="shared" si="41"/>
        <v>2001.6</v>
      </c>
      <c r="S106" s="27">
        <f t="shared" si="42"/>
        <v>16012.8</v>
      </c>
      <c r="T106" s="123">
        <f t="shared" si="43"/>
        <v>20016</v>
      </c>
      <c r="U106" s="436"/>
      <c r="V106" s="595">
        <f t="shared" ref="V106:V109" si="45">I106/L106-1</f>
        <v>1.697395376060884E-2</v>
      </c>
    </row>
    <row r="107" spans="2:22">
      <c r="B107" s="594" t="s">
        <v>961</v>
      </c>
      <c r="C107" s="266"/>
      <c r="D107" s="141"/>
      <c r="E107" s="141"/>
      <c r="F107" s="141">
        <v>60</v>
      </c>
      <c r="G107" s="142"/>
      <c r="H107" s="135">
        <f t="shared" si="37"/>
        <v>60</v>
      </c>
      <c r="I107" s="464">
        <v>31.66</v>
      </c>
      <c r="J107" s="10"/>
      <c r="K107" s="12"/>
      <c r="L107" s="214">
        <v>29.733000000000001</v>
      </c>
      <c r="M107" s="213"/>
      <c r="N107" s="216"/>
      <c r="O107" s="25">
        <f t="shared" si="38"/>
        <v>0</v>
      </c>
      <c r="P107" s="25">
        <f t="shared" si="39"/>
        <v>0</v>
      </c>
      <c r="Q107" s="25">
        <f t="shared" si="40"/>
        <v>0</v>
      </c>
      <c r="R107" s="26">
        <f t="shared" si="41"/>
        <v>1899.6</v>
      </c>
      <c r="S107" s="27">
        <f t="shared" si="42"/>
        <v>0</v>
      </c>
      <c r="T107" s="123">
        <f t="shared" si="43"/>
        <v>1899.6</v>
      </c>
      <c r="V107" s="595">
        <f t="shared" si="45"/>
        <v>6.4810143611475413E-2</v>
      </c>
    </row>
    <row r="108" spans="2:22">
      <c r="B108" s="594" t="s">
        <v>1895</v>
      </c>
      <c r="C108" s="266"/>
      <c r="D108" s="141">
        <v>72</v>
      </c>
      <c r="E108" s="141">
        <v>12</v>
      </c>
      <c r="F108" s="141"/>
      <c r="G108" s="142">
        <v>60</v>
      </c>
      <c r="H108" s="135">
        <f t="shared" si="37"/>
        <v>144</v>
      </c>
      <c r="I108" s="464">
        <v>51.15</v>
      </c>
      <c r="J108" s="10"/>
      <c r="K108" s="12"/>
      <c r="L108" s="214">
        <v>49.078728000000005</v>
      </c>
      <c r="M108" s="213"/>
      <c r="N108" s="216"/>
      <c r="O108" s="25">
        <f t="shared" si="38"/>
        <v>0</v>
      </c>
      <c r="P108" s="25">
        <f t="shared" si="39"/>
        <v>3682.7999999999997</v>
      </c>
      <c r="Q108" s="25">
        <f t="shared" si="40"/>
        <v>613.79999999999995</v>
      </c>
      <c r="R108" s="26">
        <f t="shared" si="41"/>
        <v>0</v>
      </c>
      <c r="S108" s="27">
        <f t="shared" si="42"/>
        <v>3069</v>
      </c>
      <c r="T108" s="123">
        <f t="shared" si="43"/>
        <v>7365.5999999999995</v>
      </c>
      <c r="V108" s="595">
        <f t="shared" si="45"/>
        <v>4.2203049761191824E-2</v>
      </c>
    </row>
    <row r="109" spans="2:22">
      <c r="B109" s="594" t="s">
        <v>1896</v>
      </c>
      <c r="C109" s="266"/>
      <c r="D109" s="141">
        <v>6</v>
      </c>
      <c r="E109" s="141"/>
      <c r="F109" s="141"/>
      <c r="G109" s="142"/>
      <c r="H109" s="135">
        <f t="shared" si="37"/>
        <v>6</v>
      </c>
      <c r="I109" s="464">
        <v>979.28</v>
      </c>
      <c r="J109" s="10"/>
      <c r="K109" s="12"/>
      <c r="L109" s="215">
        <v>924.92386199999987</v>
      </c>
      <c r="M109" s="213"/>
      <c r="N109" s="216"/>
      <c r="O109" s="25">
        <f t="shared" si="38"/>
        <v>0</v>
      </c>
      <c r="P109" s="25">
        <f t="shared" si="39"/>
        <v>5875.68</v>
      </c>
      <c r="Q109" s="25">
        <f t="shared" si="40"/>
        <v>0</v>
      </c>
      <c r="R109" s="26">
        <f t="shared" si="41"/>
        <v>0</v>
      </c>
      <c r="S109" s="27">
        <f t="shared" si="42"/>
        <v>0</v>
      </c>
      <c r="T109" s="123">
        <f t="shared" si="43"/>
        <v>5875.68</v>
      </c>
      <c r="V109" s="595">
        <f t="shared" si="45"/>
        <v>5.8768229724837751E-2</v>
      </c>
    </row>
    <row r="110" spans="2:22" hidden="1">
      <c r="B110" s="594" t="s">
        <v>1897</v>
      </c>
      <c r="C110" s="108"/>
      <c r="D110" s="14"/>
      <c r="E110" s="14"/>
      <c r="F110" s="14"/>
      <c r="G110" s="8"/>
      <c r="H110" s="24">
        <f t="shared" si="37"/>
        <v>0</v>
      </c>
      <c r="I110" s="464">
        <f t="shared" si="35"/>
        <v>2100.9074640000003</v>
      </c>
      <c r="J110" s="10"/>
      <c r="K110" s="12"/>
      <c r="L110" s="213">
        <v>2100.9074640000003</v>
      </c>
      <c r="M110" s="213"/>
      <c r="N110" s="216"/>
      <c r="O110" s="25">
        <f t="shared" si="38"/>
        <v>0</v>
      </c>
      <c r="P110" s="25">
        <f t="shared" si="39"/>
        <v>0</v>
      </c>
      <c r="Q110" s="25">
        <f t="shared" si="40"/>
        <v>0</v>
      </c>
      <c r="R110" s="26">
        <f t="shared" si="41"/>
        <v>0</v>
      </c>
      <c r="S110" s="27">
        <f t="shared" si="42"/>
        <v>0</v>
      </c>
      <c r="T110" s="123">
        <f t="shared" si="43"/>
        <v>0</v>
      </c>
    </row>
    <row r="111" spans="2:22">
      <c r="B111" s="594" t="s">
        <v>1898</v>
      </c>
      <c r="C111" s="266"/>
      <c r="D111" s="141">
        <v>12</v>
      </c>
      <c r="E111" s="141"/>
      <c r="F111" s="141"/>
      <c r="G111" s="142"/>
      <c r="H111" s="135">
        <f t="shared" si="37"/>
        <v>12</v>
      </c>
      <c r="I111" s="464">
        <v>531.51</v>
      </c>
      <c r="J111" s="10"/>
      <c r="K111" s="12"/>
      <c r="L111" s="213">
        <v>499.00827600000002</v>
      </c>
      <c r="M111" s="213"/>
      <c r="N111" s="216"/>
      <c r="O111" s="25">
        <f t="shared" si="38"/>
        <v>0</v>
      </c>
      <c r="P111" s="25">
        <f t="shared" si="39"/>
        <v>6378.12</v>
      </c>
      <c r="Q111" s="25">
        <f t="shared" si="40"/>
        <v>0</v>
      </c>
      <c r="R111" s="26">
        <f t="shared" si="41"/>
        <v>0</v>
      </c>
      <c r="S111" s="27">
        <f t="shared" si="42"/>
        <v>0</v>
      </c>
      <c r="T111" s="123">
        <f t="shared" si="43"/>
        <v>6378.12</v>
      </c>
      <c r="V111" s="595">
        <f>I111/L111-1</f>
        <v>6.5132635195012112E-2</v>
      </c>
    </row>
    <row r="112" spans="2:22">
      <c r="B112" s="380"/>
      <c r="C112" s="376">
        <f t="shared" ref="C112" si="46">O112</f>
        <v>0</v>
      </c>
      <c r="D112" s="376">
        <f t="shared" ref="D112" si="47">P112</f>
        <v>104967.5</v>
      </c>
      <c r="E112" s="376">
        <f t="shared" ref="E112" si="48">Q112</f>
        <v>36541.48000000001</v>
      </c>
      <c r="F112" s="376">
        <f t="shared" ref="F112" si="49">R112</f>
        <v>60410.19</v>
      </c>
      <c r="G112" s="376">
        <f t="shared" ref="G112" si="50">S112</f>
        <v>263490.19999999995</v>
      </c>
      <c r="H112" s="376">
        <f t="shared" ref="H112" si="51">T112</f>
        <v>465409.36999999988</v>
      </c>
      <c r="O112" s="29">
        <f t="shared" ref="O112:T112" si="52">SUM(O6:O111)</f>
        <v>0</v>
      </c>
      <c r="P112" s="29">
        <f t="shared" si="52"/>
        <v>104967.5</v>
      </c>
      <c r="Q112" s="29">
        <f t="shared" si="52"/>
        <v>36541.48000000001</v>
      </c>
      <c r="R112" s="29">
        <f t="shared" si="52"/>
        <v>60410.19</v>
      </c>
      <c r="S112" s="29">
        <f t="shared" si="52"/>
        <v>263490.19999999995</v>
      </c>
      <c r="T112" s="29">
        <f t="shared" si="52"/>
        <v>465409.36999999988</v>
      </c>
    </row>
    <row r="113" spans="7:7">
      <c r="G113" s="5" t="str">
        <f t="shared" ref="G113:G176" si="53">IF(B113&lt;&gt;"",SUM(C113:F113),"")</f>
        <v/>
      </c>
    </row>
    <row r="114" spans="7:7">
      <c r="G114" s="5" t="str">
        <f t="shared" si="53"/>
        <v/>
      </c>
    </row>
    <row r="117" spans="7:7">
      <c r="G117" s="5" t="str">
        <f t="shared" si="53"/>
        <v/>
      </c>
    </row>
    <row r="118" spans="7:7">
      <c r="G118" s="5" t="str">
        <f t="shared" si="53"/>
        <v/>
      </c>
    </row>
    <row r="119" spans="7:7">
      <c r="G119" s="5" t="str">
        <f t="shared" si="53"/>
        <v/>
      </c>
    </row>
    <row r="120" spans="7:7">
      <c r="G120" s="5" t="str">
        <f t="shared" si="53"/>
        <v/>
      </c>
    </row>
    <row r="121" spans="7:7">
      <c r="G121" s="5" t="str">
        <f t="shared" si="53"/>
        <v/>
      </c>
    </row>
    <row r="122" spans="7:7">
      <c r="G122" s="5" t="str">
        <f t="shared" si="53"/>
        <v/>
      </c>
    </row>
    <row r="123" spans="7:7">
      <c r="G123" s="5" t="str">
        <f t="shared" si="53"/>
        <v/>
      </c>
    </row>
    <row r="124" spans="7:7">
      <c r="G124" s="5" t="str">
        <f t="shared" si="53"/>
        <v/>
      </c>
    </row>
    <row r="125" spans="7:7">
      <c r="G125" s="5" t="str">
        <f t="shared" si="53"/>
        <v/>
      </c>
    </row>
    <row r="126" spans="7:7">
      <c r="G126" s="5" t="str">
        <f t="shared" si="53"/>
        <v/>
      </c>
    </row>
    <row r="127" spans="7:7">
      <c r="G127" s="5" t="str">
        <f t="shared" si="53"/>
        <v/>
      </c>
    </row>
    <row r="128" spans="7:7">
      <c r="G128" s="5" t="str">
        <f t="shared" si="53"/>
        <v/>
      </c>
    </row>
    <row r="129" spans="7:7">
      <c r="G129" s="5" t="str">
        <f t="shared" si="53"/>
        <v/>
      </c>
    </row>
    <row r="130" spans="7:7">
      <c r="G130" s="5" t="str">
        <f t="shared" si="53"/>
        <v/>
      </c>
    </row>
    <row r="131" spans="7:7">
      <c r="G131" s="5" t="str">
        <f t="shared" si="53"/>
        <v/>
      </c>
    </row>
    <row r="132" spans="7:7">
      <c r="G132" s="5" t="str">
        <f t="shared" si="53"/>
        <v/>
      </c>
    </row>
    <row r="133" spans="7:7">
      <c r="G133" s="5" t="str">
        <f t="shared" si="53"/>
        <v/>
      </c>
    </row>
    <row r="134" spans="7:7">
      <c r="G134" s="5" t="str">
        <f t="shared" si="53"/>
        <v/>
      </c>
    </row>
    <row r="135" spans="7:7">
      <c r="G135" s="5" t="str">
        <f t="shared" si="53"/>
        <v/>
      </c>
    </row>
    <row r="136" spans="7:7">
      <c r="G136" s="5" t="str">
        <f t="shared" si="53"/>
        <v/>
      </c>
    </row>
    <row r="137" spans="7:7">
      <c r="G137" s="5" t="str">
        <f t="shared" si="53"/>
        <v/>
      </c>
    </row>
    <row r="138" spans="7:7">
      <c r="G138" s="5" t="str">
        <f t="shared" si="53"/>
        <v/>
      </c>
    </row>
    <row r="139" spans="7:7">
      <c r="G139" s="5" t="str">
        <f t="shared" si="53"/>
        <v/>
      </c>
    </row>
    <row r="140" spans="7:7">
      <c r="G140" s="5" t="str">
        <f t="shared" si="53"/>
        <v/>
      </c>
    </row>
    <row r="141" spans="7:7">
      <c r="G141" s="5" t="str">
        <f t="shared" si="53"/>
        <v/>
      </c>
    </row>
    <row r="142" spans="7:7">
      <c r="G142" s="5" t="str">
        <f t="shared" si="53"/>
        <v/>
      </c>
    </row>
    <row r="143" spans="7:7">
      <c r="G143" s="5" t="str">
        <f t="shared" si="53"/>
        <v/>
      </c>
    </row>
    <row r="144" spans="7:7">
      <c r="G144" s="5" t="str">
        <f t="shared" si="53"/>
        <v/>
      </c>
    </row>
    <row r="145" spans="7:7">
      <c r="G145" s="5" t="str">
        <f t="shared" si="53"/>
        <v/>
      </c>
    </row>
    <row r="146" spans="7:7">
      <c r="G146" s="5" t="str">
        <f t="shared" si="53"/>
        <v/>
      </c>
    </row>
    <row r="147" spans="7:7">
      <c r="G147" s="5" t="str">
        <f t="shared" si="53"/>
        <v/>
      </c>
    </row>
    <row r="148" spans="7:7">
      <c r="G148" s="5" t="str">
        <f t="shared" si="53"/>
        <v/>
      </c>
    </row>
    <row r="149" spans="7:7">
      <c r="G149" s="5" t="str">
        <f t="shared" si="53"/>
        <v/>
      </c>
    </row>
    <row r="150" spans="7:7">
      <c r="G150" s="5" t="str">
        <f t="shared" si="53"/>
        <v/>
      </c>
    </row>
    <row r="151" spans="7:7">
      <c r="G151" s="5" t="str">
        <f t="shared" si="53"/>
        <v/>
      </c>
    </row>
    <row r="152" spans="7:7">
      <c r="G152" s="5" t="str">
        <f t="shared" si="53"/>
        <v/>
      </c>
    </row>
    <row r="153" spans="7:7">
      <c r="G153" s="5" t="str">
        <f t="shared" si="53"/>
        <v/>
      </c>
    </row>
    <row r="154" spans="7:7">
      <c r="G154" s="5" t="str">
        <f t="shared" si="53"/>
        <v/>
      </c>
    </row>
    <row r="155" spans="7:7">
      <c r="G155" s="5" t="str">
        <f t="shared" si="53"/>
        <v/>
      </c>
    </row>
    <row r="156" spans="7:7">
      <c r="G156" s="5" t="str">
        <f t="shared" si="53"/>
        <v/>
      </c>
    </row>
    <row r="157" spans="7:7">
      <c r="G157" s="5" t="str">
        <f t="shared" si="53"/>
        <v/>
      </c>
    </row>
    <row r="158" spans="7:7">
      <c r="G158" s="5" t="str">
        <f t="shared" si="53"/>
        <v/>
      </c>
    </row>
    <row r="159" spans="7:7">
      <c r="G159" s="5" t="str">
        <f t="shared" si="53"/>
        <v/>
      </c>
    </row>
    <row r="160" spans="7:7">
      <c r="G160" s="5" t="str">
        <f t="shared" si="53"/>
        <v/>
      </c>
    </row>
    <row r="161" spans="7:7">
      <c r="G161" s="5" t="str">
        <f t="shared" si="53"/>
        <v/>
      </c>
    </row>
    <row r="162" spans="7:7">
      <c r="G162" s="5" t="str">
        <f t="shared" si="53"/>
        <v/>
      </c>
    </row>
    <row r="163" spans="7:7">
      <c r="G163" s="5" t="str">
        <f t="shared" si="53"/>
        <v/>
      </c>
    </row>
    <row r="164" spans="7:7">
      <c r="G164" s="5" t="str">
        <f t="shared" si="53"/>
        <v/>
      </c>
    </row>
    <row r="165" spans="7:7">
      <c r="G165" s="5" t="str">
        <f t="shared" si="53"/>
        <v/>
      </c>
    </row>
    <row r="166" spans="7:7">
      <c r="G166" s="5" t="str">
        <f t="shared" si="53"/>
        <v/>
      </c>
    </row>
    <row r="167" spans="7:7">
      <c r="G167" s="5" t="str">
        <f t="shared" si="53"/>
        <v/>
      </c>
    </row>
    <row r="168" spans="7:7">
      <c r="G168" s="5" t="str">
        <f t="shared" si="53"/>
        <v/>
      </c>
    </row>
    <row r="169" spans="7:7">
      <c r="G169" s="5" t="str">
        <f t="shared" si="53"/>
        <v/>
      </c>
    </row>
    <row r="170" spans="7:7">
      <c r="G170" s="5" t="str">
        <f t="shared" si="53"/>
        <v/>
      </c>
    </row>
    <row r="171" spans="7:7">
      <c r="G171" s="5" t="str">
        <f t="shared" si="53"/>
        <v/>
      </c>
    </row>
    <row r="172" spans="7:7">
      <c r="G172" s="5" t="str">
        <f t="shared" si="53"/>
        <v/>
      </c>
    </row>
    <row r="173" spans="7:7">
      <c r="G173" s="5" t="str">
        <f t="shared" si="53"/>
        <v/>
      </c>
    </row>
    <row r="174" spans="7:7">
      <c r="G174" s="5" t="str">
        <f t="shared" si="53"/>
        <v/>
      </c>
    </row>
    <row r="175" spans="7:7">
      <c r="G175" s="5" t="str">
        <f t="shared" si="53"/>
        <v/>
      </c>
    </row>
    <row r="176" spans="7:7">
      <c r="G176" s="5" t="str">
        <f t="shared" si="53"/>
        <v/>
      </c>
    </row>
    <row r="177" spans="7:7">
      <c r="G177" s="5" t="str">
        <f t="shared" ref="G177:G240" si="54">IF(B177&lt;&gt;"",SUM(C177:F177),"")</f>
        <v/>
      </c>
    </row>
    <row r="178" spans="7:7">
      <c r="G178" s="5" t="str">
        <f t="shared" si="54"/>
        <v/>
      </c>
    </row>
    <row r="179" spans="7:7">
      <c r="G179" s="5" t="str">
        <f t="shared" si="54"/>
        <v/>
      </c>
    </row>
    <row r="180" spans="7:7">
      <c r="G180" s="5" t="str">
        <f t="shared" si="54"/>
        <v/>
      </c>
    </row>
    <row r="181" spans="7:7">
      <c r="G181" s="5" t="str">
        <f t="shared" si="54"/>
        <v/>
      </c>
    </row>
    <row r="182" spans="7:7">
      <c r="G182" s="5" t="str">
        <f t="shared" si="54"/>
        <v/>
      </c>
    </row>
    <row r="183" spans="7:7">
      <c r="G183" s="5" t="str">
        <f t="shared" si="54"/>
        <v/>
      </c>
    </row>
    <row r="184" spans="7:7">
      <c r="G184" s="5" t="str">
        <f t="shared" si="54"/>
        <v/>
      </c>
    </row>
    <row r="185" spans="7:7">
      <c r="G185" s="5" t="str">
        <f t="shared" si="54"/>
        <v/>
      </c>
    </row>
    <row r="186" spans="7:7">
      <c r="G186" s="5" t="str">
        <f t="shared" si="54"/>
        <v/>
      </c>
    </row>
    <row r="187" spans="7:7">
      <c r="G187" s="5" t="str">
        <f t="shared" si="54"/>
        <v/>
      </c>
    </row>
    <row r="188" spans="7:7">
      <c r="G188" s="5" t="str">
        <f t="shared" si="54"/>
        <v/>
      </c>
    </row>
    <row r="189" spans="7:7">
      <c r="G189" s="5" t="str">
        <f t="shared" si="54"/>
        <v/>
      </c>
    </row>
    <row r="190" spans="7:7">
      <c r="G190" s="5" t="str">
        <f t="shared" si="54"/>
        <v/>
      </c>
    </row>
    <row r="191" spans="7:7">
      <c r="G191" s="5" t="str">
        <f t="shared" si="54"/>
        <v/>
      </c>
    </row>
    <row r="192" spans="7:7">
      <c r="G192" s="5" t="str">
        <f t="shared" si="54"/>
        <v/>
      </c>
    </row>
    <row r="193" spans="7:7">
      <c r="G193" s="5" t="str">
        <f t="shared" si="54"/>
        <v/>
      </c>
    </row>
    <row r="194" spans="7:7">
      <c r="G194" s="5" t="str">
        <f t="shared" si="54"/>
        <v/>
      </c>
    </row>
    <row r="195" spans="7:7">
      <c r="G195" s="5" t="str">
        <f t="shared" si="54"/>
        <v/>
      </c>
    </row>
    <row r="196" spans="7:7">
      <c r="G196" s="5" t="str">
        <f t="shared" si="54"/>
        <v/>
      </c>
    </row>
    <row r="197" spans="7:7">
      <c r="G197" s="5" t="str">
        <f t="shared" si="54"/>
        <v/>
      </c>
    </row>
    <row r="198" spans="7:7">
      <c r="G198" s="5" t="str">
        <f t="shared" si="54"/>
        <v/>
      </c>
    </row>
    <row r="199" spans="7:7">
      <c r="G199" s="5" t="str">
        <f t="shared" si="54"/>
        <v/>
      </c>
    </row>
    <row r="200" spans="7:7">
      <c r="G200" s="5" t="str">
        <f t="shared" si="54"/>
        <v/>
      </c>
    </row>
    <row r="201" spans="7:7">
      <c r="G201" s="5" t="str">
        <f t="shared" si="54"/>
        <v/>
      </c>
    </row>
    <row r="202" spans="7:7">
      <c r="G202" s="5" t="str">
        <f t="shared" si="54"/>
        <v/>
      </c>
    </row>
    <row r="203" spans="7:7">
      <c r="G203" s="5" t="str">
        <f t="shared" si="54"/>
        <v/>
      </c>
    </row>
    <row r="204" spans="7:7">
      <c r="G204" s="5" t="str">
        <f t="shared" si="54"/>
        <v/>
      </c>
    </row>
    <row r="205" spans="7:7">
      <c r="G205" s="5" t="str">
        <f t="shared" si="54"/>
        <v/>
      </c>
    </row>
    <row r="206" spans="7:7">
      <c r="G206" s="5" t="str">
        <f t="shared" si="54"/>
        <v/>
      </c>
    </row>
    <row r="207" spans="7:7">
      <c r="G207" s="5" t="str">
        <f t="shared" si="54"/>
        <v/>
      </c>
    </row>
    <row r="208" spans="7:7">
      <c r="G208" s="5" t="str">
        <f t="shared" si="54"/>
        <v/>
      </c>
    </row>
    <row r="209" spans="7:7">
      <c r="G209" s="5" t="str">
        <f t="shared" si="54"/>
        <v/>
      </c>
    </row>
    <row r="210" spans="7:7">
      <c r="G210" s="5" t="str">
        <f t="shared" si="54"/>
        <v/>
      </c>
    </row>
    <row r="211" spans="7:7">
      <c r="G211" s="5" t="str">
        <f t="shared" si="54"/>
        <v/>
      </c>
    </row>
    <row r="212" spans="7:7">
      <c r="G212" s="5" t="str">
        <f t="shared" si="54"/>
        <v/>
      </c>
    </row>
    <row r="213" spans="7:7">
      <c r="G213" s="5" t="str">
        <f t="shared" si="54"/>
        <v/>
      </c>
    </row>
    <row r="214" spans="7:7">
      <c r="G214" s="5" t="str">
        <f t="shared" si="54"/>
        <v/>
      </c>
    </row>
    <row r="215" spans="7:7">
      <c r="G215" s="5" t="str">
        <f t="shared" si="54"/>
        <v/>
      </c>
    </row>
    <row r="216" spans="7:7">
      <c r="G216" s="5" t="str">
        <f t="shared" si="54"/>
        <v/>
      </c>
    </row>
    <row r="217" spans="7:7">
      <c r="G217" s="5" t="str">
        <f t="shared" si="54"/>
        <v/>
      </c>
    </row>
    <row r="218" spans="7:7">
      <c r="G218" s="5" t="str">
        <f t="shared" si="54"/>
        <v/>
      </c>
    </row>
    <row r="219" spans="7:7">
      <c r="G219" s="5" t="str">
        <f t="shared" si="54"/>
        <v/>
      </c>
    </row>
    <row r="220" spans="7:7">
      <c r="G220" s="5" t="str">
        <f t="shared" si="54"/>
        <v/>
      </c>
    </row>
    <row r="221" spans="7:7">
      <c r="G221" s="5" t="str">
        <f t="shared" si="54"/>
        <v/>
      </c>
    </row>
    <row r="222" spans="7:7">
      <c r="G222" s="5" t="str">
        <f t="shared" si="54"/>
        <v/>
      </c>
    </row>
    <row r="223" spans="7:7">
      <c r="G223" s="5" t="str">
        <f t="shared" si="54"/>
        <v/>
      </c>
    </row>
    <row r="224" spans="7:7">
      <c r="G224" s="5" t="str">
        <f t="shared" si="54"/>
        <v/>
      </c>
    </row>
    <row r="225" spans="7:7">
      <c r="G225" s="5" t="str">
        <f t="shared" si="54"/>
        <v/>
      </c>
    </row>
    <row r="226" spans="7:7">
      <c r="G226" s="5" t="str">
        <f t="shared" si="54"/>
        <v/>
      </c>
    </row>
    <row r="227" spans="7:7">
      <c r="G227" s="5" t="str">
        <f t="shared" si="54"/>
        <v/>
      </c>
    </row>
    <row r="228" spans="7:7">
      <c r="G228" s="5" t="str">
        <f t="shared" si="54"/>
        <v/>
      </c>
    </row>
    <row r="229" spans="7:7">
      <c r="G229" s="5" t="str">
        <f t="shared" si="54"/>
        <v/>
      </c>
    </row>
    <row r="230" spans="7:7">
      <c r="G230" s="5" t="str">
        <f t="shared" si="54"/>
        <v/>
      </c>
    </row>
    <row r="231" spans="7:7">
      <c r="G231" s="5" t="str">
        <f t="shared" si="54"/>
        <v/>
      </c>
    </row>
    <row r="232" spans="7:7">
      <c r="G232" s="5" t="str">
        <f t="shared" si="54"/>
        <v/>
      </c>
    </row>
    <row r="233" spans="7:7">
      <c r="G233" s="5" t="str">
        <f t="shared" si="54"/>
        <v/>
      </c>
    </row>
    <row r="234" spans="7:7">
      <c r="G234" s="5" t="str">
        <f t="shared" si="54"/>
        <v/>
      </c>
    </row>
    <row r="235" spans="7:7">
      <c r="G235" s="5" t="str">
        <f t="shared" si="54"/>
        <v/>
      </c>
    </row>
    <row r="236" spans="7:7">
      <c r="G236" s="5" t="str">
        <f t="shared" si="54"/>
        <v/>
      </c>
    </row>
    <row r="237" spans="7:7">
      <c r="G237" s="5" t="str">
        <f t="shared" si="54"/>
        <v/>
      </c>
    </row>
    <row r="238" spans="7:7">
      <c r="G238" s="5" t="str">
        <f t="shared" si="54"/>
        <v/>
      </c>
    </row>
    <row r="239" spans="7:7">
      <c r="G239" s="5" t="str">
        <f t="shared" si="54"/>
        <v/>
      </c>
    </row>
    <row r="240" spans="7:7">
      <c r="G240" s="5" t="str">
        <f t="shared" si="54"/>
        <v/>
      </c>
    </row>
    <row r="241" spans="7:7">
      <c r="G241" s="5" t="str">
        <f t="shared" ref="G241:G304" si="55">IF(B241&lt;&gt;"",SUM(C241:F241),"")</f>
        <v/>
      </c>
    </row>
    <row r="242" spans="7:7">
      <c r="G242" s="5" t="str">
        <f t="shared" si="55"/>
        <v/>
      </c>
    </row>
    <row r="243" spans="7:7">
      <c r="G243" s="5" t="str">
        <f t="shared" si="55"/>
        <v/>
      </c>
    </row>
    <row r="244" spans="7:7">
      <c r="G244" s="5" t="str">
        <f t="shared" si="55"/>
        <v/>
      </c>
    </row>
    <row r="245" spans="7:7">
      <c r="G245" s="5" t="str">
        <f t="shared" si="55"/>
        <v/>
      </c>
    </row>
    <row r="246" spans="7:7">
      <c r="G246" s="5" t="str">
        <f t="shared" si="55"/>
        <v/>
      </c>
    </row>
    <row r="247" spans="7:7">
      <c r="G247" s="5" t="str">
        <f t="shared" si="55"/>
        <v/>
      </c>
    </row>
    <row r="248" spans="7:7">
      <c r="G248" s="5" t="str">
        <f t="shared" si="55"/>
        <v/>
      </c>
    </row>
    <row r="249" spans="7:7">
      <c r="G249" s="5" t="str">
        <f t="shared" si="55"/>
        <v/>
      </c>
    </row>
    <row r="250" spans="7:7">
      <c r="G250" s="5" t="str">
        <f t="shared" si="55"/>
        <v/>
      </c>
    </row>
    <row r="251" spans="7:7">
      <c r="G251" s="5" t="str">
        <f t="shared" si="55"/>
        <v/>
      </c>
    </row>
    <row r="252" spans="7:7">
      <c r="G252" s="5" t="str">
        <f t="shared" si="55"/>
        <v/>
      </c>
    </row>
    <row r="253" spans="7:7">
      <c r="G253" s="5" t="str">
        <f t="shared" si="55"/>
        <v/>
      </c>
    </row>
    <row r="254" spans="7:7">
      <c r="G254" s="5" t="str">
        <f t="shared" si="55"/>
        <v/>
      </c>
    </row>
    <row r="255" spans="7:7">
      <c r="G255" s="5" t="str">
        <f t="shared" si="55"/>
        <v/>
      </c>
    </row>
    <row r="256" spans="7:7">
      <c r="G256" s="5" t="str">
        <f t="shared" si="55"/>
        <v/>
      </c>
    </row>
    <row r="257" spans="7:7">
      <c r="G257" s="5" t="str">
        <f t="shared" si="55"/>
        <v/>
      </c>
    </row>
    <row r="258" spans="7:7">
      <c r="G258" s="5" t="str">
        <f t="shared" si="55"/>
        <v/>
      </c>
    </row>
    <row r="259" spans="7:7">
      <c r="G259" s="5" t="str">
        <f t="shared" si="55"/>
        <v/>
      </c>
    </row>
    <row r="260" spans="7:7">
      <c r="G260" s="5" t="str">
        <f t="shared" si="55"/>
        <v/>
      </c>
    </row>
    <row r="261" spans="7:7">
      <c r="G261" s="5" t="str">
        <f t="shared" si="55"/>
        <v/>
      </c>
    </row>
    <row r="262" spans="7:7">
      <c r="G262" s="5" t="str">
        <f t="shared" si="55"/>
        <v/>
      </c>
    </row>
    <row r="263" spans="7:7">
      <c r="G263" s="5" t="str">
        <f t="shared" si="55"/>
        <v/>
      </c>
    </row>
    <row r="264" spans="7:7">
      <c r="G264" s="5" t="str">
        <f t="shared" si="55"/>
        <v/>
      </c>
    </row>
    <row r="265" spans="7:7">
      <c r="G265" s="5" t="str">
        <f t="shared" si="55"/>
        <v/>
      </c>
    </row>
    <row r="266" spans="7:7">
      <c r="G266" s="5" t="str">
        <f t="shared" si="55"/>
        <v/>
      </c>
    </row>
    <row r="267" spans="7:7">
      <c r="G267" s="5" t="str">
        <f t="shared" si="55"/>
        <v/>
      </c>
    </row>
    <row r="268" spans="7:7">
      <c r="G268" s="5" t="str">
        <f t="shared" si="55"/>
        <v/>
      </c>
    </row>
    <row r="269" spans="7:7">
      <c r="G269" s="5" t="str">
        <f t="shared" si="55"/>
        <v/>
      </c>
    </row>
    <row r="270" spans="7:7">
      <c r="G270" s="5" t="str">
        <f t="shared" si="55"/>
        <v/>
      </c>
    </row>
    <row r="271" spans="7:7">
      <c r="G271" s="5" t="str">
        <f t="shared" si="55"/>
        <v/>
      </c>
    </row>
    <row r="272" spans="7:7">
      <c r="G272" s="5" t="str">
        <f t="shared" si="55"/>
        <v/>
      </c>
    </row>
    <row r="273" spans="7:7">
      <c r="G273" s="5" t="str">
        <f t="shared" si="55"/>
        <v/>
      </c>
    </row>
    <row r="274" spans="7:7">
      <c r="G274" s="5" t="str">
        <f t="shared" si="55"/>
        <v/>
      </c>
    </row>
    <row r="275" spans="7:7">
      <c r="G275" s="5" t="str">
        <f t="shared" si="55"/>
        <v/>
      </c>
    </row>
    <row r="276" spans="7:7">
      <c r="G276" s="5" t="str">
        <f t="shared" si="55"/>
        <v/>
      </c>
    </row>
    <row r="277" spans="7:7">
      <c r="G277" s="5" t="str">
        <f t="shared" si="55"/>
        <v/>
      </c>
    </row>
    <row r="278" spans="7:7">
      <c r="G278" s="5" t="str">
        <f t="shared" si="55"/>
        <v/>
      </c>
    </row>
    <row r="279" spans="7:7">
      <c r="G279" s="5" t="str">
        <f t="shared" si="55"/>
        <v/>
      </c>
    </row>
    <row r="280" spans="7:7">
      <c r="G280" s="5" t="str">
        <f t="shared" si="55"/>
        <v/>
      </c>
    </row>
    <row r="281" spans="7:7">
      <c r="G281" s="5" t="str">
        <f t="shared" si="55"/>
        <v/>
      </c>
    </row>
    <row r="282" spans="7:7">
      <c r="G282" s="5" t="str">
        <f t="shared" si="55"/>
        <v/>
      </c>
    </row>
    <row r="283" spans="7:7">
      <c r="G283" s="5" t="str">
        <f t="shared" si="55"/>
        <v/>
      </c>
    </row>
    <row r="284" spans="7:7">
      <c r="G284" s="5" t="str">
        <f t="shared" si="55"/>
        <v/>
      </c>
    </row>
    <row r="285" spans="7:7">
      <c r="G285" s="5" t="str">
        <f t="shared" si="55"/>
        <v/>
      </c>
    </row>
    <row r="286" spans="7:7">
      <c r="G286" s="5" t="str">
        <f t="shared" si="55"/>
        <v/>
      </c>
    </row>
    <row r="287" spans="7:7">
      <c r="G287" s="5" t="str">
        <f t="shared" si="55"/>
        <v/>
      </c>
    </row>
    <row r="288" spans="7:7">
      <c r="G288" s="5" t="str">
        <f t="shared" si="55"/>
        <v/>
      </c>
    </row>
    <row r="289" spans="7:7">
      <c r="G289" s="5" t="str">
        <f t="shared" si="55"/>
        <v/>
      </c>
    </row>
    <row r="290" spans="7:7">
      <c r="G290" s="5" t="str">
        <f t="shared" si="55"/>
        <v/>
      </c>
    </row>
    <row r="291" spans="7:7">
      <c r="G291" s="5" t="str">
        <f t="shared" si="55"/>
        <v/>
      </c>
    </row>
    <row r="292" spans="7:7">
      <c r="G292" s="5" t="str">
        <f t="shared" si="55"/>
        <v/>
      </c>
    </row>
    <row r="293" spans="7:7">
      <c r="G293" s="5" t="str">
        <f t="shared" si="55"/>
        <v/>
      </c>
    </row>
    <row r="294" spans="7:7">
      <c r="G294" s="5" t="str">
        <f t="shared" si="55"/>
        <v/>
      </c>
    </row>
    <row r="295" spans="7:7">
      <c r="G295" s="5" t="str">
        <f t="shared" si="55"/>
        <v/>
      </c>
    </row>
    <row r="296" spans="7:7">
      <c r="G296" s="5" t="str">
        <f t="shared" si="55"/>
        <v/>
      </c>
    </row>
    <row r="297" spans="7:7">
      <c r="G297" s="5" t="str">
        <f t="shared" si="55"/>
        <v/>
      </c>
    </row>
    <row r="298" spans="7:7">
      <c r="G298" s="5" t="str">
        <f t="shared" si="55"/>
        <v/>
      </c>
    </row>
    <row r="299" spans="7:7">
      <c r="G299" s="5" t="str">
        <f t="shared" si="55"/>
        <v/>
      </c>
    </row>
    <row r="300" spans="7:7">
      <c r="G300" s="5" t="str">
        <f t="shared" si="55"/>
        <v/>
      </c>
    </row>
    <row r="301" spans="7:7">
      <c r="G301" s="5" t="str">
        <f t="shared" si="55"/>
        <v/>
      </c>
    </row>
    <row r="302" spans="7:7">
      <c r="G302" s="5" t="str">
        <f t="shared" si="55"/>
        <v/>
      </c>
    </row>
    <row r="303" spans="7:7">
      <c r="G303" s="5" t="str">
        <f t="shared" si="55"/>
        <v/>
      </c>
    </row>
    <row r="304" spans="7:7">
      <c r="G304" s="5" t="str">
        <f t="shared" si="55"/>
        <v/>
      </c>
    </row>
    <row r="305" spans="7:7">
      <c r="G305" s="5" t="str">
        <f t="shared" ref="G305:G368" si="56">IF(B305&lt;&gt;"",SUM(C305:F305),"")</f>
        <v/>
      </c>
    </row>
    <row r="306" spans="7:7">
      <c r="G306" s="5" t="str">
        <f t="shared" si="56"/>
        <v/>
      </c>
    </row>
    <row r="307" spans="7:7">
      <c r="G307" s="5" t="str">
        <f t="shared" si="56"/>
        <v/>
      </c>
    </row>
    <row r="308" spans="7:7">
      <c r="G308" s="5" t="str">
        <f t="shared" si="56"/>
        <v/>
      </c>
    </row>
    <row r="309" spans="7:7">
      <c r="G309" s="5" t="str">
        <f t="shared" si="56"/>
        <v/>
      </c>
    </row>
    <row r="310" spans="7:7">
      <c r="G310" s="5" t="str">
        <f t="shared" si="56"/>
        <v/>
      </c>
    </row>
    <row r="311" spans="7:7">
      <c r="G311" s="5" t="str">
        <f t="shared" si="56"/>
        <v/>
      </c>
    </row>
    <row r="312" spans="7:7">
      <c r="G312" s="5" t="str">
        <f t="shared" si="56"/>
        <v/>
      </c>
    </row>
    <row r="313" spans="7:7">
      <c r="G313" s="5" t="str">
        <f t="shared" si="56"/>
        <v/>
      </c>
    </row>
    <row r="314" spans="7:7">
      <c r="G314" s="5" t="str">
        <f t="shared" si="56"/>
        <v/>
      </c>
    </row>
    <row r="315" spans="7:7">
      <c r="G315" s="5" t="str">
        <f t="shared" si="56"/>
        <v/>
      </c>
    </row>
    <row r="316" spans="7:7">
      <c r="G316" s="5" t="str">
        <f t="shared" si="56"/>
        <v/>
      </c>
    </row>
    <row r="317" spans="7:7">
      <c r="G317" s="5" t="str">
        <f t="shared" si="56"/>
        <v/>
      </c>
    </row>
    <row r="318" spans="7:7">
      <c r="G318" s="5" t="str">
        <f t="shared" si="56"/>
        <v/>
      </c>
    </row>
    <row r="319" spans="7:7">
      <c r="G319" s="5" t="str">
        <f t="shared" si="56"/>
        <v/>
      </c>
    </row>
    <row r="320" spans="7:7">
      <c r="G320" s="5" t="str">
        <f t="shared" si="56"/>
        <v/>
      </c>
    </row>
    <row r="321" spans="7:7">
      <c r="G321" s="5" t="str">
        <f t="shared" si="56"/>
        <v/>
      </c>
    </row>
    <row r="322" spans="7:7">
      <c r="G322" s="5" t="str">
        <f t="shared" si="56"/>
        <v/>
      </c>
    </row>
    <row r="323" spans="7:7">
      <c r="G323" s="5" t="str">
        <f t="shared" si="56"/>
        <v/>
      </c>
    </row>
    <row r="324" spans="7:7">
      <c r="G324" s="5" t="str">
        <f t="shared" si="56"/>
        <v/>
      </c>
    </row>
    <row r="325" spans="7:7">
      <c r="G325" s="5" t="str">
        <f t="shared" si="56"/>
        <v/>
      </c>
    </row>
    <row r="326" spans="7:7">
      <c r="G326" s="5" t="str">
        <f t="shared" si="56"/>
        <v/>
      </c>
    </row>
    <row r="327" spans="7:7">
      <c r="G327" s="5" t="str">
        <f t="shared" si="56"/>
        <v/>
      </c>
    </row>
    <row r="328" spans="7:7">
      <c r="G328" s="5" t="str">
        <f t="shared" si="56"/>
        <v/>
      </c>
    </row>
    <row r="329" spans="7:7">
      <c r="G329" s="5" t="str">
        <f t="shared" si="56"/>
        <v/>
      </c>
    </row>
    <row r="330" spans="7:7">
      <c r="G330" s="5" t="str">
        <f t="shared" si="56"/>
        <v/>
      </c>
    </row>
    <row r="331" spans="7:7">
      <c r="G331" s="5" t="str">
        <f t="shared" si="56"/>
        <v/>
      </c>
    </row>
    <row r="332" spans="7:7">
      <c r="G332" s="5" t="str">
        <f t="shared" si="56"/>
        <v/>
      </c>
    </row>
    <row r="333" spans="7:7">
      <c r="G333" s="5" t="str">
        <f t="shared" si="56"/>
        <v/>
      </c>
    </row>
    <row r="334" spans="7:7">
      <c r="G334" s="5" t="str">
        <f t="shared" si="56"/>
        <v/>
      </c>
    </row>
    <row r="335" spans="7:7">
      <c r="G335" s="5" t="str">
        <f t="shared" si="56"/>
        <v/>
      </c>
    </row>
    <row r="336" spans="7:7">
      <c r="G336" s="5" t="str">
        <f t="shared" si="56"/>
        <v/>
      </c>
    </row>
    <row r="337" spans="7:7">
      <c r="G337" s="5" t="str">
        <f t="shared" si="56"/>
        <v/>
      </c>
    </row>
    <row r="338" spans="7:7">
      <c r="G338" s="5" t="str">
        <f t="shared" si="56"/>
        <v/>
      </c>
    </row>
    <row r="339" spans="7:7">
      <c r="G339" s="5" t="str">
        <f t="shared" si="56"/>
        <v/>
      </c>
    </row>
    <row r="340" spans="7:7">
      <c r="G340" s="5" t="str">
        <f t="shared" si="56"/>
        <v/>
      </c>
    </row>
    <row r="341" spans="7:7">
      <c r="G341" s="5" t="str">
        <f t="shared" si="56"/>
        <v/>
      </c>
    </row>
    <row r="342" spans="7:7">
      <c r="G342" s="5" t="str">
        <f t="shared" si="56"/>
        <v/>
      </c>
    </row>
    <row r="343" spans="7:7">
      <c r="G343" s="5" t="str">
        <f t="shared" si="56"/>
        <v/>
      </c>
    </row>
    <row r="344" spans="7:7">
      <c r="G344" s="5" t="str">
        <f t="shared" si="56"/>
        <v/>
      </c>
    </row>
    <row r="345" spans="7:7">
      <c r="G345" s="5" t="str">
        <f t="shared" si="56"/>
        <v/>
      </c>
    </row>
    <row r="346" spans="7:7">
      <c r="G346" s="5" t="str">
        <f t="shared" si="56"/>
        <v/>
      </c>
    </row>
    <row r="347" spans="7:7">
      <c r="G347" s="5" t="str">
        <f t="shared" si="56"/>
        <v/>
      </c>
    </row>
    <row r="348" spans="7:7">
      <c r="G348" s="5" t="str">
        <f t="shared" si="56"/>
        <v/>
      </c>
    </row>
    <row r="349" spans="7:7">
      <c r="G349" s="5" t="str">
        <f t="shared" si="56"/>
        <v/>
      </c>
    </row>
    <row r="350" spans="7:7">
      <c r="G350" s="5" t="str">
        <f t="shared" si="56"/>
        <v/>
      </c>
    </row>
    <row r="351" spans="7:7">
      <c r="G351" s="5" t="str">
        <f t="shared" si="56"/>
        <v/>
      </c>
    </row>
    <row r="352" spans="7:7">
      <c r="G352" s="5" t="str">
        <f t="shared" si="56"/>
        <v/>
      </c>
    </row>
    <row r="353" spans="7:7">
      <c r="G353" s="5" t="str">
        <f t="shared" si="56"/>
        <v/>
      </c>
    </row>
    <row r="354" spans="7:7">
      <c r="G354" s="5" t="str">
        <f t="shared" si="56"/>
        <v/>
      </c>
    </row>
    <row r="355" spans="7:7">
      <c r="G355" s="5" t="str">
        <f t="shared" si="56"/>
        <v/>
      </c>
    </row>
    <row r="356" spans="7:7">
      <c r="G356" s="5" t="str">
        <f t="shared" si="56"/>
        <v/>
      </c>
    </row>
    <row r="357" spans="7:7">
      <c r="G357" s="5" t="str">
        <f t="shared" si="56"/>
        <v/>
      </c>
    </row>
    <row r="358" spans="7:7">
      <c r="G358" s="5" t="str">
        <f t="shared" si="56"/>
        <v/>
      </c>
    </row>
    <row r="359" spans="7:7">
      <c r="G359" s="5" t="str">
        <f t="shared" si="56"/>
        <v/>
      </c>
    </row>
    <row r="360" spans="7:7">
      <c r="G360" s="5" t="str">
        <f t="shared" si="56"/>
        <v/>
      </c>
    </row>
    <row r="361" spans="7:7">
      <c r="G361" s="5" t="str">
        <f t="shared" si="56"/>
        <v/>
      </c>
    </row>
    <row r="362" spans="7:7">
      <c r="G362" s="5" t="str">
        <f t="shared" si="56"/>
        <v/>
      </c>
    </row>
    <row r="363" spans="7:7">
      <c r="G363" s="5" t="str">
        <f t="shared" si="56"/>
        <v/>
      </c>
    </row>
    <row r="364" spans="7:7">
      <c r="G364" s="5" t="str">
        <f t="shared" si="56"/>
        <v/>
      </c>
    </row>
    <row r="365" spans="7:7">
      <c r="G365" s="5" t="str">
        <f t="shared" si="56"/>
        <v/>
      </c>
    </row>
    <row r="366" spans="7:7">
      <c r="G366" s="5" t="str">
        <f t="shared" si="56"/>
        <v/>
      </c>
    </row>
    <row r="367" spans="7:7">
      <c r="G367" s="5" t="str">
        <f t="shared" si="56"/>
        <v/>
      </c>
    </row>
    <row r="368" spans="7:7">
      <c r="G368" s="5" t="str">
        <f t="shared" si="56"/>
        <v/>
      </c>
    </row>
    <row r="369" spans="7:7">
      <c r="G369" s="5" t="str">
        <f t="shared" ref="G369:G432" si="57">IF(B369&lt;&gt;"",SUM(C369:F369),"")</f>
        <v/>
      </c>
    </row>
    <row r="370" spans="7:7">
      <c r="G370" s="5" t="str">
        <f t="shared" si="57"/>
        <v/>
      </c>
    </row>
    <row r="371" spans="7:7">
      <c r="G371" s="5" t="str">
        <f t="shared" si="57"/>
        <v/>
      </c>
    </row>
    <row r="372" spans="7:7">
      <c r="G372" s="5" t="str">
        <f t="shared" si="57"/>
        <v/>
      </c>
    </row>
    <row r="373" spans="7:7">
      <c r="G373" s="5" t="str">
        <f t="shared" si="57"/>
        <v/>
      </c>
    </row>
    <row r="374" spans="7:7">
      <c r="G374" s="5" t="str">
        <f t="shared" si="57"/>
        <v/>
      </c>
    </row>
    <row r="375" spans="7:7">
      <c r="G375" s="5" t="str">
        <f t="shared" si="57"/>
        <v/>
      </c>
    </row>
    <row r="376" spans="7:7">
      <c r="G376" s="5" t="str">
        <f t="shared" si="57"/>
        <v/>
      </c>
    </row>
    <row r="377" spans="7:7">
      <c r="G377" s="5" t="str">
        <f t="shared" si="57"/>
        <v/>
      </c>
    </row>
    <row r="378" spans="7:7">
      <c r="G378" s="5" t="str">
        <f t="shared" si="57"/>
        <v/>
      </c>
    </row>
    <row r="379" spans="7:7">
      <c r="G379" s="5" t="str">
        <f t="shared" si="57"/>
        <v/>
      </c>
    </row>
    <row r="380" spans="7:7">
      <c r="G380" s="5" t="str">
        <f t="shared" si="57"/>
        <v/>
      </c>
    </row>
    <row r="381" spans="7:7">
      <c r="G381" s="5" t="str">
        <f t="shared" si="57"/>
        <v/>
      </c>
    </row>
    <row r="382" spans="7:7">
      <c r="G382" s="5" t="str">
        <f t="shared" si="57"/>
        <v/>
      </c>
    </row>
    <row r="383" spans="7:7">
      <c r="G383" s="5" t="str">
        <f t="shared" si="57"/>
        <v/>
      </c>
    </row>
    <row r="384" spans="7:7">
      <c r="G384" s="5" t="str">
        <f t="shared" si="57"/>
        <v/>
      </c>
    </row>
    <row r="385" spans="7:7">
      <c r="G385" s="5" t="str">
        <f t="shared" si="57"/>
        <v/>
      </c>
    </row>
    <row r="386" spans="7:7">
      <c r="G386" s="5" t="str">
        <f t="shared" si="57"/>
        <v/>
      </c>
    </row>
    <row r="387" spans="7:7">
      <c r="G387" s="5" t="str">
        <f t="shared" si="57"/>
        <v/>
      </c>
    </row>
    <row r="388" spans="7:7">
      <c r="G388" s="5" t="str">
        <f t="shared" si="57"/>
        <v/>
      </c>
    </row>
    <row r="389" spans="7:7">
      <c r="G389" s="5" t="str">
        <f t="shared" si="57"/>
        <v/>
      </c>
    </row>
    <row r="390" spans="7:7">
      <c r="G390" s="5" t="str">
        <f t="shared" si="57"/>
        <v/>
      </c>
    </row>
    <row r="391" spans="7:7">
      <c r="G391" s="5" t="str">
        <f t="shared" si="57"/>
        <v/>
      </c>
    </row>
    <row r="392" spans="7:7">
      <c r="G392" s="5" t="str">
        <f t="shared" si="57"/>
        <v/>
      </c>
    </row>
    <row r="393" spans="7:7">
      <c r="G393" s="5" t="str">
        <f t="shared" si="57"/>
        <v/>
      </c>
    </row>
    <row r="394" spans="7:7">
      <c r="G394" s="5" t="str">
        <f t="shared" si="57"/>
        <v/>
      </c>
    </row>
    <row r="395" spans="7:7">
      <c r="G395" s="5" t="str">
        <f t="shared" si="57"/>
        <v/>
      </c>
    </row>
    <row r="396" spans="7:7">
      <c r="G396" s="5" t="str">
        <f t="shared" si="57"/>
        <v/>
      </c>
    </row>
    <row r="397" spans="7:7">
      <c r="G397" s="5" t="str">
        <f t="shared" si="57"/>
        <v/>
      </c>
    </row>
    <row r="398" spans="7:7">
      <c r="G398" s="5" t="str">
        <f t="shared" si="57"/>
        <v/>
      </c>
    </row>
    <row r="399" spans="7:7">
      <c r="G399" s="5" t="str">
        <f t="shared" si="57"/>
        <v/>
      </c>
    </row>
    <row r="400" spans="7:7">
      <c r="G400" s="5" t="str">
        <f t="shared" si="57"/>
        <v/>
      </c>
    </row>
    <row r="401" spans="7:7">
      <c r="G401" s="5" t="str">
        <f t="shared" si="57"/>
        <v/>
      </c>
    </row>
    <row r="402" spans="7:7">
      <c r="G402" s="5" t="str">
        <f t="shared" si="57"/>
        <v/>
      </c>
    </row>
    <row r="403" spans="7:7">
      <c r="G403" s="5" t="str">
        <f t="shared" si="57"/>
        <v/>
      </c>
    </row>
    <row r="404" spans="7:7">
      <c r="G404" s="5" t="str">
        <f t="shared" si="57"/>
        <v/>
      </c>
    </row>
    <row r="405" spans="7:7">
      <c r="G405" s="5" t="str">
        <f t="shared" si="57"/>
        <v/>
      </c>
    </row>
    <row r="406" spans="7:7">
      <c r="G406" s="5" t="str">
        <f t="shared" si="57"/>
        <v/>
      </c>
    </row>
    <row r="407" spans="7:7">
      <c r="G407" s="5" t="str">
        <f t="shared" si="57"/>
        <v/>
      </c>
    </row>
    <row r="408" spans="7:7">
      <c r="G408" s="5" t="str">
        <f t="shared" si="57"/>
        <v/>
      </c>
    </row>
    <row r="409" spans="7:7">
      <c r="G409" s="5" t="str">
        <f t="shared" si="57"/>
        <v/>
      </c>
    </row>
    <row r="410" spans="7:7">
      <c r="G410" s="5" t="str">
        <f t="shared" si="57"/>
        <v/>
      </c>
    </row>
    <row r="411" spans="7:7">
      <c r="G411" s="5" t="str">
        <f t="shared" si="57"/>
        <v/>
      </c>
    </row>
    <row r="412" spans="7:7">
      <c r="G412" s="5" t="str">
        <f t="shared" si="57"/>
        <v/>
      </c>
    </row>
    <row r="413" spans="7:7">
      <c r="G413" s="5" t="str">
        <f t="shared" si="57"/>
        <v/>
      </c>
    </row>
    <row r="414" spans="7:7">
      <c r="G414" s="5" t="str">
        <f t="shared" si="57"/>
        <v/>
      </c>
    </row>
    <row r="415" spans="7:7">
      <c r="G415" s="5" t="str">
        <f t="shared" si="57"/>
        <v/>
      </c>
    </row>
    <row r="416" spans="7:7">
      <c r="G416" s="5" t="str">
        <f t="shared" si="57"/>
        <v/>
      </c>
    </row>
    <row r="417" spans="7:7">
      <c r="G417" s="5" t="str">
        <f t="shared" si="57"/>
        <v/>
      </c>
    </row>
    <row r="418" spans="7:7">
      <c r="G418" s="5" t="str">
        <f t="shared" si="57"/>
        <v/>
      </c>
    </row>
    <row r="419" spans="7:7">
      <c r="G419" s="5" t="str">
        <f t="shared" si="57"/>
        <v/>
      </c>
    </row>
    <row r="420" spans="7:7">
      <c r="G420" s="5" t="str">
        <f t="shared" si="57"/>
        <v/>
      </c>
    </row>
    <row r="421" spans="7:7">
      <c r="G421" s="5" t="str">
        <f t="shared" si="57"/>
        <v/>
      </c>
    </row>
    <row r="422" spans="7:7">
      <c r="G422" s="5" t="str">
        <f t="shared" si="57"/>
        <v/>
      </c>
    </row>
    <row r="423" spans="7:7">
      <c r="G423" s="5" t="str">
        <f t="shared" si="57"/>
        <v/>
      </c>
    </row>
    <row r="424" spans="7:7">
      <c r="G424" s="5" t="str">
        <f t="shared" si="57"/>
        <v/>
      </c>
    </row>
    <row r="425" spans="7:7">
      <c r="G425" s="5" t="str">
        <f t="shared" si="57"/>
        <v/>
      </c>
    </row>
    <row r="426" spans="7:7">
      <c r="G426" s="5" t="str">
        <f t="shared" si="57"/>
        <v/>
      </c>
    </row>
    <row r="427" spans="7:7">
      <c r="G427" s="5" t="str">
        <f t="shared" si="57"/>
        <v/>
      </c>
    </row>
    <row r="428" spans="7:7">
      <c r="G428" s="5" t="str">
        <f t="shared" si="57"/>
        <v/>
      </c>
    </row>
    <row r="429" spans="7:7">
      <c r="G429" s="5" t="str">
        <f t="shared" si="57"/>
        <v/>
      </c>
    </row>
    <row r="430" spans="7:7">
      <c r="G430" s="5" t="str">
        <f t="shared" si="57"/>
        <v/>
      </c>
    </row>
    <row r="431" spans="7:7">
      <c r="G431" s="5" t="str">
        <f t="shared" si="57"/>
        <v/>
      </c>
    </row>
    <row r="432" spans="7:7">
      <c r="G432" s="5" t="str">
        <f t="shared" si="57"/>
        <v/>
      </c>
    </row>
    <row r="433" spans="7:7">
      <c r="G433" s="5" t="str">
        <f t="shared" ref="G433:G496" si="58">IF(B433&lt;&gt;"",SUM(C433:F433),"")</f>
        <v/>
      </c>
    </row>
    <row r="434" spans="7:7">
      <c r="G434" s="5" t="str">
        <f t="shared" si="58"/>
        <v/>
      </c>
    </row>
    <row r="435" spans="7:7">
      <c r="G435" s="5" t="str">
        <f t="shared" si="58"/>
        <v/>
      </c>
    </row>
    <row r="436" spans="7:7">
      <c r="G436" s="5" t="str">
        <f t="shared" si="58"/>
        <v/>
      </c>
    </row>
    <row r="437" spans="7:7">
      <c r="G437" s="5" t="str">
        <f t="shared" si="58"/>
        <v/>
      </c>
    </row>
    <row r="438" spans="7:7">
      <c r="G438" s="5" t="str">
        <f t="shared" si="58"/>
        <v/>
      </c>
    </row>
    <row r="439" spans="7:7">
      <c r="G439" s="5" t="str">
        <f t="shared" si="58"/>
        <v/>
      </c>
    </row>
    <row r="440" spans="7:7">
      <c r="G440" s="5" t="str">
        <f t="shared" si="58"/>
        <v/>
      </c>
    </row>
    <row r="441" spans="7:7">
      <c r="G441" s="5" t="str">
        <f t="shared" si="58"/>
        <v/>
      </c>
    </row>
    <row r="442" spans="7:7">
      <c r="G442" s="5" t="str">
        <f t="shared" si="58"/>
        <v/>
      </c>
    </row>
    <row r="443" spans="7:7">
      <c r="G443" s="5" t="str">
        <f t="shared" si="58"/>
        <v/>
      </c>
    </row>
    <row r="444" spans="7:7">
      <c r="G444" s="5" t="str">
        <f t="shared" si="58"/>
        <v/>
      </c>
    </row>
    <row r="445" spans="7:7">
      <c r="G445" s="5" t="str">
        <f t="shared" si="58"/>
        <v/>
      </c>
    </row>
    <row r="446" spans="7:7">
      <c r="G446" s="5" t="str">
        <f t="shared" si="58"/>
        <v/>
      </c>
    </row>
    <row r="447" spans="7:7">
      <c r="G447" s="5" t="str">
        <f t="shared" si="58"/>
        <v/>
      </c>
    </row>
    <row r="448" spans="7:7">
      <c r="G448" s="5" t="str">
        <f t="shared" si="58"/>
        <v/>
      </c>
    </row>
    <row r="449" spans="7:7">
      <c r="G449" s="5" t="str">
        <f t="shared" si="58"/>
        <v/>
      </c>
    </row>
    <row r="450" spans="7:7">
      <c r="G450" s="5" t="str">
        <f t="shared" si="58"/>
        <v/>
      </c>
    </row>
    <row r="451" spans="7:7">
      <c r="G451" s="5" t="str">
        <f t="shared" si="58"/>
        <v/>
      </c>
    </row>
    <row r="452" spans="7:7">
      <c r="G452" s="5" t="str">
        <f t="shared" si="58"/>
        <v/>
      </c>
    </row>
    <row r="453" spans="7:7">
      <c r="G453" s="5" t="str">
        <f t="shared" si="58"/>
        <v/>
      </c>
    </row>
    <row r="454" spans="7:7">
      <c r="G454" s="5" t="str">
        <f t="shared" si="58"/>
        <v/>
      </c>
    </row>
    <row r="455" spans="7:7">
      <c r="G455" s="5" t="str">
        <f t="shared" si="58"/>
        <v/>
      </c>
    </row>
    <row r="456" spans="7:7">
      <c r="G456" s="5" t="str">
        <f t="shared" si="58"/>
        <v/>
      </c>
    </row>
    <row r="457" spans="7:7">
      <c r="G457" s="5" t="str">
        <f t="shared" si="58"/>
        <v/>
      </c>
    </row>
    <row r="458" spans="7:7">
      <c r="G458" s="5" t="str">
        <f t="shared" si="58"/>
        <v/>
      </c>
    </row>
    <row r="459" spans="7:7">
      <c r="G459" s="5" t="str">
        <f t="shared" si="58"/>
        <v/>
      </c>
    </row>
    <row r="460" spans="7:7">
      <c r="G460" s="5" t="str">
        <f t="shared" si="58"/>
        <v/>
      </c>
    </row>
    <row r="461" spans="7:7">
      <c r="G461" s="5" t="str">
        <f t="shared" si="58"/>
        <v/>
      </c>
    </row>
    <row r="462" spans="7:7">
      <c r="G462" s="5" t="str">
        <f t="shared" si="58"/>
        <v/>
      </c>
    </row>
    <row r="463" spans="7:7">
      <c r="G463" s="5" t="str">
        <f t="shared" si="58"/>
        <v/>
      </c>
    </row>
    <row r="464" spans="7:7">
      <c r="G464" s="5" t="str">
        <f t="shared" si="58"/>
        <v/>
      </c>
    </row>
    <row r="465" spans="7:7">
      <c r="G465" s="5" t="str">
        <f t="shared" si="58"/>
        <v/>
      </c>
    </row>
    <row r="466" spans="7:7">
      <c r="G466" s="5" t="str">
        <f t="shared" si="58"/>
        <v/>
      </c>
    </row>
    <row r="467" spans="7:7">
      <c r="G467" s="5" t="str">
        <f t="shared" si="58"/>
        <v/>
      </c>
    </row>
    <row r="468" spans="7:7">
      <c r="G468" s="5" t="str">
        <f t="shared" si="58"/>
        <v/>
      </c>
    </row>
    <row r="469" spans="7:7">
      <c r="G469" s="5" t="str">
        <f t="shared" si="58"/>
        <v/>
      </c>
    </row>
    <row r="470" spans="7:7">
      <c r="G470" s="5" t="str">
        <f t="shared" si="58"/>
        <v/>
      </c>
    </row>
    <row r="471" spans="7:7">
      <c r="G471" s="5" t="str">
        <f t="shared" si="58"/>
        <v/>
      </c>
    </row>
    <row r="472" spans="7:7">
      <c r="G472" s="5" t="str">
        <f t="shared" si="58"/>
        <v/>
      </c>
    </row>
    <row r="473" spans="7:7">
      <c r="G473" s="5" t="str">
        <f t="shared" si="58"/>
        <v/>
      </c>
    </row>
    <row r="474" spans="7:7">
      <c r="G474" s="5" t="str">
        <f t="shared" si="58"/>
        <v/>
      </c>
    </row>
    <row r="475" spans="7:7">
      <c r="G475" s="5" t="str">
        <f t="shared" si="58"/>
        <v/>
      </c>
    </row>
    <row r="476" spans="7:7">
      <c r="G476" s="5" t="str">
        <f t="shared" si="58"/>
        <v/>
      </c>
    </row>
    <row r="477" spans="7:7">
      <c r="G477" s="5" t="str">
        <f t="shared" si="58"/>
        <v/>
      </c>
    </row>
    <row r="478" spans="7:7">
      <c r="G478" s="5" t="str">
        <f t="shared" si="58"/>
        <v/>
      </c>
    </row>
    <row r="479" spans="7:7">
      <c r="G479" s="5" t="str">
        <f t="shared" si="58"/>
        <v/>
      </c>
    </row>
    <row r="480" spans="7:7">
      <c r="G480" s="5" t="str">
        <f t="shared" si="58"/>
        <v/>
      </c>
    </row>
    <row r="481" spans="7:7">
      <c r="G481" s="5" t="str">
        <f t="shared" si="58"/>
        <v/>
      </c>
    </row>
    <row r="482" spans="7:7">
      <c r="G482" s="5" t="str">
        <f t="shared" si="58"/>
        <v/>
      </c>
    </row>
    <row r="483" spans="7:7">
      <c r="G483" s="5" t="str">
        <f t="shared" si="58"/>
        <v/>
      </c>
    </row>
    <row r="484" spans="7:7">
      <c r="G484" s="5" t="str">
        <f t="shared" si="58"/>
        <v/>
      </c>
    </row>
    <row r="485" spans="7:7">
      <c r="G485" s="5" t="str">
        <f t="shared" si="58"/>
        <v/>
      </c>
    </row>
    <row r="486" spans="7:7">
      <c r="G486" s="5" t="str">
        <f t="shared" si="58"/>
        <v/>
      </c>
    </row>
    <row r="487" spans="7:7">
      <c r="G487" s="5" t="str">
        <f t="shared" si="58"/>
        <v/>
      </c>
    </row>
    <row r="488" spans="7:7">
      <c r="G488" s="5" t="str">
        <f t="shared" si="58"/>
        <v/>
      </c>
    </row>
    <row r="489" spans="7:7">
      <c r="G489" s="5" t="str">
        <f t="shared" si="58"/>
        <v/>
      </c>
    </row>
    <row r="490" spans="7:7">
      <c r="G490" s="5" t="str">
        <f t="shared" si="58"/>
        <v/>
      </c>
    </row>
    <row r="491" spans="7:7">
      <c r="G491" s="5" t="str">
        <f t="shared" si="58"/>
        <v/>
      </c>
    </row>
    <row r="492" spans="7:7">
      <c r="G492" s="5" t="str">
        <f t="shared" si="58"/>
        <v/>
      </c>
    </row>
    <row r="493" spans="7:7">
      <c r="G493" s="5" t="str">
        <f t="shared" si="58"/>
        <v/>
      </c>
    </row>
    <row r="494" spans="7:7">
      <c r="G494" s="5" t="str">
        <f t="shared" si="58"/>
        <v/>
      </c>
    </row>
    <row r="495" spans="7:7">
      <c r="G495" s="5" t="str">
        <f t="shared" si="58"/>
        <v/>
      </c>
    </row>
    <row r="496" spans="7:7">
      <c r="G496" s="5" t="str">
        <f t="shared" si="58"/>
        <v/>
      </c>
    </row>
    <row r="497" spans="7:7">
      <c r="G497" s="5" t="str">
        <f t="shared" ref="G497:G528" si="59">IF(B497&lt;&gt;"",SUM(C497:F497),"")</f>
        <v/>
      </c>
    </row>
    <row r="498" spans="7:7">
      <c r="G498" s="5" t="str">
        <f t="shared" si="59"/>
        <v/>
      </c>
    </row>
    <row r="499" spans="7:7">
      <c r="G499" s="5" t="str">
        <f t="shared" si="59"/>
        <v/>
      </c>
    </row>
    <row r="500" spans="7:7">
      <c r="G500" s="5" t="str">
        <f t="shared" si="59"/>
        <v/>
      </c>
    </row>
    <row r="501" spans="7:7">
      <c r="G501" s="5" t="str">
        <f t="shared" si="59"/>
        <v/>
      </c>
    </row>
    <row r="502" spans="7:7">
      <c r="G502" s="5" t="str">
        <f t="shared" si="59"/>
        <v/>
      </c>
    </row>
    <row r="503" spans="7:7">
      <c r="G503" s="5" t="str">
        <f t="shared" si="59"/>
        <v/>
      </c>
    </row>
    <row r="504" spans="7:7">
      <c r="G504" s="5" t="str">
        <f t="shared" si="59"/>
        <v/>
      </c>
    </row>
    <row r="505" spans="7:7">
      <c r="G505" s="5" t="str">
        <f t="shared" si="59"/>
        <v/>
      </c>
    </row>
    <row r="506" spans="7:7">
      <c r="G506" s="5" t="str">
        <f t="shared" si="59"/>
        <v/>
      </c>
    </row>
    <row r="507" spans="7:7">
      <c r="G507" s="5" t="str">
        <f t="shared" si="59"/>
        <v/>
      </c>
    </row>
    <row r="508" spans="7:7">
      <c r="G508" s="5" t="str">
        <f t="shared" si="59"/>
        <v/>
      </c>
    </row>
    <row r="509" spans="7:7">
      <c r="G509" s="5" t="str">
        <f t="shared" si="59"/>
        <v/>
      </c>
    </row>
    <row r="510" spans="7:7">
      <c r="G510" s="5" t="str">
        <f t="shared" si="59"/>
        <v/>
      </c>
    </row>
    <row r="511" spans="7:7">
      <c r="G511" s="5" t="str">
        <f t="shared" si="59"/>
        <v/>
      </c>
    </row>
    <row r="512" spans="7:7">
      <c r="G512" s="5" t="str">
        <f t="shared" si="59"/>
        <v/>
      </c>
    </row>
    <row r="513" spans="7:7">
      <c r="G513" s="5" t="str">
        <f t="shared" si="59"/>
        <v/>
      </c>
    </row>
    <row r="514" spans="7:7">
      <c r="G514" s="5" t="str">
        <f t="shared" si="59"/>
        <v/>
      </c>
    </row>
    <row r="515" spans="7:7">
      <c r="G515" s="5" t="str">
        <f t="shared" si="59"/>
        <v/>
      </c>
    </row>
    <row r="516" spans="7:7">
      <c r="G516" s="5" t="str">
        <f t="shared" si="59"/>
        <v/>
      </c>
    </row>
    <row r="517" spans="7:7">
      <c r="G517" s="5" t="str">
        <f t="shared" si="59"/>
        <v/>
      </c>
    </row>
    <row r="518" spans="7:7">
      <c r="G518" s="5" t="str">
        <f t="shared" si="59"/>
        <v/>
      </c>
    </row>
    <row r="519" spans="7:7">
      <c r="G519" s="5" t="str">
        <f t="shared" si="59"/>
        <v/>
      </c>
    </row>
    <row r="520" spans="7:7">
      <c r="G520" s="5" t="str">
        <f t="shared" si="59"/>
        <v/>
      </c>
    </row>
    <row r="521" spans="7:7">
      <c r="G521" s="5" t="str">
        <f t="shared" si="59"/>
        <v/>
      </c>
    </row>
    <row r="522" spans="7:7">
      <c r="G522" s="5" t="str">
        <f t="shared" si="59"/>
        <v/>
      </c>
    </row>
    <row r="523" spans="7:7">
      <c r="G523" s="5" t="str">
        <f t="shared" si="59"/>
        <v/>
      </c>
    </row>
    <row r="524" spans="7:7">
      <c r="G524" s="5" t="str">
        <f t="shared" si="59"/>
        <v/>
      </c>
    </row>
    <row r="525" spans="7:7">
      <c r="G525" s="5" t="str">
        <f t="shared" si="59"/>
        <v/>
      </c>
    </row>
    <row r="526" spans="7:7">
      <c r="G526" s="5" t="str">
        <f t="shared" si="59"/>
        <v/>
      </c>
    </row>
    <row r="527" spans="7:7">
      <c r="G527" s="5" t="str">
        <f t="shared" si="59"/>
        <v/>
      </c>
    </row>
    <row r="528" spans="7:7">
      <c r="G528" s="5" t="str">
        <f t="shared" si="59"/>
        <v/>
      </c>
    </row>
  </sheetData>
  <sheetProtection sort="0" autoFilter="0" pivotTables="0"/>
  <autoFilter ref="B5:N528" xr:uid="{00000000-0001-0000-0700-000000000000}">
    <filterColumn colId="6">
      <filters blank="1">
        <filter val="1.036"/>
        <filter val="1.200"/>
        <filter val="1.424"/>
        <filter val="10"/>
        <filter val="102"/>
        <filter val="110"/>
        <filter val="12"/>
        <filter val="120"/>
        <filter val="144"/>
        <filter val="168"/>
        <filter val="180"/>
        <filter val="2.420"/>
        <filter val="24"/>
        <filter val="240"/>
        <filter val="27"/>
        <filter val="276"/>
        <filter val="3"/>
        <filter val="3.168"/>
        <filter val="3.720"/>
        <filter val="30"/>
        <filter val="300"/>
        <filter val="36"/>
        <filter val="4"/>
        <filter val="40"/>
        <filter val="480"/>
        <filter val="6"/>
        <filter val="60"/>
        <filter val="676"/>
        <filter val="84"/>
        <filter val="884"/>
        <filter val="900"/>
        <filter val="968"/>
        <filter val="R$ 478.900,71"/>
      </filters>
    </filterColumn>
  </autoFilter>
  <sortState xmlns:xlrd2="http://schemas.microsoft.com/office/spreadsheetml/2017/richdata2" ref="B35:U111">
    <sortCondition ref="B35:B111"/>
  </sortState>
  <pageMargins left="0.78740157480314965" right="0.78740157480314965" top="0.78740157480314965" bottom="0.78740157480314965" header="0" footer="0"/>
  <pageSetup paperSize="9" scale="78" fitToHeight="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 filterMode="1">
    <tabColor rgb="FF006600"/>
    <pageSetUpPr fitToPage="1"/>
  </sheetPr>
  <dimension ref="B1:U526"/>
  <sheetViews>
    <sheetView zoomScaleNormal="100" workbookViewId="0">
      <pane ySplit="5" topLeftCell="A6" activePane="bottomLeft" state="frozen"/>
      <selection pane="bottomLeft" activeCell="Y21" sqref="Y21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3" width="14.140625" style="15" customWidth="1"/>
    <col min="4" max="6" width="13.5703125" style="15" customWidth="1"/>
    <col min="7" max="7" width="14.140625" style="5" customWidth="1"/>
    <col min="8" max="8" width="14.5703125" style="1" customWidth="1"/>
    <col min="9" max="9" width="14.42578125" style="1" customWidth="1"/>
    <col min="10" max="10" width="9.5703125" style="9" customWidth="1"/>
    <col min="11" max="11" width="10" style="9" customWidth="1"/>
    <col min="12" max="12" width="12" style="6" hidden="1" customWidth="1"/>
    <col min="13" max="13" width="18.85546875" style="6" hidden="1" customWidth="1"/>
    <col min="14" max="14" width="13.42578125" style="6" bestFit="1" customWidth="1"/>
    <col min="15" max="15" width="10.5703125" style="1" hidden="1" customWidth="1"/>
    <col min="16" max="16" width="11" style="1" hidden="1" customWidth="1"/>
    <col min="17" max="18" width="10.5703125" style="1" hidden="1" customWidth="1"/>
    <col min="19" max="19" width="12.140625" style="1" hidden="1" customWidth="1"/>
    <col min="20" max="20" width="11.5703125" style="1" hidden="1" customWidth="1"/>
    <col min="21" max="16384" width="9.140625" style="1"/>
  </cols>
  <sheetData>
    <row r="1" spans="2:21" ht="4.5" customHeight="1">
      <c r="B1" s="1"/>
      <c r="C1" s="4"/>
      <c r="D1" s="4"/>
      <c r="E1" s="4"/>
      <c r="F1" s="4"/>
      <c r="G1" s="4"/>
    </row>
    <row r="2" spans="2:21" ht="59.25" customHeight="1">
      <c r="B2" s="63" t="s">
        <v>117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  <c r="N2" s="1"/>
    </row>
    <row r="3" spans="2:21" ht="4.5" customHeight="1" thickBot="1">
      <c r="B3" s="1"/>
      <c r="C3" s="4"/>
      <c r="D3" s="4"/>
      <c r="E3" s="4"/>
      <c r="F3" s="4"/>
      <c r="G3" s="4"/>
    </row>
    <row r="4" spans="2:21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97"/>
      <c r="N4" s="449" t="s">
        <v>15</v>
      </c>
      <c r="O4" s="36"/>
      <c r="P4" s="19"/>
      <c r="Q4" s="19"/>
      <c r="R4" s="19"/>
      <c r="S4" s="19"/>
      <c r="T4" s="19"/>
    </row>
    <row r="5" spans="2:21" ht="16.5" thickBot="1">
      <c r="B5" s="450" t="s">
        <v>5</v>
      </c>
      <c r="C5" s="451" t="s">
        <v>0</v>
      </c>
      <c r="D5" s="451" t="s">
        <v>12</v>
      </c>
      <c r="E5" s="451" t="s">
        <v>2</v>
      </c>
      <c r="F5" s="451" t="s">
        <v>3</v>
      </c>
      <c r="G5" s="452" t="s">
        <v>1</v>
      </c>
      <c r="H5" s="445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3"/>
      <c r="N5" s="455" t="s">
        <v>16</v>
      </c>
      <c r="O5" s="37" t="s">
        <v>0</v>
      </c>
      <c r="P5" s="20" t="s">
        <v>12</v>
      </c>
      <c r="Q5" s="20" t="s">
        <v>2</v>
      </c>
      <c r="R5" s="20" t="s">
        <v>3</v>
      </c>
      <c r="S5" s="21" t="s">
        <v>1</v>
      </c>
      <c r="T5" s="22" t="s">
        <v>4</v>
      </c>
    </row>
    <row r="6" spans="2:21">
      <c r="B6" s="591" t="s">
        <v>68</v>
      </c>
      <c r="C6" s="91">
        <v>48</v>
      </c>
      <c r="D6" s="91">
        <v>12</v>
      </c>
      <c r="E6" s="91"/>
      <c r="F6" s="92"/>
      <c r="G6" s="93"/>
      <c r="H6" s="24">
        <f>SUM(C6:G6)</f>
        <v>60</v>
      </c>
      <c r="I6" s="464">
        <f t="shared" ref="I6" si="0">L6-(L6*J6)</f>
        <v>30.98</v>
      </c>
      <c r="J6" s="16"/>
      <c r="K6" s="17"/>
      <c r="L6" s="508">
        <v>30.98</v>
      </c>
      <c r="M6" s="508">
        <v>29.5</v>
      </c>
      <c r="N6" s="280"/>
      <c r="O6" s="25">
        <f t="shared" ref="O6" si="1">I6*C6</f>
        <v>1487.04</v>
      </c>
      <c r="P6" s="25">
        <f t="shared" ref="P6" si="2">I6*D6</f>
        <v>371.76</v>
      </c>
      <c r="Q6" s="25">
        <f t="shared" ref="Q6" si="3">I6*E6</f>
        <v>0</v>
      </c>
      <c r="R6" s="26">
        <f t="shared" ref="R6" si="4">I6*F6</f>
        <v>0</v>
      </c>
      <c r="S6" s="27">
        <f t="shared" ref="S6" si="5">I6*G6</f>
        <v>0</v>
      </c>
      <c r="T6" s="28">
        <f>SUM(O6:S6)</f>
        <v>1858.8</v>
      </c>
      <c r="U6" s="437">
        <f>L6/M6-1</f>
        <v>5.0169491525423826E-2</v>
      </c>
    </row>
    <row r="7" spans="2:21" ht="14.45" hidden="1" customHeight="1" thickBot="1">
      <c r="B7" s="507" t="s">
        <v>1656</v>
      </c>
      <c r="C7" s="277"/>
      <c r="D7" s="94"/>
      <c r="E7" s="94"/>
      <c r="F7" s="95"/>
      <c r="G7" s="96"/>
      <c r="H7" s="23">
        <f t="shared" ref="H7:H71" si="6">SUM(C7:G7)</f>
        <v>0</v>
      </c>
      <c r="I7" s="464">
        <f t="shared" ref="I7:I71" si="7">L7-(L7*J7)</f>
        <v>3.02</v>
      </c>
      <c r="J7" s="10"/>
      <c r="K7" s="12"/>
      <c r="L7" s="508">
        <v>3.02</v>
      </c>
      <c r="M7" s="381">
        <v>112.84</v>
      </c>
      <c r="N7" s="280"/>
      <c r="O7" s="25">
        <f t="shared" ref="O7:O70" si="8">I7*C7</f>
        <v>0</v>
      </c>
      <c r="P7" s="25">
        <f t="shared" ref="P7:P70" si="9">I7*D7</f>
        <v>0</v>
      </c>
      <c r="Q7" s="25">
        <f t="shared" ref="Q7:Q70" si="10">I7*E7</f>
        <v>0</v>
      </c>
      <c r="R7" s="26">
        <f t="shared" ref="R7:R70" si="11">I7*F7</f>
        <v>0</v>
      </c>
      <c r="S7" s="27">
        <f t="shared" ref="S7:S70" si="12">I7*G7</f>
        <v>0</v>
      </c>
      <c r="T7" s="28">
        <f t="shared" ref="T7:T70" si="13">SUM(O7:S7)</f>
        <v>0</v>
      </c>
    </row>
    <row r="8" spans="2:21" ht="14.45" hidden="1" customHeight="1" thickBot="1">
      <c r="B8" s="578" t="s">
        <v>69</v>
      </c>
      <c r="C8" s="579"/>
      <c r="D8" s="580"/>
      <c r="E8" s="580"/>
      <c r="F8" s="581"/>
      <c r="G8" s="582"/>
      <c r="H8" s="583">
        <f t="shared" si="6"/>
        <v>0</v>
      </c>
      <c r="I8" s="464">
        <f t="shared" si="7"/>
        <v>17.63</v>
      </c>
      <c r="J8" s="10"/>
      <c r="K8" s="12"/>
      <c r="L8" s="508">
        <v>17.63</v>
      </c>
      <c r="M8" s="381">
        <v>29.77</v>
      </c>
      <c r="N8" s="280"/>
      <c r="O8" s="25">
        <f t="shared" si="8"/>
        <v>0</v>
      </c>
      <c r="P8" s="25">
        <f t="shared" si="9"/>
        <v>0</v>
      </c>
      <c r="Q8" s="25">
        <f t="shared" si="10"/>
        <v>0</v>
      </c>
      <c r="R8" s="26">
        <f t="shared" si="11"/>
        <v>0</v>
      </c>
      <c r="S8" s="27">
        <f t="shared" si="12"/>
        <v>0</v>
      </c>
      <c r="T8" s="28">
        <f t="shared" si="13"/>
        <v>0</v>
      </c>
    </row>
    <row r="9" spans="2:21" ht="14.45" customHeight="1">
      <c r="B9" s="591" t="s">
        <v>70</v>
      </c>
      <c r="C9" s="91">
        <v>24</v>
      </c>
      <c r="D9" s="91"/>
      <c r="E9" s="91">
        <v>24</v>
      </c>
      <c r="F9" s="92"/>
      <c r="G9" s="93"/>
      <c r="H9" s="24">
        <f t="shared" si="6"/>
        <v>48</v>
      </c>
      <c r="I9" s="464">
        <f t="shared" si="7"/>
        <v>68.84</v>
      </c>
      <c r="J9" s="10"/>
      <c r="K9" s="12"/>
      <c r="L9" s="508">
        <v>68.84</v>
      </c>
      <c r="M9" s="508">
        <v>62.21</v>
      </c>
      <c r="N9" s="280"/>
      <c r="O9" s="25">
        <f t="shared" si="8"/>
        <v>1652.16</v>
      </c>
      <c r="P9" s="25">
        <f t="shared" si="9"/>
        <v>0</v>
      </c>
      <c r="Q9" s="25">
        <f t="shared" si="10"/>
        <v>1652.16</v>
      </c>
      <c r="R9" s="26">
        <f t="shared" si="11"/>
        <v>0</v>
      </c>
      <c r="S9" s="27">
        <f t="shared" si="12"/>
        <v>0</v>
      </c>
      <c r="T9" s="28">
        <f t="shared" si="13"/>
        <v>3304.32</v>
      </c>
      <c r="U9" s="437">
        <f t="shared" ref="U9:U10" si="14">L9/M9-1</f>
        <v>0.1065745057064782</v>
      </c>
    </row>
    <row r="10" spans="2:21" ht="16.350000000000001" customHeight="1">
      <c r="B10" s="591" t="s">
        <v>1657</v>
      </c>
      <c r="C10" s="91">
        <v>48</v>
      </c>
      <c r="D10" s="91"/>
      <c r="E10" s="91"/>
      <c r="F10" s="92"/>
      <c r="G10" s="93"/>
      <c r="H10" s="24">
        <f t="shared" si="6"/>
        <v>48</v>
      </c>
      <c r="I10" s="464">
        <f t="shared" si="7"/>
        <v>20.149999999999999</v>
      </c>
      <c r="J10" s="10"/>
      <c r="K10" s="12"/>
      <c r="L10" s="508">
        <v>20.149999999999999</v>
      </c>
      <c r="M10" s="508">
        <v>18.760000000000002</v>
      </c>
      <c r="N10" s="280"/>
      <c r="O10" s="25">
        <f t="shared" si="8"/>
        <v>967.19999999999993</v>
      </c>
      <c r="P10" s="25">
        <f t="shared" si="9"/>
        <v>0</v>
      </c>
      <c r="Q10" s="25">
        <f t="shared" si="10"/>
        <v>0</v>
      </c>
      <c r="R10" s="26">
        <f t="shared" si="11"/>
        <v>0</v>
      </c>
      <c r="S10" s="27">
        <f t="shared" si="12"/>
        <v>0</v>
      </c>
      <c r="T10" s="28">
        <f t="shared" si="13"/>
        <v>967.19999999999993</v>
      </c>
      <c r="U10" s="437">
        <f t="shared" si="14"/>
        <v>7.4093816631129794E-2</v>
      </c>
    </row>
    <row r="11" spans="2:21" ht="14.45" hidden="1" customHeight="1" thickBot="1">
      <c r="B11" s="507" t="s">
        <v>1658</v>
      </c>
      <c r="C11" s="277"/>
      <c r="D11" s="94"/>
      <c r="E11" s="94"/>
      <c r="F11" s="95"/>
      <c r="G11" s="96"/>
      <c r="H11" s="23">
        <f t="shared" si="6"/>
        <v>0</v>
      </c>
      <c r="I11" s="464">
        <f t="shared" si="7"/>
        <v>19.739999999999998</v>
      </c>
      <c r="J11" s="10"/>
      <c r="K11" s="12"/>
      <c r="L11" s="508">
        <v>19.739999999999998</v>
      </c>
      <c r="M11" s="381">
        <v>60.05</v>
      </c>
      <c r="N11" s="280"/>
      <c r="O11" s="25">
        <f t="shared" si="8"/>
        <v>0</v>
      </c>
      <c r="P11" s="25">
        <f t="shared" si="9"/>
        <v>0</v>
      </c>
      <c r="Q11" s="25">
        <f t="shared" si="10"/>
        <v>0</v>
      </c>
      <c r="R11" s="26">
        <f t="shared" si="11"/>
        <v>0</v>
      </c>
      <c r="S11" s="27">
        <f t="shared" si="12"/>
        <v>0</v>
      </c>
      <c r="T11" s="28">
        <f t="shared" si="13"/>
        <v>0</v>
      </c>
    </row>
    <row r="12" spans="2:21" ht="16.350000000000001" hidden="1" customHeight="1" thickBot="1">
      <c r="B12" s="507" t="s">
        <v>71</v>
      </c>
      <c r="C12" s="278"/>
      <c r="D12" s="91"/>
      <c r="E12" s="91"/>
      <c r="F12" s="92"/>
      <c r="G12" s="93"/>
      <c r="H12" s="23">
        <f t="shared" si="6"/>
        <v>0</v>
      </c>
      <c r="I12" s="464">
        <f t="shared" si="7"/>
        <v>184.12</v>
      </c>
      <c r="J12" s="10"/>
      <c r="K12" s="12"/>
      <c r="L12" s="508">
        <v>184.12</v>
      </c>
      <c r="M12" s="381">
        <v>18.29</v>
      </c>
      <c r="N12" s="280"/>
      <c r="O12" s="25">
        <f t="shared" si="8"/>
        <v>0</v>
      </c>
      <c r="P12" s="25">
        <f t="shared" si="9"/>
        <v>0</v>
      </c>
      <c r="Q12" s="25">
        <f t="shared" si="10"/>
        <v>0</v>
      </c>
      <c r="R12" s="26">
        <f t="shared" si="11"/>
        <v>0</v>
      </c>
      <c r="S12" s="27">
        <f t="shared" si="12"/>
        <v>0</v>
      </c>
      <c r="T12" s="28">
        <f t="shared" si="13"/>
        <v>0</v>
      </c>
    </row>
    <row r="13" spans="2:21" ht="14.45" hidden="1" customHeight="1" thickBot="1">
      <c r="B13" s="507" t="s">
        <v>72</v>
      </c>
      <c r="C13" s="278"/>
      <c r="D13" s="91"/>
      <c r="E13" s="91"/>
      <c r="F13" s="92"/>
      <c r="G13" s="93"/>
      <c r="H13" s="23">
        <f t="shared" si="6"/>
        <v>0</v>
      </c>
      <c r="I13" s="464">
        <f t="shared" si="7"/>
        <v>33.799999999999997</v>
      </c>
      <c r="J13" s="10"/>
      <c r="K13" s="12"/>
      <c r="L13" s="508">
        <v>33.799999999999997</v>
      </c>
      <c r="M13" s="381">
        <v>19.28</v>
      </c>
      <c r="N13" s="280"/>
      <c r="O13" s="25">
        <f t="shared" si="8"/>
        <v>0</v>
      </c>
      <c r="P13" s="25">
        <f t="shared" si="9"/>
        <v>0</v>
      </c>
      <c r="Q13" s="25">
        <f t="shared" si="10"/>
        <v>0</v>
      </c>
      <c r="R13" s="26">
        <f t="shared" si="11"/>
        <v>0</v>
      </c>
      <c r="S13" s="27">
        <f t="shared" si="12"/>
        <v>0</v>
      </c>
      <c r="T13" s="28">
        <f t="shared" si="13"/>
        <v>0</v>
      </c>
    </row>
    <row r="14" spans="2:21" ht="14.45" hidden="1" customHeight="1" thickBot="1">
      <c r="B14" s="578" t="s">
        <v>73</v>
      </c>
      <c r="C14" s="579"/>
      <c r="D14" s="580"/>
      <c r="E14" s="580"/>
      <c r="F14" s="581"/>
      <c r="G14" s="582"/>
      <c r="H14" s="583">
        <f t="shared" si="6"/>
        <v>0</v>
      </c>
      <c r="I14" s="464">
        <f t="shared" si="7"/>
        <v>77.069999999999993</v>
      </c>
      <c r="J14" s="10"/>
      <c r="K14" s="12"/>
      <c r="L14" s="508">
        <v>77.069999999999993</v>
      </c>
      <c r="M14" s="381">
        <v>183.18</v>
      </c>
      <c r="N14" s="280"/>
      <c r="O14" s="25">
        <f t="shared" si="8"/>
        <v>0</v>
      </c>
      <c r="P14" s="25">
        <f t="shared" si="9"/>
        <v>0</v>
      </c>
      <c r="Q14" s="25">
        <f t="shared" si="10"/>
        <v>0</v>
      </c>
      <c r="R14" s="26">
        <f t="shared" si="11"/>
        <v>0</v>
      </c>
      <c r="S14" s="27">
        <f t="shared" si="12"/>
        <v>0</v>
      </c>
      <c r="T14" s="28">
        <f t="shared" si="13"/>
        <v>0</v>
      </c>
    </row>
    <row r="15" spans="2:21" ht="14.45" customHeight="1">
      <c r="B15" s="591" t="s">
        <v>74</v>
      </c>
      <c r="C15" s="91"/>
      <c r="D15" s="91">
        <v>400</v>
      </c>
      <c r="E15" s="91"/>
      <c r="F15" s="92"/>
      <c r="G15" s="93"/>
      <c r="H15" s="24">
        <f t="shared" si="6"/>
        <v>400</v>
      </c>
      <c r="I15" s="464">
        <f t="shared" si="7"/>
        <v>11.38</v>
      </c>
      <c r="J15" s="10"/>
      <c r="K15" s="12"/>
      <c r="L15" s="508">
        <v>11.38</v>
      </c>
      <c r="M15" s="508">
        <v>10.78</v>
      </c>
      <c r="N15" s="280"/>
      <c r="O15" s="25">
        <f t="shared" si="8"/>
        <v>0</v>
      </c>
      <c r="P15" s="25">
        <f t="shared" si="9"/>
        <v>4552</v>
      </c>
      <c r="Q15" s="25">
        <f t="shared" si="10"/>
        <v>0</v>
      </c>
      <c r="R15" s="26">
        <f t="shared" si="11"/>
        <v>0</v>
      </c>
      <c r="S15" s="27">
        <f t="shared" si="12"/>
        <v>0</v>
      </c>
      <c r="T15" s="28">
        <f t="shared" si="13"/>
        <v>4552</v>
      </c>
      <c r="U15" s="437">
        <f>L15/M15-1</f>
        <v>5.5658627087198598E-2</v>
      </c>
    </row>
    <row r="16" spans="2:21" ht="14.45" hidden="1" customHeight="1" thickBot="1">
      <c r="B16" s="507" t="s">
        <v>75</v>
      </c>
      <c r="C16" s="277"/>
      <c r="D16" s="94"/>
      <c r="E16" s="94"/>
      <c r="F16" s="95"/>
      <c r="G16" s="96"/>
      <c r="H16" s="23">
        <f t="shared" si="6"/>
        <v>0</v>
      </c>
      <c r="I16" s="464">
        <f t="shared" si="7"/>
        <v>43.06</v>
      </c>
      <c r="J16" s="10"/>
      <c r="K16" s="12"/>
      <c r="L16" s="508">
        <v>43.06</v>
      </c>
      <c r="M16" s="381">
        <v>76.290000000000006</v>
      </c>
      <c r="N16" s="280"/>
      <c r="O16" s="25">
        <f t="shared" si="8"/>
        <v>0</v>
      </c>
      <c r="P16" s="25">
        <f t="shared" si="9"/>
        <v>0</v>
      </c>
      <c r="Q16" s="25">
        <f t="shared" si="10"/>
        <v>0</v>
      </c>
      <c r="R16" s="26">
        <f t="shared" si="11"/>
        <v>0</v>
      </c>
      <c r="S16" s="27">
        <f t="shared" si="12"/>
        <v>0</v>
      </c>
      <c r="T16" s="28">
        <f t="shared" si="13"/>
        <v>0</v>
      </c>
    </row>
    <row r="17" spans="2:21" ht="14.45" hidden="1" customHeight="1" thickBot="1">
      <c r="B17" s="578" t="s">
        <v>76</v>
      </c>
      <c r="C17" s="579"/>
      <c r="D17" s="580"/>
      <c r="E17" s="580"/>
      <c r="F17" s="581"/>
      <c r="G17" s="582"/>
      <c r="H17" s="583">
        <f t="shared" si="6"/>
        <v>0</v>
      </c>
      <c r="I17" s="464">
        <f t="shared" si="7"/>
        <v>85.57</v>
      </c>
      <c r="J17" s="10"/>
      <c r="K17" s="12"/>
      <c r="L17" s="508">
        <v>85.57</v>
      </c>
      <c r="M17" s="381">
        <v>10.45</v>
      </c>
      <c r="N17" s="280"/>
      <c r="O17" s="25">
        <f t="shared" si="8"/>
        <v>0</v>
      </c>
      <c r="P17" s="25">
        <f t="shared" si="9"/>
        <v>0</v>
      </c>
      <c r="Q17" s="25">
        <f t="shared" si="10"/>
        <v>0</v>
      </c>
      <c r="R17" s="26">
        <f t="shared" si="11"/>
        <v>0</v>
      </c>
      <c r="S17" s="27">
        <f t="shared" si="12"/>
        <v>0</v>
      </c>
      <c r="T17" s="28">
        <f t="shared" si="13"/>
        <v>0</v>
      </c>
    </row>
    <row r="18" spans="2:21" ht="16.350000000000001" customHeight="1">
      <c r="B18" s="591" t="s">
        <v>989</v>
      </c>
      <c r="C18" s="91">
        <v>6</v>
      </c>
      <c r="D18" s="91">
        <v>32</v>
      </c>
      <c r="E18" s="91"/>
      <c r="F18" s="92"/>
      <c r="G18" s="93"/>
      <c r="H18" s="24">
        <f t="shared" si="6"/>
        <v>38</v>
      </c>
      <c r="I18" s="464">
        <f t="shared" si="7"/>
        <v>189.23399999999998</v>
      </c>
      <c r="J18" s="10">
        <v>0.1</v>
      </c>
      <c r="K18" s="12"/>
      <c r="L18" s="508">
        <v>210.26</v>
      </c>
      <c r="M18" s="508">
        <v>199.51</v>
      </c>
      <c r="N18" s="280"/>
      <c r="O18" s="25">
        <f t="shared" si="8"/>
        <v>1135.404</v>
      </c>
      <c r="P18" s="25">
        <f t="shared" si="9"/>
        <v>6055.4879999999994</v>
      </c>
      <c r="Q18" s="25">
        <f t="shared" si="10"/>
        <v>0</v>
      </c>
      <c r="R18" s="26">
        <f t="shared" si="11"/>
        <v>0</v>
      </c>
      <c r="S18" s="27">
        <f t="shared" si="12"/>
        <v>0</v>
      </c>
      <c r="T18" s="28">
        <f t="shared" si="13"/>
        <v>7190.8919999999998</v>
      </c>
      <c r="U18" s="437">
        <f t="shared" ref="U18:U19" si="15">L18/M18-1</f>
        <v>5.3882010926770585E-2</v>
      </c>
    </row>
    <row r="19" spans="2:21" ht="16.350000000000001" customHeight="1">
      <c r="B19" s="591" t="s">
        <v>77</v>
      </c>
      <c r="C19" s="91"/>
      <c r="D19" s="91"/>
      <c r="E19" s="91"/>
      <c r="F19" s="92">
        <v>30</v>
      </c>
      <c r="G19" s="93"/>
      <c r="H19" s="24">
        <f t="shared" si="6"/>
        <v>30</v>
      </c>
      <c r="I19" s="464">
        <f t="shared" si="7"/>
        <v>134.10899999999998</v>
      </c>
      <c r="J19" s="10">
        <v>0.1</v>
      </c>
      <c r="K19" s="12"/>
      <c r="L19" s="508">
        <v>149.01</v>
      </c>
      <c r="M19" s="508">
        <v>140.84</v>
      </c>
      <c r="N19" s="280"/>
      <c r="O19" s="25">
        <f t="shared" si="8"/>
        <v>0</v>
      </c>
      <c r="P19" s="25">
        <f t="shared" si="9"/>
        <v>0</v>
      </c>
      <c r="Q19" s="25">
        <f t="shared" si="10"/>
        <v>0</v>
      </c>
      <c r="R19" s="26">
        <f t="shared" si="11"/>
        <v>4023.2699999999995</v>
      </c>
      <c r="S19" s="27">
        <f t="shared" si="12"/>
        <v>0</v>
      </c>
      <c r="T19" s="28">
        <f t="shared" si="13"/>
        <v>4023.2699999999995</v>
      </c>
      <c r="U19" s="437">
        <f t="shared" si="15"/>
        <v>5.800908832717977E-2</v>
      </c>
    </row>
    <row r="20" spans="2:21" ht="16.350000000000001" hidden="1" customHeight="1" thickBot="1">
      <c r="B20" s="578" t="s">
        <v>78</v>
      </c>
      <c r="C20" s="585"/>
      <c r="D20" s="586"/>
      <c r="E20" s="586"/>
      <c r="F20" s="587"/>
      <c r="G20" s="588"/>
      <c r="H20" s="583">
        <f t="shared" si="6"/>
        <v>0</v>
      </c>
      <c r="I20" s="464">
        <f t="shared" si="7"/>
        <v>18.059999999999999</v>
      </c>
      <c r="J20" s="10"/>
      <c r="K20" s="12"/>
      <c r="L20" s="508">
        <v>18.059999999999999</v>
      </c>
      <c r="M20" s="381">
        <v>189.88</v>
      </c>
      <c r="N20" s="280"/>
      <c r="O20" s="25">
        <f t="shared" si="8"/>
        <v>0</v>
      </c>
      <c r="P20" s="25">
        <f t="shared" si="9"/>
        <v>0</v>
      </c>
      <c r="Q20" s="25">
        <f t="shared" si="10"/>
        <v>0</v>
      </c>
      <c r="R20" s="26">
        <f t="shared" si="11"/>
        <v>0</v>
      </c>
      <c r="S20" s="27">
        <f t="shared" si="12"/>
        <v>0</v>
      </c>
      <c r="T20" s="28">
        <f t="shared" si="13"/>
        <v>0</v>
      </c>
    </row>
    <row r="21" spans="2:21" ht="16.350000000000001" customHeight="1">
      <c r="B21" s="591" t="s">
        <v>79</v>
      </c>
      <c r="C21" s="91"/>
      <c r="D21" s="91">
        <v>12</v>
      </c>
      <c r="E21" s="91"/>
      <c r="F21" s="92"/>
      <c r="G21" s="93"/>
      <c r="H21" s="24">
        <f t="shared" si="6"/>
        <v>12</v>
      </c>
      <c r="I21" s="464">
        <f t="shared" si="7"/>
        <v>40.149000000000001</v>
      </c>
      <c r="J21" s="10">
        <v>0.1</v>
      </c>
      <c r="K21" s="12"/>
      <c r="L21" s="508">
        <v>44.61</v>
      </c>
      <c r="M21" s="508">
        <v>42.18</v>
      </c>
      <c r="N21" s="280"/>
      <c r="O21" s="25">
        <f t="shared" si="8"/>
        <v>0</v>
      </c>
      <c r="P21" s="25">
        <f t="shared" si="9"/>
        <v>481.78800000000001</v>
      </c>
      <c r="Q21" s="25">
        <f t="shared" si="10"/>
        <v>0</v>
      </c>
      <c r="R21" s="26">
        <f t="shared" si="11"/>
        <v>0</v>
      </c>
      <c r="S21" s="27">
        <f t="shared" si="12"/>
        <v>0</v>
      </c>
      <c r="T21" s="28">
        <f t="shared" si="13"/>
        <v>481.78800000000001</v>
      </c>
      <c r="U21" s="437">
        <f t="shared" ref="U21:U23" si="16">L21/M21-1</f>
        <v>5.7610241820768238E-2</v>
      </c>
    </row>
    <row r="22" spans="2:21" ht="14.45" customHeight="1">
      <c r="B22" s="591" t="s">
        <v>80</v>
      </c>
      <c r="C22" s="91">
        <v>3024</v>
      </c>
      <c r="D22" s="91">
        <v>1300</v>
      </c>
      <c r="E22" s="91">
        <v>72</v>
      </c>
      <c r="F22" s="92"/>
      <c r="G22" s="93"/>
      <c r="H22" s="24">
        <f t="shared" si="6"/>
        <v>4396</v>
      </c>
      <c r="I22" s="464">
        <f t="shared" si="7"/>
        <v>5.5710000000000006</v>
      </c>
      <c r="J22" s="10">
        <v>0.1</v>
      </c>
      <c r="K22" s="12"/>
      <c r="L22" s="509">
        <v>6.19</v>
      </c>
      <c r="M22" s="509">
        <v>5.87</v>
      </c>
      <c r="N22" s="280"/>
      <c r="O22" s="25">
        <f t="shared" si="8"/>
        <v>16846.704000000002</v>
      </c>
      <c r="P22" s="25">
        <f t="shared" si="9"/>
        <v>7242.3000000000011</v>
      </c>
      <c r="Q22" s="25">
        <f t="shared" si="10"/>
        <v>401.11200000000002</v>
      </c>
      <c r="R22" s="26">
        <f t="shared" si="11"/>
        <v>0</v>
      </c>
      <c r="S22" s="27">
        <f t="shared" si="12"/>
        <v>0</v>
      </c>
      <c r="T22" s="28">
        <f t="shared" si="13"/>
        <v>24490.116000000002</v>
      </c>
      <c r="U22" s="437">
        <f t="shared" si="16"/>
        <v>5.4514480408858645E-2</v>
      </c>
    </row>
    <row r="23" spans="2:21" ht="14.45" customHeight="1">
      <c r="B23" s="591" t="s">
        <v>1331</v>
      </c>
      <c r="C23" s="91">
        <v>48</v>
      </c>
      <c r="D23" s="91">
        <v>24</v>
      </c>
      <c r="E23" s="91"/>
      <c r="F23" s="92"/>
      <c r="G23" s="93"/>
      <c r="H23" s="24">
        <f t="shared" si="6"/>
        <v>72</v>
      </c>
      <c r="I23" s="464">
        <f t="shared" si="7"/>
        <v>35.700000000000003</v>
      </c>
      <c r="J23" s="10"/>
      <c r="K23" s="12"/>
      <c r="L23" s="508">
        <v>35.700000000000003</v>
      </c>
      <c r="M23" s="508">
        <v>34.18</v>
      </c>
      <c r="N23" s="280"/>
      <c r="O23" s="25">
        <f t="shared" si="8"/>
        <v>1713.6000000000001</v>
      </c>
      <c r="P23" s="25">
        <f t="shared" si="9"/>
        <v>856.80000000000007</v>
      </c>
      <c r="Q23" s="25">
        <f t="shared" si="10"/>
        <v>0</v>
      </c>
      <c r="R23" s="26">
        <f t="shared" si="11"/>
        <v>0</v>
      </c>
      <c r="S23" s="27">
        <f t="shared" si="12"/>
        <v>0</v>
      </c>
      <c r="T23" s="28">
        <f t="shared" si="13"/>
        <v>2570.4</v>
      </c>
      <c r="U23" s="437">
        <f t="shared" si="16"/>
        <v>4.4470450555880614E-2</v>
      </c>
    </row>
    <row r="24" spans="2:21" ht="16.350000000000001" hidden="1" customHeight="1" thickBot="1">
      <c r="B24" s="578" t="s">
        <v>81</v>
      </c>
      <c r="C24" s="585"/>
      <c r="D24" s="586"/>
      <c r="E24" s="586"/>
      <c r="F24" s="587"/>
      <c r="G24" s="588"/>
      <c r="H24" s="583">
        <f t="shared" si="6"/>
        <v>0</v>
      </c>
      <c r="I24" s="464">
        <f t="shared" si="7"/>
        <v>35.770000000000003</v>
      </c>
      <c r="J24" s="10"/>
      <c r="K24" s="12"/>
      <c r="L24" s="508">
        <v>35.770000000000003</v>
      </c>
      <c r="M24" s="381">
        <v>5.82</v>
      </c>
      <c r="N24" s="280"/>
      <c r="O24" s="25">
        <f t="shared" si="8"/>
        <v>0</v>
      </c>
      <c r="P24" s="25">
        <f t="shared" si="9"/>
        <v>0</v>
      </c>
      <c r="Q24" s="25">
        <f t="shared" si="10"/>
        <v>0</v>
      </c>
      <c r="R24" s="26">
        <f t="shared" si="11"/>
        <v>0</v>
      </c>
      <c r="S24" s="27">
        <f t="shared" si="12"/>
        <v>0</v>
      </c>
      <c r="T24" s="28">
        <f t="shared" si="13"/>
        <v>0</v>
      </c>
    </row>
    <row r="25" spans="2:21" ht="14.45" customHeight="1">
      <c r="B25" s="591" t="s">
        <v>82</v>
      </c>
      <c r="C25" s="91">
        <v>480</v>
      </c>
      <c r="D25" s="91"/>
      <c r="E25" s="91"/>
      <c r="F25" s="92"/>
      <c r="G25" s="93"/>
      <c r="H25" s="24">
        <f t="shared" si="6"/>
        <v>480</v>
      </c>
      <c r="I25" s="464">
        <f t="shared" si="7"/>
        <v>22.302</v>
      </c>
      <c r="J25" s="10">
        <v>0.1</v>
      </c>
      <c r="K25" s="12"/>
      <c r="L25" s="509">
        <v>24.78</v>
      </c>
      <c r="M25" s="509">
        <v>22.89</v>
      </c>
      <c r="N25" s="280"/>
      <c r="O25" s="25">
        <f t="shared" si="8"/>
        <v>10704.96</v>
      </c>
      <c r="P25" s="25">
        <f t="shared" si="9"/>
        <v>0</v>
      </c>
      <c r="Q25" s="25">
        <f t="shared" si="10"/>
        <v>0</v>
      </c>
      <c r="R25" s="26">
        <f t="shared" si="11"/>
        <v>0</v>
      </c>
      <c r="S25" s="27">
        <f t="shared" si="12"/>
        <v>0</v>
      </c>
      <c r="T25" s="28">
        <f t="shared" si="13"/>
        <v>10704.96</v>
      </c>
      <c r="U25" s="437">
        <f>L25/M25-1</f>
        <v>8.256880733944949E-2</v>
      </c>
    </row>
    <row r="26" spans="2:21" ht="14.45" hidden="1" customHeight="1" thickBot="1">
      <c r="B26" s="507" t="s">
        <v>83</v>
      </c>
      <c r="C26" s="277"/>
      <c r="D26" s="94"/>
      <c r="E26" s="94"/>
      <c r="F26" s="95"/>
      <c r="G26" s="96"/>
      <c r="H26" s="23">
        <f t="shared" si="6"/>
        <v>0</v>
      </c>
      <c r="I26" s="464">
        <f t="shared" si="7"/>
        <v>44.54</v>
      </c>
      <c r="J26" s="10"/>
      <c r="K26" s="12"/>
      <c r="L26" s="508">
        <v>44.54</v>
      </c>
      <c r="M26" s="381">
        <v>33.99</v>
      </c>
      <c r="N26" s="280"/>
      <c r="O26" s="25">
        <f t="shared" si="8"/>
        <v>0</v>
      </c>
      <c r="P26" s="25">
        <f t="shared" si="9"/>
        <v>0</v>
      </c>
      <c r="Q26" s="25">
        <f t="shared" si="10"/>
        <v>0</v>
      </c>
      <c r="R26" s="26">
        <f t="shared" si="11"/>
        <v>0</v>
      </c>
      <c r="S26" s="27">
        <f t="shared" si="12"/>
        <v>0</v>
      </c>
      <c r="T26" s="28">
        <f t="shared" si="13"/>
        <v>0</v>
      </c>
    </row>
    <row r="27" spans="2:21" ht="16.350000000000001" hidden="1" customHeight="1" thickBot="1">
      <c r="B27" s="507" t="s">
        <v>84</v>
      </c>
      <c r="C27" s="279"/>
      <c r="D27" s="92"/>
      <c r="E27" s="92"/>
      <c r="F27" s="92"/>
      <c r="G27" s="93"/>
      <c r="H27" s="23">
        <f t="shared" si="6"/>
        <v>0</v>
      </c>
      <c r="I27" s="464">
        <f t="shared" si="7"/>
        <v>21.18</v>
      </c>
      <c r="J27" s="10"/>
      <c r="K27" s="12"/>
      <c r="L27" s="509">
        <v>21.18</v>
      </c>
      <c r="M27" s="381">
        <v>21.29</v>
      </c>
      <c r="N27" s="280"/>
      <c r="O27" s="25">
        <f t="shared" si="8"/>
        <v>0</v>
      </c>
      <c r="P27" s="25">
        <f t="shared" si="9"/>
        <v>0</v>
      </c>
      <c r="Q27" s="25">
        <f t="shared" si="10"/>
        <v>0</v>
      </c>
      <c r="R27" s="26">
        <f t="shared" si="11"/>
        <v>0</v>
      </c>
      <c r="S27" s="27">
        <f t="shared" si="12"/>
        <v>0</v>
      </c>
      <c r="T27" s="28">
        <f t="shared" si="13"/>
        <v>0</v>
      </c>
    </row>
    <row r="28" spans="2:21" ht="16.350000000000001" hidden="1" customHeight="1" thickBot="1">
      <c r="B28" s="507" t="s">
        <v>85</v>
      </c>
      <c r="C28" s="279"/>
      <c r="D28" s="92"/>
      <c r="E28" s="92"/>
      <c r="F28" s="92"/>
      <c r="G28" s="93"/>
      <c r="H28" s="23">
        <f t="shared" si="6"/>
        <v>0</v>
      </c>
      <c r="I28" s="464">
        <f t="shared" si="7"/>
        <v>72.94</v>
      </c>
      <c r="J28" s="10"/>
      <c r="K28" s="12"/>
      <c r="L28" s="508">
        <v>72.94</v>
      </c>
      <c r="M28" s="381">
        <v>44.27</v>
      </c>
      <c r="N28" s="280"/>
      <c r="O28" s="25">
        <f t="shared" si="8"/>
        <v>0</v>
      </c>
      <c r="P28" s="25">
        <f t="shared" si="9"/>
        <v>0</v>
      </c>
      <c r="Q28" s="25">
        <f t="shared" si="10"/>
        <v>0</v>
      </c>
      <c r="R28" s="26">
        <f t="shared" si="11"/>
        <v>0</v>
      </c>
      <c r="S28" s="27">
        <f t="shared" si="12"/>
        <v>0</v>
      </c>
      <c r="T28" s="28">
        <f t="shared" si="13"/>
        <v>0</v>
      </c>
    </row>
    <row r="29" spans="2:21" ht="16.350000000000001" hidden="1" customHeight="1" thickBot="1">
      <c r="B29" s="507" t="s">
        <v>1659</v>
      </c>
      <c r="C29" s="279"/>
      <c r="D29" s="92"/>
      <c r="E29" s="92"/>
      <c r="F29" s="92"/>
      <c r="G29" s="93"/>
      <c r="H29" s="23">
        <f t="shared" si="6"/>
        <v>0</v>
      </c>
      <c r="I29" s="464">
        <f t="shared" si="7"/>
        <v>59</v>
      </c>
      <c r="J29" s="10"/>
      <c r="K29" s="12"/>
      <c r="L29" s="508">
        <v>59</v>
      </c>
      <c r="M29" s="381">
        <v>20.87</v>
      </c>
      <c r="N29" s="280"/>
      <c r="O29" s="25">
        <f t="shared" si="8"/>
        <v>0</v>
      </c>
      <c r="P29" s="25">
        <f t="shared" si="9"/>
        <v>0</v>
      </c>
      <c r="Q29" s="25">
        <f t="shared" si="10"/>
        <v>0</v>
      </c>
      <c r="R29" s="26">
        <f t="shared" si="11"/>
        <v>0</v>
      </c>
      <c r="S29" s="27">
        <f t="shared" si="12"/>
        <v>0</v>
      </c>
      <c r="T29" s="28">
        <f t="shared" si="13"/>
        <v>0</v>
      </c>
    </row>
    <row r="30" spans="2:21" ht="16.350000000000001" hidden="1" customHeight="1" thickBot="1">
      <c r="B30" s="507" t="s">
        <v>86</v>
      </c>
      <c r="C30" s="279"/>
      <c r="D30" s="92"/>
      <c r="E30" s="92"/>
      <c r="F30" s="92"/>
      <c r="G30" s="93"/>
      <c r="H30" s="23">
        <f t="shared" si="6"/>
        <v>0</v>
      </c>
      <c r="I30" s="464">
        <f t="shared" si="7"/>
        <v>152.22</v>
      </c>
      <c r="J30" s="10"/>
      <c r="K30" s="12"/>
      <c r="L30" s="508">
        <v>152.22</v>
      </c>
      <c r="M30" s="381">
        <v>74.89</v>
      </c>
      <c r="N30" s="280"/>
      <c r="O30" s="25">
        <f t="shared" si="8"/>
        <v>0</v>
      </c>
      <c r="P30" s="25">
        <f t="shared" si="9"/>
        <v>0</v>
      </c>
      <c r="Q30" s="25">
        <f t="shared" si="10"/>
        <v>0</v>
      </c>
      <c r="R30" s="26">
        <f t="shared" si="11"/>
        <v>0</v>
      </c>
      <c r="S30" s="27">
        <f t="shared" si="12"/>
        <v>0</v>
      </c>
      <c r="T30" s="28">
        <f t="shared" si="13"/>
        <v>0</v>
      </c>
    </row>
    <row r="31" spans="2:21" ht="14.45" hidden="1" customHeight="1" thickBot="1">
      <c r="B31" s="578" t="s">
        <v>1660</v>
      </c>
      <c r="C31" s="584"/>
      <c r="D31" s="581"/>
      <c r="E31" s="581"/>
      <c r="F31" s="581"/>
      <c r="G31" s="582"/>
      <c r="H31" s="583">
        <f t="shared" si="6"/>
        <v>0</v>
      </c>
      <c r="I31" s="464">
        <f t="shared" si="7"/>
        <v>257.33999999999997</v>
      </c>
      <c r="J31" s="10"/>
      <c r="K31" s="12"/>
      <c r="L31" s="508">
        <v>257.33999999999997</v>
      </c>
      <c r="M31" s="381">
        <v>24.51</v>
      </c>
      <c r="N31" s="280"/>
      <c r="O31" s="25">
        <f t="shared" si="8"/>
        <v>0</v>
      </c>
      <c r="P31" s="25">
        <f t="shared" si="9"/>
        <v>0</v>
      </c>
      <c r="Q31" s="25">
        <f t="shared" si="10"/>
        <v>0</v>
      </c>
      <c r="R31" s="26">
        <f t="shared" si="11"/>
        <v>0</v>
      </c>
      <c r="S31" s="27">
        <f t="shared" si="12"/>
        <v>0</v>
      </c>
      <c r="T31" s="28">
        <f t="shared" si="13"/>
        <v>0</v>
      </c>
    </row>
    <row r="32" spans="2:21" ht="14.45" customHeight="1">
      <c r="B32" s="591" t="s">
        <v>1661</v>
      </c>
      <c r="C32" s="92"/>
      <c r="D32" s="92">
        <v>4</v>
      </c>
      <c r="E32" s="92"/>
      <c r="F32" s="92"/>
      <c r="G32" s="93"/>
      <c r="H32" s="24">
        <f t="shared" si="6"/>
        <v>4</v>
      </c>
      <c r="I32" s="464">
        <f t="shared" si="7"/>
        <v>536.44000000000005</v>
      </c>
      <c r="J32" s="10"/>
      <c r="K32" s="12"/>
      <c r="L32" s="508">
        <v>536.44000000000005</v>
      </c>
      <c r="M32" s="508">
        <v>502.46</v>
      </c>
      <c r="N32" s="280"/>
      <c r="O32" s="25">
        <f t="shared" si="8"/>
        <v>0</v>
      </c>
      <c r="P32" s="25">
        <f t="shared" si="9"/>
        <v>2145.7600000000002</v>
      </c>
      <c r="Q32" s="25">
        <f t="shared" si="10"/>
        <v>0</v>
      </c>
      <c r="R32" s="26">
        <f t="shared" si="11"/>
        <v>0</v>
      </c>
      <c r="S32" s="27">
        <f t="shared" si="12"/>
        <v>0</v>
      </c>
      <c r="T32" s="28">
        <f t="shared" si="13"/>
        <v>2145.7600000000002</v>
      </c>
      <c r="U32" s="437">
        <f>L32/M32-1</f>
        <v>6.7627273812840949E-2</v>
      </c>
    </row>
    <row r="33" spans="2:21" ht="16.350000000000001" hidden="1" customHeight="1" thickBot="1">
      <c r="B33" s="578" t="s">
        <v>1662</v>
      </c>
      <c r="C33" s="589"/>
      <c r="D33" s="587"/>
      <c r="E33" s="587"/>
      <c r="F33" s="587"/>
      <c r="G33" s="588"/>
      <c r="H33" s="583">
        <f t="shared" si="6"/>
        <v>0</v>
      </c>
      <c r="I33" s="464">
        <f t="shared" si="7"/>
        <v>5376.55</v>
      </c>
      <c r="J33" s="10"/>
      <c r="K33" s="12"/>
      <c r="L33" s="508">
        <v>5376.55</v>
      </c>
      <c r="M33" s="381">
        <v>15.04</v>
      </c>
      <c r="N33" s="280"/>
      <c r="O33" s="25">
        <f t="shared" si="8"/>
        <v>0</v>
      </c>
      <c r="P33" s="25">
        <f t="shared" si="9"/>
        <v>0</v>
      </c>
      <c r="Q33" s="25">
        <f t="shared" si="10"/>
        <v>0</v>
      </c>
      <c r="R33" s="26">
        <f t="shared" si="11"/>
        <v>0</v>
      </c>
      <c r="S33" s="27">
        <f t="shared" si="12"/>
        <v>0</v>
      </c>
      <c r="T33" s="28">
        <f t="shared" si="13"/>
        <v>0</v>
      </c>
    </row>
    <row r="34" spans="2:21" ht="14.45" customHeight="1">
      <c r="B34" s="591" t="s">
        <v>87</v>
      </c>
      <c r="C34" s="92"/>
      <c r="D34" s="92"/>
      <c r="E34" s="92"/>
      <c r="F34" s="92">
        <v>72</v>
      </c>
      <c r="G34" s="93"/>
      <c r="H34" s="24">
        <f t="shared" si="6"/>
        <v>72</v>
      </c>
      <c r="I34" s="464">
        <f t="shared" si="7"/>
        <v>16.95</v>
      </c>
      <c r="J34" s="10"/>
      <c r="K34" s="12"/>
      <c r="L34" s="508">
        <v>16.95</v>
      </c>
      <c r="M34" s="508">
        <v>15.78</v>
      </c>
      <c r="N34" s="280"/>
      <c r="O34" s="25">
        <f t="shared" si="8"/>
        <v>0</v>
      </c>
      <c r="P34" s="25">
        <f t="shared" si="9"/>
        <v>0</v>
      </c>
      <c r="Q34" s="25">
        <f t="shared" si="10"/>
        <v>0</v>
      </c>
      <c r="R34" s="26">
        <f t="shared" si="11"/>
        <v>1220.3999999999999</v>
      </c>
      <c r="S34" s="27">
        <f t="shared" si="12"/>
        <v>0</v>
      </c>
      <c r="T34" s="28">
        <f t="shared" si="13"/>
        <v>1220.3999999999999</v>
      </c>
      <c r="U34" s="437">
        <f>L34/M34-1</f>
        <v>7.4144486692015121E-2</v>
      </c>
    </row>
    <row r="35" spans="2:21" ht="14.45" hidden="1" customHeight="1" thickBot="1">
      <c r="B35" s="507" t="s">
        <v>88</v>
      </c>
      <c r="C35" s="590"/>
      <c r="D35" s="95"/>
      <c r="E35" s="95"/>
      <c r="F35" s="95"/>
      <c r="G35" s="96"/>
      <c r="H35" s="23">
        <f t="shared" si="6"/>
        <v>0</v>
      </c>
      <c r="I35" s="464">
        <f t="shared" si="7"/>
        <v>131.88999999999999</v>
      </c>
      <c r="J35" s="10"/>
      <c r="K35" s="12"/>
      <c r="L35" s="508">
        <v>131.88999999999999</v>
      </c>
      <c r="M35" s="381">
        <v>495.77</v>
      </c>
      <c r="N35" s="280"/>
      <c r="O35" s="25">
        <f t="shared" si="8"/>
        <v>0</v>
      </c>
      <c r="P35" s="25">
        <f t="shared" si="9"/>
        <v>0</v>
      </c>
      <c r="Q35" s="25">
        <f t="shared" si="10"/>
        <v>0</v>
      </c>
      <c r="R35" s="26">
        <f t="shared" si="11"/>
        <v>0</v>
      </c>
      <c r="S35" s="27">
        <f t="shared" si="12"/>
        <v>0</v>
      </c>
      <c r="T35" s="28">
        <f t="shared" si="13"/>
        <v>0</v>
      </c>
    </row>
    <row r="36" spans="2:21" ht="14.45" hidden="1" customHeight="1" thickBot="1">
      <c r="B36" s="578" t="s">
        <v>89</v>
      </c>
      <c r="C36" s="584"/>
      <c r="D36" s="581"/>
      <c r="E36" s="581"/>
      <c r="F36" s="581"/>
      <c r="G36" s="582"/>
      <c r="H36" s="583">
        <f t="shared" si="6"/>
        <v>0</v>
      </c>
      <c r="I36" s="464">
        <f t="shared" si="7"/>
        <v>483.54</v>
      </c>
      <c r="J36" s="10"/>
      <c r="K36" s="12"/>
      <c r="L36" s="508">
        <v>483.54</v>
      </c>
      <c r="M36" s="381">
        <v>35.700000000000003</v>
      </c>
      <c r="N36" s="280"/>
      <c r="O36" s="25">
        <f t="shared" si="8"/>
        <v>0</v>
      </c>
      <c r="P36" s="25">
        <f t="shared" si="9"/>
        <v>0</v>
      </c>
      <c r="Q36" s="25">
        <f t="shared" si="10"/>
        <v>0</v>
      </c>
      <c r="R36" s="26">
        <f t="shared" si="11"/>
        <v>0</v>
      </c>
      <c r="S36" s="27">
        <f t="shared" si="12"/>
        <v>0</v>
      </c>
      <c r="T36" s="28">
        <f t="shared" si="13"/>
        <v>0</v>
      </c>
    </row>
    <row r="37" spans="2:21" ht="16.350000000000001" customHeight="1">
      <c r="B37" s="591" t="s">
        <v>1663</v>
      </c>
      <c r="C37" s="92">
        <v>3000</v>
      </c>
      <c r="D37" s="92"/>
      <c r="E37" s="92"/>
      <c r="F37" s="92"/>
      <c r="G37" s="93">
        <v>1800</v>
      </c>
      <c r="H37" s="24">
        <f t="shared" si="6"/>
        <v>4800</v>
      </c>
      <c r="I37" s="464">
        <f t="shared" si="7"/>
        <v>17.451000000000001</v>
      </c>
      <c r="J37" s="10">
        <v>0.1</v>
      </c>
      <c r="K37" s="12"/>
      <c r="L37" s="509">
        <v>19.39</v>
      </c>
      <c r="M37" s="509">
        <v>18.309999999999999</v>
      </c>
      <c r="N37" s="280"/>
      <c r="O37" s="25">
        <f t="shared" si="8"/>
        <v>52353</v>
      </c>
      <c r="P37" s="25">
        <f t="shared" si="9"/>
        <v>0</v>
      </c>
      <c r="Q37" s="25">
        <f t="shared" si="10"/>
        <v>0</v>
      </c>
      <c r="R37" s="26">
        <f t="shared" si="11"/>
        <v>0</v>
      </c>
      <c r="S37" s="27">
        <f t="shared" si="12"/>
        <v>31411.8</v>
      </c>
      <c r="T37" s="28">
        <f t="shared" si="13"/>
        <v>83764.800000000003</v>
      </c>
      <c r="U37" s="437">
        <f>L37/M37-1</f>
        <v>5.8984161660295076E-2</v>
      </c>
    </row>
    <row r="38" spans="2:21" ht="14.45" hidden="1" customHeight="1" thickBot="1">
      <c r="B38" s="507" t="s">
        <v>1664</v>
      </c>
      <c r="C38" s="590"/>
      <c r="D38" s="95"/>
      <c r="E38" s="95"/>
      <c r="F38" s="95"/>
      <c r="G38" s="96"/>
      <c r="H38" s="23">
        <f t="shared" si="6"/>
        <v>0</v>
      </c>
      <c r="I38" s="464">
        <f t="shared" si="7"/>
        <v>88.4</v>
      </c>
      <c r="J38" s="10"/>
      <c r="K38" s="12"/>
      <c r="L38" s="508">
        <v>88.4</v>
      </c>
      <c r="M38" s="381">
        <v>10.45</v>
      </c>
      <c r="N38" s="280"/>
      <c r="O38" s="25">
        <f t="shared" si="8"/>
        <v>0</v>
      </c>
      <c r="P38" s="25">
        <f t="shared" si="9"/>
        <v>0</v>
      </c>
      <c r="Q38" s="25">
        <f t="shared" si="10"/>
        <v>0</v>
      </c>
      <c r="R38" s="26">
        <f t="shared" si="11"/>
        <v>0</v>
      </c>
      <c r="S38" s="27">
        <f t="shared" si="12"/>
        <v>0</v>
      </c>
      <c r="T38" s="28">
        <f t="shared" si="13"/>
        <v>0</v>
      </c>
    </row>
    <row r="39" spans="2:21" ht="14.45" hidden="1" customHeight="1" thickBot="1">
      <c r="B39" s="578" t="s">
        <v>1665</v>
      </c>
      <c r="C39" s="584"/>
      <c r="D39" s="581"/>
      <c r="E39" s="581"/>
      <c r="F39" s="581"/>
      <c r="G39" s="582"/>
      <c r="H39" s="583">
        <f t="shared" si="6"/>
        <v>0</v>
      </c>
      <c r="I39" s="464">
        <f t="shared" si="7"/>
        <v>159.83000000000001</v>
      </c>
      <c r="J39" s="10"/>
      <c r="K39" s="12"/>
      <c r="L39" s="508">
        <v>159.83000000000001</v>
      </c>
      <c r="M39" s="381">
        <v>666.21</v>
      </c>
      <c r="N39" s="280"/>
      <c r="O39" s="25">
        <f t="shared" si="8"/>
        <v>0</v>
      </c>
      <c r="P39" s="25">
        <f t="shared" si="9"/>
        <v>0</v>
      </c>
      <c r="Q39" s="25">
        <f t="shared" si="10"/>
        <v>0</v>
      </c>
      <c r="R39" s="26">
        <f t="shared" si="11"/>
        <v>0</v>
      </c>
      <c r="S39" s="27">
        <f t="shared" si="12"/>
        <v>0</v>
      </c>
      <c r="T39" s="28">
        <f t="shared" si="13"/>
        <v>0</v>
      </c>
    </row>
    <row r="40" spans="2:21" ht="14.45" customHeight="1">
      <c r="B40" s="591" t="s">
        <v>90</v>
      </c>
      <c r="C40" s="92"/>
      <c r="D40" s="92"/>
      <c r="E40" s="92">
        <v>24</v>
      </c>
      <c r="F40" s="92"/>
      <c r="G40" s="93"/>
      <c r="H40" s="24">
        <f t="shared" si="6"/>
        <v>24</v>
      </c>
      <c r="I40" s="464">
        <f t="shared" si="7"/>
        <v>42.8</v>
      </c>
      <c r="J40" s="10"/>
      <c r="K40" s="12"/>
      <c r="L40" s="508">
        <v>42.8</v>
      </c>
      <c r="M40" s="508">
        <v>39.54</v>
      </c>
      <c r="N40" s="280"/>
      <c r="O40" s="25">
        <f t="shared" si="8"/>
        <v>0</v>
      </c>
      <c r="P40" s="25">
        <f t="shared" si="9"/>
        <v>0</v>
      </c>
      <c r="Q40" s="25">
        <f t="shared" si="10"/>
        <v>1027.1999999999998</v>
      </c>
      <c r="R40" s="26">
        <f t="shared" si="11"/>
        <v>0</v>
      </c>
      <c r="S40" s="27">
        <f t="shared" si="12"/>
        <v>0</v>
      </c>
      <c r="T40" s="28">
        <f t="shared" si="13"/>
        <v>1027.1999999999998</v>
      </c>
      <c r="U40" s="437">
        <f>L40/M40-1</f>
        <v>8.2448153768335919E-2</v>
      </c>
    </row>
    <row r="41" spans="2:21" ht="14.45" hidden="1" customHeight="1" thickBot="1">
      <c r="B41" s="578" t="s">
        <v>1666</v>
      </c>
      <c r="C41" s="589"/>
      <c r="D41" s="587"/>
      <c r="E41" s="587"/>
      <c r="F41" s="587"/>
      <c r="G41" s="588"/>
      <c r="H41" s="583">
        <f t="shared" si="6"/>
        <v>0</v>
      </c>
      <c r="I41" s="464">
        <f t="shared" si="7"/>
        <v>43.96</v>
      </c>
      <c r="J41" s="10"/>
      <c r="K41" s="12"/>
      <c r="L41" s="508">
        <v>43.96</v>
      </c>
      <c r="M41" s="381">
        <v>171.91</v>
      </c>
      <c r="N41" s="280"/>
      <c r="O41" s="25">
        <f t="shared" si="8"/>
        <v>0</v>
      </c>
      <c r="P41" s="25">
        <f t="shared" si="9"/>
        <v>0</v>
      </c>
      <c r="Q41" s="25">
        <f t="shared" si="10"/>
        <v>0</v>
      </c>
      <c r="R41" s="26">
        <f t="shared" si="11"/>
        <v>0</v>
      </c>
      <c r="S41" s="27">
        <f t="shared" si="12"/>
        <v>0</v>
      </c>
      <c r="T41" s="28">
        <f t="shared" si="13"/>
        <v>0</v>
      </c>
    </row>
    <row r="42" spans="2:21" ht="14.45" customHeight="1">
      <c r="B42" s="591" t="s">
        <v>1667</v>
      </c>
      <c r="C42" s="92">
        <v>12</v>
      </c>
      <c r="D42" s="92"/>
      <c r="E42" s="92"/>
      <c r="F42" s="92"/>
      <c r="G42" s="93"/>
      <c r="H42" s="24">
        <f t="shared" si="6"/>
        <v>12</v>
      </c>
      <c r="I42" s="464">
        <f t="shared" si="7"/>
        <v>11.33</v>
      </c>
      <c r="J42" s="10"/>
      <c r="K42" s="12"/>
      <c r="L42" s="508">
        <v>11.33</v>
      </c>
      <c r="M42" s="508">
        <v>10.48</v>
      </c>
      <c r="N42" s="280"/>
      <c r="O42" s="25">
        <f t="shared" si="8"/>
        <v>135.96</v>
      </c>
      <c r="P42" s="25">
        <f t="shared" si="9"/>
        <v>0</v>
      </c>
      <c r="Q42" s="25">
        <f t="shared" si="10"/>
        <v>0</v>
      </c>
      <c r="R42" s="26">
        <f t="shared" si="11"/>
        <v>0</v>
      </c>
      <c r="S42" s="27">
        <f t="shared" si="12"/>
        <v>0</v>
      </c>
      <c r="T42" s="28">
        <f t="shared" si="13"/>
        <v>135.96</v>
      </c>
      <c r="U42" s="437">
        <f t="shared" ref="U42:U44" si="17">L42/M42-1</f>
        <v>8.1106870229007644E-2</v>
      </c>
    </row>
    <row r="43" spans="2:21" ht="14.45" customHeight="1">
      <c r="B43" s="591" t="s">
        <v>1668</v>
      </c>
      <c r="C43" s="92"/>
      <c r="D43" s="92">
        <v>6</v>
      </c>
      <c r="E43" s="92"/>
      <c r="F43" s="92"/>
      <c r="G43" s="93">
        <v>12</v>
      </c>
      <c r="H43" s="24">
        <f t="shared" si="6"/>
        <v>18</v>
      </c>
      <c r="I43" s="464">
        <f t="shared" si="7"/>
        <v>710.7</v>
      </c>
      <c r="J43" s="10"/>
      <c r="K43" s="12"/>
      <c r="L43" s="508">
        <v>710.7</v>
      </c>
      <c r="M43" s="508">
        <v>669.5</v>
      </c>
      <c r="N43" s="280"/>
      <c r="O43" s="25">
        <f t="shared" si="8"/>
        <v>0</v>
      </c>
      <c r="P43" s="25">
        <f t="shared" si="9"/>
        <v>4264.2000000000007</v>
      </c>
      <c r="Q43" s="25">
        <f t="shared" si="10"/>
        <v>0</v>
      </c>
      <c r="R43" s="26">
        <f t="shared" si="11"/>
        <v>0</v>
      </c>
      <c r="S43" s="27">
        <f t="shared" si="12"/>
        <v>8528.4000000000015</v>
      </c>
      <c r="T43" s="28">
        <f t="shared" si="13"/>
        <v>12792.600000000002</v>
      </c>
      <c r="U43" s="437">
        <f t="shared" si="17"/>
        <v>6.1538461538461542E-2</v>
      </c>
    </row>
    <row r="44" spans="2:21" ht="16.350000000000001" customHeight="1">
      <c r="B44" s="591" t="s">
        <v>1669</v>
      </c>
      <c r="C44" s="92"/>
      <c r="D44" s="92">
        <v>12</v>
      </c>
      <c r="E44" s="92"/>
      <c r="F44" s="92"/>
      <c r="G44" s="93"/>
      <c r="H44" s="24">
        <f t="shared" si="6"/>
        <v>12</v>
      </c>
      <c r="I44" s="464">
        <f t="shared" si="7"/>
        <v>74.34</v>
      </c>
      <c r="J44" s="10"/>
      <c r="K44" s="12"/>
      <c r="L44" s="508">
        <v>74.34</v>
      </c>
      <c r="M44" s="508">
        <v>69.709999999999994</v>
      </c>
      <c r="N44" s="280"/>
      <c r="O44" s="25">
        <f t="shared" si="8"/>
        <v>0</v>
      </c>
      <c r="P44" s="25">
        <f t="shared" si="9"/>
        <v>892.08</v>
      </c>
      <c r="Q44" s="25">
        <f t="shared" si="10"/>
        <v>0</v>
      </c>
      <c r="R44" s="26">
        <f t="shared" si="11"/>
        <v>0</v>
      </c>
      <c r="S44" s="27">
        <f t="shared" si="12"/>
        <v>0</v>
      </c>
      <c r="T44" s="28">
        <f t="shared" si="13"/>
        <v>892.08</v>
      </c>
      <c r="U44" s="437">
        <f t="shared" si="17"/>
        <v>6.641801750107601E-2</v>
      </c>
    </row>
    <row r="45" spans="2:21" ht="14.45" hidden="1" customHeight="1" thickBot="1">
      <c r="B45" s="507" t="s">
        <v>1670</v>
      </c>
      <c r="C45" s="590"/>
      <c r="D45" s="95"/>
      <c r="E45" s="95"/>
      <c r="F45" s="95"/>
      <c r="G45" s="96"/>
      <c r="H45" s="23">
        <f t="shared" si="6"/>
        <v>0</v>
      </c>
      <c r="I45" s="464">
        <f t="shared" si="7"/>
        <v>171.52</v>
      </c>
      <c r="J45" s="10"/>
      <c r="K45" s="12"/>
      <c r="L45" s="508">
        <v>171.52</v>
      </c>
      <c r="M45" s="381">
        <v>10.72</v>
      </c>
      <c r="N45" s="280"/>
      <c r="O45" s="25">
        <f t="shared" si="8"/>
        <v>0</v>
      </c>
      <c r="P45" s="25">
        <f t="shared" si="9"/>
        <v>0</v>
      </c>
      <c r="Q45" s="25">
        <f t="shared" si="10"/>
        <v>0</v>
      </c>
      <c r="R45" s="26">
        <f t="shared" si="11"/>
        <v>0</v>
      </c>
      <c r="S45" s="27">
        <f t="shared" si="12"/>
        <v>0</v>
      </c>
      <c r="T45" s="28">
        <f t="shared" si="13"/>
        <v>0</v>
      </c>
    </row>
    <row r="46" spans="2:21" ht="14.45" hidden="1" customHeight="1" thickBot="1">
      <c r="B46" s="507" t="s">
        <v>1671</v>
      </c>
      <c r="C46" s="279"/>
      <c r="D46" s="92"/>
      <c r="E46" s="92"/>
      <c r="F46" s="92"/>
      <c r="G46" s="93"/>
      <c r="H46" s="23">
        <f t="shared" si="6"/>
        <v>0</v>
      </c>
      <c r="I46" s="464">
        <f t="shared" si="7"/>
        <v>15.13</v>
      </c>
      <c r="J46" s="10"/>
      <c r="K46" s="12"/>
      <c r="L46" s="508">
        <v>15.13</v>
      </c>
      <c r="M46" s="381">
        <v>2.0499999999999998</v>
      </c>
      <c r="N46" s="280"/>
      <c r="O46" s="25">
        <f t="shared" si="8"/>
        <v>0</v>
      </c>
      <c r="P46" s="25">
        <f t="shared" si="9"/>
        <v>0</v>
      </c>
      <c r="Q46" s="25">
        <f t="shared" si="10"/>
        <v>0</v>
      </c>
      <c r="R46" s="26">
        <f t="shared" si="11"/>
        <v>0</v>
      </c>
      <c r="S46" s="27">
        <f t="shared" si="12"/>
        <v>0</v>
      </c>
      <c r="T46" s="28">
        <f t="shared" si="13"/>
        <v>0</v>
      </c>
    </row>
    <row r="47" spans="2:21" ht="14.45" hidden="1" customHeight="1" thickBot="1">
      <c r="B47" s="507" t="s">
        <v>1672</v>
      </c>
      <c r="C47" s="279"/>
      <c r="D47" s="92"/>
      <c r="E47" s="92"/>
      <c r="F47" s="92"/>
      <c r="G47" s="93"/>
      <c r="H47" s="23">
        <f t="shared" si="6"/>
        <v>0</v>
      </c>
      <c r="I47" s="464">
        <f t="shared" si="7"/>
        <v>129.22</v>
      </c>
      <c r="J47" s="10"/>
      <c r="K47" s="12"/>
      <c r="L47" s="508">
        <v>129.22</v>
      </c>
      <c r="M47" s="381">
        <v>179.84</v>
      </c>
      <c r="N47" s="280"/>
      <c r="O47" s="25">
        <f t="shared" si="8"/>
        <v>0</v>
      </c>
      <c r="P47" s="25">
        <f t="shared" si="9"/>
        <v>0</v>
      </c>
      <c r="Q47" s="25">
        <f t="shared" si="10"/>
        <v>0</v>
      </c>
      <c r="R47" s="26">
        <f t="shared" si="11"/>
        <v>0</v>
      </c>
      <c r="S47" s="27">
        <f t="shared" si="12"/>
        <v>0</v>
      </c>
      <c r="T47" s="28">
        <f t="shared" si="13"/>
        <v>0</v>
      </c>
    </row>
    <row r="48" spans="2:21" ht="14.45" hidden="1" customHeight="1" thickBot="1">
      <c r="B48" s="507" t="s">
        <v>1673</v>
      </c>
      <c r="C48" s="279"/>
      <c r="D48" s="92"/>
      <c r="E48" s="92"/>
      <c r="F48" s="92"/>
      <c r="G48" s="93"/>
      <c r="H48" s="23">
        <f t="shared" si="6"/>
        <v>0</v>
      </c>
      <c r="I48" s="464">
        <f t="shared" si="7"/>
        <v>66.91</v>
      </c>
      <c r="J48" s="10"/>
      <c r="K48" s="12"/>
      <c r="L48" s="508">
        <v>66.91</v>
      </c>
      <c r="M48" s="381">
        <v>92.78</v>
      </c>
      <c r="N48" s="280"/>
      <c r="O48" s="25">
        <f t="shared" si="8"/>
        <v>0</v>
      </c>
      <c r="P48" s="25">
        <f t="shared" si="9"/>
        <v>0</v>
      </c>
      <c r="Q48" s="25">
        <f t="shared" si="10"/>
        <v>0</v>
      </c>
      <c r="R48" s="26">
        <f t="shared" si="11"/>
        <v>0</v>
      </c>
      <c r="S48" s="27">
        <f t="shared" si="12"/>
        <v>0</v>
      </c>
      <c r="T48" s="28">
        <f t="shared" si="13"/>
        <v>0</v>
      </c>
    </row>
    <row r="49" spans="2:21" ht="14.45" hidden="1" customHeight="1" thickBot="1">
      <c r="B49" s="507" t="s">
        <v>1674</v>
      </c>
      <c r="C49" s="279"/>
      <c r="D49" s="92"/>
      <c r="E49" s="92"/>
      <c r="F49" s="92"/>
      <c r="G49" s="93"/>
      <c r="H49" s="23">
        <f t="shared" si="6"/>
        <v>0</v>
      </c>
      <c r="I49" s="464">
        <f t="shared" si="7"/>
        <v>11.58</v>
      </c>
      <c r="J49" s="10"/>
      <c r="K49" s="12"/>
      <c r="L49" s="508">
        <v>11.58</v>
      </c>
      <c r="M49" s="381">
        <v>8.74</v>
      </c>
      <c r="N49" s="280"/>
      <c r="O49" s="25">
        <f t="shared" si="8"/>
        <v>0</v>
      </c>
      <c r="P49" s="25">
        <f t="shared" si="9"/>
        <v>0</v>
      </c>
      <c r="Q49" s="25">
        <f t="shared" si="10"/>
        <v>0</v>
      </c>
      <c r="R49" s="26">
        <f t="shared" si="11"/>
        <v>0</v>
      </c>
      <c r="S49" s="27">
        <f t="shared" si="12"/>
        <v>0</v>
      </c>
      <c r="T49" s="28">
        <f t="shared" si="13"/>
        <v>0</v>
      </c>
    </row>
    <row r="50" spans="2:21" ht="14.45" hidden="1" customHeight="1" thickBot="1">
      <c r="B50" s="507" t="s">
        <v>1675</v>
      </c>
      <c r="C50" s="279"/>
      <c r="D50" s="92"/>
      <c r="E50" s="92"/>
      <c r="F50" s="92"/>
      <c r="G50" s="93"/>
      <c r="H50" s="23">
        <f t="shared" si="6"/>
        <v>0</v>
      </c>
      <c r="I50" s="464">
        <f t="shared" si="7"/>
        <v>1.97</v>
      </c>
      <c r="J50" s="364"/>
      <c r="K50" s="12"/>
      <c r="L50" s="508">
        <v>1.97</v>
      </c>
      <c r="M50" s="381">
        <v>363.22</v>
      </c>
      <c r="N50" s="280"/>
      <c r="O50" s="25">
        <f t="shared" si="8"/>
        <v>0</v>
      </c>
      <c r="P50" s="25">
        <f t="shared" si="9"/>
        <v>0</v>
      </c>
      <c r="Q50" s="25">
        <f t="shared" si="10"/>
        <v>0</v>
      </c>
      <c r="R50" s="26">
        <f t="shared" si="11"/>
        <v>0</v>
      </c>
      <c r="S50" s="27">
        <f t="shared" si="12"/>
        <v>0</v>
      </c>
      <c r="T50" s="28">
        <f t="shared" si="13"/>
        <v>0</v>
      </c>
    </row>
    <row r="51" spans="2:21" ht="14.45" hidden="1" customHeight="1" thickBot="1">
      <c r="B51" s="507" t="s">
        <v>91</v>
      </c>
      <c r="C51" s="279"/>
      <c r="D51" s="92"/>
      <c r="E51" s="92"/>
      <c r="F51" s="92"/>
      <c r="G51" s="93"/>
      <c r="H51" s="23">
        <f t="shared" si="6"/>
        <v>0</v>
      </c>
      <c r="I51" s="464">
        <f t="shared" si="7"/>
        <v>181.14</v>
      </c>
      <c r="J51" s="10"/>
      <c r="K51" s="12"/>
      <c r="L51" s="508">
        <v>181.14</v>
      </c>
      <c r="M51" s="381">
        <v>134.47</v>
      </c>
      <c r="N51" s="280"/>
      <c r="O51" s="25">
        <f t="shared" si="8"/>
        <v>0</v>
      </c>
      <c r="P51" s="25">
        <f t="shared" si="9"/>
        <v>0</v>
      </c>
      <c r="Q51" s="25">
        <f t="shared" si="10"/>
        <v>0</v>
      </c>
      <c r="R51" s="26">
        <f t="shared" si="11"/>
        <v>0</v>
      </c>
      <c r="S51" s="27">
        <f t="shared" si="12"/>
        <v>0</v>
      </c>
      <c r="T51" s="28">
        <f t="shared" si="13"/>
        <v>0</v>
      </c>
    </row>
    <row r="52" spans="2:21" ht="16.350000000000001" hidden="1" customHeight="1" thickBot="1">
      <c r="B52" s="578" t="s">
        <v>92</v>
      </c>
      <c r="C52" s="584"/>
      <c r="D52" s="581"/>
      <c r="E52" s="581"/>
      <c r="F52" s="581"/>
      <c r="G52" s="582"/>
      <c r="H52" s="583">
        <f t="shared" si="6"/>
        <v>0</v>
      </c>
      <c r="I52" s="464">
        <f t="shared" si="7"/>
        <v>92.61</v>
      </c>
      <c r="J52" s="10"/>
      <c r="K52" s="12"/>
      <c r="L52" s="508">
        <v>92.61</v>
      </c>
      <c r="M52" s="381">
        <v>216.5</v>
      </c>
      <c r="N52" s="280"/>
      <c r="O52" s="25">
        <f t="shared" si="8"/>
        <v>0</v>
      </c>
      <c r="P52" s="25">
        <f t="shared" si="9"/>
        <v>0</v>
      </c>
      <c r="Q52" s="25">
        <f t="shared" si="10"/>
        <v>0</v>
      </c>
      <c r="R52" s="26">
        <f t="shared" si="11"/>
        <v>0</v>
      </c>
      <c r="S52" s="27">
        <f t="shared" si="12"/>
        <v>0</v>
      </c>
      <c r="T52" s="28">
        <f t="shared" si="13"/>
        <v>0</v>
      </c>
    </row>
    <row r="53" spans="2:21" ht="14.45" customHeight="1">
      <c r="B53" s="591" t="s">
        <v>1676</v>
      </c>
      <c r="C53" s="92"/>
      <c r="D53" s="92">
        <v>24</v>
      </c>
      <c r="E53" s="92"/>
      <c r="F53" s="92"/>
      <c r="G53" s="93"/>
      <c r="H53" s="24">
        <f t="shared" si="6"/>
        <v>24</v>
      </c>
      <c r="I53" s="464">
        <f t="shared" si="7"/>
        <v>9.8000000000000007</v>
      </c>
      <c r="J53" s="10"/>
      <c r="K53" s="12"/>
      <c r="L53" s="508">
        <v>9.8000000000000007</v>
      </c>
      <c r="M53" s="508">
        <v>9.19</v>
      </c>
      <c r="N53" s="280"/>
      <c r="O53" s="25">
        <f t="shared" si="8"/>
        <v>0</v>
      </c>
      <c r="P53" s="25">
        <f t="shared" si="9"/>
        <v>235.20000000000002</v>
      </c>
      <c r="Q53" s="25">
        <f t="shared" si="10"/>
        <v>0</v>
      </c>
      <c r="R53" s="26">
        <f t="shared" si="11"/>
        <v>0</v>
      </c>
      <c r="S53" s="27">
        <f t="shared" si="12"/>
        <v>0</v>
      </c>
      <c r="T53" s="28">
        <f t="shared" si="13"/>
        <v>235.20000000000002</v>
      </c>
      <c r="U53" s="437">
        <f>L53/M53-1</f>
        <v>6.6376496191512757E-2</v>
      </c>
    </row>
    <row r="54" spans="2:21" ht="14.45" hidden="1" customHeight="1" thickBot="1">
      <c r="B54" s="507" t="s">
        <v>93</v>
      </c>
      <c r="C54" s="590"/>
      <c r="D54" s="95"/>
      <c r="E54" s="95"/>
      <c r="F54" s="95"/>
      <c r="G54" s="96"/>
      <c r="H54" s="23">
        <f t="shared" si="6"/>
        <v>0</v>
      </c>
      <c r="I54" s="464">
        <f t="shared" si="7"/>
        <v>360.01</v>
      </c>
      <c r="J54" s="10"/>
      <c r="K54" s="12"/>
      <c r="L54" s="508">
        <v>360.01</v>
      </c>
      <c r="M54" s="381">
        <v>6.79</v>
      </c>
      <c r="N54" s="280"/>
      <c r="O54" s="25">
        <f t="shared" si="8"/>
        <v>0</v>
      </c>
      <c r="P54" s="25">
        <f t="shared" si="9"/>
        <v>0</v>
      </c>
      <c r="Q54" s="25">
        <f t="shared" si="10"/>
        <v>0</v>
      </c>
      <c r="R54" s="26">
        <f t="shared" si="11"/>
        <v>0</v>
      </c>
      <c r="S54" s="27">
        <f t="shared" si="12"/>
        <v>0</v>
      </c>
      <c r="T54" s="28">
        <f t="shared" si="13"/>
        <v>0</v>
      </c>
    </row>
    <row r="55" spans="2:21" ht="16.350000000000001" hidden="1" customHeight="1" thickBot="1">
      <c r="B55" s="507" t="s">
        <v>94</v>
      </c>
      <c r="C55" s="279"/>
      <c r="D55" s="92"/>
      <c r="E55" s="92"/>
      <c r="F55" s="92"/>
      <c r="G55" s="93"/>
      <c r="H55" s="23">
        <f t="shared" si="6"/>
        <v>0</v>
      </c>
      <c r="I55" s="464">
        <f t="shared" si="7"/>
        <v>138.71</v>
      </c>
      <c r="J55" s="10"/>
      <c r="K55" s="12"/>
      <c r="L55" s="508">
        <v>138.71</v>
      </c>
      <c r="M55" s="381">
        <v>9.1</v>
      </c>
      <c r="N55" s="280"/>
      <c r="O55" s="25">
        <f t="shared" si="8"/>
        <v>0</v>
      </c>
      <c r="P55" s="25">
        <f t="shared" si="9"/>
        <v>0</v>
      </c>
      <c r="Q55" s="25">
        <f t="shared" si="10"/>
        <v>0</v>
      </c>
      <c r="R55" s="26">
        <f t="shared" si="11"/>
        <v>0</v>
      </c>
      <c r="S55" s="27">
        <f t="shared" si="12"/>
        <v>0</v>
      </c>
      <c r="T55" s="28">
        <f t="shared" si="13"/>
        <v>0</v>
      </c>
    </row>
    <row r="56" spans="2:21" ht="14.45" hidden="1" customHeight="1" thickBot="1">
      <c r="B56" s="578" t="s">
        <v>95</v>
      </c>
      <c r="C56" s="584"/>
      <c r="D56" s="581"/>
      <c r="E56" s="581"/>
      <c r="F56" s="581"/>
      <c r="G56" s="582"/>
      <c r="H56" s="583">
        <f t="shared" si="6"/>
        <v>0</v>
      </c>
      <c r="I56" s="464">
        <f t="shared" si="7"/>
        <v>213.24</v>
      </c>
      <c r="J56" s="10"/>
      <c r="K56" s="12"/>
      <c r="L56" s="508">
        <v>213.24</v>
      </c>
      <c r="M56" s="381">
        <v>78.150000000000006</v>
      </c>
      <c r="N56" s="280"/>
      <c r="O56" s="25">
        <f t="shared" si="8"/>
        <v>0</v>
      </c>
      <c r="P56" s="25">
        <f t="shared" si="9"/>
        <v>0</v>
      </c>
      <c r="Q56" s="25">
        <f t="shared" si="10"/>
        <v>0</v>
      </c>
      <c r="R56" s="26">
        <f t="shared" si="11"/>
        <v>0</v>
      </c>
      <c r="S56" s="27">
        <f t="shared" si="12"/>
        <v>0</v>
      </c>
      <c r="T56" s="28">
        <f t="shared" si="13"/>
        <v>0</v>
      </c>
    </row>
    <row r="57" spans="2:21" ht="14.45" customHeight="1">
      <c r="B57" s="591" t="s">
        <v>96</v>
      </c>
      <c r="C57" s="92">
        <v>120</v>
      </c>
      <c r="D57" s="92"/>
      <c r="E57" s="92"/>
      <c r="F57" s="92"/>
      <c r="G57" s="93"/>
      <c r="H57" s="24">
        <f t="shared" si="6"/>
        <v>120</v>
      </c>
      <c r="I57" s="464">
        <f t="shared" si="7"/>
        <v>33.840000000000003</v>
      </c>
      <c r="J57" s="10"/>
      <c r="K57" s="12"/>
      <c r="L57" s="508">
        <v>33.840000000000003</v>
      </c>
      <c r="M57" s="508">
        <v>32.58</v>
      </c>
      <c r="N57" s="280"/>
      <c r="O57" s="25">
        <f t="shared" si="8"/>
        <v>4060.8</v>
      </c>
      <c r="P57" s="25">
        <f t="shared" si="9"/>
        <v>0</v>
      </c>
      <c r="Q57" s="25">
        <f t="shared" si="10"/>
        <v>0</v>
      </c>
      <c r="R57" s="26">
        <f t="shared" si="11"/>
        <v>0</v>
      </c>
      <c r="S57" s="27">
        <f t="shared" si="12"/>
        <v>0</v>
      </c>
      <c r="T57" s="28">
        <f t="shared" si="13"/>
        <v>4060.8</v>
      </c>
      <c r="U57" s="437">
        <f t="shared" ref="U57:U58" si="18">L57/M57-1</f>
        <v>3.8674033149171505E-2</v>
      </c>
    </row>
    <row r="58" spans="2:21" ht="14.45" customHeight="1">
      <c r="B58" s="591" t="s">
        <v>1677</v>
      </c>
      <c r="C58" s="92"/>
      <c r="D58" s="92"/>
      <c r="E58" s="92"/>
      <c r="F58" s="92">
        <v>240</v>
      </c>
      <c r="G58" s="93"/>
      <c r="H58" s="24">
        <f t="shared" si="6"/>
        <v>240</v>
      </c>
      <c r="I58" s="464">
        <f t="shared" si="7"/>
        <v>7.3</v>
      </c>
      <c r="J58" s="10"/>
      <c r="K58" s="12"/>
      <c r="L58" s="508">
        <v>7.3</v>
      </c>
      <c r="M58" s="508">
        <v>6.86</v>
      </c>
      <c r="N58" s="280"/>
      <c r="O58" s="25">
        <f t="shared" si="8"/>
        <v>0</v>
      </c>
      <c r="P58" s="25">
        <f t="shared" si="9"/>
        <v>0</v>
      </c>
      <c r="Q58" s="25">
        <f t="shared" si="10"/>
        <v>0</v>
      </c>
      <c r="R58" s="26">
        <f t="shared" si="11"/>
        <v>1752</v>
      </c>
      <c r="S58" s="27">
        <f t="shared" si="12"/>
        <v>0</v>
      </c>
      <c r="T58" s="28">
        <f t="shared" si="13"/>
        <v>1752</v>
      </c>
      <c r="U58" s="437">
        <f t="shared" si="18"/>
        <v>6.4139941690962043E-2</v>
      </c>
    </row>
    <row r="59" spans="2:21" ht="14.45" hidden="1" customHeight="1" thickBot="1">
      <c r="B59" s="507" t="s">
        <v>1678</v>
      </c>
      <c r="C59" s="590"/>
      <c r="D59" s="95"/>
      <c r="E59" s="95"/>
      <c r="F59" s="95"/>
      <c r="G59" s="96"/>
      <c r="H59" s="23">
        <f t="shared" si="6"/>
        <v>0</v>
      </c>
      <c r="I59" s="464">
        <f t="shared" si="7"/>
        <v>9.2200000000000006</v>
      </c>
      <c r="J59" s="10"/>
      <c r="K59" s="12"/>
      <c r="L59" s="508">
        <v>9.2200000000000006</v>
      </c>
      <c r="M59" s="382" t="s">
        <v>964</v>
      </c>
      <c r="N59" s="280"/>
      <c r="O59" s="25">
        <f t="shared" si="8"/>
        <v>0</v>
      </c>
      <c r="P59" s="25">
        <f t="shared" si="9"/>
        <v>0</v>
      </c>
      <c r="Q59" s="25">
        <f t="shared" si="10"/>
        <v>0</v>
      </c>
      <c r="R59" s="26">
        <f t="shared" si="11"/>
        <v>0</v>
      </c>
      <c r="S59" s="27">
        <f t="shared" si="12"/>
        <v>0</v>
      </c>
      <c r="T59" s="28">
        <f t="shared" si="13"/>
        <v>0</v>
      </c>
    </row>
    <row r="60" spans="2:21" ht="14.45" hidden="1" customHeight="1" thickBot="1">
      <c r="B60" s="578" t="s">
        <v>97</v>
      </c>
      <c r="C60" s="584"/>
      <c r="D60" s="581"/>
      <c r="E60" s="581"/>
      <c r="F60" s="581"/>
      <c r="G60" s="582"/>
      <c r="H60" s="583">
        <f t="shared" si="6"/>
        <v>0</v>
      </c>
      <c r="I60" s="464">
        <f t="shared" si="7"/>
        <v>79.92</v>
      </c>
      <c r="J60" s="10"/>
      <c r="K60" s="12"/>
      <c r="L60" s="508">
        <v>79.92</v>
      </c>
      <c r="M60" s="382" t="s">
        <v>965</v>
      </c>
      <c r="N60" s="280"/>
      <c r="O60" s="25">
        <f t="shared" si="8"/>
        <v>0</v>
      </c>
      <c r="P60" s="25">
        <f t="shared" si="9"/>
        <v>0</v>
      </c>
      <c r="Q60" s="25">
        <f t="shared" si="10"/>
        <v>0</v>
      </c>
      <c r="R60" s="26">
        <f t="shared" si="11"/>
        <v>0</v>
      </c>
      <c r="S60" s="27">
        <f t="shared" si="12"/>
        <v>0</v>
      </c>
      <c r="T60" s="28">
        <f t="shared" si="13"/>
        <v>0</v>
      </c>
    </row>
    <row r="61" spans="2:21" ht="14.45" customHeight="1">
      <c r="B61" s="591" t="s">
        <v>1679</v>
      </c>
      <c r="C61" s="92">
        <v>48</v>
      </c>
      <c r="D61" s="92"/>
      <c r="E61" s="92"/>
      <c r="F61" s="92"/>
      <c r="G61" s="93"/>
      <c r="H61" s="24">
        <f t="shared" si="6"/>
        <v>48</v>
      </c>
      <c r="I61" s="464">
        <f t="shared" si="7"/>
        <v>71.489999999999995</v>
      </c>
      <c r="J61" s="10"/>
      <c r="K61" s="12"/>
      <c r="L61" s="508">
        <v>71.489999999999995</v>
      </c>
      <c r="M61" s="508">
        <v>66.650000000000006</v>
      </c>
      <c r="N61" s="280"/>
      <c r="O61" s="25">
        <f t="shared" si="8"/>
        <v>3431.5199999999995</v>
      </c>
      <c r="P61" s="25">
        <f t="shared" si="9"/>
        <v>0</v>
      </c>
      <c r="Q61" s="25">
        <f t="shared" si="10"/>
        <v>0</v>
      </c>
      <c r="R61" s="26">
        <f t="shared" si="11"/>
        <v>0</v>
      </c>
      <c r="S61" s="27">
        <f t="shared" si="12"/>
        <v>0</v>
      </c>
      <c r="T61" s="28">
        <f t="shared" si="13"/>
        <v>3431.5199999999995</v>
      </c>
      <c r="U61" s="437">
        <f>L61/M61-1</f>
        <v>7.2618154538634405E-2</v>
      </c>
    </row>
    <row r="62" spans="2:21" ht="14.45" hidden="1" customHeight="1" thickBot="1">
      <c r="B62" s="507" t="s">
        <v>1680</v>
      </c>
      <c r="C62" s="590"/>
      <c r="D62" s="95"/>
      <c r="E62" s="95"/>
      <c r="F62" s="95"/>
      <c r="G62" s="96"/>
      <c r="H62" s="23">
        <f t="shared" si="6"/>
        <v>0</v>
      </c>
      <c r="I62" s="464">
        <f t="shared" si="7"/>
        <v>41.49</v>
      </c>
      <c r="J62" s="10"/>
      <c r="K62" s="12"/>
      <c r="L62" s="508">
        <v>41.49</v>
      </c>
      <c r="M62" s="382" t="s">
        <v>966</v>
      </c>
      <c r="N62" s="280"/>
      <c r="O62" s="25">
        <f t="shared" si="8"/>
        <v>0</v>
      </c>
      <c r="P62" s="25">
        <f t="shared" si="9"/>
        <v>0</v>
      </c>
      <c r="Q62" s="25">
        <f t="shared" si="10"/>
        <v>0</v>
      </c>
      <c r="R62" s="26">
        <f t="shared" si="11"/>
        <v>0</v>
      </c>
      <c r="S62" s="27">
        <f t="shared" si="12"/>
        <v>0</v>
      </c>
      <c r="T62" s="28">
        <f t="shared" si="13"/>
        <v>0</v>
      </c>
    </row>
    <row r="63" spans="2:21" ht="14.45" hidden="1" customHeight="1" thickBot="1">
      <c r="B63" s="578" t="s">
        <v>98</v>
      </c>
      <c r="C63" s="584"/>
      <c r="D63" s="581"/>
      <c r="E63" s="581"/>
      <c r="F63" s="581"/>
      <c r="G63" s="582"/>
      <c r="H63" s="583">
        <f t="shared" si="6"/>
        <v>0</v>
      </c>
      <c r="I63" s="464">
        <f t="shared" si="7"/>
        <v>77.180000000000007</v>
      </c>
      <c r="J63" s="10"/>
      <c r="K63" s="12"/>
      <c r="L63" s="508">
        <v>77.180000000000007</v>
      </c>
      <c r="M63" s="382" t="s">
        <v>967</v>
      </c>
      <c r="N63" s="280"/>
      <c r="O63" s="25">
        <f t="shared" si="8"/>
        <v>0</v>
      </c>
      <c r="P63" s="25">
        <f t="shared" si="9"/>
        <v>0</v>
      </c>
      <c r="Q63" s="25">
        <f t="shared" si="10"/>
        <v>0</v>
      </c>
      <c r="R63" s="26">
        <f t="shared" si="11"/>
        <v>0</v>
      </c>
      <c r="S63" s="27">
        <f t="shared" si="12"/>
        <v>0</v>
      </c>
      <c r="T63" s="28">
        <f t="shared" si="13"/>
        <v>0</v>
      </c>
    </row>
    <row r="64" spans="2:21" ht="14.45" customHeight="1">
      <c r="B64" s="591" t="s">
        <v>99</v>
      </c>
      <c r="C64" s="92"/>
      <c r="D64" s="92"/>
      <c r="E64" s="92">
        <v>24</v>
      </c>
      <c r="F64" s="92"/>
      <c r="G64" s="93"/>
      <c r="H64" s="24">
        <f t="shared" si="6"/>
        <v>24</v>
      </c>
      <c r="I64" s="464">
        <f t="shared" si="7"/>
        <v>8.51</v>
      </c>
      <c r="J64" s="10"/>
      <c r="K64" s="12"/>
      <c r="L64" s="508">
        <v>8.51</v>
      </c>
      <c r="M64" s="508">
        <v>8.0399999999999991</v>
      </c>
      <c r="N64" s="280"/>
      <c r="O64" s="25">
        <f t="shared" si="8"/>
        <v>0</v>
      </c>
      <c r="P64" s="25">
        <f t="shared" si="9"/>
        <v>0</v>
      </c>
      <c r="Q64" s="25">
        <f t="shared" si="10"/>
        <v>204.24</v>
      </c>
      <c r="R64" s="26">
        <f t="shared" si="11"/>
        <v>0</v>
      </c>
      <c r="S64" s="27">
        <f t="shared" si="12"/>
        <v>0</v>
      </c>
      <c r="T64" s="28">
        <f t="shared" si="13"/>
        <v>204.24</v>
      </c>
      <c r="U64" s="437">
        <f>L64/M64-1</f>
        <v>5.845771144278622E-2</v>
      </c>
    </row>
    <row r="65" spans="2:21" ht="14.45" hidden="1" customHeight="1" thickBot="1">
      <c r="B65" s="578" t="s">
        <v>704</v>
      </c>
      <c r="C65" s="589"/>
      <c r="D65" s="587"/>
      <c r="E65" s="587"/>
      <c r="F65" s="587"/>
      <c r="G65" s="588"/>
      <c r="H65" s="583">
        <f t="shared" si="6"/>
        <v>0</v>
      </c>
      <c r="I65" s="464">
        <f t="shared" si="7"/>
        <v>16.850000000000001</v>
      </c>
      <c r="J65" s="10"/>
      <c r="K65" s="12"/>
      <c r="L65" s="509">
        <v>16.850000000000001</v>
      </c>
      <c r="M65" s="382" t="s">
        <v>968</v>
      </c>
      <c r="N65" s="280"/>
      <c r="O65" s="25">
        <f t="shared" si="8"/>
        <v>0</v>
      </c>
      <c r="P65" s="25">
        <f t="shared" si="9"/>
        <v>0</v>
      </c>
      <c r="Q65" s="25">
        <f t="shared" si="10"/>
        <v>0</v>
      </c>
      <c r="R65" s="26">
        <f t="shared" si="11"/>
        <v>0</v>
      </c>
      <c r="S65" s="27">
        <f t="shared" si="12"/>
        <v>0</v>
      </c>
      <c r="T65" s="28">
        <f t="shared" si="13"/>
        <v>0</v>
      </c>
    </row>
    <row r="66" spans="2:21" ht="14.45" customHeight="1">
      <c r="B66" s="591" t="s">
        <v>100</v>
      </c>
      <c r="C66" s="92">
        <v>12</v>
      </c>
      <c r="D66" s="92"/>
      <c r="E66" s="92">
        <v>12</v>
      </c>
      <c r="F66" s="92"/>
      <c r="G66" s="93">
        <v>12</v>
      </c>
      <c r="H66" s="24">
        <f t="shared" si="6"/>
        <v>36</v>
      </c>
      <c r="I66" s="464">
        <f t="shared" si="7"/>
        <v>206.06</v>
      </c>
      <c r="J66" s="10"/>
      <c r="K66" s="12"/>
      <c r="L66" s="508">
        <v>206.06</v>
      </c>
      <c r="M66" s="508">
        <v>191.48</v>
      </c>
      <c r="N66" s="280"/>
      <c r="O66" s="25">
        <f t="shared" si="8"/>
        <v>2472.7200000000003</v>
      </c>
      <c r="P66" s="25">
        <f t="shared" si="9"/>
        <v>0</v>
      </c>
      <c r="Q66" s="25">
        <f t="shared" si="10"/>
        <v>2472.7200000000003</v>
      </c>
      <c r="R66" s="26">
        <f t="shared" si="11"/>
        <v>0</v>
      </c>
      <c r="S66" s="27">
        <f t="shared" si="12"/>
        <v>2472.7200000000003</v>
      </c>
      <c r="T66" s="28">
        <f t="shared" si="13"/>
        <v>7418.1600000000008</v>
      </c>
      <c r="U66" s="437">
        <f>L66/M66-1</f>
        <v>7.6143722581992979E-2</v>
      </c>
    </row>
    <row r="67" spans="2:21" ht="14.45" hidden="1" customHeight="1" thickBot="1">
      <c r="B67" s="578" t="s">
        <v>101</v>
      </c>
      <c r="C67" s="589"/>
      <c r="D67" s="587"/>
      <c r="E67" s="587"/>
      <c r="F67" s="587"/>
      <c r="G67" s="588"/>
      <c r="H67" s="583">
        <f t="shared" si="6"/>
        <v>0</v>
      </c>
      <c r="I67" s="464">
        <f t="shared" si="7"/>
        <v>30.08</v>
      </c>
      <c r="J67" s="10"/>
      <c r="K67" s="12"/>
      <c r="L67" s="508">
        <v>30.08</v>
      </c>
      <c r="M67" s="382" t="s">
        <v>969</v>
      </c>
      <c r="N67" s="280"/>
      <c r="O67" s="25">
        <f t="shared" si="8"/>
        <v>0</v>
      </c>
      <c r="P67" s="25">
        <f t="shared" si="9"/>
        <v>0</v>
      </c>
      <c r="Q67" s="25">
        <f t="shared" si="10"/>
        <v>0</v>
      </c>
      <c r="R67" s="26">
        <f t="shared" si="11"/>
        <v>0</v>
      </c>
      <c r="S67" s="27">
        <f t="shared" si="12"/>
        <v>0</v>
      </c>
      <c r="T67" s="28">
        <f t="shared" si="13"/>
        <v>0</v>
      </c>
    </row>
    <row r="68" spans="2:21" ht="14.45" customHeight="1">
      <c r="B68" s="591" t="s">
        <v>1681</v>
      </c>
      <c r="C68" s="92">
        <v>56</v>
      </c>
      <c r="D68" s="92"/>
      <c r="E68" s="92"/>
      <c r="F68" s="92"/>
      <c r="G68" s="93"/>
      <c r="H68" s="24">
        <f t="shared" si="6"/>
        <v>56</v>
      </c>
      <c r="I68" s="464">
        <f t="shared" si="7"/>
        <v>18.59</v>
      </c>
      <c r="J68" s="10"/>
      <c r="K68" s="12"/>
      <c r="L68" s="508">
        <v>18.59</v>
      </c>
      <c r="M68" s="508">
        <v>17.11</v>
      </c>
      <c r="N68" s="280"/>
      <c r="O68" s="25">
        <f t="shared" si="8"/>
        <v>1041.04</v>
      </c>
      <c r="P68" s="25">
        <f t="shared" si="9"/>
        <v>0</v>
      </c>
      <c r="Q68" s="25">
        <f t="shared" si="10"/>
        <v>0</v>
      </c>
      <c r="R68" s="26">
        <f t="shared" si="11"/>
        <v>0</v>
      </c>
      <c r="S68" s="27">
        <f t="shared" si="12"/>
        <v>0</v>
      </c>
      <c r="T68" s="28">
        <f t="shared" si="13"/>
        <v>1041.04</v>
      </c>
      <c r="U68" s="437">
        <f>L68/M68-1</f>
        <v>8.6499123319696114E-2</v>
      </c>
    </row>
    <row r="69" spans="2:21" ht="14.45" hidden="1" customHeight="1" thickBot="1">
      <c r="B69" s="507" t="s">
        <v>566</v>
      </c>
      <c r="C69" s="590"/>
      <c r="D69" s="95"/>
      <c r="E69" s="95"/>
      <c r="F69" s="95"/>
      <c r="G69" s="96"/>
      <c r="H69" s="23">
        <f t="shared" si="6"/>
        <v>0</v>
      </c>
      <c r="I69" s="464">
        <f t="shared" si="7"/>
        <v>85.62</v>
      </c>
      <c r="J69" s="10"/>
      <c r="K69" s="12"/>
      <c r="L69" s="508">
        <v>85.62</v>
      </c>
      <c r="M69" s="382" t="s">
        <v>970</v>
      </c>
      <c r="N69" s="280"/>
      <c r="O69" s="25">
        <f t="shared" si="8"/>
        <v>0</v>
      </c>
      <c r="P69" s="25">
        <f t="shared" si="9"/>
        <v>0</v>
      </c>
      <c r="Q69" s="25">
        <f t="shared" si="10"/>
        <v>0</v>
      </c>
      <c r="R69" s="26">
        <f t="shared" si="11"/>
        <v>0</v>
      </c>
      <c r="S69" s="27">
        <f t="shared" si="12"/>
        <v>0</v>
      </c>
      <c r="T69" s="28">
        <f t="shared" si="13"/>
        <v>0</v>
      </c>
    </row>
    <row r="70" spans="2:21" ht="16.350000000000001" hidden="1" customHeight="1" thickBot="1">
      <c r="B70" s="507" t="s">
        <v>102</v>
      </c>
      <c r="C70" s="279"/>
      <c r="D70" s="92"/>
      <c r="E70" s="92"/>
      <c r="F70" s="92"/>
      <c r="G70" s="93"/>
      <c r="H70" s="23">
        <f t="shared" si="6"/>
        <v>0</v>
      </c>
      <c r="I70" s="464">
        <f t="shared" si="7"/>
        <v>163.83000000000001</v>
      </c>
      <c r="J70" s="10"/>
      <c r="K70" s="12"/>
      <c r="L70" s="508">
        <v>163.83000000000001</v>
      </c>
      <c r="M70" s="382" t="s">
        <v>971</v>
      </c>
      <c r="N70" s="280"/>
      <c r="O70" s="25">
        <f t="shared" si="8"/>
        <v>0</v>
      </c>
      <c r="P70" s="25">
        <f t="shared" si="9"/>
        <v>0</v>
      </c>
      <c r="Q70" s="25">
        <f t="shared" si="10"/>
        <v>0</v>
      </c>
      <c r="R70" s="26">
        <f t="shared" si="11"/>
        <v>0</v>
      </c>
      <c r="S70" s="27">
        <f t="shared" si="12"/>
        <v>0</v>
      </c>
      <c r="T70" s="28">
        <f t="shared" si="13"/>
        <v>0</v>
      </c>
    </row>
    <row r="71" spans="2:21" ht="14.45" hidden="1" customHeight="1" thickBot="1">
      <c r="B71" s="578" t="s">
        <v>103</v>
      </c>
      <c r="C71" s="584"/>
      <c r="D71" s="581"/>
      <c r="E71" s="581"/>
      <c r="F71" s="581"/>
      <c r="G71" s="582"/>
      <c r="H71" s="583">
        <f t="shared" si="6"/>
        <v>0</v>
      </c>
      <c r="I71" s="464">
        <f t="shared" si="7"/>
        <v>146.30000000000001</v>
      </c>
      <c r="J71" s="10"/>
      <c r="K71" s="12"/>
      <c r="L71" s="508">
        <v>146.30000000000001</v>
      </c>
      <c r="M71" s="382" t="s">
        <v>972</v>
      </c>
      <c r="N71" s="280"/>
      <c r="O71" s="25">
        <f t="shared" ref="O71:O98" si="19">I71*C71</f>
        <v>0</v>
      </c>
      <c r="P71" s="25">
        <f t="shared" ref="P71:P98" si="20">I71*D71</f>
        <v>0</v>
      </c>
      <c r="Q71" s="25">
        <f t="shared" ref="Q71:Q98" si="21">I71*E71</f>
        <v>0</v>
      </c>
      <c r="R71" s="26">
        <f t="shared" ref="R71:R98" si="22">I71*F71</f>
        <v>0</v>
      </c>
      <c r="S71" s="27">
        <f t="shared" ref="S71:S98" si="23">I71*G71</f>
        <v>0</v>
      </c>
      <c r="T71" s="28">
        <f t="shared" ref="T71:T98" si="24">SUM(O71:S71)</f>
        <v>0</v>
      </c>
    </row>
    <row r="72" spans="2:21" ht="14.45" customHeight="1">
      <c r="B72" s="591" t="s">
        <v>1682</v>
      </c>
      <c r="C72" s="92"/>
      <c r="D72" s="92"/>
      <c r="E72" s="92"/>
      <c r="F72" s="92"/>
      <c r="G72" s="93">
        <v>600</v>
      </c>
      <c r="H72" s="24">
        <f t="shared" ref="H72:H98" si="25">SUM(C72:G72)</f>
        <v>600</v>
      </c>
      <c r="I72" s="464">
        <f t="shared" ref="I72:I98" si="26">L72-(L72*J72)</f>
        <v>8.75</v>
      </c>
      <c r="J72" s="10"/>
      <c r="K72" s="12"/>
      <c r="L72" s="508">
        <v>8.75</v>
      </c>
      <c r="M72" s="508">
        <v>8.0399999999999991</v>
      </c>
      <c r="N72" s="280"/>
      <c r="O72" s="25">
        <f t="shared" si="19"/>
        <v>0</v>
      </c>
      <c r="P72" s="25">
        <f t="shared" si="20"/>
        <v>0</v>
      </c>
      <c r="Q72" s="25">
        <f t="shared" si="21"/>
        <v>0</v>
      </c>
      <c r="R72" s="26">
        <f t="shared" si="22"/>
        <v>0</v>
      </c>
      <c r="S72" s="27">
        <f t="shared" si="23"/>
        <v>5250</v>
      </c>
      <c r="T72" s="28">
        <f t="shared" si="24"/>
        <v>5250</v>
      </c>
      <c r="U72" s="437">
        <f>L72/M72-1</f>
        <v>8.83084577114428E-2</v>
      </c>
    </row>
    <row r="73" spans="2:21" ht="16.350000000000001" hidden="1" customHeight="1" thickBot="1">
      <c r="B73" s="507" t="s">
        <v>1683</v>
      </c>
      <c r="C73" s="590"/>
      <c r="D73" s="95"/>
      <c r="E73" s="95"/>
      <c r="F73" s="95"/>
      <c r="G73" s="96"/>
      <c r="H73" s="23">
        <f t="shared" si="25"/>
        <v>0</v>
      </c>
      <c r="I73" s="464">
        <f t="shared" si="26"/>
        <v>3923.48</v>
      </c>
      <c r="J73" s="10"/>
      <c r="K73" s="12"/>
      <c r="L73" s="508">
        <v>3923.48</v>
      </c>
      <c r="M73" s="382" t="s">
        <v>973</v>
      </c>
      <c r="N73" s="280"/>
      <c r="O73" s="25">
        <f t="shared" si="19"/>
        <v>0</v>
      </c>
      <c r="P73" s="25">
        <f t="shared" si="20"/>
        <v>0</v>
      </c>
      <c r="Q73" s="25">
        <f t="shared" si="21"/>
        <v>0</v>
      </c>
      <c r="R73" s="26">
        <f t="shared" si="22"/>
        <v>0</v>
      </c>
      <c r="S73" s="27">
        <f t="shared" si="23"/>
        <v>0</v>
      </c>
      <c r="T73" s="28">
        <f t="shared" si="24"/>
        <v>0</v>
      </c>
    </row>
    <row r="74" spans="2:21" ht="16.350000000000001" hidden="1" customHeight="1" thickBot="1">
      <c r="B74" s="507" t="s">
        <v>104</v>
      </c>
      <c r="C74" s="279"/>
      <c r="D74" s="92"/>
      <c r="E74" s="92"/>
      <c r="F74" s="92"/>
      <c r="G74" s="93"/>
      <c r="H74" s="23">
        <f t="shared" si="25"/>
        <v>0</v>
      </c>
      <c r="I74" s="464">
        <f t="shared" si="26"/>
        <v>2099.7199999999998</v>
      </c>
      <c r="J74" s="10"/>
      <c r="K74" s="12"/>
      <c r="L74" s="508">
        <v>2099.7199999999998</v>
      </c>
      <c r="M74" s="382" t="s">
        <v>974</v>
      </c>
      <c r="N74" s="280"/>
      <c r="O74" s="25">
        <f t="shared" si="19"/>
        <v>0</v>
      </c>
      <c r="P74" s="25">
        <f t="shared" si="20"/>
        <v>0</v>
      </c>
      <c r="Q74" s="25">
        <f t="shared" si="21"/>
        <v>0</v>
      </c>
      <c r="R74" s="26">
        <f t="shared" si="22"/>
        <v>0</v>
      </c>
      <c r="S74" s="27">
        <f t="shared" si="23"/>
        <v>0</v>
      </c>
      <c r="T74" s="28">
        <f t="shared" si="24"/>
        <v>0</v>
      </c>
    </row>
    <row r="75" spans="2:21" ht="14.45" hidden="1" customHeight="1" thickBot="1">
      <c r="B75" s="507" t="s">
        <v>105</v>
      </c>
      <c r="C75" s="279"/>
      <c r="D75" s="92"/>
      <c r="E75" s="92"/>
      <c r="F75" s="92"/>
      <c r="G75" s="93"/>
      <c r="H75" s="23">
        <f t="shared" si="25"/>
        <v>0</v>
      </c>
      <c r="I75" s="464">
        <f t="shared" si="26"/>
        <v>2487.73</v>
      </c>
      <c r="J75" s="10"/>
      <c r="K75" s="12"/>
      <c r="L75" s="508">
        <v>2487.73</v>
      </c>
      <c r="M75" s="435" t="s">
        <v>975</v>
      </c>
      <c r="N75" s="280"/>
      <c r="O75" s="25">
        <f t="shared" si="19"/>
        <v>0</v>
      </c>
      <c r="P75" s="25">
        <f t="shared" si="20"/>
        <v>0</v>
      </c>
      <c r="Q75" s="25">
        <f t="shared" si="21"/>
        <v>0</v>
      </c>
      <c r="R75" s="26">
        <f t="shared" si="22"/>
        <v>0</v>
      </c>
      <c r="S75" s="27">
        <f t="shared" si="23"/>
        <v>0</v>
      </c>
      <c r="T75" s="28">
        <f t="shared" si="24"/>
        <v>0</v>
      </c>
    </row>
    <row r="76" spans="2:21" ht="14.45" hidden="1" customHeight="1" thickBot="1">
      <c r="B76" s="507" t="s">
        <v>705</v>
      </c>
      <c r="C76" s="279"/>
      <c r="D76" s="92"/>
      <c r="E76" s="92"/>
      <c r="F76" s="92"/>
      <c r="G76" s="93"/>
      <c r="H76" s="23">
        <f t="shared" si="25"/>
        <v>0</v>
      </c>
      <c r="I76" s="464">
        <f t="shared" si="26"/>
        <v>5656.39</v>
      </c>
      <c r="J76" s="10"/>
      <c r="K76" s="12"/>
      <c r="L76" s="508">
        <v>5656.39</v>
      </c>
      <c r="M76" s="435" t="s">
        <v>976</v>
      </c>
      <c r="N76" s="280"/>
      <c r="O76" s="25">
        <f t="shared" si="19"/>
        <v>0</v>
      </c>
      <c r="P76" s="25">
        <f t="shared" si="20"/>
        <v>0</v>
      </c>
      <c r="Q76" s="25">
        <f t="shared" si="21"/>
        <v>0</v>
      </c>
      <c r="R76" s="26">
        <f t="shared" si="22"/>
        <v>0</v>
      </c>
      <c r="S76" s="27">
        <f t="shared" si="23"/>
        <v>0</v>
      </c>
      <c r="T76" s="28">
        <f t="shared" si="24"/>
        <v>0</v>
      </c>
    </row>
    <row r="77" spans="2:21" ht="14.45" hidden="1" customHeight="1" thickBot="1">
      <c r="B77" s="507" t="s">
        <v>706</v>
      </c>
      <c r="C77" s="279"/>
      <c r="D77" s="92"/>
      <c r="E77" s="92"/>
      <c r="F77" s="92"/>
      <c r="G77" s="93"/>
      <c r="H77" s="23">
        <f t="shared" si="25"/>
        <v>0</v>
      </c>
      <c r="I77" s="464">
        <f t="shared" si="26"/>
        <v>1672.49</v>
      </c>
      <c r="J77" s="10"/>
      <c r="K77" s="12"/>
      <c r="L77" s="508">
        <v>1672.49</v>
      </c>
      <c r="M77" s="435" t="s">
        <v>977</v>
      </c>
      <c r="N77" s="280"/>
      <c r="O77" s="25">
        <f t="shared" si="19"/>
        <v>0</v>
      </c>
      <c r="P77" s="25">
        <f t="shared" si="20"/>
        <v>0</v>
      </c>
      <c r="Q77" s="25">
        <f t="shared" si="21"/>
        <v>0</v>
      </c>
      <c r="R77" s="26">
        <f t="shared" si="22"/>
        <v>0</v>
      </c>
      <c r="S77" s="27">
        <f t="shared" si="23"/>
        <v>0</v>
      </c>
      <c r="T77" s="28">
        <f t="shared" si="24"/>
        <v>0</v>
      </c>
    </row>
    <row r="78" spans="2:21" ht="14.45" hidden="1" customHeight="1" thickBot="1">
      <c r="B78" s="507" t="s">
        <v>1684</v>
      </c>
      <c r="C78" s="279"/>
      <c r="D78" s="92"/>
      <c r="E78" s="92"/>
      <c r="F78" s="92"/>
      <c r="G78" s="93"/>
      <c r="H78" s="23">
        <f t="shared" si="25"/>
        <v>0</v>
      </c>
      <c r="I78" s="464">
        <f t="shared" si="26"/>
        <v>294.16000000000003</v>
      </c>
      <c r="J78" s="10"/>
      <c r="K78" s="12"/>
      <c r="L78" s="508">
        <v>294.16000000000003</v>
      </c>
      <c r="M78" s="435" t="s">
        <v>978</v>
      </c>
      <c r="N78" s="280"/>
      <c r="O78" s="25">
        <f t="shared" si="19"/>
        <v>0</v>
      </c>
      <c r="P78" s="25">
        <f t="shared" si="20"/>
        <v>0</v>
      </c>
      <c r="Q78" s="25">
        <f t="shared" si="21"/>
        <v>0</v>
      </c>
      <c r="R78" s="26">
        <f t="shared" si="22"/>
        <v>0</v>
      </c>
      <c r="S78" s="27">
        <f t="shared" si="23"/>
        <v>0</v>
      </c>
      <c r="T78" s="28">
        <f t="shared" si="24"/>
        <v>0</v>
      </c>
    </row>
    <row r="79" spans="2:21" ht="14.45" hidden="1" customHeight="1" thickBot="1">
      <c r="B79" s="507" t="s">
        <v>1685</v>
      </c>
      <c r="C79" s="279"/>
      <c r="D79" s="92"/>
      <c r="E79" s="92"/>
      <c r="F79" s="92"/>
      <c r="G79" s="93"/>
      <c r="H79" s="23">
        <f t="shared" si="25"/>
        <v>0</v>
      </c>
      <c r="I79" s="464">
        <f t="shared" si="26"/>
        <v>467.35</v>
      </c>
      <c r="J79" s="364"/>
      <c r="K79" s="12"/>
      <c r="L79" s="508">
        <v>467.35</v>
      </c>
      <c r="M79" s="435" t="s">
        <v>979</v>
      </c>
      <c r="N79" s="280"/>
      <c r="O79" s="25">
        <f t="shared" si="19"/>
        <v>0</v>
      </c>
      <c r="P79" s="25">
        <f t="shared" si="20"/>
        <v>0</v>
      </c>
      <c r="Q79" s="25">
        <f t="shared" si="21"/>
        <v>0</v>
      </c>
      <c r="R79" s="26">
        <f t="shared" si="22"/>
        <v>0</v>
      </c>
      <c r="S79" s="27">
        <f t="shared" si="23"/>
        <v>0</v>
      </c>
      <c r="T79" s="28">
        <f t="shared" si="24"/>
        <v>0</v>
      </c>
    </row>
    <row r="80" spans="2:21" ht="14.45" hidden="1" customHeight="1" thickBot="1">
      <c r="B80" s="507" t="s">
        <v>1686</v>
      </c>
      <c r="C80" s="279"/>
      <c r="D80" s="92"/>
      <c r="E80" s="92"/>
      <c r="F80" s="92"/>
      <c r="G80" s="93"/>
      <c r="H80" s="23">
        <f t="shared" ref="H80:H92" si="27">SUM(C80:G80)</f>
        <v>0</v>
      </c>
      <c r="I80" s="464">
        <f t="shared" ref="I80:I92" si="28">L80-(L80*J80)</f>
        <v>100.56</v>
      </c>
      <c r="J80" s="364"/>
      <c r="K80" s="12"/>
      <c r="L80" s="508">
        <v>100.56</v>
      </c>
      <c r="M80" s="435" t="s">
        <v>980</v>
      </c>
      <c r="N80" s="280"/>
      <c r="O80" s="25">
        <f t="shared" si="19"/>
        <v>0</v>
      </c>
      <c r="P80" s="25">
        <f t="shared" si="20"/>
        <v>0</v>
      </c>
      <c r="Q80" s="25">
        <f t="shared" si="21"/>
        <v>0</v>
      </c>
      <c r="R80" s="26">
        <f t="shared" si="22"/>
        <v>0</v>
      </c>
      <c r="S80" s="27">
        <f t="shared" si="23"/>
        <v>0</v>
      </c>
      <c r="T80" s="28">
        <f t="shared" si="24"/>
        <v>0</v>
      </c>
    </row>
    <row r="81" spans="2:21" ht="16.350000000000001" hidden="1" customHeight="1" thickBot="1">
      <c r="B81" s="578" t="s">
        <v>1687</v>
      </c>
      <c r="C81" s="584"/>
      <c r="D81" s="581"/>
      <c r="E81" s="581"/>
      <c r="F81" s="581"/>
      <c r="G81" s="582"/>
      <c r="H81" s="583">
        <f t="shared" si="27"/>
        <v>0</v>
      </c>
      <c r="I81" s="464">
        <f t="shared" si="28"/>
        <v>126.37</v>
      </c>
      <c r="J81" s="364"/>
      <c r="K81" s="12"/>
      <c r="L81" s="508">
        <v>126.37</v>
      </c>
      <c r="M81" s="382" t="s">
        <v>981</v>
      </c>
      <c r="N81" s="280"/>
      <c r="O81" s="25">
        <f t="shared" si="19"/>
        <v>0</v>
      </c>
      <c r="P81" s="25">
        <f t="shared" si="20"/>
        <v>0</v>
      </c>
      <c r="Q81" s="25">
        <f t="shared" si="21"/>
        <v>0</v>
      </c>
      <c r="R81" s="26">
        <f t="shared" si="22"/>
        <v>0</v>
      </c>
      <c r="S81" s="27">
        <f t="shared" si="23"/>
        <v>0</v>
      </c>
      <c r="T81" s="28">
        <f t="shared" si="24"/>
        <v>0</v>
      </c>
    </row>
    <row r="82" spans="2:21" ht="14.45" customHeight="1">
      <c r="B82" s="591" t="s">
        <v>106</v>
      </c>
      <c r="C82" s="92">
        <v>48</v>
      </c>
      <c r="D82" s="92"/>
      <c r="E82" s="92"/>
      <c r="F82" s="92"/>
      <c r="G82" s="93">
        <v>180</v>
      </c>
      <c r="H82" s="24">
        <f t="shared" si="27"/>
        <v>228</v>
      </c>
      <c r="I82" s="464">
        <f t="shared" si="28"/>
        <v>134.63600000000002</v>
      </c>
      <c r="J82" s="364">
        <v>0.03</v>
      </c>
      <c r="K82" s="12"/>
      <c r="L82" s="508">
        <v>138.80000000000001</v>
      </c>
      <c r="M82" s="508">
        <v>126.37</v>
      </c>
      <c r="N82" s="280"/>
      <c r="O82" s="25">
        <f t="shared" si="19"/>
        <v>6462.5280000000012</v>
      </c>
      <c r="P82" s="25">
        <f t="shared" si="20"/>
        <v>0</v>
      </c>
      <c r="Q82" s="25">
        <f t="shared" si="21"/>
        <v>0</v>
      </c>
      <c r="R82" s="26">
        <f t="shared" si="22"/>
        <v>0</v>
      </c>
      <c r="S82" s="27">
        <f t="shared" si="23"/>
        <v>24234.480000000003</v>
      </c>
      <c r="T82" s="28">
        <f t="shared" si="24"/>
        <v>30697.008000000005</v>
      </c>
      <c r="U82" s="437">
        <f t="shared" ref="U82:U89" si="29">L82/M82-1</f>
        <v>9.8361952995172919E-2</v>
      </c>
    </row>
    <row r="83" spans="2:21" ht="16.350000000000001" customHeight="1">
      <c r="B83" s="591" t="s">
        <v>107</v>
      </c>
      <c r="C83" s="92">
        <v>12</v>
      </c>
      <c r="D83" s="92"/>
      <c r="E83" s="92"/>
      <c r="F83" s="92"/>
      <c r="G83" s="93"/>
      <c r="H83" s="24">
        <f t="shared" si="27"/>
        <v>12</v>
      </c>
      <c r="I83" s="464">
        <f t="shared" si="28"/>
        <v>52.42</v>
      </c>
      <c r="J83" s="364"/>
      <c r="K83" s="12"/>
      <c r="L83" s="508">
        <v>52.42</v>
      </c>
      <c r="M83" s="508">
        <v>48.69</v>
      </c>
      <c r="N83" s="280"/>
      <c r="O83" s="25">
        <f t="shared" si="19"/>
        <v>629.04</v>
      </c>
      <c r="P83" s="25">
        <f t="shared" si="20"/>
        <v>0</v>
      </c>
      <c r="Q83" s="25">
        <f t="shared" si="21"/>
        <v>0</v>
      </c>
      <c r="R83" s="26">
        <f t="shared" si="22"/>
        <v>0</v>
      </c>
      <c r="S83" s="27">
        <f t="shared" si="23"/>
        <v>0</v>
      </c>
      <c r="T83" s="28">
        <f t="shared" si="24"/>
        <v>629.04</v>
      </c>
      <c r="U83" s="437">
        <f t="shared" si="29"/>
        <v>7.6607106181967533E-2</v>
      </c>
    </row>
    <row r="84" spans="2:21" ht="16.350000000000001" customHeight="1">
      <c r="B84" s="591" t="s">
        <v>108</v>
      </c>
      <c r="C84" s="92">
        <v>24</v>
      </c>
      <c r="D84" s="92"/>
      <c r="E84" s="92"/>
      <c r="F84" s="92"/>
      <c r="G84" s="93"/>
      <c r="H84" s="24">
        <f t="shared" si="27"/>
        <v>24</v>
      </c>
      <c r="I84" s="464">
        <f t="shared" si="28"/>
        <v>27.68</v>
      </c>
      <c r="J84" s="10"/>
      <c r="K84" s="12"/>
      <c r="L84" s="508">
        <v>27.68</v>
      </c>
      <c r="M84" s="508">
        <v>26.38</v>
      </c>
      <c r="N84" s="280"/>
      <c r="O84" s="25">
        <f t="shared" si="19"/>
        <v>664.31999999999994</v>
      </c>
      <c r="P84" s="25">
        <f t="shared" si="20"/>
        <v>0</v>
      </c>
      <c r="Q84" s="25">
        <f t="shared" si="21"/>
        <v>0</v>
      </c>
      <c r="R84" s="26">
        <f t="shared" si="22"/>
        <v>0</v>
      </c>
      <c r="S84" s="27">
        <f t="shared" si="23"/>
        <v>0</v>
      </c>
      <c r="T84" s="28">
        <f t="shared" si="24"/>
        <v>664.31999999999994</v>
      </c>
      <c r="U84" s="437">
        <f t="shared" si="29"/>
        <v>4.9279757391963663E-2</v>
      </c>
    </row>
    <row r="85" spans="2:21" ht="16.350000000000001" customHeight="1">
      <c r="B85" s="591" t="s">
        <v>1688</v>
      </c>
      <c r="C85" s="92">
        <v>72</v>
      </c>
      <c r="D85" s="92"/>
      <c r="E85" s="92"/>
      <c r="F85" s="92"/>
      <c r="G85" s="93"/>
      <c r="H85" s="24">
        <f t="shared" si="27"/>
        <v>72</v>
      </c>
      <c r="I85" s="464">
        <f t="shared" si="28"/>
        <v>67.103999999999999</v>
      </c>
      <c r="J85" s="10">
        <v>0.04</v>
      </c>
      <c r="K85" s="12"/>
      <c r="L85" s="508">
        <v>69.900000000000006</v>
      </c>
      <c r="M85" s="508">
        <v>66.290000000000006</v>
      </c>
      <c r="N85" s="280"/>
      <c r="O85" s="25">
        <f t="shared" si="19"/>
        <v>4831.4880000000003</v>
      </c>
      <c r="P85" s="25">
        <f t="shared" si="20"/>
        <v>0</v>
      </c>
      <c r="Q85" s="25">
        <f t="shared" si="21"/>
        <v>0</v>
      </c>
      <c r="R85" s="26">
        <f t="shared" si="22"/>
        <v>0</v>
      </c>
      <c r="S85" s="27">
        <f t="shared" si="23"/>
        <v>0</v>
      </c>
      <c r="T85" s="28">
        <f t="shared" si="24"/>
        <v>4831.4880000000003</v>
      </c>
      <c r="U85" s="437">
        <f t="shared" si="29"/>
        <v>5.4457685925478838E-2</v>
      </c>
    </row>
    <row r="86" spans="2:21" ht="16.350000000000001" customHeight="1">
      <c r="B86" s="591" t="s">
        <v>109</v>
      </c>
      <c r="C86" s="92">
        <v>36</v>
      </c>
      <c r="D86" s="92"/>
      <c r="E86" s="92"/>
      <c r="F86" s="92"/>
      <c r="G86" s="93"/>
      <c r="H86" s="24">
        <f t="shared" si="27"/>
        <v>36</v>
      </c>
      <c r="I86" s="464">
        <f t="shared" si="28"/>
        <v>28.857599999999998</v>
      </c>
      <c r="J86" s="10">
        <v>0.04</v>
      </c>
      <c r="K86" s="12"/>
      <c r="L86" s="508">
        <v>30.06</v>
      </c>
      <c r="M86" s="508">
        <v>28.03</v>
      </c>
      <c r="N86" s="280"/>
      <c r="O86" s="25">
        <f t="shared" si="19"/>
        <v>1038.8735999999999</v>
      </c>
      <c r="P86" s="25">
        <f t="shared" si="20"/>
        <v>0</v>
      </c>
      <c r="Q86" s="25">
        <f t="shared" si="21"/>
        <v>0</v>
      </c>
      <c r="R86" s="26">
        <f t="shared" si="22"/>
        <v>0</v>
      </c>
      <c r="S86" s="27">
        <f t="shared" si="23"/>
        <v>0</v>
      </c>
      <c r="T86" s="28">
        <f t="shared" si="24"/>
        <v>1038.8735999999999</v>
      </c>
      <c r="U86" s="437">
        <f t="shared" si="29"/>
        <v>7.2422404566535814E-2</v>
      </c>
    </row>
    <row r="87" spans="2:21" ht="14.45" customHeight="1">
      <c r="B87" s="591" t="s">
        <v>1689</v>
      </c>
      <c r="C87" s="92">
        <v>72</v>
      </c>
      <c r="D87" s="92">
        <v>24</v>
      </c>
      <c r="E87" s="92"/>
      <c r="F87" s="92"/>
      <c r="G87" s="93">
        <v>240</v>
      </c>
      <c r="H87" s="24">
        <f t="shared" si="27"/>
        <v>336</v>
      </c>
      <c r="I87" s="464">
        <f t="shared" si="28"/>
        <v>13.5648</v>
      </c>
      <c r="J87" s="10">
        <v>0.04</v>
      </c>
      <c r="K87" s="12"/>
      <c r="L87" s="508">
        <v>14.13</v>
      </c>
      <c r="M87" s="508">
        <v>13.14</v>
      </c>
      <c r="N87" s="280"/>
      <c r="O87" s="25">
        <f t="shared" si="19"/>
        <v>976.66560000000004</v>
      </c>
      <c r="P87" s="25">
        <f t="shared" si="20"/>
        <v>325.55520000000001</v>
      </c>
      <c r="Q87" s="25">
        <f t="shared" si="21"/>
        <v>0</v>
      </c>
      <c r="R87" s="26">
        <f t="shared" si="22"/>
        <v>0</v>
      </c>
      <c r="S87" s="27">
        <f t="shared" si="23"/>
        <v>3255.5520000000001</v>
      </c>
      <c r="T87" s="28">
        <f t="shared" si="24"/>
        <v>4557.7728000000006</v>
      </c>
      <c r="U87" s="437">
        <f t="shared" si="29"/>
        <v>7.5342465753424737E-2</v>
      </c>
    </row>
    <row r="88" spans="2:21" ht="16.350000000000001" customHeight="1">
      <c r="B88" s="591" t="s">
        <v>110</v>
      </c>
      <c r="C88" s="92">
        <v>120</v>
      </c>
      <c r="D88" s="92">
        <v>24</v>
      </c>
      <c r="E88" s="92"/>
      <c r="F88" s="92"/>
      <c r="G88" s="93"/>
      <c r="H88" s="24">
        <f t="shared" si="27"/>
        <v>144</v>
      </c>
      <c r="I88" s="464">
        <f t="shared" si="28"/>
        <v>138.80000000000001</v>
      </c>
      <c r="J88" s="10"/>
      <c r="K88" s="12"/>
      <c r="L88" s="508">
        <v>138.80000000000001</v>
      </c>
      <c r="M88" s="508">
        <v>48.66</v>
      </c>
      <c r="N88" s="280"/>
      <c r="O88" s="25">
        <f t="shared" si="19"/>
        <v>16656</v>
      </c>
      <c r="P88" s="25">
        <f t="shared" si="20"/>
        <v>3331.2000000000003</v>
      </c>
      <c r="Q88" s="25">
        <f t="shared" si="21"/>
        <v>0</v>
      </c>
      <c r="R88" s="26">
        <f t="shared" si="22"/>
        <v>0</v>
      </c>
      <c r="S88" s="27">
        <f t="shared" si="23"/>
        <v>0</v>
      </c>
      <c r="T88" s="28">
        <f t="shared" si="24"/>
        <v>19987.2</v>
      </c>
      <c r="U88" s="437">
        <f t="shared" si="29"/>
        <v>1.8524455404849984</v>
      </c>
    </row>
    <row r="89" spans="2:21" ht="14.45" customHeight="1">
      <c r="B89" s="591" t="s">
        <v>111</v>
      </c>
      <c r="C89" s="92">
        <v>120</v>
      </c>
      <c r="D89" s="92"/>
      <c r="E89" s="92"/>
      <c r="F89" s="92"/>
      <c r="G89" s="93"/>
      <c r="H89" s="24">
        <f t="shared" si="27"/>
        <v>120</v>
      </c>
      <c r="I89" s="464">
        <f t="shared" si="28"/>
        <v>11.164800000000001</v>
      </c>
      <c r="J89" s="10">
        <v>0.04</v>
      </c>
      <c r="K89" s="12"/>
      <c r="L89" s="508">
        <v>11.63</v>
      </c>
      <c r="M89" s="508">
        <v>11.07</v>
      </c>
      <c r="N89" s="280"/>
      <c r="O89" s="25">
        <f t="shared" si="19"/>
        <v>1339.7760000000001</v>
      </c>
      <c r="P89" s="25">
        <f t="shared" si="20"/>
        <v>0</v>
      </c>
      <c r="Q89" s="25">
        <f t="shared" si="21"/>
        <v>0</v>
      </c>
      <c r="R89" s="26">
        <f t="shared" si="22"/>
        <v>0</v>
      </c>
      <c r="S89" s="27">
        <f t="shared" si="23"/>
        <v>0</v>
      </c>
      <c r="T89" s="28">
        <f t="shared" si="24"/>
        <v>1339.7760000000001</v>
      </c>
      <c r="U89" s="437">
        <f t="shared" si="29"/>
        <v>5.0587172538392178E-2</v>
      </c>
    </row>
    <row r="90" spans="2:21" ht="16.350000000000001" hidden="1" customHeight="1" thickBot="1">
      <c r="B90" s="507" t="s">
        <v>1690</v>
      </c>
      <c r="C90" s="590"/>
      <c r="D90" s="95"/>
      <c r="E90" s="95"/>
      <c r="F90" s="95"/>
      <c r="G90" s="96"/>
      <c r="H90" s="23">
        <f t="shared" si="27"/>
        <v>0</v>
      </c>
      <c r="I90" s="464">
        <f t="shared" si="28"/>
        <v>195.92</v>
      </c>
      <c r="J90" s="10"/>
      <c r="K90" s="12"/>
      <c r="L90" s="508">
        <v>195.92</v>
      </c>
      <c r="M90" s="382" t="s">
        <v>982</v>
      </c>
      <c r="N90" s="280"/>
      <c r="O90" s="25">
        <f t="shared" si="19"/>
        <v>0</v>
      </c>
      <c r="P90" s="25">
        <f t="shared" si="20"/>
        <v>0</v>
      </c>
      <c r="Q90" s="25">
        <f t="shared" si="21"/>
        <v>0</v>
      </c>
      <c r="R90" s="26">
        <f t="shared" si="22"/>
        <v>0</v>
      </c>
      <c r="S90" s="27">
        <f t="shared" si="23"/>
        <v>0</v>
      </c>
      <c r="T90" s="28">
        <f t="shared" si="24"/>
        <v>0</v>
      </c>
    </row>
    <row r="91" spans="2:21" ht="14.45" hidden="1" customHeight="1" thickBot="1">
      <c r="B91" s="507" t="s">
        <v>112</v>
      </c>
      <c r="C91" s="279"/>
      <c r="D91" s="92"/>
      <c r="E91" s="92"/>
      <c r="F91" s="92"/>
      <c r="G91" s="93"/>
      <c r="H91" s="23">
        <f t="shared" si="27"/>
        <v>0</v>
      </c>
      <c r="I91" s="464">
        <f t="shared" si="28"/>
        <v>206.05</v>
      </c>
      <c r="J91" s="10"/>
      <c r="K91" s="12"/>
      <c r="L91" s="508">
        <v>206.05</v>
      </c>
      <c r="M91" s="382" t="s">
        <v>983</v>
      </c>
      <c r="N91" s="280"/>
      <c r="O91" s="25">
        <f t="shared" si="19"/>
        <v>0</v>
      </c>
      <c r="P91" s="25">
        <f t="shared" si="20"/>
        <v>0</v>
      </c>
      <c r="Q91" s="25">
        <f t="shared" si="21"/>
        <v>0</v>
      </c>
      <c r="R91" s="26">
        <f t="shared" si="22"/>
        <v>0</v>
      </c>
      <c r="S91" s="27">
        <f t="shared" si="23"/>
        <v>0</v>
      </c>
      <c r="T91" s="28">
        <f t="shared" si="24"/>
        <v>0</v>
      </c>
    </row>
    <row r="92" spans="2:21" ht="14.45" hidden="1" customHeight="1" thickBot="1">
      <c r="B92" s="507" t="s">
        <v>113</v>
      </c>
      <c r="C92" s="279"/>
      <c r="D92" s="92"/>
      <c r="E92" s="92"/>
      <c r="F92" s="92"/>
      <c r="G92" s="93"/>
      <c r="H92" s="23">
        <f t="shared" si="27"/>
        <v>0</v>
      </c>
      <c r="I92" s="464">
        <f t="shared" si="28"/>
        <v>821.83</v>
      </c>
      <c r="J92" s="10"/>
      <c r="K92" s="12"/>
      <c r="L92" s="508">
        <v>821.83</v>
      </c>
      <c r="M92" s="382" t="s">
        <v>984</v>
      </c>
      <c r="N92" s="280"/>
      <c r="O92" s="25">
        <f t="shared" si="19"/>
        <v>0</v>
      </c>
      <c r="P92" s="25">
        <f t="shared" si="20"/>
        <v>0</v>
      </c>
      <c r="Q92" s="25">
        <f t="shared" si="21"/>
        <v>0</v>
      </c>
      <c r="R92" s="26">
        <f t="shared" si="22"/>
        <v>0</v>
      </c>
      <c r="S92" s="27">
        <f t="shared" si="23"/>
        <v>0</v>
      </c>
      <c r="T92" s="28">
        <f t="shared" si="24"/>
        <v>0</v>
      </c>
    </row>
    <row r="93" spans="2:21" ht="14.45" hidden="1" customHeight="1" thickBot="1">
      <c r="B93" s="507" t="s">
        <v>567</v>
      </c>
      <c r="C93" s="279"/>
      <c r="D93" s="92"/>
      <c r="E93" s="92"/>
      <c r="F93" s="92"/>
      <c r="G93" s="93"/>
      <c r="H93" s="23">
        <f t="shared" si="25"/>
        <v>0</v>
      </c>
      <c r="I93" s="464">
        <f t="shared" si="26"/>
        <v>62.59</v>
      </c>
      <c r="J93" s="10"/>
      <c r="K93" s="12"/>
      <c r="L93" s="508">
        <v>62.59</v>
      </c>
      <c r="M93" s="382" t="s">
        <v>985</v>
      </c>
      <c r="N93" s="280"/>
      <c r="O93" s="25">
        <f t="shared" si="19"/>
        <v>0</v>
      </c>
      <c r="P93" s="25">
        <f t="shared" si="20"/>
        <v>0</v>
      </c>
      <c r="Q93" s="25">
        <f t="shared" si="21"/>
        <v>0</v>
      </c>
      <c r="R93" s="26">
        <f t="shared" si="22"/>
        <v>0</v>
      </c>
      <c r="S93" s="27">
        <f t="shared" si="23"/>
        <v>0</v>
      </c>
      <c r="T93" s="28">
        <f t="shared" si="24"/>
        <v>0</v>
      </c>
    </row>
    <row r="94" spans="2:21" ht="16.350000000000001" hidden="1" customHeight="1" thickBot="1">
      <c r="B94" s="578" t="s">
        <v>114</v>
      </c>
      <c r="C94" s="584"/>
      <c r="D94" s="581"/>
      <c r="E94" s="581"/>
      <c r="F94" s="581"/>
      <c r="G94" s="582"/>
      <c r="H94" s="583">
        <f t="shared" si="25"/>
        <v>0</v>
      </c>
      <c r="I94" s="464">
        <f t="shared" si="26"/>
        <v>10.63</v>
      </c>
      <c r="J94" s="10"/>
      <c r="K94" s="12"/>
      <c r="L94" s="509">
        <v>10.63</v>
      </c>
      <c r="M94" s="382" t="s">
        <v>986</v>
      </c>
      <c r="N94" s="280"/>
      <c r="O94" s="25">
        <f t="shared" si="19"/>
        <v>0</v>
      </c>
      <c r="P94" s="25">
        <f t="shared" si="20"/>
        <v>0</v>
      </c>
      <c r="Q94" s="25">
        <f t="shared" si="21"/>
        <v>0</v>
      </c>
      <c r="R94" s="26">
        <f t="shared" si="22"/>
        <v>0</v>
      </c>
      <c r="S94" s="27">
        <f t="shared" si="23"/>
        <v>0</v>
      </c>
      <c r="T94" s="28">
        <f t="shared" si="24"/>
        <v>0</v>
      </c>
    </row>
    <row r="95" spans="2:21" ht="16.350000000000001" customHeight="1">
      <c r="B95" s="591" t="s">
        <v>115</v>
      </c>
      <c r="C95" s="92"/>
      <c r="D95" s="92">
        <v>180</v>
      </c>
      <c r="E95" s="92"/>
      <c r="F95" s="92"/>
      <c r="G95" s="93"/>
      <c r="H95" s="24">
        <f t="shared" si="25"/>
        <v>180</v>
      </c>
      <c r="I95" s="464">
        <f t="shared" si="26"/>
        <v>6.17</v>
      </c>
      <c r="J95" s="10"/>
      <c r="K95" s="12"/>
      <c r="L95" s="509">
        <v>6.17</v>
      </c>
      <c r="M95" s="509">
        <v>5.73</v>
      </c>
      <c r="N95" s="280"/>
      <c r="O95" s="25">
        <f t="shared" si="19"/>
        <v>0</v>
      </c>
      <c r="P95" s="25">
        <f t="shared" si="20"/>
        <v>1110.5999999999999</v>
      </c>
      <c r="Q95" s="25">
        <f t="shared" si="21"/>
        <v>0</v>
      </c>
      <c r="R95" s="26">
        <f t="shared" si="22"/>
        <v>0</v>
      </c>
      <c r="S95" s="27">
        <f t="shared" si="23"/>
        <v>0</v>
      </c>
      <c r="T95" s="28">
        <f t="shared" si="24"/>
        <v>1110.5999999999999</v>
      </c>
      <c r="U95" s="437">
        <f t="shared" ref="U95:U96" si="30">L95/M95-1</f>
        <v>7.6788830715532219E-2</v>
      </c>
    </row>
    <row r="96" spans="2:21" ht="14.45" customHeight="1">
      <c r="B96" s="591" t="s">
        <v>116</v>
      </c>
      <c r="C96" s="92">
        <v>400</v>
      </c>
      <c r="D96" s="92"/>
      <c r="E96" s="92">
        <v>60</v>
      </c>
      <c r="F96" s="92"/>
      <c r="G96" s="93"/>
      <c r="H96" s="24">
        <f t="shared" si="25"/>
        <v>460</v>
      </c>
      <c r="I96" s="464">
        <f t="shared" si="26"/>
        <v>26.34</v>
      </c>
      <c r="J96" s="10"/>
      <c r="K96" s="12"/>
      <c r="L96" s="509">
        <v>26.34</v>
      </c>
      <c r="M96" s="509">
        <v>24.64</v>
      </c>
      <c r="N96" s="280"/>
      <c r="O96" s="25">
        <f t="shared" si="19"/>
        <v>10536</v>
      </c>
      <c r="P96" s="25">
        <f t="shared" si="20"/>
        <v>0</v>
      </c>
      <c r="Q96" s="25">
        <f t="shared" si="21"/>
        <v>1580.4</v>
      </c>
      <c r="R96" s="26">
        <f t="shared" si="22"/>
        <v>0</v>
      </c>
      <c r="S96" s="27">
        <f t="shared" si="23"/>
        <v>0</v>
      </c>
      <c r="T96" s="28">
        <f t="shared" si="24"/>
        <v>12116.4</v>
      </c>
      <c r="U96" s="437">
        <f t="shared" si="30"/>
        <v>6.8993506493506551E-2</v>
      </c>
    </row>
    <row r="97" spans="2:21" ht="16.350000000000001" hidden="1" customHeight="1" thickBot="1">
      <c r="B97" s="507" t="s">
        <v>1691</v>
      </c>
      <c r="C97" s="590"/>
      <c r="D97" s="95"/>
      <c r="E97" s="95"/>
      <c r="F97" s="95"/>
      <c r="G97" s="96"/>
      <c r="H97" s="23">
        <f t="shared" si="25"/>
        <v>0</v>
      </c>
      <c r="I97" s="464">
        <f t="shared" si="26"/>
        <v>556.03</v>
      </c>
      <c r="J97" s="10"/>
      <c r="K97" s="12"/>
      <c r="L97" s="508">
        <v>556.03</v>
      </c>
      <c r="M97" s="382" t="s">
        <v>987</v>
      </c>
      <c r="N97" s="280"/>
      <c r="O97" s="25">
        <f t="shared" si="19"/>
        <v>0</v>
      </c>
      <c r="P97" s="25">
        <f t="shared" si="20"/>
        <v>0</v>
      </c>
      <c r="Q97" s="25">
        <f t="shared" si="21"/>
        <v>0</v>
      </c>
      <c r="R97" s="26">
        <f t="shared" si="22"/>
        <v>0</v>
      </c>
      <c r="S97" s="27">
        <f t="shared" si="23"/>
        <v>0</v>
      </c>
      <c r="T97" s="28">
        <f t="shared" si="24"/>
        <v>0</v>
      </c>
    </row>
    <row r="98" spans="2:21" ht="16.350000000000001" hidden="1" customHeight="1" thickBot="1">
      <c r="B98" s="507" t="s">
        <v>1692</v>
      </c>
      <c r="C98" s="279"/>
      <c r="D98" s="92"/>
      <c r="E98" s="92"/>
      <c r="F98" s="92"/>
      <c r="G98" s="93"/>
      <c r="H98" s="23">
        <f t="shared" si="25"/>
        <v>0</v>
      </c>
      <c r="I98" s="464">
        <f t="shared" si="26"/>
        <v>285.18</v>
      </c>
      <c r="J98" s="10"/>
      <c r="K98" s="12"/>
      <c r="L98" s="508">
        <v>285.18</v>
      </c>
      <c r="M98" s="382" t="s">
        <v>988</v>
      </c>
      <c r="N98" s="280"/>
      <c r="O98" s="25">
        <f t="shared" si="19"/>
        <v>0</v>
      </c>
      <c r="P98" s="25">
        <f t="shared" si="20"/>
        <v>0</v>
      </c>
      <c r="Q98" s="25">
        <f t="shared" si="21"/>
        <v>0</v>
      </c>
      <c r="R98" s="26">
        <f t="shared" si="22"/>
        <v>0</v>
      </c>
      <c r="S98" s="27">
        <f t="shared" si="23"/>
        <v>0</v>
      </c>
      <c r="T98" s="28">
        <f t="shared" si="24"/>
        <v>0</v>
      </c>
    </row>
    <row r="99" spans="2:21">
      <c r="B99" s="58" t="s">
        <v>13</v>
      </c>
      <c r="C99" s="376">
        <f t="shared" ref="C99:G99" si="31">O99</f>
        <v>141136.79920000001</v>
      </c>
      <c r="D99" s="376">
        <f t="shared" si="31"/>
        <v>31864.731200000002</v>
      </c>
      <c r="E99" s="376">
        <f t="shared" si="31"/>
        <v>7337.8320000000003</v>
      </c>
      <c r="F99" s="376">
        <f t="shared" si="31"/>
        <v>6995.6699999999992</v>
      </c>
      <c r="G99" s="376">
        <f t="shared" si="31"/>
        <v>75152.95199999999</v>
      </c>
      <c r="H99" s="376">
        <f>T99</f>
        <v>262487.98440000007</v>
      </c>
      <c r="O99" s="29">
        <f t="shared" ref="O99:T99" si="32">SUM(O6:O98)</f>
        <v>141136.79920000001</v>
      </c>
      <c r="P99" s="29">
        <f t="shared" si="32"/>
        <v>31864.731200000002</v>
      </c>
      <c r="Q99" s="29">
        <f t="shared" si="32"/>
        <v>7337.8320000000003</v>
      </c>
      <c r="R99" s="29">
        <f t="shared" si="32"/>
        <v>6995.6699999999992</v>
      </c>
      <c r="S99" s="29">
        <f t="shared" si="32"/>
        <v>75152.95199999999</v>
      </c>
      <c r="T99" s="29">
        <f t="shared" si="32"/>
        <v>262487.98440000007</v>
      </c>
      <c r="U99" s="437" t="e">
        <f t="shared" ref="U99:U100" si="33">L99/M99-1</f>
        <v>#DIV/0!</v>
      </c>
    </row>
    <row r="100" spans="2:21">
      <c r="B100" s="59" t="s">
        <v>46</v>
      </c>
      <c r="U100" s="437" t="e">
        <f t="shared" si="33"/>
        <v>#DIV/0!</v>
      </c>
    </row>
    <row r="101" spans="2:21" ht="16.5" thickBot="1">
      <c r="B101" s="2"/>
    </row>
    <row r="102" spans="2:21">
      <c r="B102" s="60" t="s">
        <v>47</v>
      </c>
    </row>
    <row r="103" spans="2:21">
      <c r="B103" s="61" t="s">
        <v>19</v>
      </c>
    </row>
    <row r="104" spans="2:21">
      <c r="B104" s="61" t="s">
        <v>17</v>
      </c>
    </row>
    <row r="105" spans="2:21" ht="16.5" thickBot="1">
      <c r="B105" s="62" t="s">
        <v>18</v>
      </c>
    </row>
    <row r="106" spans="2:21">
      <c r="B106" s="2"/>
    </row>
    <row r="107" spans="2:21">
      <c r="B107" s="30" t="s">
        <v>20</v>
      </c>
    </row>
    <row r="108" spans="2:21">
      <c r="B108" s="35"/>
    </row>
    <row r="109" spans="2:21">
      <c r="B109" s="35"/>
    </row>
    <row r="110" spans="2:21">
      <c r="B110" s="2"/>
      <c r="G110" s="5" t="str">
        <f>IF(B110&lt;&gt;"",SUM(C110:F110),"")</f>
        <v/>
      </c>
    </row>
    <row r="111" spans="2:21">
      <c r="G111" s="5" t="str">
        <f t="shared" ref="G111:G174" si="34">IF(B111&lt;&gt;"",SUM(C111:F111),"")</f>
        <v/>
      </c>
    </row>
    <row r="112" spans="2:21">
      <c r="G112" s="5" t="str">
        <f t="shared" si="34"/>
        <v/>
      </c>
    </row>
    <row r="113" spans="7:7">
      <c r="G113" s="5" t="str">
        <f t="shared" si="34"/>
        <v/>
      </c>
    </row>
    <row r="114" spans="7:7">
      <c r="G114" s="5" t="str">
        <f t="shared" si="34"/>
        <v/>
      </c>
    </row>
    <row r="115" spans="7:7">
      <c r="G115" s="5" t="str">
        <f t="shared" si="34"/>
        <v/>
      </c>
    </row>
    <row r="116" spans="7:7">
      <c r="G116" s="5" t="str">
        <f t="shared" si="34"/>
        <v/>
      </c>
    </row>
    <row r="117" spans="7:7">
      <c r="G117" s="5" t="str">
        <f t="shared" si="34"/>
        <v/>
      </c>
    </row>
    <row r="118" spans="7:7">
      <c r="G118" s="5" t="str">
        <f t="shared" si="34"/>
        <v/>
      </c>
    </row>
    <row r="119" spans="7:7">
      <c r="G119" s="5" t="str">
        <f t="shared" si="34"/>
        <v/>
      </c>
    </row>
    <row r="120" spans="7:7">
      <c r="G120" s="5" t="str">
        <f t="shared" si="34"/>
        <v/>
      </c>
    </row>
    <row r="121" spans="7:7">
      <c r="G121" s="5" t="str">
        <f t="shared" si="34"/>
        <v/>
      </c>
    </row>
    <row r="122" spans="7:7">
      <c r="G122" s="5" t="str">
        <f t="shared" si="34"/>
        <v/>
      </c>
    </row>
    <row r="123" spans="7:7">
      <c r="G123" s="5" t="str">
        <f t="shared" si="34"/>
        <v/>
      </c>
    </row>
    <row r="124" spans="7:7">
      <c r="G124" s="5" t="str">
        <f t="shared" si="34"/>
        <v/>
      </c>
    </row>
    <row r="125" spans="7:7">
      <c r="G125" s="5" t="str">
        <f t="shared" si="34"/>
        <v/>
      </c>
    </row>
    <row r="126" spans="7:7">
      <c r="G126" s="5" t="str">
        <f t="shared" si="34"/>
        <v/>
      </c>
    </row>
    <row r="127" spans="7:7">
      <c r="G127" s="5" t="str">
        <f t="shared" si="34"/>
        <v/>
      </c>
    </row>
    <row r="128" spans="7:7">
      <c r="G128" s="5" t="str">
        <f t="shared" si="34"/>
        <v/>
      </c>
    </row>
    <row r="129" spans="7:7">
      <c r="G129" s="5" t="str">
        <f t="shared" si="34"/>
        <v/>
      </c>
    </row>
    <row r="130" spans="7:7">
      <c r="G130" s="5" t="str">
        <f t="shared" si="34"/>
        <v/>
      </c>
    </row>
    <row r="131" spans="7:7">
      <c r="G131" s="5" t="str">
        <f t="shared" si="34"/>
        <v/>
      </c>
    </row>
    <row r="132" spans="7:7">
      <c r="G132" s="5" t="str">
        <f t="shared" si="34"/>
        <v/>
      </c>
    </row>
    <row r="133" spans="7:7">
      <c r="G133" s="5" t="str">
        <f t="shared" si="34"/>
        <v/>
      </c>
    </row>
    <row r="134" spans="7:7">
      <c r="G134" s="5" t="str">
        <f t="shared" si="34"/>
        <v/>
      </c>
    </row>
    <row r="135" spans="7:7">
      <c r="G135" s="5" t="str">
        <f t="shared" si="34"/>
        <v/>
      </c>
    </row>
    <row r="136" spans="7:7">
      <c r="G136" s="5" t="str">
        <f t="shared" si="34"/>
        <v/>
      </c>
    </row>
    <row r="137" spans="7:7">
      <c r="G137" s="5" t="str">
        <f t="shared" si="34"/>
        <v/>
      </c>
    </row>
    <row r="138" spans="7:7">
      <c r="G138" s="5" t="str">
        <f t="shared" si="34"/>
        <v/>
      </c>
    </row>
    <row r="139" spans="7:7">
      <c r="G139" s="5" t="str">
        <f t="shared" si="34"/>
        <v/>
      </c>
    </row>
    <row r="140" spans="7:7">
      <c r="G140" s="5" t="str">
        <f t="shared" si="34"/>
        <v/>
      </c>
    </row>
    <row r="141" spans="7:7">
      <c r="G141" s="5" t="str">
        <f t="shared" si="34"/>
        <v/>
      </c>
    </row>
    <row r="142" spans="7:7">
      <c r="G142" s="5" t="str">
        <f t="shared" si="34"/>
        <v/>
      </c>
    </row>
    <row r="143" spans="7:7">
      <c r="G143" s="5" t="str">
        <f t="shared" si="34"/>
        <v/>
      </c>
    </row>
    <row r="144" spans="7:7">
      <c r="G144" s="5" t="str">
        <f t="shared" si="34"/>
        <v/>
      </c>
    </row>
    <row r="145" spans="7:7">
      <c r="G145" s="5" t="str">
        <f t="shared" si="34"/>
        <v/>
      </c>
    </row>
    <row r="146" spans="7:7">
      <c r="G146" s="5" t="str">
        <f t="shared" si="34"/>
        <v/>
      </c>
    </row>
    <row r="147" spans="7:7">
      <c r="G147" s="5" t="str">
        <f t="shared" si="34"/>
        <v/>
      </c>
    </row>
    <row r="148" spans="7:7">
      <c r="G148" s="5" t="str">
        <f t="shared" si="34"/>
        <v/>
      </c>
    </row>
    <row r="149" spans="7:7">
      <c r="G149" s="5" t="str">
        <f t="shared" si="34"/>
        <v/>
      </c>
    </row>
    <row r="150" spans="7:7">
      <c r="G150" s="5" t="str">
        <f t="shared" si="34"/>
        <v/>
      </c>
    </row>
    <row r="151" spans="7:7">
      <c r="G151" s="5" t="str">
        <f t="shared" si="34"/>
        <v/>
      </c>
    </row>
    <row r="152" spans="7:7">
      <c r="G152" s="5" t="str">
        <f t="shared" si="34"/>
        <v/>
      </c>
    </row>
    <row r="153" spans="7:7">
      <c r="G153" s="5" t="str">
        <f t="shared" si="34"/>
        <v/>
      </c>
    </row>
    <row r="154" spans="7:7">
      <c r="G154" s="5" t="str">
        <f t="shared" si="34"/>
        <v/>
      </c>
    </row>
    <row r="155" spans="7:7">
      <c r="G155" s="5" t="str">
        <f t="shared" si="34"/>
        <v/>
      </c>
    </row>
    <row r="156" spans="7:7">
      <c r="G156" s="5" t="str">
        <f t="shared" si="34"/>
        <v/>
      </c>
    </row>
    <row r="157" spans="7:7">
      <c r="G157" s="5" t="str">
        <f t="shared" si="34"/>
        <v/>
      </c>
    </row>
    <row r="158" spans="7:7">
      <c r="G158" s="5" t="str">
        <f t="shared" si="34"/>
        <v/>
      </c>
    </row>
    <row r="159" spans="7:7">
      <c r="G159" s="5" t="str">
        <f t="shared" si="34"/>
        <v/>
      </c>
    </row>
    <row r="160" spans="7:7">
      <c r="G160" s="5" t="str">
        <f t="shared" si="34"/>
        <v/>
      </c>
    </row>
    <row r="161" spans="7:7">
      <c r="G161" s="5" t="str">
        <f t="shared" si="34"/>
        <v/>
      </c>
    </row>
    <row r="162" spans="7:7">
      <c r="G162" s="5" t="str">
        <f t="shared" si="34"/>
        <v/>
      </c>
    </row>
    <row r="163" spans="7:7">
      <c r="G163" s="5" t="str">
        <f t="shared" si="34"/>
        <v/>
      </c>
    </row>
    <row r="164" spans="7:7">
      <c r="G164" s="5" t="str">
        <f t="shared" si="34"/>
        <v/>
      </c>
    </row>
    <row r="165" spans="7:7">
      <c r="G165" s="5" t="str">
        <f t="shared" si="34"/>
        <v/>
      </c>
    </row>
    <row r="166" spans="7:7">
      <c r="G166" s="5" t="str">
        <f t="shared" si="34"/>
        <v/>
      </c>
    </row>
    <row r="167" spans="7:7">
      <c r="G167" s="5" t="str">
        <f t="shared" si="34"/>
        <v/>
      </c>
    </row>
    <row r="168" spans="7:7">
      <c r="G168" s="5" t="str">
        <f t="shared" si="34"/>
        <v/>
      </c>
    </row>
    <row r="169" spans="7:7">
      <c r="G169" s="5" t="str">
        <f t="shared" si="34"/>
        <v/>
      </c>
    </row>
    <row r="170" spans="7:7">
      <c r="G170" s="5" t="str">
        <f t="shared" si="34"/>
        <v/>
      </c>
    </row>
    <row r="171" spans="7:7">
      <c r="G171" s="5" t="str">
        <f t="shared" si="34"/>
        <v/>
      </c>
    </row>
    <row r="172" spans="7:7">
      <c r="G172" s="5" t="str">
        <f t="shared" si="34"/>
        <v/>
      </c>
    </row>
    <row r="173" spans="7:7">
      <c r="G173" s="5" t="str">
        <f t="shared" si="34"/>
        <v/>
      </c>
    </row>
    <row r="174" spans="7:7">
      <c r="G174" s="5" t="str">
        <f t="shared" si="34"/>
        <v/>
      </c>
    </row>
    <row r="175" spans="7:7">
      <c r="G175" s="5" t="str">
        <f t="shared" ref="G175:G238" si="35">IF(B175&lt;&gt;"",SUM(C175:F175),"")</f>
        <v/>
      </c>
    </row>
    <row r="176" spans="7:7">
      <c r="G176" s="5" t="str">
        <f t="shared" si="35"/>
        <v/>
      </c>
    </row>
    <row r="177" spans="7:7">
      <c r="G177" s="5" t="str">
        <f t="shared" si="35"/>
        <v/>
      </c>
    </row>
    <row r="178" spans="7:7">
      <c r="G178" s="5" t="str">
        <f t="shared" si="35"/>
        <v/>
      </c>
    </row>
    <row r="179" spans="7:7">
      <c r="G179" s="5" t="str">
        <f t="shared" si="35"/>
        <v/>
      </c>
    </row>
    <row r="180" spans="7:7">
      <c r="G180" s="5" t="str">
        <f t="shared" si="35"/>
        <v/>
      </c>
    </row>
    <row r="181" spans="7:7">
      <c r="G181" s="5" t="str">
        <f t="shared" si="35"/>
        <v/>
      </c>
    </row>
    <row r="182" spans="7:7">
      <c r="G182" s="5" t="str">
        <f t="shared" si="35"/>
        <v/>
      </c>
    </row>
    <row r="183" spans="7:7">
      <c r="G183" s="5" t="str">
        <f t="shared" si="35"/>
        <v/>
      </c>
    </row>
    <row r="184" spans="7:7">
      <c r="G184" s="5" t="str">
        <f t="shared" si="35"/>
        <v/>
      </c>
    </row>
    <row r="185" spans="7:7">
      <c r="G185" s="5" t="str">
        <f t="shared" si="35"/>
        <v/>
      </c>
    </row>
    <row r="186" spans="7:7">
      <c r="G186" s="5" t="str">
        <f t="shared" si="35"/>
        <v/>
      </c>
    </row>
    <row r="187" spans="7:7">
      <c r="G187" s="5" t="str">
        <f t="shared" si="35"/>
        <v/>
      </c>
    </row>
    <row r="188" spans="7:7">
      <c r="G188" s="5" t="str">
        <f t="shared" si="35"/>
        <v/>
      </c>
    </row>
    <row r="189" spans="7:7">
      <c r="G189" s="5" t="str">
        <f t="shared" si="35"/>
        <v/>
      </c>
    </row>
    <row r="190" spans="7:7">
      <c r="G190" s="5" t="str">
        <f t="shared" si="35"/>
        <v/>
      </c>
    </row>
    <row r="191" spans="7:7">
      <c r="G191" s="5" t="str">
        <f t="shared" si="35"/>
        <v/>
      </c>
    </row>
    <row r="192" spans="7:7">
      <c r="G192" s="5" t="str">
        <f t="shared" si="35"/>
        <v/>
      </c>
    </row>
    <row r="193" spans="7:7">
      <c r="G193" s="5" t="str">
        <f t="shared" si="35"/>
        <v/>
      </c>
    </row>
    <row r="194" spans="7:7">
      <c r="G194" s="5" t="str">
        <f t="shared" si="35"/>
        <v/>
      </c>
    </row>
    <row r="195" spans="7:7">
      <c r="G195" s="5" t="str">
        <f t="shared" si="35"/>
        <v/>
      </c>
    </row>
    <row r="196" spans="7:7">
      <c r="G196" s="5" t="str">
        <f t="shared" si="35"/>
        <v/>
      </c>
    </row>
    <row r="197" spans="7:7">
      <c r="G197" s="5" t="str">
        <f t="shared" si="35"/>
        <v/>
      </c>
    </row>
    <row r="198" spans="7:7">
      <c r="G198" s="5" t="str">
        <f t="shared" si="35"/>
        <v/>
      </c>
    </row>
    <row r="199" spans="7:7">
      <c r="G199" s="5" t="str">
        <f t="shared" si="35"/>
        <v/>
      </c>
    </row>
    <row r="200" spans="7:7">
      <c r="G200" s="5" t="str">
        <f t="shared" si="35"/>
        <v/>
      </c>
    </row>
    <row r="201" spans="7:7">
      <c r="G201" s="5" t="str">
        <f t="shared" si="35"/>
        <v/>
      </c>
    </row>
    <row r="202" spans="7:7">
      <c r="G202" s="5" t="str">
        <f t="shared" si="35"/>
        <v/>
      </c>
    </row>
    <row r="203" spans="7:7">
      <c r="G203" s="5" t="str">
        <f t="shared" si="35"/>
        <v/>
      </c>
    </row>
    <row r="204" spans="7:7">
      <c r="G204" s="5" t="str">
        <f t="shared" si="35"/>
        <v/>
      </c>
    </row>
    <row r="205" spans="7:7">
      <c r="G205" s="5" t="str">
        <f t="shared" si="35"/>
        <v/>
      </c>
    </row>
    <row r="206" spans="7:7">
      <c r="G206" s="5" t="str">
        <f t="shared" si="35"/>
        <v/>
      </c>
    </row>
    <row r="207" spans="7:7">
      <c r="G207" s="5" t="str">
        <f t="shared" si="35"/>
        <v/>
      </c>
    </row>
    <row r="208" spans="7:7">
      <c r="G208" s="5" t="str">
        <f t="shared" si="35"/>
        <v/>
      </c>
    </row>
    <row r="209" spans="7:7">
      <c r="G209" s="5" t="str">
        <f t="shared" si="35"/>
        <v/>
      </c>
    </row>
    <row r="210" spans="7:7">
      <c r="G210" s="5" t="str">
        <f t="shared" si="35"/>
        <v/>
      </c>
    </row>
    <row r="211" spans="7:7">
      <c r="G211" s="5" t="str">
        <f t="shared" si="35"/>
        <v/>
      </c>
    </row>
    <row r="212" spans="7:7">
      <c r="G212" s="5" t="str">
        <f t="shared" si="35"/>
        <v/>
      </c>
    </row>
    <row r="213" spans="7:7">
      <c r="G213" s="5" t="str">
        <f t="shared" si="35"/>
        <v/>
      </c>
    </row>
    <row r="214" spans="7:7">
      <c r="G214" s="5" t="str">
        <f t="shared" si="35"/>
        <v/>
      </c>
    </row>
    <row r="215" spans="7:7">
      <c r="G215" s="5" t="str">
        <f t="shared" si="35"/>
        <v/>
      </c>
    </row>
    <row r="216" spans="7:7">
      <c r="G216" s="5" t="str">
        <f t="shared" si="35"/>
        <v/>
      </c>
    </row>
    <row r="217" spans="7:7">
      <c r="G217" s="5" t="str">
        <f t="shared" si="35"/>
        <v/>
      </c>
    </row>
    <row r="218" spans="7:7">
      <c r="G218" s="5" t="str">
        <f t="shared" si="35"/>
        <v/>
      </c>
    </row>
    <row r="219" spans="7:7">
      <c r="G219" s="5" t="str">
        <f t="shared" si="35"/>
        <v/>
      </c>
    </row>
    <row r="220" spans="7:7">
      <c r="G220" s="5" t="str">
        <f t="shared" si="35"/>
        <v/>
      </c>
    </row>
    <row r="221" spans="7:7">
      <c r="G221" s="5" t="str">
        <f t="shared" si="35"/>
        <v/>
      </c>
    </row>
    <row r="222" spans="7:7">
      <c r="G222" s="5" t="str">
        <f t="shared" si="35"/>
        <v/>
      </c>
    </row>
    <row r="223" spans="7:7">
      <c r="G223" s="5" t="str">
        <f t="shared" si="35"/>
        <v/>
      </c>
    </row>
    <row r="224" spans="7:7">
      <c r="G224" s="5" t="str">
        <f t="shared" si="35"/>
        <v/>
      </c>
    </row>
    <row r="225" spans="7:7">
      <c r="G225" s="5" t="str">
        <f t="shared" si="35"/>
        <v/>
      </c>
    </row>
    <row r="226" spans="7:7">
      <c r="G226" s="5" t="str">
        <f t="shared" si="35"/>
        <v/>
      </c>
    </row>
    <row r="227" spans="7:7">
      <c r="G227" s="5" t="str">
        <f t="shared" si="35"/>
        <v/>
      </c>
    </row>
    <row r="228" spans="7:7">
      <c r="G228" s="5" t="str">
        <f t="shared" si="35"/>
        <v/>
      </c>
    </row>
    <row r="229" spans="7:7">
      <c r="G229" s="5" t="str">
        <f t="shared" si="35"/>
        <v/>
      </c>
    </row>
    <row r="230" spans="7:7">
      <c r="G230" s="5" t="str">
        <f t="shared" si="35"/>
        <v/>
      </c>
    </row>
    <row r="231" spans="7:7">
      <c r="G231" s="5" t="str">
        <f t="shared" si="35"/>
        <v/>
      </c>
    </row>
    <row r="232" spans="7:7">
      <c r="G232" s="5" t="str">
        <f t="shared" si="35"/>
        <v/>
      </c>
    </row>
    <row r="233" spans="7:7">
      <c r="G233" s="5" t="str">
        <f t="shared" si="35"/>
        <v/>
      </c>
    </row>
    <row r="234" spans="7:7">
      <c r="G234" s="5" t="str">
        <f t="shared" si="35"/>
        <v/>
      </c>
    </row>
    <row r="235" spans="7:7">
      <c r="G235" s="5" t="str">
        <f t="shared" si="35"/>
        <v/>
      </c>
    </row>
    <row r="236" spans="7:7">
      <c r="G236" s="5" t="str">
        <f t="shared" si="35"/>
        <v/>
      </c>
    </row>
    <row r="237" spans="7:7">
      <c r="G237" s="5" t="str">
        <f t="shared" si="35"/>
        <v/>
      </c>
    </row>
    <row r="238" spans="7:7">
      <c r="G238" s="5" t="str">
        <f t="shared" si="35"/>
        <v/>
      </c>
    </row>
    <row r="239" spans="7:7">
      <c r="G239" s="5" t="str">
        <f t="shared" ref="G239:G302" si="36">IF(B239&lt;&gt;"",SUM(C239:F239),"")</f>
        <v/>
      </c>
    </row>
    <row r="240" spans="7:7">
      <c r="G240" s="5" t="str">
        <f t="shared" si="36"/>
        <v/>
      </c>
    </row>
    <row r="241" spans="7:7">
      <c r="G241" s="5" t="str">
        <f t="shared" si="36"/>
        <v/>
      </c>
    </row>
    <row r="242" spans="7:7">
      <c r="G242" s="5" t="str">
        <f t="shared" si="36"/>
        <v/>
      </c>
    </row>
    <row r="243" spans="7:7">
      <c r="G243" s="5" t="str">
        <f t="shared" si="36"/>
        <v/>
      </c>
    </row>
    <row r="244" spans="7:7">
      <c r="G244" s="5" t="str">
        <f t="shared" si="36"/>
        <v/>
      </c>
    </row>
    <row r="245" spans="7:7">
      <c r="G245" s="5" t="str">
        <f t="shared" si="36"/>
        <v/>
      </c>
    </row>
    <row r="246" spans="7:7">
      <c r="G246" s="5" t="str">
        <f t="shared" si="36"/>
        <v/>
      </c>
    </row>
    <row r="247" spans="7:7">
      <c r="G247" s="5" t="str">
        <f t="shared" si="36"/>
        <v/>
      </c>
    </row>
    <row r="248" spans="7:7">
      <c r="G248" s="5" t="str">
        <f t="shared" si="36"/>
        <v/>
      </c>
    </row>
    <row r="249" spans="7:7">
      <c r="G249" s="5" t="str">
        <f t="shared" si="36"/>
        <v/>
      </c>
    </row>
    <row r="250" spans="7:7">
      <c r="G250" s="5" t="str">
        <f t="shared" si="36"/>
        <v/>
      </c>
    </row>
    <row r="251" spans="7:7">
      <c r="G251" s="5" t="str">
        <f t="shared" si="36"/>
        <v/>
      </c>
    </row>
    <row r="252" spans="7:7">
      <c r="G252" s="5" t="str">
        <f t="shared" si="36"/>
        <v/>
      </c>
    </row>
    <row r="253" spans="7:7">
      <c r="G253" s="5" t="str">
        <f t="shared" si="36"/>
        <v/>
      </c>
    </row>
    <row r="254" spans="7:7">
      <c r="G254" s="5" t="str">
        <f t="shared" si="36"/>
        <v/>
      </c>
    </row>
    <row r="255" spans="7:7">
      <c r="G255" s="5" t="str">
        <f t="shared" si="36"/>
        <v/>
      </c>
    </row>
    <row r="256" spans="7:7">
      <c r="G256" s="5" t="str">
        <f t="shared" si="36"/>
        <v/>
      </c>
    </row>
    <row r="257" spans="7:7">
      <c r="G257" s="5" t="str">
        <f t="shared" si="36"/>
        <v/>
      </c>
    </row>
    <row r="258" spans="7:7">
      <c r="G258" s="5" t="str">
        <f t="shared" si="36"/>
        <v/>
      </c>
    </row>
    <row r="259" spans="7:7">
      <c r="G259" s="5" t="str">
        <f t="shared" si="36"/>
        <v/>
      </c>
    </row>
    <row r="260" spans="7:7">
      <c r="G260" s="5" t="str">
        <f t="shared" si="36"/>
        <v/>
      </c>
    </row>
    <row r="261" spans="7:7">
      <c r="G261" s="5" t="str">
        <f t="shared" si="36"/>
        <v/>
      </c>
    </row>
    <row r="262" spans="7:7">
      <c r="G262" s="5" t="str">
        <f t="shared" si="36"/>
        <v/>
      </c>
    </row>
    <row r="263" spans="7:7">
      <c r="G263" s="5" t="str">
        <f t="shared" si="36"/>
        <v/>
      </c>
    </row>
    <row r="264" spans="7:7">
      <c r="G264" s="5" t="str">
        <f t="shared" si="36"/>
        <v/>
      </c>
    </row>
    <row r="265" spans="7:7">
      <c r="G265" s="5" t="str">
        <f t="shared" si="36"/>
        <v/>
      </c>
    </row>
    <row r="266" spans="7:7">
      <c r="G266" s="5" t="str">
        <f t="shared" si="36"/>
        <v/>
      </c>
    </row>
    <row r="267" spans="7:7">
      <c r="G267" s="5" t="str">
        <f t="shared" si="36"/>
        <v/>
      </c>
    </row>
    <row r="268" spans="7:7">
      <c r="G268" s="5" t="str">
        <f t="shared" si="36"/>
        <v/>
      </c>
    </row>
    <row r="269" spans="7:7">
      <c r="G269" s="5" t="str">
        <f t="shared" si="36"/>
        <v/>
      </c>
    </row>
    <row r="270" spans="7:7">
      <c r="G270" s="5" t="str">
        <f t="shared" si="36"/>
        <v/>
      </c>
    </row>
    <row r="271" spans="7:7">
      <c r="G271" s="5" t="str">
        <f t="shared" si="36"/>
        <v/>
      </c>
    </row>
    <row r="272" spans="7:7">
      <c r="G272" s="5" t="str">
        <f t="shared" si="36"/>
        <v/>
      </c>
    </row>
    <row r="273" spans="7:7">
      <c r="G273" s="5" t="str">
        <f t="shared" si="36"/>
        <v/>
      </c>
    </row>
    <row r="274" spans="7:7">
      <c r="G274" s="5" t="str">
        <f t="shared" si="36"/>
        <v/>
      </c>
    </row>
    <row r="275" spans="7:7">
      <c r="G275" s="5" t="str">
        <f t="shared" si="36"/>
        <v/>
      </c>
    </row>
    <row r="276" spans="7:7">
      <c r="G276" s="5" t="str">
        <f t="shared" si="36"/>
        <v/>
      </c>
    </row>
    <row r="277" spans="7:7">
      <c r="G277" s="5" t="str">
        <f t="shared" si="36"/>
        <v/>
      </c>
    </row>
    <row r="278" spans="7:7">
      <c r="G278" s="5" t="str">
        <f t="shared" si="36"/>
        <v/>
      </c>
    </row>
    <row r="279" spans="7:7">
      <c r="G279" s="5" t="str">
        <f t="shared" si="36"/>
        <v/>
      </c>
    </row>
    <row r="280" spans="7:7">
      <c r="G280" s="5" t="str">
        <f t="shared" si="36"/>
        <v/>
      </c>
    </row>
    <row r="281" spans="7:7">
      <c r="G281" s="5" t="str">
        <f t="shared" si="36"/>
        <v/>
      </c>
    </row>
    <row r="282" spans="7:7">
      <c r="G282" s="5" t="str">
        <f t="shared" si="36"/>
        <v/>
      </c>
    </row>
    <row r="283" spans="7:7">
      <c r="G283" s="5" t="str">
        <f t="shared" si="36"/>
        <v/>
      </c>
    </row>
    <row r="284" spans="7:7">
      <c r="G284" s="5" t="str">
        <f t="shared" si="36"/>
        <v/>
      </c>
    </row>
    <row r="285" spans="7:7">
      <c r="G285" s="5" t="str">
        <f t="shared" si="36"/>
        <v/>
      </c>
    </row>
    <row r="286" spans="7:7">
      <c r="G286" s="5" t="str">
        <f t="shared" si="36"/>
        <v/>
      </c>
    </row>
    <row r="287" spans="7:7">
      <c r="G287" s="5" t="str">
        <f t="shared" si="36"/>
        <v/>
      </c>
    </row>
    <row r="288" spans="7:7">
      <c r="G288" s="5" t="str">
        <f t="shared" si="36"/>
        <v/>
      </c>
    </row>
    <row r="289" spans="7:7">
      <c r="G289" s="5" t="str">
        <f t="shared" si="36"/>
        <v/>
      </c>
    </row>
    <row r="290" spans="7:7">
      <c r="G290" s="5" t="str">
        <f t="shared" si="36"/>
        <v/>
      </c>
    </row>
    <row r="291" spans="7:7">
      <c r="G291" s="5" t="str">
        <f t="shared" si="36"/>
        <v/>
      </c>
    </row>
    <row r="292" spans="7:7">
      <c r="G292" s="5" t="str">
        <f t="shared" si="36"/>
        <v/>
      </c>
    </row>
    <row r="293" spans="7:7">
      <c r="G293" s="5" t="str">
        <f t="shared" si="36"/>
        <v/>
      </c>
    </row>
    <row r="294" spans="7:7">
      <c r="G294" s="5" t="str">
        <f t="shared" si="36"/>
        <v/>
      </c>
    </row>
    <row r="295" spans="7:7">
      <c r="G295" s="5" t="str">
        <f t="shared" si="36"/>
        <v/>
      </c>
    </row>
    <row r="296" spans="7:7">
      <c r="G296" s="5" t="str">
        <f t="shared" si="36"/>
        <v/>
      </c>
    </row>
    <row r="297" spans="7:7">
      <c r="G297" s="5" t="str">
        <f t="shared" si="36"/>
        <v/>
      </c>
    </row>
    <row r="298" spans="7:7">
      <c r="G298" s="5" t="str">
        <f t="shared" si="36"/>
        <v/>
      </c>
    </row>
    <row r="299" spans="7:7">
      <c r="G299" s="5" t="str">
        <f t="shared" si="36"/>
        <v/>
      </c>
    </row>
    <row r="300" spans="7:7">
      <c r="G300" s="5" t="str">
        <f t="shared" si="36"/>
        <v/>
      </c>
    </row>
    <row r="301" spans="7:7">
      <c r="G301" s="5" t="str">
        <f t="shared" si="36"/>
        <v/>
      </c>
    </row>
    <row r="302" spans="7:7">
      <c r="G302" s="5" t="str">
        <f t="shared" si="36"/>
        <v/>
      </c>
    </row>
    <row r="303" spans="7:7">
      <c r="G303" s="5" t="str">
        <f t="shared" ref="G303:G366" si="37">IF(B303&lt;&gt;"",SUM(C303:F303),"")</f>
        <v/>
      </c>
    </row>
    <row r="304" spans="7:7">
      <c r="G304" s="5" t="str">
        <f t="shared" si="37"/>
        <v/>
      </c>
    </row>
    <row r="305" spans="7:7">
      <c r="G305" s="5" t="str">
        <f t="shared" si="37"/>
        <v/>
      </c>
    </row>
    <row r="306" spans="7:7">
      <c r="G306" s="5" t="str">
        <f t="shared" si="37"/>
        <v/>
      </c>
    </row>
    <row r="307" spans="7:7">
      <c r="G307" s="5" t="str">
        <f t="shared" si="37"/>
        <v/>
      </c>
    </row>
    <row r="308" spans="7:7">
      <c r="G308" s="5" t="str">
        <f t="shared" si="37"/>
        <v/>
      </c>
    </row>
    <row r="309" spans="7:7">
      <c r="G309" s="5" t="str">
        <f t="shared" si="37"/>
        <v/>
      </c>
    </row>
    <row r="310" spans="7:7">
      <c r="G310" s="5" t="str">
        <f t="shared" si="37"/>
        <v/>
      </c>
    </row>
    <row r="311" spans="7:7">
      <c r="G311" s="5" t="str">
        <f t="shared" si="37"/>
        <v/>
      </c>
    </row>
    <row r="312" spans="7:7">
      <c r="G312" s="5" t="str">
        <f t="shared" si="37"/>
        <v/>
      </c>
    </row>
    <row r="313" spans="7:7">
      <c r="G313" s="5" t="str">
        <f t="shared" si="37"/>
        <v/>
      </c>
    </row>
    <row r="314" spans="7:7">
      <c r="G314" s="5" t="str">
        <f t="shared" si="37"/>
        <v/>
      </c>
    </row>
    <row r="315" spans="7:7">
      <c r="G315" s="5" t="str">
        <f t="shared" si="37"/>
        <v/>
      </c>
    </row>
    <row r="316" spans="7:7">
      <c r="G316" s="5" t="str">
        <f t="shared" si="37"/>
        <v/>
      </c>
    </row>
    <row r="317" spans="7:7">
      <c r="G317" s="5" t="str">
        <f t="shared" si="37"/>
        <v/>
      </c>
    </row>
    <row r="318" spans="7:7">
      <c r="G318" s="5" t="str">
        <f t="shared" si="37"/>
        <v/>
      </c>
    </row>
    <row r="319" spans="7:7">
      <c r="G319" s="5" t="str">
        <f t="shared" si="37"/>
        <v/>
      </c>
    </row>
    <row r="320" spans="7:7">
      <c r="G320" s="5" t="str">
        <f t="shared" si="37"/>
        <v/>
      </c>
    </row>
    <row r="321" spans="7:7">
      <c r="G321" s="5" t="str">
        <f t="shared" si="37"/>
        <v/>
      </c>
    </row>
    <row r="322" spans="7:7">
      <c r="G322" s="5" t="str">
        <f t="shared" si="37"/>
        <v/>
      </c>
    </row>
    <row r="323" spans="7:7">
      <c r="G323" s="5" t="str">
        <f t="shared" si="37"/>
        <v/>
      </c>
    </row>
    <row r="324" spans="7:7">
      <c r="G324" s="5" t="str">
        <f t="shared" si="37"/>
        <v/>
      </c>
    </row>
    <row r="325" spans="7:7">
      <c r="G325" s="5" t="str">
        <f t="shared" si="37"/>
        <v/>
      </c>
    </row>
    <row r="326" spans="7:7">
      <c r="G326" s="5" t="str">
        <f t="shared" si="37"/>
        <v/>
      </c>
    </row>
    <row r="327" spans="7:7">
      <c r="G327" s="5" t="str">
        <f t="shared" si="37"/>
        <v/>
      </c>
    </row>
    <row r="328" spans="7:7">
      <c r="G328" s="5" t="str">
        <f t="shared" si="37"/>
        <v/>
      </c>
    </row>
    <row r="329" spans="7:7">
      <c r="G329" s="5" t="str">
        <f t="shared" si="37"/>
        <v/>
      </c>
    </row>
    <row r="330" spans="7:7">
      <c r="G330" s="5" t="str">
        <f t="shared" si="37"/>
        <v/>
      </c>
    </row>
    <row r="331" spans="7:7">
      <c r="G331" s="5" t="str">
        <f t="shared" si="37"/>
        <v/>
      </c>
    </row>
    <row r="332" spans="7:7">
      <c r="G332" s="5" t="str">
        <f t="shared" si="37"/>
        <v/>
      </c>
    </row>
    <row r="333" spans="7:7">
      <c r="G333" s="5" t="str">
        <f t="shared" si="37"/>
        <v/>
      </c>
    </row>
    <row r="334" spans="7:7">
      <c r="G334" s="5" t="str">
        <f t="shared" si="37"/>
        <v/>
      </c>
    </row>
    <row r="335" spans="7:7">
      <c r="G335" s="5" t="str">
        <f t="shared" si="37"/>
        <v/>
      </c>
    </row>
    <row r="336" spans="7:7">
      <c r="G336" s="5" t="str">
        <f t="shared" si="37"/>
        <v/>
      </c>
    </row>
    <row r="337" spans="7:7">
      <c r="G337" s="5" t="str">
        <f t="shared" si="37"/>
        <v/>
      </c>
    </row>
    <row r="338" spans="7:7">
      <c r="G338" s="5" t="str">
        <f t="shared" si="37"/>
        <v/>
      </c>
    </row>
    <row r="339" spans="7:7">
      <c r="G339" s="5" t="str">
        <f t="shared" si="37"/>
        <v/>
      </c>
    </row>
    <row r="340" spans="7:7">
      <c r="G340" s="5" t="str">
        <f t="shared" si="37"/>
        <v/>
      </c>
    </row>
    <row r="341" spans="7:7">
      <c r="G341" s="5" t="str">
        <f t="shared" si="37"/>
        <v/>
      </c>
    </row>
    <row r="342" spans="7:7">
      <c r="G342" s="5" t="str">
        <f t="shared" si="37"/>
        <v/>
      </c>
    </row>
    <row r="343" spans="7:7">
      <c r="G343" s="5" t="str">
        <f t="shared" si="37"/>
        <v/>
      </c>
    </row>
    <row r="344" spans="7:7">
      <c r="G344" s="5" t="str">
        <f t="shared" si="37"/>
        <v/>
      </c>
    </row>
    <row r="345" spans="7:7">
      <c r="G345" s="5" t="str">
        <f t="shared" si="37"/>
        <v/>
      </c>
    </row>
    <row r="346" spans="7:7">
      <c r="G346" s="5" t="str">
        <f t="shared" si="37"/>
        <v/>
      </c>
    </row>
    <row r="347" spans="7:7">
      <c r="G347" s="5" t="str">
        <f t="shared" si="37"/>
        <v/>
      </c>
    </row>
    <row r="348" spans="7:7">
      <c r="G348" s="5" t="str">
        <f t="shared" si="37"/>
        <v/>
      </c>
    </row>
    <row r="349" spans="7:7">
      <c r="G349" s="5" t="str">
        <f t="shared" si="37"/>
        <v/>
      </c>
    </row>
    <row r="350" spans="7:7">
      <c r="G350" s="5" t="str">
        <f t="shared" si="37"/>
        <v/>
      </c>
    </row>
    <row r="351" spans="7:7">
      <c r="G351" s="5" t="str">
        <f t="shared" si="37"/>
        <v/>
      </c>
    </row>
    <row r="352" spans="7:7">
      <c r="G352" s="5" t="str">
        <f t="shared" si="37"/>
        <v/>
      </c>
    </row>
    <row r="353" spans="7:7">
      <c r="G353" s="5" t="str">
        <f t="shared" si="37"/>
        <v/>
      </c>
    </row>
    <row r="354" spans="7:7">
      <c r="G354" s="5" t="str">
        <f t="shared" si="37"/>
        <v/>
      </c>
    </row>
    <row r="355" spans="7:7">
      <c r="G355" s="5" t="str">
        <f t="shared" si="37"/>
        <v/>
      </c>
    </row>
    <row r="356" spans="7:7">
      <c r="G356" s="5" t="str">
        <f t="shared" si="37"/>
        <v/>
      </c>
    </row>
    <row r="357" spans="7:7">
      <c r="G357" s="5" t="str">
        <f t="shared" si="37"/>
        <v/>
      </c>
    </row>
    <row r="358" spans="7:7">
      <c r="G358" s="5" t="str">
        <f t="shared" si="37"/>
        <v/>
      </c>
    </row>
    <row r="359" spans="7:7">
      <c r="G359" s="5" t="str">
        <f t="shared" si="37"/>
        <v/>
      </c>
    </row>
    <row r="360" spans="7:7">
      <c r="G360" s="5" t="str">
        <f t="shared" si="37"/>
        <v/>
      </c>
    </row>
    <row r="361" spans="7:7">
      <c r="G361" s="5" t="str">
        <f t="shared" si="37"/>
        <v/>
      </c>
    </row>
    <row r="362" spans="7:7">
      <c r="G362" s="5" t="str">
        <f t="shared" si="37"/>
        <v/>
      </c>
    </row>
    <row r="363" spans="7:7">
      <c r="G363" s="5" t="str">
        <f t="shared" si="37"/>
        <v/>
      </c>
    </row>
    <row r="364" spans="7:7">
      <c r="G364" s="5" t="str">
        <f t="shared" si="37"/>
        <v/>
      </c>
    </row>
    <row r="365" spans="7:7">
      <c r="G365" s="5" t="str">
        <f t="shared" si="37"/>
        <v/>
      </c>
    </row>
    <row r="366" spans="7:7">
      <c r="G366" s="5" t="str">
        <f t="shared" si="37"/>
        <v/>
      </c>
    </row>
    <row r="367" spans="7:7">
      <c r="G367" s="5" t="str">
        <f t="shared" ref="G367:G430" si="38">IF(B367&lt;&gt;"",SUM(C367:F367),"")</f>
        <v/>
      </c>
    </row>
    <row r="368" spans="7:7">
      <c r="G368" s="5" t="str">
        <f t="shared" si="38"/>
        <v/>
      </c>
    </row>
    <row r="369" spans="7:7">
      <c r="G369" s="5" t="str">
        <f t="shared" si="38"/>
        <v/>
      </c>
    </row>
    <row r="370" spans="7:7">
      <c r="G370" s="5" t="str">
        <f t="shared" si="38"/>
        <v/>
      </c>
    </row>
    <row r="371" spans="7:7">
      <c r="G371" s="5" t="str">
        <f t="shared" si="38"/>
        <v/>
      </c>
    </row>
    <row r="372" spans="7:7">
      <c r="G372" s="5" t="str">
        <f t="shared" si="38"/>
        <v/>
      </c>
    </row>
    <row r="373" spans="7:7">
      <c r="G373" s="5" t="str">
        <f t="shared" si="38"/>
        <v/>
      </c>
    </row>
    <row r="374" spans="7:7">
      <c r="G374" s="5" t="str">
        <f t="shared" si="38"/>
        <v/>
      </c>
    </row>
    <row r="375" spans="7:7">
      <c r="G375" s="5" t="str">
        <f t="shared" si="38"/>
        <v/>
      </c>
    </row>
    <row r="376" spans="7:7">
      <c r="G376" s="5" t="str">
        <f t="shared" si="38"/>
        <v/>
      </c>
    </row>
    <row r="377" spans="7:7">
      <c r="G377" s="5" t="str">
        <f t="shared" si="38"/>
        <v/>
      </c>
    </row>
    <row r="378" spans="7:7">
      <c r="G378" s="5" t="str">
        <f t="shared" si="38"/>
        <v/>
      </c>
    </row>
    <row r="379" spans="7:7">
      <c r="G379" s="5" t="str">
        <f t="shared" si="38"/>
        <v/>
      </c>
    </row>
    <row r="380" spans="7:7">
      <c r="G380" s="5" t="str">
        <f t="shared" si="38"/>
        <v/>
      </c>
    </row>
    <row r="381" spans="7:7">
      <c r="G381" s="5" t="str">
        <f t="shared" si="38"/>
        <v/>
      </c>
    </row>
    <row r="382" spans="7:7">
      <c r="G382" s="5" t="str">
        <f t="shared" si="38"/>
        <v/>
      </c>
    </row>
    <row r="383" spans="7:7">
      <c r="G383" s="5" t="str">
        <f t="shared" si="38"/>
        <v/>
      </c>
    </row>
    <row r="384" spans="7:7">
      <c r="G384" s="5" t="str">
        <f t="shared" si="38"/>
        <v/>
      </c>
    </row>
    <row r="385" spans="7:7">
      <c r="G385" s="5" t="str">
        <f t="shared" si="38"/>
        <v/>
      </c>
    </row>
    <row r="386" spans="7:7">
      <c r="G386" s="5" t="str">
        <f t="shared" si="38"/>
        <v/>
      </c>
    </row>
    <row r="387" spans="7:7">
      <c r="G387" s="5" t="str">
        <f t="shared" si="38"/>
        <v/>
      </c>
    </row>
    <row r="388" spans="7:7">
      <c r="G388" s="5" t="str">
        <f t="shared" si="38"/>
        <v/>
      </c>
    </row>
    <row r="389" spans="7:7">
      <c r="G389" s="5" t="str">
        <f t="shared" si="38"/>
        <v/>
      </c>
    </row>
    <row r="390" spans="7:7">
      <c r="G390" s="5" t="str">
        <f t="shared" si="38"/>
        <v/>
      </c>
    </row>
    <row r="391" spans="7:7">
      <c r="G391" s="5" t="str">
        <f t="shared" si="38"/>
        <v/>
      </c>
    </row>
    <row r="392" spans="7:7">
      <c r="G392" s="5" t="str">
        <f t="shared" si="38"/>
        <v/>
      </c>
    </row>
    <row r="393" spans="7:7">
      <c r="G393" s="5" t="str">
        <f t="shared" si="38"/>
        <v/>
      </c>
    </row>
    <row r="394" spans="7:7">
      <c r="G394" s="5" t="str">
        <f t="shared" si="38"/>
        <v/>
      </c>
    </row>
    <row r="395" spans="7:7">
      <c r="G395" s="5" t="str">
        <f t="shared" si="38"/>
        <v/>
      </c>
    </row>
    <row r="396" spans="7:7">
      <c r="G396" s="5" t="str">
        <f t="shared" si="38"/>
        <v/>
      </c>
    </row>
    <row r="397" spans="7:7">
      <c r="G397" s="5" t="str">
        <f t="shared" si="38"/>
        <v/>
      </c>
    </row>
    <row r="398" spans="7:7">
      <c r="G398" s="5" t="str">
        <f t="shared" si="38"/>
        <v/>
      </c>
    </row>
    <row r="399" spans="7:7">
      <c r="G399" s="5" t="str">
        <f t="shared" si="38"/>
        <v/>
      </c>
    </row>
    <row r="400" spans="7:7">
      <c r="G400" s="5" t="str">
        <f t="shared" si="38"/>
        <v/>
      </c>
    </row>
    <row r="401" spans="7:7">
      <c r="G401" s="5" t="str">
        <f t="shared" si="38"/>
        <v/>
      </c>
    </row>
    <row r="402" spans="7:7">
      <c r="G402" s="5" t="str">
        <f t="shared" si="38"/>
        <v/>
      </c>
    </row>
    <row r="403" spans="7:7">
      <c r="G403" s="5" t="str">
        <f t="shared" si="38"/>
        <v/>
      </c>
    </row>
    <row r="404" spans="7:7">
      <c r="G404" s="5" t="str">
        <f t="shared" si="38"/>
        <v/>
      </c>
    </row>
    <row r="405" spans="7:7">
      <c r="G405" s="5" t="str">
        <f t="shared" si="38"/>
        <v/>
      </c>
    </row>
    <row r="406" spans="7:7">
      <c r="G406" s="5" t="str">
        <f t="shared" si="38"/>
        <v/>
      </c>
    </row>
    <row r="407" spans="7:7">
      <c r="G407" s="5" t="str">
        <f t="shared" si="38"/>
        <v/>
      </c>
    </row>
    <row r="408" spans="7:7">
      <c r="G408" s="5" t="str">
        <f t="shared" si="38"/>
        <v/>
      </c>
    </row>
    <row r="409" spans="7:7">
      <c r="G409" s="5" t="str">
        <f t="shared" si="38"/>
        <v/>
      </c>
    </row>
    <row r="410" spans="7:7">
      <c r="G410" s="5" t="str">
        <f t="shared" si="38"/>
        <v/>
      </c>
    </row>
    <row r="411" spans="7:7">
      <c r="G411" s="5" t="str">
        <f t="shared" si="38"/>
        <v/>
      </c>
    </row>
    <row r="412" spans="7:7">
      <c r="G412" s="5" t="str">
        <f t="shared" si="38"/>
        <v/>
      </c>
    </row>
    <row r="413" spans="7:7">
      <c r="G413" s="5" t="str">
        <f t="shared" si="38"/>
        <v/>
      </c>
    </row>
    <row r="414" spans="7:7">
      <c r="G414" s="5" t="str">
        <f t="shared" si="38"/>
        <v/>
      </c>
    </row>
    <row r="415" spans="7:7">
      <c r="G415" s="5" t="str">
        <f t="shared" si="38"/>
        <v/>
      </c>
    </row>
    <row r="416" spans="7:7">
      <c r="G416" s="5" t="str">
        <f t="shared" si="38"/>
        <v/>
      </c>
    </row>
    <row r="417" spans="7:7">
      <c r="G417" s="5" t="str">
        <f t="shared" si="38"/>
        <v/>
      </c>
    </row>
    <row r="418" spans="7:7">
      <c r="G418" s="5" t="str">
        <f t="shared" si="38"/>
        <v/>
      </c>
    </row>
    <row r="419" spans="7:7">
      <c r="G419" s="5" t="str">
        <f t="shared" si="38"/>
        <v/>
      </c>
    </row>
    <row r="420" spans="7:7">
      <c r="G420" s="5" t="str">
        <f t="shared" si="38"/>
        <v/>
      </c>
    </row>
    <row r="421" spans="7:7">
      <c r="G421" s="5" t="str">
        <f t="shared" si="38"/>
        <v/>
      </c>
    </row>
    <row r="422" spans="7:7">
      <c r="G422" s="5" t="str">
        <f t="shared" si="38"/>
        <v/>
      </c>
    </row>
    <row r="423" spans="7:7">
      <c r="G423" s="5" t="str">
        <f t="shared" si="38"/>
        <v/>
      </c>
    </row>
    <row r="424" spans="7:7">
      <c r="G424" s="5" t="str">
        <f t="shared" si="38"/>
        <v/>
      </c>
    </row>
    <row r="425" spans="7:7">
      <c r="G425" s="5" t="str">
        <f t="shared" si="38"/>
        <v/>
      </c>
    </row>
    <row r="426" spans="7:7">
      <c r="G426" s="5" t="str">
        <f t="shared" si="38"/>
        <v/>
      </c>
    </row>
    <row r="427" spans="7:7">
      <c r="G427" s="5" t="str">
        <f t="shared" si="38"/>
        <v/>
      </c>
    </row>
    <row r="428" spans="7:7">
      <c r="G428" s="5" t="str">
        <f t="shared" si="38"/>
        <v/>
      </c>
    </row>
    <row r="429" spans="7:7">
      <c r="G429" s="5" t="str">
        <f t="shared" si="38"/>
        <v/>
      </c>
    </row>
    <row r="430" spans="7:7">
      <c r="G430" s="5" t="str">
        <f t="shared" si="38"/>
        <v/>
      </c>
    </row>
    <row r="431" spans="7:7">
      <c r="G431" s="5" t="str">
        <f t="shared" ref="G431:G494" si="39">IF(B431&lt;&gt;"",SUM(C431:F431),"")</f>
        <v/>
      </c>
    </row>
    <row r="432" spans="7:7">
      <c r="G432" s="5" t="str">
        <f t="shared" si="39"/>
        <v/>
      </c>
    </row>
    <row r="433" spans="7:7">
      <c r="G433" s="5" t="str">
        <f t="shared" si="39"/>
        <v/>
      </c>
    </row>
    <row r="434" spans="7:7">
      <c r="G434" s="5" t="str">
        <f t="shared" si="39"/>
        <v/>
      </c>
    </row>
    <row r="435" spans="7:7">
      <c r="G435" s="5" t="str">
        <f t="shared" si="39"/>
        <v/>
      </c>
    </row>
    <row r="436" spans="7:7">
      <c r="G436" s="5" t="str">
        <f t="shared" si="39"/>
        <v/>
      </c>
    </row>
    <row r="437" spans="7:7">
      <c r="G437" s="5" t="str">
        <f t="shared" si="39"/>
        <v/>
      </c>
    </row>
    <row r="438" spans="7:7">
      <c r="G438" s="5" t="str">
        <f t="shared" si="39"/>
        <v/>
      </c>
    </row>
    <row r="439" spans="7:7">
      <c r="G439" s="5" t="str">
        <f t="shared" si="39"/>
        <v/>
      </c>
    </row>
    <row r="440" spans="7:7">
      <c r="G440" s="5" t="str">
        <f t="shared" si="39"/>
        <v/>
      </c>
    </row>
    <row r="441" spans="7:7">
      <c r="G441" s="5" t="str">
        <f t="shared" si="39"/>
        <v/>
      </c>
    </row>
    <row r="442" spans="7:7">
      <c r="G442" s="5" t="str">
        <f t="shared" si="39"/>
        <v/>
      </c>
    </row>
    <row r="443" spans="7:7">
      <c r="G443" s="5" t="str">
        <f t="shared" si="39"/>
        <v/>
      </c>
    </row>
    <row r="444" spans="7:7">
      <c r="G444" s="5" t="str">
        <f t="shared" si="39"/>
        <v/>
      </c>
    </row>
    <row r="445" spans="7:7">
      <c r="G445" s="5" t="str">
        <f t="shared" si="39"/>
        <v/>
      </c>
    </row>
    <row r="446" spans="7:7">
      <c r="G446" s="5" t="str">
        <f t="shared" si="39"/>
        <v/>
      </c>
    </row>
    <row r="447" spans="7:7">
      <c r="G447" s="5" t="str">
        <f t="shared" si="39"/>
        <v/>
      </c>
    </row>
    <row r="448" spans="7:7">
      <c r="G448" s="5" t="str">
        <f t="shared" si="39"/>
        <v/>
      </c>
    </row>
    <row r="449" spans="7:7">
      <c r="G449" s="5" t="str">
        <f t="shared" si="39"/>
        <v/>
      </c>
    </row>
    <row r="450" spans="7:7">
      <c r="G450" s="5" t="str">
        <f t="shared" si="39"/>
        <v/>
      </c>
    </row>
    <row r="451" spans="7:7">
      <c r="G451" s="5" t="str">
        <f t="shared" si="39"/>
        <v/>
      </c>
    </row>
    <row r="452" spans="7:7">
      <c r="G452" s="5" t="str">
        <f t="shared" si="39"/>
        <v/>
      </c>
    </row>
    <row r="453" spans="7:7">
      <c r="G453" s="5" t="str">
        <f t="shared" si="39"/>
        <v/>
      </c>
    </row>
    <row r="454" spans="7:7">
      <c r="G454" s="5" t="str">
        <f t="shared" si="39"/>
        <v/>
      </c>
    </row>
    <row r="455" spans="7:7">
      <c r="G455" s="5" t="str">
        <f t="shared" si="39"/>
        <v/>
      </c>
    </row>
    <row r="456" spans="7:7">
      <c r="G456" s="5" t="str">
        <f t="shared" si="39"/>
        <v/>
      </c>
    </row>
    <row r="457" spans="7:7">
      <c r="G457" s="5" t="str">
        <f t="shared" si="39"/>
        <v/>
      </c>
    </row>
    <row r="458" spans="7:7">
      <c r="G458" s="5" t="str">
        <f t="shared" si="39"/>
        <v/>
      </c>
    </row>
    <row r="459" spans="7:7">
      <c r="G459" s="5" t="str">
        <f t="shared" si="39"/>
        <v/>
      </c>
    </row>
    <row r="460" spans="7:7">
      <c r="G460" s="5" t="str">
        <f t="shared" si="39"/>
        <v/>
      </c>
    </row>
    <row r="461" spans="7:7">
      <c r="G461" s="5" t="str">
        <f t="shared" si="39"/>
        <v/>
      </c>
    </row>
    <row r="462" spans="7:7">
      <c r="G462" s="5" t="str">
        <f t="shared" si="39"/>
        <v/>
      </c>
    </row>
    <row r="463" spans="7:7">
      <c r="G463" s="5" t="str">
        <f t="shared" si="39"/>
        <v/>
      </c>
    </row>
    <row r="464" spans="7:7">
      <c r="G464" s="5" t="str">
        <f t="shared" si="39"/>
        <v/>
      </c>
    </row>
    <row r="465" spans="7:7">
      <c r="G465" s="5" t="str">
        <f t="shared" si="39"/>
        <v/>
      </c>
    </row>
    <row r="466" spans="7:7">
      <c r="G466" s="5" t="str">
        <f t="shared" si="39"/>
        <v/>
      </c>
    </row>
    <row r="467" spans="7:7">
      <c r="G467" s="5" t="str">
        <f t="shared" si="39"/>
        <v/>
      </c>
    </row>
    <row r="468" spans="7:7">
      <c r="G468" s="5" t="str">
        <f t="shared" si="39"/>
        <v/>
      </c>
    </row>
    <row r="469" spans="7:7">
      <c r="G469" s="5" t="str">
        <f t="shared" si="39"/>
        <v/>
      </c>
    </row>
    <row r="470" spans="7:7">
      <c r="G470" s="5" t="str">
        <f t="shared" si="39"/>
        <v/>
      </c>
    </row>
    <row r="471" spans="7:7">
      <c r="G471" s="5" t="str">
        <f t="shared" si="39"/>
        <v/>
      </c>
    </row>
    <row r="472" spans="7:7">
      <c r="G472" s="5" t="str">
        <f t="shared" si="39"/>
        <v/>
      </c>
    </row>
    <row r="473" spans="7:7">
      <c r="G473" s="5" t="str">
        <f t="shared" si="39"/>
        <v/>
      </c>
    </row>
    <row r="474" spans="7:7">
      <c r="G474" s="5" t="str">
        <f t="shared" si="39"/>
        <v/>
      </c>
    </row>
    <row r="475" spans="7:7">
      <c r="G475" s="5" t="str">
        <f t="shared" si="39"/>
        <v/>
      </c>
    </row>
    <row r="476" spans="7:7">
      <c r="G476" s="5" t="str">
        <f t="shared" si="39"/>
        <v/>
      </c>
    </row>
    <row r="477" spans="7:7">
      <c r="G477" s="5" t="str">
        <f t="shared" si="39"/>
        <v/>
      </c>
    </row>
    <row r="478" spans="7:7">
      <c r="G478" s="5" t="str">
        <f t="shared" si="39"/>
        <v/>
      </c>
    </row>
    <row r="479" spans="7:7">
      <c r="G479" s="5" t="str">
        <f t="shared" si="39"/>
        <v/>
      </c>
    </row>
    <row r="480" spans="7:7">
      <c r="G480" s="5" t="str">
        <f t="shared" si="39"/>
        <v/>
      </c>
    </row>
    <row r="481" spans="7:7">
      <c r="G481" s="5" t="str">
        <f t="shared" si="39"/>
        <v/>
      </c>
    </row>
    <row r="482" spans="7:7">
      <c r="G482" s="5" t="str">
        <f t="shared" si="39"/>
        <v/>
      </c>
    </row>
    <row r="483" spans="7:7">
      <c r="G483" s="5" t="str">
        <f t="shared" si="39"/>
        <v/>
      </c>
    </row>
    <row r="484" spans="7:7">
      <c r="G484" s="5" t="str">
        <f t="shared" si="39"/>
        <v/>
      </c>
    </row>
    <row r="485" spans="7:7">
      <c r="G485" s="5" t="str">
        <f t="shared" si="39"/>
        <v/>
      </c>
    </row>
    <row r="486" spans="7:7">
      <c r="G486" s="5" t="str">
        <f t="shared" si="39"/>
        <v/>
      </c>
    </row>
    <row r="487" spans="7:7">
      <c r="G487" s="5" t="str">
        <f t="shared" si="39"/>
        <v/>
      </c>
    </row>
    <row r="488" spans="7:7">
      <c r="G488" s="5" t="str">
        <f t="shared" si="39"/>
        <v/>
      </c>
    </row>
    <row r="489" spans="7:7">
      <c r="G489" s="5" t="str">
        <f t="shared" si="39"/>
        <v/>
      </c>
    </row>
    <row r="490" spans="7:7">
      <c r="G490" s="5" t="str">
        <f t="shared" si="39"/>
        <v/>
      </c>
    </row>
    <row r="491" spans="7:7">
      <c r="G491" s="5" t="str">
        <f t="shared" si="39"/>
        <v/>
      </c>
    </row>
    <row r="492" spans="7:7">
      <c r="G492" s="5" t="str">
        <f t="shared" si="39"/>
        <v/>
      </c>
    </row>
    <row r="493" spans="7:7">
      <c r="G493" s="5" t="str">
        <f t="shared" si="39"/>
        <v/>
      </c>
    </row>
    <row r="494" spans="7:7">
      <c r="G494" s="5" t="str">
        <f t="shared" si="39"/>
        <v/>
      </c>
    </row>
    <row r="495" spans="7:7">
      <c r="G495" s="5" t="str">
        <f t="shared" ref="G495:G526" si="40">IF(B495&lt;&gt;"",SUM(C495:F495),"")</f>
        <v/>
      </c>
    </row>
    <row r="496" spans="7:7">
      <c r="G496" s="5" t="str">
        <f t="shared" si="40"/>
        <v/>
      </c>
    </row>
    <row r="497" spans="7:7">
      <c r="G497" s="5" t="str">
        <f t="shared" si="40"/>
        <v/>
      </c>
    </row>
    <row r="498" spans="7:7">
      <c r="G498" s="5" t="str">
        <f t="shared" si="40"/>
        <v/>
      </c>
    </row>
    <row r="499" spans="7:7">
      <c r="G499" s="5" t="str">
        <f t="shared" si="40"/>
        <v/>
      </c>
    </row>
    <row r="500" spans="7:7">
      <c r="G500" s="5" t="str">
        <f t="shared" si="40"/>
        <v/>
      </c>
    </row>
    <row r="501" spans="7:7">
      <c r="G501" s="5" t="str">
        <f t="shared" si="40"/>
        <v/>
      </c>
    </row>
    <row r="502" spans="7:7">
      <c r="G502" s="5" t="str">
        <f t="shared" si="40"/>
        <v/>
      </c>
    </row>
    <row r="503" spans="7:7">
      <c r="G503" s="5" t="str">
        <f t="shared" si="40"/>
        <v/>
      </c>
    </row>
    <row r="504" spans="7:7">
      <c r="G504" s="5" t="str">
        <f t="shared" si="40"/>
        <v/>
      </c>
    </row>
    <row r="505" spans="7:7">
      <c r="G505" s="5" t="str">
        <f t="shared" si="40"/>
        <v/>
      </c>
    </row>
    <row r="506" spans="7:7">
      <c r="G506" s="5" t="str">
        <f t="shared" si="40"/>
        <v/>
      </c>
    </row>
    <row r="507" spans="7:7">
      <c r="G507" s="5" t="str">
        <f t="shared" si="40"/>
        <v/>
      </c>
    </row>
    <row r="508" spans="7:7">
      <c r="G508" s="5" t="str">
        <f t="shared" si="40"/>
        <v/>
      </c>
    </row>
    <row r="509" spans="7:7">
      <c r="G509" s="5" t="str">
        <f t="shared" si="40"/>
        <v/>
      </c>
    </row>
    <row r="510" spans="7:7">
      <c r="G510" s="5" t="str">
        <f t="shared" si="40"/>
        <v/>
      </c>
    </row>
    <row r="511" spans="7:7">
      <c r="G511" s="5" t="str">
        <f t="shared" si="40"/>
        <v/>
      </c>
    </row>
    <row r="512" spans="7:7">
      <c r="G512" s="5" t="str">
        <f t="shared" si="40"/>
        <v/>
      </c>
    </row>
    <row r="513" spans="7:7">
      <c r="G513" s="5" t="str">
        <f t="shared" si="40"/>
        <v/>
      </c>
    </row>
    <row r="514" spans="7:7">
      <c r="G514" s="5" t="str">
        <f t="shared" si="40"/>
        <v/>
      </c>
    </row>
    <row r="515" spans="7:7">
      <c r="G515" s="5" t="str">
        <f t="shared" si="40"/>
        <v/>
      </c>
    </row>
    <row r="516" spans="7:7">
      <c r="G516" s="5" t="str">
        <f t="shared" si="40"/>
        <v/>
      </c>
    </row>
    <row r="517" spans="7:7">
      <c r="G517" s="5" t="str">
        <f t="shared" si="40"/>
        <v/>
      </c>
    </row>
    <row r="518" spans="7:7">
      <c r="G518" s="5" t="str">
        <f t="shared" si="40"/>
        <v/>
      </c>
    </row>
    <row r="519" spans="7:7">
      <c r="G519" s="5" t="str">
        <f t="shared" si="40"/>
        <v/>
      </c>
    </row>
    <row r="520" spans="7:7">
      <c r="G520" s="5" t="str">
        <f t="shared" si="40"/>
        <v/>
      </c>
    </row>
    <row r="521" spans="7:7">
      <c r="G521" s="5" t="str">
        <f t="shared" si="40"/>
        <v/>
      </c>
    </row>
    <row r="522" spans="7:7">
      <c r="G522" s="5" t="str">
        <f t="shared" si="40"/>
        <v/>
      </c>
    </row>
    <row r="523" spans="7:7">
      <c r="G523" s="5" t="str">
        <f t="shared" si="40"/>
        <v/>
      </c>
    </row>
    <row r="524" spans="7:7">
      <c r="G524" s="5" t="str">
        <f t="shared" si="40"/>
        <v/>
      </c>
    </row>
    <row r="525" spans="7:7">
      <c r="G525" s="5" t="str">
        <f t="shared" si="40"/>
        <v/>
      </c>
    </row>
    <row r="526" spans="7:7">
      <c r="G526" s="5" t="str">
        <f t="shared" si="40"/>
        <v/>
      </c>
    </row>
  </sheetData>
  <sheetProtection sort="0" autoFilter="0" pivotTables="0"/>
  <autoFilter ref="H5:H100" xr:uid="{A1ADB527-C192-4D41-B928-35C2A8E885D3}">
    <filterColumn colId="0">
      <filters blank="1">
        <filter val="12"/>
        <filter val="120"/>
        <filter val="144"/>
        <filter val="168"/>
        <filter val="18"/>
        <filter val="180"/>
        <filter val="24"/>
        <filter val="240"/>
        <filter val="3.600"/>
        <filter val="30"/>
        <filter val="36"/>
        <filter val="38"/>
        <filter val="4"/>
        <filter val="4.396"/>
        <filter val="400"/>
        <filter val="460"/>
        <filter val="48"/>
        <filter val="480"/>
        <filter val="56"/>
        <filter val="60"/>
        <filter val="600"/>
        <filter val="72"/>
        <filter val="96"/>
        <filter val="R$ 216.594,58"/>
      </filters>
    </filterColumn>
  </autoFilter>
  <phoneticPr fontId="37" type="noConversion"/>
  <pageMargins left="0.78740157480314965" right="0.78740157480314965" top="0.78740157480314965" bottom="0.78740157480314965" header="0" footer="0"/>
  <pageSetup paperSize="9" scale="75" orientation="landscape" verticalDpi="4294967295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 filterMode="1">
    <tabColor rgb="FFFF0000"/>
    <pageSetUpPr fitToPage="1"/>
  </sheetPr>
  <dimension ref="B1:S520"/>
  <sheetViews>
    <sheetView topLeftCell="B1" zoomScaleNormal="100" workbookViewId="0">
      <pane ySplit="5" topLeftCell="A6" activePane="bottomLeft" state="frozen"/>
      <selection pane="bottomLeft" activeCell="F49" sqref="F49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22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26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178"/>
      <c r="D4" s="178"/>
      <c r="E4" s="178"/>
      <c r="F4" s="179"/>
      <c r="G4" s="180"/>
      <c r="H4" s="447"/>
      <c r="I4" s="447" t="s">
        <v>48</v>
      </c>
      <c r="J4" s="448" t="s">
        <v>9</v>
      </c>
      <c r="K4" s="448" t="s">
        <v>9</v>
      </c>
      <c r="L4" s="476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465" t="s">
        <v>1477</v>
      </c>
      <c r="C6" s="274"/>
      <c r="D6" s="139"/>
      <c r="E6" s="139"/>
      <c r="F6" s="139"/>
      <c r="G6" s="140"/>
      <c r="H6" s="130">
        <f t="shared" ref="H6:H55" si="0">SUM(C6:G6)</f>
        <v>0</v>
      </c>
      <c r="I6" s="475">
        <f t="shared" ref="I6:I69" si="1">(L6-(L6*J6))</f>
        <v>7.7089133333333315</v>
      </c>
      <c r="J6" s="131"/>
      <c r="K6" s="132"/>
      <c r="L6" s="384">
        <v>7.7089133333333315</v>
      </c>
      <c r="M6" s="276"/>
      <c r="N6" s="25">
        <f t="shared" ref="N6:N37" si="2">I6*C6</f>
        <v>0</v>
      </c>
      <c r="O6" s="25">
        <f t="shared" ref="O6:O37" si="3">I6*D6</f>
        <v>0</v>
      </c>
      <c r="P6" s="25">
        <f t="shared" ref="P6:P37" si="4">I6*E6</f>
        <v>0</v>
      </c>
      <c r="Q6" s="26">
        <f t="shared" ref="Q6:Q37" si="5">I6*F6</f>
        <v>0</v>
      </c>
      <c r="R6" s="27">
        <f t="shared" ref="R6:R37" si="6">I6*G6</f>
        <v>0</v>
      </c>
      <c r="S6" s="123">
        <f>SUM(N6:R6)</f>
        <v>0</v>
      </c>
    </row>
    <row r="7" spans="2:19" hidden="1">
      <c r="B7" s="465" t="s">
        <v>1478</v>
      </c>
      <c r="C7" s="266"/>
      <c r="D7" s="141"/>
      <c r="E7" s="141"/>
      <c r="F7" s="141"/>
      <c r="G7" s="142"/>
      <c r="H7" s="130">
        <f t="shared" si="0"/>
        <v>0</v>
      </c>
      <c r="I7" s="475">
        <f t="shared" si="1"/>
        <v>12.385706666666669</v>
      </c>
      <c r="J7" s="136"/>
      <c r="K7" s="137"/>
      <c r="L7" s="385">
        <v>12.385706666666669</v>
      </c>
      <c r="M7" s="276"/>
      <c r="N7" s="25">
        <f t="shared" si="2"/>
        <v>0</v>
      </c>
      <c r="O7" s="25">
        <f t="shared" si="3"/>
        <v>0</v>
      </c>
      <c r="P7" s="25">
        <f t="shared" si="4"/>
        <v>0</v>
      </c>
      <c r="Q7" s="26">
        <f t="shared" si="5"/>
        <v>0</v>
      </c>
      <c r="R7" s="27">
        <f t="shared" si="6"/>
        <v>0</v>
      </c>
      <c r="S7" s="123">
        <f t="shared" ref="S7:S70" si="7">SUM(N7:R7)</f>
        <v>0</v>
      </c>
    </row>
    <row r="8" spans="2:19" hidden="1">
      <c r="B8" s="465" t="s">
        <v>569</v>
      </c>
      <c r="C8" s="265"/>
      <c r="D8" s="143"/>
      <c r="E8" s="143"/>
      <c r="F8" s="141"/>
      <c r="G8" s="142"/>
      <c r="H8" s="130">
        <f t="shared" si="0"/>
        <v>0</v>
      </c>
      <c r="I8" s="475">
        <f t="shared" si="1"/>
        <v>39.36009</v>
      </c>
      <c r="J8" s="136"/>
      <c r="K8" s="137"/>
      <c r="L8" s="385">
        <v>39.36009</v>
      </c>
      <c r="M8" s="276"/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123">
        <f t="shared" si="7"/>
        <v>0</v>
      </c>
    </row>
    <row r="9" spans="2:19" hidden="1">
      <c r="B9" s="465" t="s">
        <v>999</v>
      </c>
      <c r="C9" s="265"/>
      <c r="D9" s="143"/>
      <c r="E9" s="143"/>
      <c r="F9" s="141"/>
      <c r="G9" s="142"/>
      <c r="H9" s="130">
        <f t="shared" si="0"/>
        <v>0</v>
      </c>
      <c r="I9" s="475">
        <f t="shared" si="1"/>
        <v>370.755</v>
      </c>
      <c r="J9" s="136"/>
      <c r="K9" s="137"/>
      <c r="L9" s="385">
        <v>370.755</v>
      </c>
      <c r="M9" s="276"/>
      <c r="N9" s="25">
        <f t="shared" si="2"/>
        <v>0</v>
      </c>
      <c r="O9" s="25">
        <f t="shared" si="3"/>
        <v>0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123">
        <f t="shared" si="7"/>
        <v>0</v>
      </c>
    </row>
    <row r="10" spans="2:19" hidden="1">
      <c r="B10" s="465" t="s">
        <v>118</v>
      </c>
      <c r="C10" s="265"/>
      <c r="D10" s="143"/>
      <c r="E10" s="143"/>
      <c r="F10" s="141"/>
      <c r="G10" s="142"/>
      <c r="H10" s="130">
        <f t="shared" si="0"/>
        <v>0</v>
      </c>
      <c r="I10" s="475">
        <f t="shared" si="1"/>
        <v>133.76701800000001</v>
      </c>
      <c r="J10" s="136"/>
      <c r="K10" s="137"/>
      <c r="L10" s="385">
        <v>133.76701800000001</v>
      </c>
      <c r="M10" s="276"/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123">
        <f t="shared" si="7"/>
        <v>0</v>
      </c>
    </row>
    <row r="11" spans="2:19" hidden="1">
      <c r="B11" s="465" t="s">
        <v>119</v>
      </c>
      <c r="C11" s="265"/>
      <c r="D11" s="143"/>
      <c r="E11" s="143"/>
      <c r="F11" s="141"/>
      <c r="G11" s="142"/>
      <c r="H11" s="130">
        <f t="shared" si="0"/>
        <v>0</v>
      </c>
      <c r="I11" s="475">
        <f t="shared" si="1"/>
        <v>70.937789999999993</v>
      </c>
      <c r="J11" s="136"/>
      <c r="K11" s="137"/>
      <c r="L11" s="385">
        <v>70.937789999999993</v>
      </c>
      <c r="M11" s="276"/>
      <c r="N11" s="25">
        <f t="shared" si="2"/>
        <v>0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123">
        <f t="shared" si="7"/>
        <v>0</v>
      </c>
    </row>
    <row r="12" spans="2:19" hidden="1">
      <c r="B12" s="465" t="s">
        <v>120</v>
      </c>
      <c r="C12" s="265"/>
      <c r="D12" s="143"/>
      <c r="E12" s="143"/>
      <c r="F12" s="141"/>
      <c r="G12" s="142"/>
      <c r="H12" s="130">
        <f t="shared" si="0"/>
        <v>0</v>
      </c>
      <c r="I12" s="475">
        <f t="shared" si="1"/>
        <v>31.644999000000002</v>
      </c>
      <c r="J12" s="136"/>
      <c r="K12" s="137"/>
      <c r="L12" s="385">
        <v>31.644999000000002</v>
      </c>
      <c r="M12" s="276"/>
      <c r="N12" s="25">
        <f t="shared" si="2"/>
        <v>0</v>
      </c>
      <c r="O12" s="25">
        <f t="shared" si="3"/>
        <v>0</v>
      </c>
      <c r="P12" s="25">
        <f t="shared" si="4"/>
        <v>0</v>
      </c>
      <c r="Q12" s="26">
        <f t="shared" si="5"/>
        <v>0</v>
      </c>
      <c r="R12" s="27">
        <f t="shared" si="6"/>
        <v>0</v>
      </c>
      <c r="S12" s="123">
        <f t="shared" si="7"/>
        <v>0</v>
      </c>
    </row>
    <row r="13" spans="2:19" hidden="1">
      <c r="B13" s="465" t="s">
        <v>121</v>
      </c>
      <c r="C13" s="265"/>
      <c r="D13" s="143"/>
      <c r="E13" s="143"/>
      <c r="F13" s="141"/>
      <c r="G13" s="142"/>
      <c r="H13" s="130">
        <f t="shared" si="0"/>
        <v>0</v>
      </c>
      <c r="I13" s="475">
        <f t="shared" si="1"/>
        <v>24.193728</v>
      </c>
      <c r="J13" s="136"/>
      <c r="K13" s="137"/>
      <c r="L13" s="385">
        <v>24.193728</v>
      </c>
      <c r="M13" s="276"/>
      <c r="N13" s="25">
        <f t="shared" si="2"/>
        <v>0</v>
      </c>
      <c r="O13" s="25">
        <f t="shared" si="3"/>
        <v>0</v>
      </c>
      <c r="P13" s="25">
        <f t="shared" si="4"/>
        <v>0</v>
      </c>
      <c r="Q13" s="26">
        <f t="shared" si="5"/>
        <v>0</v>
      </c>
      <c r="R13" s="27">
        <f t="shared" si="6"/>
        <v>0</v>
      </c>
      <c r="S13" s="123">
        <f t="shared" si="7"/>
        <v>0</v>
      </c>
    </row>
    <row r="14" spans="2:19" hidden="1">
      <c r="B14" s="465" t="s">
        <v>122</v>
      </c>
      <c r="C14" s="265"/>
      <c r="D14" s="143"/>
      <c r="E14" s="143"/>
      <c r="F14" s="141"/>
      <c r="G14" s="142"/>
      <c r="H14" s="130">
        <f t="shared" si="0"/>
        <v>0</v>
      </c>
      <c r="I14" s="475">
        <f t="shared" si="1"/>
        <v>434.16750000000002</v>
      </c>
      <c r="J14" s="136"/>
      <c r="K14" s="137"/>
      <c r="L14" s="385">
        <v>434.16750000000002</v>
      </c>
      <c r="M14" s="276"/>
      <c r="N14" s="25">
        <f t="shared" si="2"/>
        <v>0</v>
      </c>
      <c r="O14" s="25">
        <f t="shared" si="3"/>
        <v>0</v>
      </c>
      <c r="P14" s="25">
        <f t="shared" si="4"/>
        <v>0</v>
      </c>
      <c r="Q14" s="26">
        <f t="shared" si="5"/>
        <v>0</v>
      </c>
      <c r="R14" s="27">
        <f t="shared" si="6"/>
        <v>0</v>
      </c>
      <c r="S14" s="123">
        <f t="shared" si="7"/>
        <v>0</v>
      </c>
    </row>
    <row r="15" spans="2:19" hidden="1">
      <c r="B15" s="465" t="s">
        <v>123</v>
      </c>
      <c r="C15" s="265"/>
      <c r="D15" s="143"/>
      <c r="E15" s="143"/>
      <c r="F15" s="141"/>
      <c r="G15" s="142"/>
      <c r="H15" s="130">
        <f t="shared" si="0"/>
        <v>0</v>
      </c>
      <c r="I15" s="475">
        <f t="shared" si="1"/>
        <v>10.96875</v>
      </c>
      <c r="J15" s="136"/>
      <c r="K15" s="137"/>
      <c r="L15" s="385">
        <v>10.96875</v>
      </c>
      <c r="M15" s="276"/>
      <c r="N15" s="25">
        <f t="shared" si="2"/>
        <v>0</v>
      </c>
      <c r="O15" s="25">
        <f t="shared" si="3"/>
        <v>0</v>
      </c>
      <c r="P15" s="25">
        <f t="shared" si="4"/>
        <v>0</v>
      </c>
      <c r="Q15" s="26">
        <f t="shared" si="5"/>
        <v>0</v>
      </c>
      <c r="R15" s="27">
        <f t="shared" si="6"/>
        <v>0</v>
      </c>
      <c r="S15" s="123">
        <f t="shared" si="7"/>
        <v>0</v>
      </c>
    </row>
    <row r="16" spans="2:19">
      <c r="B16" s="465" t="s">
        <v>124</v>
      </c>
      <c r="C16" s="265">
        <v>96</v>
      </c>
      <c r="D16" s="143"/>
      <c r="E16" s="143"/>
      <c r="F16" s="141">
        <v>120</v>
      </c>
      <c r="G16" s="142"/>
      <c r="H16" s="130">
        <f t="shared" si="0"/>
        <v>216</v>
      </c>
      <c r="I16" s="475">
        <f t="shared" si="1"/>
        <v>24.692925000000002</v>
      </c>
      <c r="J16" s="136"/>
      <c r="K16" s="137"/>
      <c r="L16" s="385">
        <v>24.692925000000002</v>
      </c>
      <c r="M16" s="276"/>
      <c r="N16" s="25">
        <f t="shared" si="2"/>
        <v>2370.5208000000002</v>
      </c>
      <c r="O16" s="25">
        <f t="shared" si="3"/>
        <v>0</v>
      </c>
      <c r="P16" s="25">
        <f t="shared" si="4"/>
        <v>0</v>
      </c>
      <c r="Q16" s="26">
        <f t="shared" si="5"/>
        <v>2963.1510000000003</v>
      </c>
      <c r="R16" s="27">
        <f t="shared" si="6"/>
        <v>0</v>
      </c>
      <c r="S16" s="123">
        <f t="shared" si="7"/>
        <v>5333.6718000000001</v>
      </c>
    </row>
    <row r="17" spans="2:19">
      <c r="B17" s="465" t="s">
        <v>125</v>
      </c>
      <c r="C17" s="266">
        <v>36</v>
      </c>
      <c r="D17" s="141"/>
      <c r="E17" s="141"/>
      <c r="F17" s="141"/>
      <c r="G17" s="142"/>
      <c r="H17" s="130">
        <f t="shared" si="0"/>
        <v>36</v>
      </c>
      <c r="I17" s="475">
        <f t="shared" si="1"/>
        <v>10.615605</v>
      </c>
      <c r="J17" s="136"/>
      <c r="K17" s="137"/>
      <c r="L17" s="385">
        <v>10.615605</v>
      </c>
      <c r="M17" s="276"/>
      <c r="N17" s="25">
        <f t="shared" si="2"/>
        <v>382.16178000000002</v>
      </c>
      <c r="O17" s="25">
        <f t="shared" si="3"/>
        <v>0</v>
      </c>
      <c r="P17" s="25">
        <f t="shared" si="4"/>
        <v>0</v>
      </c>
      <c r="Q17" s="26">
        <f t="shared" si="5"/>
        <v>0</v>
      </c>
      <c r="R17" s="27">
        <f t="shared" si="6"/>
        <v>0</v>
      </c>
      <c r="S17" s="123">
        <f t="shared" si="7"/>
        <v>382.16178000000002</v>
      </c>
    </row>
    <row r="18" spans="2:19" hidden="1">
      <c r="B18" s="465" t="s">
        <v>126</v>
      </c>
      <c r="C18" s="266"/>
      <c r="D18" s="141"/>
      <c r="E18" s="141"/>
      <c r="F18" s="141"/>
      <c r="G18" s="142"/>
      <c r="H18" s="130">
        <f t="shared" si="0"/>
        <v>0</v>
      </c>
      <c r="I18" s="475">
        <f t="shared" si="1"/>
        <v>86.342399999999998</v>
      </c>
      <c r="J18" s="136"/>
      <c r="K18" s="137"/>
      <c r="L18" s="385">
        <v>86.342399999999998</v>
      </c>
      <c r="M18" s="276"/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123">
        <f t="shared" si="7"/>
        <v>0</v>
      </c>
    </row>
    <row r="19" spans="2:19" hidden="1">
      <c r="B19" s="465" t="s">
        <v>127</v>
      </c>
      <c r="C19" s="266"/>
      <c r="D19" s="141"/>
      <c r="E19" s="141"/>
      <c r="F19" s="141"/>
      <c r="G19" s="142"/>
      <c r="H19" s="130">
        <f t="shared" si="0"/>
        <v>0</v>
      </c>
      <c r="I19" s="475">
        <f t="shared" si="1"/>
        <v>51.307200000000002</v>
      </c>
      <c r="J19" s="136"/>
      <c r="K19" s="137"/>
      <c r="L19" s="385">
        <v>51.307200000000002</v>
      </c>
      <c r="M19" s="276"/>
      <c r="N19" s="25">
        <f t="shared" si="2"/>
        <v>0</v>
      </c>
      <c r="O19" s="25">
        <f t="shared" si="3"/>
        <v>0</v>
      </c>
      <c r="P19" s="25">
        <f t="shared" si="4"/>
        <v>0</v>
      </c>
      <c r="Q19" s="26">
        <f t="shared" si="5"/>
        <v>0</v>
      </c>
      <c r="R19" s="27">
        <f t="shared" si="6"/>
        <v>0</v>
      </c>
      <c r="S19" s="123">
        <f t="shared" si="7"/>
        <v>0</v>
      </c>
    </row>
    <row r="20" spans="2:19" hidden="1">
      <c r="B20" s="465" t="s">
        <v>128</v>
      </c>
      <c r="C20" s="266"/>
      <c r="D20" s="141"/>
      <c r="E20" s="141"/>
      <c r="F20" s="141"/>
      <c r="G20" s="142"/>
      <c r="H20" s="130">
        <f t="shared" si="0"/>
        <v>0</v>
      </c>
      <c r="I20" s="475">
        <f t="shared" si="1"/>
        <v>9.2569005000000022</v>
      </c>
      <c r="J20" s="136"/>
      <c r="K20" s="137"/>
      <c r="L20" s="385">
        <v>9.2569005000000022</v>
      </c>
      <c r="M20" s="276"/>
      <c r="N20" s="25">
        <f t="shared" si="2"/>
        <v>0</v>
      </c>
      <c r="O20" s="25">
        <f t="shared" si="3"/>
        <v>0</v>
      </c>
      <c r="P20" s="25">
        <f t="shared" si="4"/>
        <v>0</v>
      </c>
      <c r="Q20" s="26">
        <f t="shared" si="5"/>
        <v>0</v>
      </c>
      <c r="R20" s="27">
        <f t="shared" si="6"/>
        <v>0</v>
      </c>
      <c r="S20" s="123">
        <f t="shared" si="7"/>
        <v>0</v>
      </c>
    </row>
    <row r="21" spans="2:19" hidden="1">
      <c r="B21" s="465" t="s">
        <v>1479</v>
      </c>
      <c r="C21" s="266"/>
      <c r="D21" s="141"/>
      <c r="E21" s="141"/>
      <c r="F21" s="141"/>
      <c r="G21" s="142"/>
      <c r="H21" s="130">
        <f t="shared" si="0"/>
        <v>0</v>
      </c>
      <c r="I21" s="475">
        <f t="shared" si="1"/>
        <v>15.796800000000001</v>
      </c>
      <c r="J21" s="136"/>
      <c r="K21" s="137"/>
      <c r="L21" s="385">
        <v>15.796800000000001</v>
      </c>
      <c r="M21" s="276"/>
      <c r="N21" s="25">
        <f t="shared" si="2"/>
        <v>0</v>
      </c>
      <c r="O21" s="25">
        <f t="shared" si="3"/>
        <v>0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123">
        <f t="shared" si="7"/>
        <v>0</v>
      </c>
    </row>
    <row r="22" spans="2:19" hidden="1">
      <c r="B22" s="465" t="s">
        <v>129</v>
      </c>
      <c r="C22" s="266"/>
      <c r="D22" s="141"/>
      <c r="E22" s="141"/>
      <c r="F22" s="141"/>
      <c r="G22" s="142"/>
      <c r="H22" s="130">
        <f t="shared" si="0"/>
        <v>0</v>
      </c>
      <c r="I22" s="475">
        <f t="shared" si="1"/>
        <v>42.4848</v>
      </c>
      <c r="J22" s="136"/>
      <c r="K22" s="137"/>
      <c r="L22" s="385">
        <v>42.4848</v>
      </c>
      <c r="M22" s="276"/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123">
        <f t="shared" si="7"/>
        <v>0</v>
      </c>
    </row>
    <row r="23" spans="2:19" hidden="1">
      <c r="B23" s="465" t="s">
        <v>130</v>
      </c>
      <c r="C23" s="266"/>
      <c r="D23" s="141"/>
      <c r="E23" s="141"/>
      <c r="F23" s="141"/>
      <c r="G23" s="142"/>
      <c r="H23" s="130">
        <f t="shared" si="0"/>
        <v>0</v>
      </c>
      <c r="I23" s="475">
        <f t="shared" si="1"/>
        <v>20.981268</v>
      </c>
      <c r="J23" s="136"/>
      <c r="K23" s="137"/>
      <c r="L23" s="385">
        <v>20.981268</v>
      </c>
      <c r="M23" s="276"/>
      <c r="N23" s="25">
        <f t="shared" si="2"/>
        <v>0</v>
      </c>
      <c r="O23" s="25">
        <f t="shared" si="3"/>
        <v>0</v>
      </c>
      <c r="P23" s="25">
        <f t="shared" si="4"/>
        <v>0</v>
      </c>
      <c r="Q23" s="26">
        <f t="shared" si="5"/>
        <v>0</v>
      </c>
      <c r="R23" s="27">
        <f t="shared" si="6"/>
        <v>0</v>
      </c>
      <c r="S23" s="123">
        <f t="shared" si="7"/>
        <v>0</v>
      </c>
    </row>
    <row r="24" spans="2:19">
      <c r="B24" s="465" t="s">
        <v>131</v>
      </c>
      <c r="C24" s="265">
        <v>6</v>
      </c>
      <c r="D24" s="143"/>
      <c r="E24" s="143"/>
      <c r="F24" s="141">
        <v>72</v>
      </c>
      <c r="G24" s="142"/>
      <c r="H24" s="130">
        <f t="shared" si="0"/>
        <v>78</v>
      </c>
      <c r="I24" s="475">
        <f t="shared" si="1"/>
        <v>48.806784000000007</v>
      </c>
      <c r="J24" s="136"/>
      <c r="K24" s="137"/>
      <c r="L24" s="385">
        <v>48.806784000000007</v>
      </c>
      <c r="M24" s="276"/>
      <c r="N24" s="25">
        <f t="shared" si="2"/>
        <v>292.84070400000007</v>
      </c>
      <c r="O24" s="25">
        <f t="shared" si="3"/>
        <v>0</v>
      </c>
      <c r="P24" s="25">
        <f t="shared" si="4"/>
        <v>0</v>
      </c>
      <c r="Q24" s="26">
        <f t="shared" si="5"/>
        <v>3514.0884480000004</v>
      </c>
      <c r="R24" s="27">
        <f t="shared" si="6"/>
        <v>0</v>
      </c>
      <c r="S24" s="123">
        <f t="shared" si="7"/>
        <v>3806.9291520000006</v>
      </c>
    </row>
    <row r="25" spans="2:19">
      <c r="B25" s="465" t="s">
        <v>132</v>
      </c>
      <c r="C25" s="265"/>
      <c r="D25" s="143"/>
      <c r="E25" s="143"/>
      <c r="F25" s="141">
        <v>15</v>
      </c>
      <c r="G25" s="142"/>
      <c r="H25" s="130">
        <f t="shared" si="0"/>
        <v>15</v>
      </c>
      <c r="I25" s="475">
        <f t="shared" si="1"/>
        <v>25.585349999999998</v>
      </c>
      <c r="J25" s="136"/>
      <c r="K25" s="137"/>
      <c r="L25" s="385">
        <v>25.585349999999998</v>
      </c>
      <c r="M25" s="276"/>
      <c r="N25" s="25">
        <f t="shared" si="2"/>
        <v>0</v>
      </c>
      <c r="O25" s="25">
        <f t="shared" si="3"/>
        <v>0</v>
      </c>
      <c r="P25" s="25">
        <f t="shared" si="4"/>
        <v>0</v>
      </c>
      <c r="Q25" s="26">
        <f t="shared" si="5"/>
        <v>383.78024999999997</v>
      </c>
      <c r="R25" s="27">
        <f t="shared" si="6"/>
        <v>0</v>
      </c>
      <c r="S25" s="123">
        <f t="shared" si="7"/>
        <v>383.78024999999997</v>
      </c>
    </row>
    <row r="26" spans="2:19">
      <c r="B26" s="465" t="s">
        <v>708</v>
      </c>
      <c r="C26" s="265"/>
      <c r="D26" s="143">
        <v>24</v>
      </c>
      <c r="E26" s="143"/>
      <c r="F26" s="141"/>
      <c r="G26" s="142"/>
      <c r="H26" s="130">
        <f t="shared" si="0"/>
        <v>24</v>
      </c>
      <c r="I26" s="475">
        <f t="shared" si="1"/>
        <v>30.168319999999998</v>
      </c>
      <c r="J26" s="136"/>
      <c r="K26" s="137"/>
      <c r="L26" s="385">
        <v>30.168319999999998</v>
      </c>
      <c r="M26" s="276"/>
      <c r="N26" s="25">
        <f t="shared" si="2"/>
        <v>0</v>
      </c>
      <c r="O26" s="25">
        <f t="shared" si="3"/>
        <v>724.03967999999998</v>
      </c>
      <c r="P26" s="25">
        <f t="shared" si="4"/>
        <v>0</v>
      </c>
      <c r="Q26" s="26">
        <f t="shared" si="5"/>
        <v>0</v>
      </c>
      <c r="R26" s="27">
        <f t="shared" si="6"/>
        <v>0</v>
      </c>
      <c r="S26" s="123">
        <f t="shared" si="7"/>
        <v>724.03967999999998</v>
      </c>
    </row>
    <row r="27" spans="2:19" hidden="1">
      <c r="B27" s="465" t="s">
        <v>855</v>
      </c>
      <c r="C27" s="265"/>
      <c r="D27" s="143"/>
      <c r="E27" s="143"/>
      <c r="F27" s="141"/>
      <c r="G27" s="142"/>
      <c r="H27" s="130">
        <f t="shared" si="0"/>
        <v>0</v>
      </c>
      <c r="I27" s="475">
        <f t="shared" si="1"/>
        <v>215.78356799999997</v>
      </c>
      <c r="J27" s="136"/>
      <c r="K27" s="137"/>
      <c r="L27" s="385">
        <v>215.78356799999997</v>
      </c>
      <c r="M27" s="276"/>
      <c r="N27" s="25">
        <f t="shared" si="2"/>
        <v>0</v>
      </c>
      <c r="O27" s="25">
        <f t="shared" si="3"/>
        <v>0</v>
      </c>
      <c r="P27" s="25">
        <f t="shared" si="4"/>
        <v>0</v>
      </c>
      <c r="Q27" s="26">
        <f t="shared" si="5"/>
        <v>0</v>
      </c>
      <c r="R27" s="27">
        <f t="shared" si="6"/>
        <v>0</v>
      </c>
      <c r="S27" s="123">
        <f t="shared" si="7"/>
        <v>0</v>
      </c>
    </row>
    <row r="28" spans="2:19" hidden="1">
      <c r="B28" s="465" t="s">
        <v>856</v>
      </c>
      <c r="C28" s="266"/>
      <c r="D28" s="141"/>
      <c r="E28" s="141"/>
      <c r="F28" s="141"/>
      <c r="G28" s="142"/>
      <c r="H28" s="130">
        <f t="shared" si="0"/>
        <v>0</v>
      </c>
      <c r="I28" s="475">
        <f t="shared" si="1"/>
        <v>927.96704000000011</v>
      </c>
      <c r="J28" s="136"/>
      <c r="K28" s="137"/>
      <c r="L28" s="385">
        <v>927.96704000000011</v>
      </c>
      <c r="M28" s="276"/>
      <c r="N28" s="25">
        <f t="shared" si="2"/>
        <v>0</v>
      </c>
      <c r="O28" s="25">
        <f t="shared" si="3"/>
        <v>0</v>
      </c>
      <c r="P28" s="25">
        <f t="shared" si="4"/>
        <v>0</v>
      </c>
      <c r="Q28" s="26">
        <f t="shared" si="5"/>
        <v>0</v>
      </c>
      <c r="R28" s="27">
        <f t="shared" si="6"/>
        <v>0</v>
      </c>
      <c r="S28" s="123">
        <f t="shared" si="7"/>
        <v>0</v>
      </c>
    </row>
    <row r="29" spans="2:19">
      <c r="B29" s="465" t="s">
        <v>133</v>
      </c>
      <c r="C29" s="266"/>
      <c r="D29" s="141">
        <v>80</v>
      </c>
      <c r="E29" s="141"/>
      <c r="F29" s="141"/>
      <c r="G29" s="142"/>
      <c r="H29" s="130">
        <f t="shared" si="0"/>
        <v>80</v>
      </c>
      <c r="I29" s="475">
        <f t="shared" si="1"/>
        <v>99.796759999999992</v>
      </c>
      <c r="J29" s="136"/>
      <c r="K29" s="137"/>
      <c r="L29" s="385">
        <v>99.796759999999992</v>
      </c>
      <c r="M29" s="276"/>
      <c r="N29" s="25">
        <f t="shared" si="2"/>
        <v>0</v>
      </c>
      <c r="O29" s="25">
        <f t="shared" si="3"/>
        <v>7983.7407999999996</v>
      </c>
      <c r="P29" s="25">
        <f t="shared" si="4"/>
        <v>0</v>
      </c>
      <c r="Q29" s="26">
        <f t="shared" si="5"/>
        <v>0</v>
      </c>
      <c r="R29" s="27">
        <f t="shared" si="6"/>
        <v>0</v>
      </c>
      <c r="S29" s="123">
        <f t="shared" si="7"/>
        <v>7983.7407999999996</v>
      </c>
    </row>
    <row r="30" spans="2:19" hidden="1">
      <c r="B30" s="465" t="s">
        <v>134</v>
      </c>
      <c r="C30" s="266"/>
      <c r="D30" s="141"/>
      <c r="E30" s="141"/>
      <c r="F30" s="141"/>
      <c r="G30" s="142"/>
      <c r="H30" s="130">
        <f t="shared" si="0"/>
        <v>0</v>
      </c>
      <c r="I30" s="475">
        <f t="shared" si="1"/>
        <v>6.8040000000000003</v>
      </c>
      <c r="J30" s="136"/>
      <c r="K30" s="137"/>
      <c r="L30" s="385">
        <v>6.8040000000000003</v>
      </c>
      <c r="M30" s="276"/>
      <c r="N30" s="25">
        <f t="shared" si="2"/>
        <v>0</v>
      </c>
      <c r="O30" s="25">
        <f t="shared" si="3"/>
        <v>0</v>
      </c>
      <c r="P30" s="25">
        <f t="shared" si="4"/>
        <v>0</v>
      </c>
      <c r="Q30" s="26">
        <f t="shared" si="5"/>
        <v>0</v>
      </c>
      <c r="R30" s="27">
        <f t="shared" si="6"/>
        <v>0</v>
      </c>
      <c r="S30" s="123">
        <f t="shared" si="7"/>
        <v>0</v>
      </c>
    </row>
    <row r="31" spans="2:19" hidden="1">
      <c r="B31" s="465" t="s">
        <v>135</v>
      </c>
      <c r="C31" s="266"/>
      <c r="D31" s="141"/>
      <c r="E31" s="141"/>
      <c r="F31" s="141"/>
      <c r="G31" s="142"/>
      <c r="H31" s="130">
        <f t="shared" si="0"/>
        <v>0</v>
      </c>
      <c r="I31" s="475">
        <f t="shared" si="1"/>
        <v>25.66816</v>
      </c>
      <c r="J31" s="136"/>
      <c r="K31" s="137"/>
      <c r="L31" s="385">
        <v>25.66816</v>
      </c>
      <c r="M31" s="276"/>
      <c r="N31" s="25">
        <f t="shared" si="2"/>
        <v>0</v>
      </c>
      <c r="O31" s="25">
        <f t="shared" si="3"/>
        <v>0</v>
      </c>
      <c r="P31" s="25">
        <f t="shared" si="4"/>
        <v>0</v>
      </c>
      <c r="Q31" s="26">
        <f t="shared" si="5"/>
        <v>0</v>
      </c>
      <c r="R31" s="27">
        <f t="shared" si="6"/>
        <v>0</v>
      </c>
      <c r="S31" s="123">
        <f t="shared" si="7"/>
        <v>0</v>
      </c>
    </row>
    <row r="32" spans="2:19" hidden="1">
      <c r="B32" s="465" t="s">
        <v>136</v>
      </c>
      <c r="C32" s="265"/>
      <c r="D32" s="143"/>
      <c r="E32" s="143"/>
      <c r="F32" s="141"/>
      <c r="G32" s="142"/>
      <c r="H32" s="130">
        <f t="shared" si="0"/>
        <v>0</v>
      </c>
      <c r="I32" s="475">
        <f t="shared" si="1"/>
        <v>226.78156799999999</v>
      </c>
      <c r="J32" s="136"/>
      <c r="K32" s="137"/>
      <c r="L32" s="385">
        <v>226.78156799999999</v>
      </c>
      <c r="M32" s="276"/>
      <c r="N32" s="25">
        <f t="shared" si="2"/>
        <v>0</v>
      </c>
      <c r="O32" s="25">
        <f t="shared" si="3"/>
        <v>0</v>
      </c>
      <c r="P32" s="25">
        <f t="shared" si="4"/>
        <v>0</v>
      </c>
      <c r="Q32" s="26">
        <f t="shared" si="5"/>
        <v>0</v>
      </c>
      <c r="R32" s="27">
        <f t="shared" si="6"/>
        <v>0</v>
      </c>
      <c r="S32" s="123">
        <f t="shared" si="7"/>
        <v>0</v>
      </c>
    </row>
    <row r="33" spans="2:19" hidden="1">
      <c r="B33" s="465" t="s">
        <v>137</v>
      </c>
      <c r="C33" s="265"/>
      <c r="D33" s="143"/>
      <c r="E33" s="143"/>
      <c r="F33" s="141"/>
      <c r="G33" s="142"/>
      <c r="H33" s="130">
        <f t="shared" si="0"/>
        <v>0</v>
      </c>
      <c r="I33" s="475">
        <f t="shared" si="1"/>
        <v>124.59283199999999</v>
      </c>
      <c r="J33" s="136"/>
      <c r="K33" s="137"/>
      <c r="L33" s="385">
        <v>124.59283199999999</v>
      </c>
      <c r="M33" s="276"/>
      <c r="N33" s="25">
        <f t="shared" si="2"/>
        <v>0</v>
      </c>
      <c r="O33" s="25">
        <f t="shared" si="3"/>
        <v>0</v>
      </c>
      <c r="P33" s="25">
        <f t="shared" si="4"/>
        <v>0</v>
      </c>
      <c r="Q33" s="26">
        <f t="shared" si="5"/>
        <v>0</v>
      </c>
      <c r="R33" s="27">
        <f t="shared" si="6"/>
        <v>0</v>
      </c>
      <c r="S33" s="123">
        <f t="shared" si="7"/>
        <v>0</v>
      </c>
    </row>
    <row r="34" spans="2:19" hidden="1">
      <c r="B34" s="465" t="s">
        <v>138</v>
      </c>
      <c r="C34" s="266"/>
      <c r="D34" s="141"/>
      <c r="E34" s="141"/>
      <c r="F34" s="141"/>
      <c r="G34" s="142"/>
      <c r="H34" s="130">
        <f t="shared" si="0"/>
        <v>0</v>
      </c>
      <c r="I34" s="475">
        <f t="shared" si="1"/>
        <v>275.78159999999997</v>
      </c>
      <c r="J34" s="136"/>
      <c r="K34" s="137"/>
      <c r="L34" s="385">
        <v>275.78159999999997</v>
      </c>
      <c r="M34" s="276"/>
      <c r="N34" s="25">
        <f t="shared" si="2"/>
        <v>0</v>
      </c>
      <c r="O34" s="25">
        <f t="shared" si="3"/>
        <v>0</v>
      </c>
      <c r="P34" s="25">
        <f t="shared" si="4"/>
        <v>0</v>
      </c>
      <c r="Q34" s="26">
        <f t="shared" si="5"/>
        <v>0</v>
      </c>
      <c r="R34" s="27">
        <f t="shared" si="6"/>
        <v>0</v>
      </c>
      <c r="S34" s="123">
        <f t="shared" si="7"/>
        <v>0</v>
      </c>
    </row>
    <row r="35" spans="2:19">
      <c r="B35" s="465" t="s">
        <v>139</v>
      </c>
      <c r="C35" s="265"/>
      <c r="D35" s="143">
        <v>120</v>
      </c>
      <c r="E35" s="143"/>
      <c r="F35" s="141"/>
      <c r="G35" s="142"/>
      <c r="H35" s="130">
        <f t="shared" si="0"/>
        <v>120</v>
      </c>
      <c r="I35" s="475">
        <f t="shared" si="1"/>
        <v>19.387367999999999</v>
      </c>
      <c r="J35" s="136"/>
      <c r="K35" s="137"/>
      <c r="L35" s="385">
        <v>19.387367999999999</v>
      </c>
      <c r="M35" s="276"/>
      <c r="N35" s="25">
        <f t="shared" si="2"/>
        <v>0</v>
      </c>
      <c r="O35" s="25">
        <f t="shared" si="3"/>
        <v>2326.48416</v>
      </c>
      <c r="P35" s="25">
        <f t="shared" si="4"/>
        <v>0</v>
      </c>
      <c r="Q35" s="26">
        <f t="shared" si="5"/>
        <v>0</v>
      </c>
      <c r="R35" s="27">
        <f t="shared" si="6"/>
        <v>0</v>
      </c>
      <c r="S35" s="123">
        <f t="shared" si="7"/>
        <v>2326.48416</v>
      </c>
    </row>
    <row r="36" spans="2:19" hidden="1">
      <c r="B36" s="465" t="s">
        <v>140</v>
      </c>
      <c r="C36" s="266"/>
      <c r="D36" s="141"/>
      <c r="E36" s="141"/>
      <c r="F36" s="141"/>
      <c r="G36" s="142"/>
      <c r="H36" s="130">
        <f t="shared" si="0"/>
        <v>0</v>
      </c>
      <c r="I36" s="475">
        <f t="shared" si="1"/>
        <v>87.447359999999989</v>
      </c>
      <c r="J36" s="136"/>
      <c r="K36" s="137"/>
      <c r="L36" s="385">
        <v>87.447359999999989</v>
      </c>
      <c r="M36" s="276"/>
      <c r="N36" s="25">
        <f t="shared" si="2"/>
        <v>0</v>
      </c>
      <c r="O36" s="25">
        <f t="shared" si="3"/>
        <v>0</v>
      </c>
      <c r="P36" s="25">
        <f t="shared" si="4"/>
        <v>0</v>
      </c>
      <c r="Q36" s="26">
        <f t="shared" si="5"/>
        <v>0</v>
      </c>
      <c r="R36" s="27">
        <f t="shared" si="6"/>
        <v>0</v>
      </c>
      <c r="S36" s="123">
        <f t="shared" si="7"/>
        <v>0</v>
      </c>
    </row>
    <row r="37" spans="2:19" hidden="1">
      <c r="B37" s="474" t="s">
        <v>710</v>
      </c>
      <c r="C37" s="266"/>
      <c r="D37" s="141"/>
      <c r="E37" s="141"/>
      <c r="F37" s="141"/>
      <c r="G37" s="142"/>
      <c r="H37" s="130">
        <f t="shared" si="0"/>
        <v>0</v>
      </c>
      <c r="I37" s="475">
        <f t="shared" si="1"/>
        <v>27.596608000000003</v>
      </c>
      <c r="J37" s="136"/>
      <c r="K37" s="137"/>
      <c r="L37" s="385">
        <v>27.596608000000003</v>
      </c>
      <c r="M37" s="276"/>
      <c r="N37" s="25">
        <f t="shared" si="2"/>
        <v>0</v>
      </c>
      <c r="O37" s="25">
        <f t="shared" si="3"/>
        <v>0</v>
      </c>
      <c r="P37" s="25">
        <f t="shared" si="4"/>
        <v>0</v>
      </c>
      <c r="Q37" s="26">
        <f t="shared" si="5"/>
        <v>0</v>
      </c>
      <c r="R37" s="27">
        <f t="shared" si="6"/>
        <v>0</v>
      </c>
      <c r="S37" s="123">
        <f t="shared" si="7"/>
        <v>0</v>
      </c>
    </row>
    <row r="38" spans="2:19" hidden="1">
      <c r="B38" s="474" t="s">
        <v>709</v>
      </c>
      <c r="C38" s="266"/>
      <c r="D38" s="141"/>
      <c r="E38" s="141"/>
      <c r="F38" s="141"/>
      <c r="G38" s="142"/>
      <c r="H38" s="130">
        <f t="shared" si="0"/>
        <v>0</v>
      </c>
      <c r="I38" s="475">
        <f t="shared" si="1"/>
        <v>49.274400000000007</v>
      </c>
      <c r="J38" s="136"/>
      <c r="K38" s="137"/>
      <c r="L38" s="385">
        <v>49.274400000000007</v>
      </c>
      <c r="M38" s="276"/>
      <c r="N38" s="25">
        <f t="shared" ref="N38:N69" si="8">I38*C38</f>
        <v>0</v>
      </c>
      <c r="O38" s="25">
        <f t="shared" ref="O38:O69" si="9">I38*D38</f>
        <v>0</v>
      </c>
      <c r="P38" s="25">
        <f t="shared" ref="P38:P69" si="10">I38*E38</f>
        <v>0</v>
      </c>
      <c r="Q38" s="26">
        <f t="shared" ref="Q38:Q69" si="11">I38*F38</f>
        <v>0</v>
      </c>
      <c r="R38" s="27">
        <f t="shared" ref="R38:R69" si="12">I38*G38</f>
        <v>0</v>
      </c>
      <c r="S38" s="123">
        <f t="shared" si="7"/>
        <v>0</v>
      </c>
    </row>
    <row r="39" spans="2:19" hidden="1">
      <c r="B39" s="465" t="s">
        <v>141</v>
      </c>
      <c r="C39" s="265"/>
      <c r="D39" s="143"/>
      <c r="E39" s="143"/>
      <c r="F39" s="141"/>
      <c r="G39" s="142"/>
      <c r="H39" s="130">
        <f t="shared" si="0"/>
        <v>0</v>
      </c>
      <c r="I39" s="475">
        <f t="shared" si="1"/>
        <v>7.4827783333333331</v>
      </c>
      <c r="J39" s="136"/>
      <c r="K39" s="137"/>
      <c r="L39" s="385">
        <v>7.4827783333333331</v>
      </c>
      <c r="M39" s="276"/>
      <c r="N39" s="25">
        <f t="shared" si="8"/>
        <v>0</v>
      </c>
      <c r="O39" s="25">
        <f t="shared" si="9"/>
        <v>0</v>
      </c>
      <c r="P39" s="25">
        <f t="shared" si="10"/>
        <v>0</v>
      </c>
      <c r="Q39" s="26">
        <f t="shared" si="11"/>
        <v>0</v>
      </c>
      <c r="R39" s="27">
        <f t="shared" si="12"/>
        <v>0</v>
      </c>
      <c r="S39" s="123">
        <f t="shared" si="7"/>
        <v>0</v>
      </c>
    </row>
    <row r="40" spans="2:19" hidden="1">
      <c r="B40" s="465" t="s">
        <v>1480</v>
      </c>
      <c r="C40" s="265"/>
      <c r="D40" s="143"/>
      <c r="E40" s="143"/>
      <c r="F40" s="141"/>
      <c r="G40" s="142"/>
      <c r="H40" s="130">
        <f t="shared" si="0"/>
        <v>0</v>
      </c>
      <c r="I40" s="475">
        <f t="shared" si="1"/>
        <v>264.79229700000002</v>
      </c>
      <c r="J40" s="136"/>
      <c r="K40" s="137"/>
      <c r="L40" s="385">
        <v>264.79229700000002</v>
      </c>
      <c r="M40" s="276"/>
      <c r="N40" s="25">
        <f t="shared" si="8"/>
        <v>0</v>
      </c>
      <c r="O40" s="25">
        <f t="shared" si="9"/>
        <v>0</v>
      </c>
      <c r="P40" s="25">
        <f t="shared" si="10"/>
        <v>0</v>
      </c>
      <c r="Q40" s="26">
        <f t="shared" si="11"/>
        <v>0</v>
      </c>
      <c r="R40" s="27">
        <f t="shared" si="12"/>
        <v>0</v>
      </c>
      <c r="S40" s="123">
        <f t="shared" si="7"/>
        <v>0</v>
      </c>
    </row>
    <row r="41" spans="2:19" hidden="1">
      <c r="B41" s="465" t="s">
        <v>990</v>
      </c>
      <c r="C41" s="265"/>
      <c r="D41" s="143"/>
      <c r="E41" s="143"/>
      <c r="F41" s="141"/>
      <c r="G41" s="142"/>
      <c r="H41" s="130">
        <f t="shared" si="0"/>
        <v>0</v>
      </c>
      <c r="I41" s="475">
        <f t="shared" si="1"/>
        <v>503.358856</v>
      </c>
      <c r="J41" s="136"/>
      <c r="K41" s="137"/>
      <c r="L41" s="385">
        <v>503.358856</v>
      </c>
      <c r="M41" s="276"/>
      <c r="N41" s="25">
        <f t="shared" si="8"/>
        <v>0</v>
      </c>
      <c r="O41" s="25">
        <f t="shared" si="9"/>
        <v>0</v>
      </c>
      <c r="P41" s="25">
        <f t="shared" si="10"/>
        <v>0</v>
      </c>
      <c r="Q41" s="26">
        <f t="shared" si="11"/>
        <v>0</v>
      </c>
      <c r="R41" s="27">
        <f t="shared" si="12"/>
        <v>0</v>
      </c>
      <c r="S41" s="123">
        <f t="shared" si="7"/>
        <v>0</v>
      </c>
    </row>
    <row r="42" spans="2:19" hidden="1">
      <c r="B42" s="465" t="s">
        <v>991</v>
      </c>
      <c r="C42" s="265"/>
      <c r="D42" s="143"/>
      <c r="E42" s="143"/>
      <c r="F42" s="141"/>
      <c r="G42" s="142"/>
      <c r="H42" s="130">
        <f t="shared" si="0"/>
        <v>0</v>
      </c>
      <c r="I42" s="475">
        <f t="shared" si="1"/>
        <v>286.00110000000001</v>
      </c>
      <c r="J42" s="136"/>
      <c r="K42" s="137"/>
      <c r="L42" s="385">
        <v>286.00110000000001</v>
      </c>
      <c r="M42" s="276"/>
      <c r="N42" s="25">
        <f t="shared" si="8"/>
        <v>0</v>
      </c>
      <c r="O42" s="25">
        <f t="shared" si="9"/>
        <v>0</v>
      </c>
      <c r="P42" s="25">
        <f t="shared" si="10"/>
        <v>0</v>
      </c>
      <c r="Q42" s="26">
        <f t="shared" si="11"/>
        <v>0</v>
      </c>
      <c r="R42" s="27">
        <f t="shared" si="12"/>
        <v>0</v>
      </c>
      <c r="S42" s="123">
        <f t="shared" si="7"/>
        <v>0</v>
      </c>
    </row>
    <row r="43" spans="2:19">
      <c r="B43" s="465" t="s">
        <v>142</v>
      </c>
      <c r="C43" s="266"/>
      <c r="D43" s="141">
        <v>60</v>
      </c>
      <c r="E43" s="141"/>
      <c r="F43" s="141">
        <v>50</v>
      </c>
      <c r="G43" s="142"/>
      <c r="H43" s="130">
        <f t="shared" si="0"/>
        <v>110</v>
      </c>
      <c r="I43" s="475">
        <f t="shared" si="1"/>
        <v>27.398592000000001</v>
      </c>
      <c r="J43" s="136"/>
      <c r="K43" s="137"/>
      <c r="L43" s="385">
        <v>27.398592000000001</v>
      </c>
      <c r="M43" s="276"/>
      <c r="N43" s="25">
        <f t="shared" si="8"/>
        <v>0</v>
      </c>
      <c r="O43" s="25">
        <f t="shared" si="9"/>
        <v>1643.91552</v>
      </c>
      <c r="P43" s="25">
        <f t="shared" si="10"/>
        <v>0</v>
      </c>
      <c r="Q43" s="26">
        <f t="shared" si="11"/>
        <v>1369.9295999999999</v>
      </c>
      <c r="R43" s="27">
        <f t="shared" si="12"/>
        <v>0</v>
      </c>
      <c r="S43" s="123">
        <f t="shared" si="7"/>
        <v>3013.84512</v>
      </c>
    </row>
    <row r="44" spans="2:19" hidden="1">
      <c r="B44" s="465" t="s">
        <v>992</v>
      </c>
      <c r="C44" s="266"/>
      <c r="D44" s="141"/>
      <c r="E44" s="141"/>
      <c r="F44" s="141"/>
      <c r="G44" s="142"/>
      <c r="H44" s="130">
        <f t="shared" si="0"/>
        <v>0</v>
      </c>
      <c r="I44" s="475">
        <f t="shared" si="1"/>
        <v>22.253400000000003</v>
      </c>
      <c r="J44" s="136"/>
      <c r="K44" s="137"/>
      <c r="L44" s="385">
        <v>22.253400000000003</v>
      </c>
      <c r="M44" s="276"/>
      <c r="N44" s="25">
        <f t="shared" si="8"/>
        <v>0</v>
      </c>
      <c r="O44" s="25">
        <f t="shared" si="9"/>
        <v>0</v>
      </c>
      <c r="P44" s="25">
        <f t="shared" si="10"/>
        <v>0</v>
      </c>
      <c r="Q44" s="26">
        <f t="shared" si="11"/>
        <v>0</v>
      </c>
      <c r="R44" s="27">
        <f t="shared" si="12"/>
        <v>0</v>
      </c>
      <c r="S44" s="123">
        <f t="shared" si="7"/>
        <v>0</v>
      </c>
    </row>
    <row r="45" spans="2:19" hidden="1">
      <c r="B45" s="465" t="s">
        <v>993</v>
      </c>
      <c r="C45" s="266"/>
      <c r="D45" s="141"/>
      <c r="E45" s="141"/>
      <c r="F45" s="141"/>
      <c r="G45" s="142"/>
      <c r="H45" s="130">
        <f t="shared" si="0"/>
        <v>0</v>
      </c>
      <c r="I45" s="475">
        <f t="shared" si="1"/>
        <v>43.087700000000005</v>
      </c>
      <c r="J45" s="136"/>
      <c r="K45" s="137"/>
      <c r="L45" s="385">
        <v>43.087700000000005</v>
      </c>
      <c r="M45" s="276"/>
      <c r="N45" s="25">
        <f t="shared" si="8"/>
        <v>0</v>
      </c>
      <c r="O45" s="25">
        <f t="shared" si="9"/>
        <v>0</v>
      </c>
      <c r="P45" s="25">
        <f t="shared" si="10"/>
        <v>0</v>
      </c>
      <c r="Q45" s="26">
        <f t="shared" si="11"/>
        <v>0</v>
      </c>
      <c r="R45" s="27">
        <f t="shared" si="12"/>
        <v>0</v>
      </c>
      <c r="S45" s="123">
        <f t="shared" si="7"/>
        <v>0</v>
      </c>
    </row>
    <row r="46" spans="2:19">
      <c r="B46" s="465" t="s">
        <v>143</v>
      </c>
      <c r="C46" s="266"/>
      <c r="D46" s="141">
        <v>800</v>
      </c>
      <c r="E46" s="141"/>
      <c r="F46" s="141"/>
      <c r="G46" s="142"/>
      <c r="H46" s="130">
        <f t="shared" si="0"/>
        <v>800</v>
      </c>
      <c r="I46" s="475">
        <f t="shared" si="1"/>
        <v>5.3397283333333334</v>
      </c>
      <c r="J46" s="136"/>
      <c r="K46" s="137"/>
      <c r="L46" s="385">
        <v>5.3397283333333334</v>
      </c>
      <c r="M46" s="276"/>
      <c r="N46" s="25">
        <f t="shared" si="8"/>
        <v>0</v>
      </c>
      <c r="O46" s="25">
        <f t="shared" si="9"/>
        <v>4271.782666666667</v>
      </c>
      <c r="P46" s="25">
        <f t="shared" si="10"/>
        <v>0</v>
      </c>
      <c r="Q46" s="26">
        <f t="shared" si="11"/>
        <v>0</v>
      </c>
      <c r="R46" s="27">
        <f t="shared" si="12"/>
        <v>0</v>
      </c>
      <c r="S46" s="123">
        <f t="shared" si="7"/>
        <v>4271.782666666667</v>
      </c>
    </row>
    <row r="47" spans="2:19">
      <c r="B47" s="465" t="s">
        <v>144</v>
      </c>
      <c r="C47" s="266"/>
      <c r="D47" s="141">
        <v>500</v>
      </c>
      <c r="E47" s="141"/>
      <c r="F47" s="141"/>
      <c r="G47" s="142"/>
      <c r="H47" s="130">
        <f t="shared" si="0"/>
        <v>500</v>
      </c>
      <c r="I47" s="475">
        <f t="shared" si="1"/>
        <v>5.4408258333333324</v>
      </c>
      <c r="J47" s="136"/>
      <c r="K47" s="137"/>
      <c r="L47" s="385">
        <v>5.4408258333333324</v>
      </c>
      <c r="M47" s="276"/>
      <c r="N47" s="25">
        <f t="shared" si="8"/>
        <v>0</v>
      </c>
      <c r="O47" s="25">
        <f t="shared" si="9"/>
        <v>2720.4129166666662</v>
      </c>
      <c r="P47" s="25">
        <f t="shared" si="10"/>
        <v>0</v>
      </c>
      <c r="Q47" s="26">
        <f t="shared" si="11"/>
        <v>0</v>
      </c>
      <c r="R47" s="27">
        <f t="shared" si="12"/>
        <v>0</v>
      </c>
      <c r="S47" s="123">
        <f t="shared" si="7"/>
        <v>2720.4129166666662</v>
      </c>
    </row>
    <row r="48" spans="2:19">
      <c r="B48" s="465" t="s">
        <v>145</v>
      </c>
      <c r="C48" s="266"/>
      <c r="D48" s="141"/>
      <c r="E48" s="141"/>
      <c r="F48" s="141">
        <v>144</v>
      </c>
      <c r="G48" s="142"/>
      <c r="H48" s="130">
        <f t="shared" si="0"/>
        <v>144</v>
      </c>
      <c r="I48" s="475">
        <f t="shared" si="1"/>
        <v>26.088719999999995</v>
      </c>
      <c r="J48" s="136"/>
      <c r="K48" s="137"/>
      <c r="L48" s="385">
        <v>26.088719999999995</v>
      </c>
      <c r="M48" s="276"/>
      <c r="N48" s="25">
        <f t="shared" si="8"/>
        <v>0</v>
      </c>
      <c r="O48" s="25">
        <f t="shared" si="9"/>
        <v>0</v>
      </c>
      <c r="P48" s="25">
        <f t="shared" si="10"/>
        <v>0</v>
      </c>
      <c r="Q48" s="26">
        <f t="shared" si="11"/>
        <v>3756.7756799999993</v>
      </c>
      <c r="R48" s="27">
        <f t="shared" si="12"/>
        <v>0</v>
      </c>
      <c r="S48" s="123">
        <f t="shared" si="7"/>
        <v>3756.7756799999993</v>
      </c>
    </row>
    <row r="49" spans="2:19">
      <c r="B49" s="465" t="s">
        <v>146</v>
      </c>
      <c r="C49" s="266"/>
      <c r="D49" s="141"/>
      <c r="E49" s="141"/>
      <c r="F49" s="141">
        <v>48</v>
      </c>
      <c r="G49" s="142"/>
      <c r="H49" s="130">
        <f t="shared" si="0"/>
        <v>48</v>
      </c>
      <c r="I49" s="475">
        <f t="shared" si="1"/>
        <v>69.710759999999993</v>
      </c>
      <c r="J49" s="136"/>
      <c r="K49" s="137"/>
      <c r="L49" s="385">
        <v>69.710759999999993</v>
      </c>
      <c r="M49" s="276"/>
      <c r="N49" s="25">
        <f t="shared" si="8"/>
        <v>0</v>
      </c>
      <c r="O49" s="25">
        <f t="shared" si="9"/>
        <v>0</v>
      </c>
      <c r="P49" s="25">
        <f t="shared" si="10"/>
        <v>0</v>
      </c>
      <c r="Q49" s="26">
        <f t="shared" si="11"/>
        <v>3346.1164799999997</v>
      </c>
      <c r="R49" s="27">
        <f t="shared" si="12"/>
        <v>0</v>
      </c>
      <c r="S49" s="123">
        <f t="shared" si="7"/>
        <v>3346.1164799999997</v>
      </c>
    </row>
    <row r="50" spans="2:19" hidden="1">
      <c r="B50" s="465" t="s">
        <v>147</v>
      </c>
      <c r="C50" s="266"/>
      <c r="D50" s="141"/>
      <c r="E50" s="141"/>
      <c r="F50" s="141"/>
      <c r="G50" s="142"/>
      <c r="H50" s="130">
        <f t="shared" si="0"/>
        <v>0</v>
      </c>
      <c r="I50" s="475">
        <f t="shared" si="1"/>
        <v>48.848799999999997</v>
      </c>
      <c r="J50" s="136"/>
      <c r="K50" s="137"/>
      <c r="L50" s="385">
        <v>48.848799999999997</v>
      </c>
      <c r="M50" s="276"/>
      <c r="N50" s="25">
        <f t="shared" si="8"/>
        <v>0</v>
      </c>
      <c r="O50" s="25">
        <f t="shared" si="9"/>
        <v>0</v>
      </c>
      <c r="P50" s="25">
        <f t="shared" si="10"/>
        <v>0</v>
      </c>
      <c r="Q50" s="26">
        <f t="shared" si="11"/>
        <v>0</v>
      </c>
      <c r="R50" s="27">
        <f t="shared" si="12"/>
        <v>0</v>
      </c>
      <c r="S50" s="123">
        <f t="shared" si="7"/>
        <v>0</v>
      </c>
    </row>
    <row r="51" spans="2:19" hidden="1">
      <c r="B51" s="465" t="s">
        <v>148</v>
      </c>
      <c r="C51" s="266"/>
      <c r="D51" s="141"/>
      <c r="E51" s="141"/>
      <c r="F51" s="141"/>
      <c r="G51" s="142"/>
      <c r="H51" s="130">
        <f t="shared" si="0"/>
        <v>0</v>
      </c>
      <c r="I51" s="475">
        <f t="shared" si="1"/>
        <v>259.886304</v>
      </c>
      <c r="J51" s="136"/>
      <c r="K51" s="137"/>
      <c r="L51" s="385">
        <v>259.886304</v>
      </c>
      <c r="M51" s="276"/>
      <c r="N51" s="25">
        <f t="shared" si="8"/>
        <v>0</v>
      </c>
      <c r="O51" s="25">
        <f t="shared" si="9"/>
        <v>0</v>
      </c>
      <c r="P51" s="25">
        <f t="shared" si="10"/>
        <v>0</v>
      </c>
      <c r="Q51" s="26">
        <f t="shared" si="11"/>
        <v>0</v>
      </c>
      <c r="R51" s="27">
        <f t="shared" si="12"/>
        <v>0</v>
      </c>
      <c r="S51" s="123">
        <f t="shared" si="7"/>
        <v>0</v>
      </c>
    </row>
    <row r="52" spans="2:19" hidden="1">
      <c r="B52" s="465" t="s">
        <v>149</v>
      </c>
      <c r="C52" s="266"/>
      <c r="D52" s="141"/>
      <c r="E52" s="141"/>
      <c r="F52" s="141"/>
      <c r="G52" s="142"/>
      <c r="H52" s="130">
        <f t="shared" si="0"/>
        <v>0</v>
      </c>
      <c r="I52" s="475">
        <f t="shared" si="1"/>
        <v>148.738032</v>
      </c>
      <c r="J52" s="136"/>
      <c r="K52" s="137"/>
      <c r="L52" s="385">
        <v>148.738032</v>
      </c>
      <c r="M52" s="276"/>
      <c r="N52" s="25">
        <f t="shared" si="8"/>
        <v>0</v>
      </c>
      <c r="O52" s="25">
        <f t="shared" si="9"/>
        <v>0</v>
      </c>
      <c r="P52" s="25">
        <f t="shared" si="10"/>
        <v>0</v>
      </c>
      <c r="Q52" s="26">
        <f t="shared" si="11"/>
        <v>0</v>
      </c>
      <c r="R52" s="27">
        <f t="shared" si="12"/>
        <v>0</v>
      </c>
      <c r="S52" s="123">
        <f t="shared" si="7"/>
        <v>0</v>
      </c>
    </row>
    <row r="53" spans="2:19" hidden="1">
      <c r="B53" s="465" t="s">
        <v>150</v>
      </c>
      <c r="C53" s="266"/>
      <c r="D53" s="141"/>
      <c r="E53" s="141"/>
      <c r="F53" s="141"/>
      <c r="G53" s="142"/>
      <c r="H53" s="130">
        <f t="shared" si="0"/>
        <v>0</v>
      </c>
      <c r="I53" s="475">
        <f t="shared" si="1"/>
        <v>123.04079999999999</v>
      </c>
      <c r="J53" s="136"/>
      <c r="K53" s="137"/>
      <c r="L53" s="385">
        <v>123.04079999999999</v>
      </c>
      <c r="M53" s="276"/>
      <c r="N53" s="25">
        <f t="shared" si="8"/>
        <v>0</v>
      </c>
      <c r="O53" s="25">
        <f t="shared" si="9"/>
        <v>0</v>
      </c>
      <c r="P53" s="25">
        <f t="shared" si="10"/>
        <v>0</v>
      </c>
      <c r="Q53" s="26">
        <f t="shared" si="11"/>
        <v>0</v>
      </c>
      <c r="R53" s="27">
        <f t="shared" si="12"/>
        <v>0</v>
      </c>
      <c r="S53" s="123">
        <f t="shared" si="7"/>
        <v>0</v>
      </c>
    </row>
    <row r="54" spans="2:19" hidden="1">
      <c r="B54" s="465" t="s">
        <v>151</v>
      </c>
      <c r="C54" s="266"/>
      <c r="D54" s="141"/>
      <c r="E54" s="141"/>
      <c r="F54" s="141"/>
      <c r="G54" s="142"/>
      <c r="H54" s="130">
        <f t="shared" si="0"/>
        <v>0</v>
      </c>
      <c r="I54" s="475">
        <f t="shared" si="1"/>
        <v>75.772799999999989</v>
      </c>
      <c r="J54" s="136"/>
      <c r="K54" s="137"/>
      <c r="L54" s="385">
        <v>75.772799999999989</v>
      </c>
      <c r="M54" s="276"/>
      <c r="N54" s="25">
        <f t="shared" si="8"/>
        <v>0</v>
      </c>
      <c r="O54" s="25">
        <f t="shared" si="9"/>
        <v>0</v>
      </c>
      <c r="P54" s="25">
        <f t="shared" si="10"/>
        <v>0</v>
      </c>
      <c r="Q54" s="26">
        <f t="shared" si="11"/>
        <v>0</v>
      </c>
      <c r="R54" s="27">
        <f t="shared" si="12"/>
        <v>0</v>
      </c>
      <c r="S54" s="123">
        <f t="shared" si="7"/>
        <v>0</v>
      </c>
    </row>
    <row r="55" spans="2:19" hidden="1">
      <c r="B55" s="465" t="s">
        <v>707</v>
      </c>
      <c r="C55" s="266"/>
      <c r="D55" s="141"/>
      <c r="E55" s="141"/>
      <c r="F55" s="141"/>
      <c r="G55" s="142"/>
      <c r="H55" s="130">
        <f t="shared" si="0"/>
        <v>0</v>
      </c>
      <c r="I55" s="475">
        <f t="shared" si="1"/>
        <v>12.208350000000001</v>
      </c>
      <c r="J55" s="136"/>
      <c r="K55" s="137"/>
      <c r="L55" s="385">
        <v>12.208350000000001</v>
      </c>
      <c r="M55" s="276"/>
      <c r="N55" s="25">
        <f t="shared" si="8"/>
        <v>0</v>
      </c>
      <c r="O55" s="25">
        <f t="shared" si="9"/>
        <v>0</v>
      </c>
      <c r="P55" s="25">
        <f t="shared" si="10"/>
        <v>0</v>
      </c>
      <c r="Q55" s="26">
        <f t="shared" si="11"/>
        <v>0</v>
      </c>
      <c r="R55" s="27">
        <f t="shared" si="12"/>
        <v>0</v>
      </c>
      <c r="S55" s="123">
        <f t="shared" si="7"/>
        <v>0</v>
      </c>
    </row>
    <row r="56" spans="2:19" hidden="1">
      <c r="B56" s="465" t="s">
        <v>857</v>
      </c>
      <c r="C56" s="266"/>
      <c r="D56" s="141"/>
      <c r="E56" s="141"/>
      <c r="F56" s="141"/>
      <c r="G56" s="142"/>
      <c r="H56" s="130">
        <f t="shared" ref="H56:H89" si="13">SUM(C56:G56)</f>
        <v>0</v>
      </c>
      <c r="I56" s="475">
        <f t="shared" si="1"/>
        <v>24.717000000000002</v>
      </c>
      <c r="J56" s="136"/>
      <c r="K56" s="137"/>
      <c r="L56" s="385">
        <v>24.717000000000002</v>
      </c>
      <c r="M56" s="276"/>
      <c r="N56" s="25">
        <f t="shared" si="8"/>
        <v>0</v>
      </c>
      <c r="O56" s="25">
        <f t="shared" si="9"/>
        <v>0</v>
      </c>
      <c r="P56" s="25">
        <f t="shared" si="10"/>
        <v>0</v>
      </c>
      <c r="Q56" s="26">
        <f t="shared" si="11"/>
        <v>0</v>
      </c>
      <c r="R56" s="27">
        <f t="shared" si="12"/>
        <v>0</v>
      </c>
      <c r="S56" s="123">
        <f t="shared" si="7"/>
        <v>0</v>
      </c>
    </row>
    <row r="57" spans="2:19" hidden="1">
      <c r="B57" s="465" t="s">
        <v>152</v>
      </c>
      <c r="C57" s="266"/>
      <c r="D57" s="141"/>
      <c r="E57" s="141"/>
      <c r="F57" s="141"/>
      <c r="G57" s="142"/>
      <c r="H57" s="130">
        <f t="shared" si="13"/>
        <v>0</v>
      </c>
      <c r="I57" s="475">
        <f t="shared" si="1"/>
        <v>13.88016</v>
      </c>
      <c r="J57" s="136"/>
      <c r="K57" s="137"/>
      <c r="L57" s="385">
        <v>13.88016</v>
      </c>
      <c r="M57" s="276"/>
      <c r="N57" s="25">
        <f t="shared" si="8"/>
        <v>0</v>
      </c>
      <c r="O57" s="25">
        <f t="shared" si="9"/>
        <v>0</v>
      </c>
      <c r="P57" s="25">
        <f t="shared" si="10"/>
        <v>0</v>
      </c>
      <c r="Q57" s="26">
        <f t="shared" si="11"/>
        <v>0</v>
      </c>
      <c r="R57" s="27">
        <f t="shared" si="12"/>
        <v>0</v>
      </c>
      <c r="S57" s="123">
        <f t="shared" si="7"/>
        <v>0</v>
      </c>
    </row>
    <row r="58" spans="2:19">
      <c r="B58" s="465" t="s">
        <v>153</v>
      </c>
      <c r="C58" s="266"/>
      <c r="D58" s="141"/>
      <c r="E58" s="141"/>
      <c r="F58" s="141">
        <v>12</v>
      </c>
      <c r="G58" s="142"/>
      <c r="H58" s="130">
        <f t="shared" si="13"/>
        <v>12</v>
      </c>
      <c r="I58" s="475">
        <f t="shared" si="1"/>
        <v>95.618880000000004</v>
      </c>
      <c r="J58" s="136"/>
      <c r="K58" s="137"/>
      <c r="L58" s="385">
        <v>95.618880000000004</v>
      </c>
      <c r="M58" s="276"/>
      <c r="N58" s="25">
        <f t="shared" si="8"/>
        <v>0</v>
      </c>
      <c r="O58" s="25">
        <f t="shared" si="9"/>
        <v>0</v>
      </c>
      <c r="P58" s="25">
        <f t="shared" si="10"/>
        <v>0</v>
      </c>
      <c r="Q58" s="26">
        <f t="shared" si="11"/>
        <v>1147.4265600000001</v>
      </c>
      <c r="R58" s="27">
        <f t="shared" si="12"/>
        <v>0</v>
      </c>
      <c r="S58" s="123">
        <f t="shared" si="7"/>
        <v>1147.4265600000001</v>
      </c>
    </row>
    <row r="59" spans="2:19">
      <c r="B59" s="465" t="s">
        <v>154</v>
      </c>
      <c r="C59" s="266">
        <v>24</v>
      </c>
      <c r="D59" s="141"/>
      <c r="E59" s="141"/>
      <c r="F59" s="141"/>
      <c r="G59" s="142"/>
      <c r="H59" s="130">
        <f t="shared" si="13"/>
        <v>24</v>
      </c>
      <c r="I59" s="475">
        <f t="shared" si="1"/>
        <v>51.642359999999996</v>
      </c>
      <c r="J59" s="136"/>
      <c r="K59" s="137"/>
      <c r="L59" s="385">
        <v>51.642359999999996</v>
      </c>
      <c r="M59" s="276"/>
      <c r="N59" s="25">
        <f t="shared" si="8"/>
        <v>1239.4166399999999</v>
      </c>
      <c r="O59" s="25">
        <f t="shared" si="9"/>
        <v>0</v>
      </c>
      <c r="P59" s="25">
        <f t="shared" si="10"/>
        <v>0</v>
      </c>
      <c r="Q59" s="26">
        <f t="shared" si="11"/>
        <v>0</v>
      </c>
      <c r="R59" s="27">
        <f t="shared" si="12"/>
        <v>0</v>
      </c>
      <c r="S59" s="123">
        <f t="shared" si="7"/>
        <v>1239.4166399999999</v>
      </c>
    </row>
    <row r="60" spans="2:19" hidden="1">
      <c r="B60" s="465" t="s">
        <v>155</v>
      </c>
      <c r="C60" s="266"/>
      <c r="D60" s="141"/>
      <c r="E60" s="141"/>
      <c r="F60" s="141"/>
      <c r="G60" s="142"/>
      <c r="H60" s="130">
        <f t="shared" si="13"/>
        <v>0</v>
      </c>
      <c r="I60" s="475">
        <f t="shared" si="1"/>
        <v>7.6314699999999993</v>
      </c>
      <c r="J60" s="136"/>
      <c r="K60" s="137"/>
      <c r="L60" s="385">
        <v>7.6314699999999993</v>
      </c>
      <c r="M60" s="276"/>
      <c r="N60" s="25">
        <f t="shared" si="8"/>
        <v>0</v>
      </c>
      <c r="O60" s="25">
        <f t="shared" si="9"/>
        <v>0</v>
      </c>
      <c r="P60" s="25">
        <f t="shared" si="10"/>
        <v>0</v>
      </c>
      <c r="Q60" s="26">
        <f t="shared" si="11"/>
        <v>0</v>
      </c>
      <c r="R60" s="27">
        <f t="shared" si="12"/>
        <v>0</v>
      </c>
      <c r="S60" s="123">
        <f t="shared" si="7"/>
        <v>0</v>
      </c>
    </row>
    <row r="61" spans="2:19" hidden="1">
      <c r="B61" s="465" t="s">
        <v>156</v>
      </c>
      <c r="C61" s="266"/>
      <c r="D61" s="141"/>
      <c r="E61" s="141"/>
      <c r="F61" s="141"/>
      <c r="G61" s="142"/>
      <c r="H61" s="130">
        <f t="shared" si="13"/>
        <v>0</v>
      </c>
      <c r="I61" s="475">
        <f t="shared" si="1"/>
        <v>4.7727680000000001</v>
      </c>
      <c r="J61" s="136"/>
      <c r="K61" s="137"/>
      <c r="L61" s="385">
        <v>4.7727680000000001</v>
      </c>
      <c r="M61" s="276"/>
      <c r="N61" s="25">
        <f t="shared" si="8"/>
        <v>0</v>
      </c>
      <c r="O61" s="25">
        <f t="shared" si="9"/>
        <v>0</v>
      </c>
      <c r="P61" s="25">
        <f t="shared" si="10"/>
        <v>0</v>
      </c>
      <c r="Q61" s="26">
        <f t="shared" si="11"/>
        <v>0</v>
      </c>
      <c r="R61" s="27">
        <f t="shared" si="12"/>
        <v>0</v>
      </c>
      <c r="S61" s="123">
        <f t="shared" si="7"/>
        <v>0</v>
      </c>
    </row>
    <row r="62" spans="2:19" hidden="1">
      <c r="B62" s="465" t="s">
        <v>157</v>
      </c>
      <c r="C62" s="266"/>
      <c r="D62" s="141"/>
      <c r="E62" s="141"/>
      <c r="F62" s="141"/>
      <c r="G62" s="142"/>
      <c r="H62" s="130">
        <f t="shared" si="13"/>
        <v>0</v>
      </c>
      <c r="I62" s="475">
        <f t="shared" si="1"/>
        <v>53.199300000000001</v>
      </c>
      <c r="J62" s="136"/>
      <c r="K62" s="137"/>
      <c r="L62" s="385">
        <v>53.199300000000001</v>
      </c>
      <c r="M62" s="276"/>
      <c r="N62" s="25">
        <f t="shared" si="8"/>
        <v>0</v>
      </c>
      <c r="O62" s="25">
        <f t="shared" si="9"/>
        <v>0</v>
      </c>
      <c r="P62" s="25">
        <f t="shared" si="10"/>
        <v>0</v>
      </c>
      <c r="Q62" s="26">
        <f t="shared" si="11"/>
        <v>0</v>
      </c>
      <c r="R62" s="27">
        <f t="shared" si="12"/>
        <v>0</v>
      </c>
      <c r="S62" s="123">
        <f t="shared" si="7"/>
        <v>0</v>
      </c>
    </row>
    <row r="63" spans="2:19" hidden="1">
      <c r="B63" s="474" t="s">
        <v>711</v>
      </c>
      <c r="C63" s="266"/>
      <c r="D63" s="141"/>
      <c r="E63" s="141"/>
      <c r="F63" s="141"/>
      <c r="G63" s="142"/>
      <c r="H63" s="130">
        <f t="shared" si="13"/>
        <v>0</v>
      </c>
      <c r="I63" s="475">
        <f t="shared" si="1"/>
        <v>225.2355</v>
      </c>
      <c r="J63" s="136"/>
      <c r="K63" s="137"/>
      <c r="L63" s="385">
        <v>225.2355</v>
      </c>
      <c r="M63" s="276"/>
      <c r="N63" s="25">
        <f t="shared" si="8"/>
        <v>0</v>
      </c>
      <c r="O63" s="25">
        <f t="shared" si="9"/>
        <v>0</v>
      </c>
      <c r="P63" s="25">
        <f t="shared" si="10"/>
        <v>0</v>
      </c>
      <c r="Q63" s="26">
        <f t="shared" si="11"/>
        <v>0</v>
      </c>
      <c r="R63" s="27">
        <f t="shared" si="12"/>
        <v>0</v>
      </c>
      <c r="S63" s="123">
        <f t="shared" si="7"/>
        <v>0</v>
      </c>
    </row>
    <row r="64" spans="2:19" hidden="1">
      <c r="B64" s="474" t="s">
        <v>712</v>
      </c>
      <c r="C64" s="266"/>
      <c r="D64" s="141"/>
      <c r="E64" s="141"/>
      <c r="F64" s="141"/>
      <c r="G64" s="142"/>
      <c r="H64" s="130">
        <f t="shared" si="13"/>
        <v>0</v>
      </c>
      <c r="I64" s="475">
        <f t="shared" si="1"/>
        <v>140.79519999999999</v>
      </c>
      <c r="J64" s="136"/>
      <c r="K64" s="137"/>
      <c r="L64" s="385">
        <v>140.79519999999999</v>
      </c>
      <c r="M64" s="276"/>
      <c r="N64" s="25">
        <f t="shared" si="8"/>
        <v>0</v>
      </c>
      <c r="O64" s="25">
        <f t="shared" si="9"/>
        <v>0</v>
      </c>
      <c r="P64" s="25">
        <f t="shared" si="10"/>
        <v>0</v>
      </c>
      <c r="Q64" s="26">
        <f t="shared" si="11"/>
        <v>0</v>
      </c>
      <c r="R64" s="27">
        <f t="shared" si="12"/>
        <v>0</v>
      </c>
      <c r="S64" s="123">
        <f t="shared" si="7"/>
        <v>0</v>
      </c>
    </row>
    <row r="65" spans="2:19" hidden="1">
      <c r="B65" s="474" t="s">
        <v>713</v>
      </c>
      <c r="C65" s="266"/>
      <c r="D65" s="141"/>
      <c r="E65" s="141"/>
      <c r="F65" s="141"/>
      <c r="G65" s="142"/>
      <c r="H65" s="130">
        <f t="shared" si="13"/>
        <v>0</v>
      </c>
      <c r="I65" s="475">
        <f t="shared" si="1"/>
        <v>257.28885000000002</v>
      </c>
      <c r="J65" s="136"/>
      <c r="K65" s="137"/>
      <c r="L65" s="385">
        <v>257.28885000000002</v>
      </c>
      <c r="M65" s="275"/>
      <c r="N65" s="25">
        <f t="shared" si="8"/>
        <v>0</v>
      </c>
      <c r="O65" s="25">
        <f t="shared" si="9"/>
        <v>0</v>
      </c>
      <c r="P65" s="25">
        <f t="shared" si="10"/>
        <v>0</v>
      </c>
      <c r="Q65" s="26">
        <f t="shared" si="11"/>
        <v>0</v>
      </c>
      <c r="R65" s="27">
        <f t="shared" si="12"/>
        <v>0</v>
      </c>
      <c r="S65" s="123">
        <f t="shared" si="7"/>
        <v>0</v>
      </c>
    </row>
    <row r="66" spans="2:19" hidden="1">
      <c r="B66" s="474" t="s">
        <v>714</v>
      </c>
      <c r="C66" s="266"/>
      <c r="D66" s="141"/>
      <c r="E66" s="141"/>
      <c r="F66" s="141"/>
      <c r="G66" s="142"/>
      <c r="H66" s="130">
        <f t="shared" si="13"/>
        <v>0</v>
      </c>
      <c r="I66" s="475">
        <f t="shared" si="1"/>
        <v>150.51141000000001</v>
      </c>
      <c r="J66" s="136"/>
      <c r="K66" s="137"/>
      <c r="L66" s="385">
        <v>150.51141000000001</v>
      </c>
      <c r="M66" s="276"/>
      <c r="N66" s="25">
        <f t="shared" si="8"/>
        <v>0</v>
      </c>
      <c r="O66" s="25">
        <f t="shared" si="9"/>
        <v>0</v>
      </c>
      <c r="P66" s="25">
        <f t="shared" si="10"/>
        <v>0</v>
      </c>
      <c r="Q66" s="26">
        <f t="shared" si="11"/>
        <v>0</v>
      </c>
      <c r="R66" s="27">
        <f t="shared" si="12"/>
        <v>0</v>
      </c>
      <c r="S66" s="123">
        <f t="shared" si="7"/>
        <v>0</v>
      </c>
    </row>
    <row r="67" spans="2:19" hidden="1">
      <c r="B67" s="474" t="s">
        <v>994</v>
      </c>
      <c r="C67" s="266"/>
      <c r="D67" s="141"/>
      <c r="E67" s="141"/>
      <c r="F67" s="141"/>
      <c r="G67" s="142"/>
      <c r="H67" s="130">
        <f t="shared" si="13"/>
        <v>0</v>
      </c>
      <c r="I67" s="475">
        <f t="shared" si="1"/>
        <v>136.2627</v>
      </c>
      <c r="J67" s="136"/>
      <c r="K67" s="137"/>
      <c r="L67" s="385">
        <v>136.2627</v>
      </c>
      <c r="M67" s="276"/>
      <c r="N67" s="25">
        <f t="shared" si="8"/>
        <v>0</v>
      </c>
      <c r="O67" s="25">
        <f t="shared" si="9"/>
        <v>0</v>
      </c>
      <c r="P67" s="25">
        <f t="shared" si="10"/>
        <v>0</v>
      </c>
      <c r="Q67" s="26">
        <f t="shared" si="11"/>
        <v>0</v>
      </c>
      <c r="R67" s="27">
        <f t="shared" si="12"/>
        <v>0</v>
      </c>
      <c r="S67" s="123">
        <f t="shared" si="7"/>
        <v>0</v>
      </c>
    </row>
    <row r="68" spans="2:19" hidden="1">
      <c r="B68" s="474" t="s">
        <v>995</v>
      </c>
      <c r="C68" s="266"/>
      <c r="D68" s="141"/>
      <c r="E68" s="141"/>
      <c r="F68" s="141"/>
      <c r="G68" s="142"/>
      <c r="H68" s="130">
        <f t="shared" si="13"/>
        <v>0</v>
      </c>
      <c r="I68" s="475">
        <f t="shared" si="1"/>
        <v>181.26822000000001</v>
      </c>
      <c r="J68" s="136"/>
      <c r="K68" s="137"/>
      <c r="L68" s="385">
        <v>181.26822000000001</v>
      </c>
      <c r="M68" s="276"/>
      <c r="N68" s="25">
        <f t="shared" si="8"/>
        <v>0</v>
      </c>
      <c r="O68" s="25">
        <f t="shared" si="9"/>
        <v>0</v>
      </c>
      <c r="P68" s="25">
        <f t="shared" si="10"/>
        <v>0</v>
      </c>
      <c r="Q68" s="26">
        <f t="shared" si="11"/>
        <v>0</v>
      </c>
      <c r="R68" s="27">
        <f t="shared" si="12"/>
        <v>0</v>
      </c>
      <c r="S68" s="123">
        <f t="shared" si="7"/>
        <v>0</v>
      </c>
    </row>
    <row r="69" spans="2:19" hidden="1">
      <c r="B69" s="474" t="s">
        <v>996</v>
      </c>
      <c r="C69" s="266"/>
      <c r="D69" s="141"/>
      <c r="E69" s="141"/>
      <c r="F69" s="141"/>
      <c r="G69" s="142"/>
      <c r="H69" s="130">
        <f t="shared" si="13"/>
        <v>0</v>
      </c>
      <c r="I69" s="475">
        <f t="shared" si="1"/>
        <v>91.452399999999997</v>
      </c>
      <c r="J69" s="136"/>
      <c r="K69" s="137"/>
      <c r="L69" s="385">
        <v>91.452399999999997</v>
      </c>
      <c r="M69" s="276"/>
      <c r="N69" s="25">
        <f t="shared" si="8"/>
        <v>0</v>
      </c>
      <c r="O69" s="25">
        <f t="shared" si="9"/>
        <v>0</v>
      </c>
      <c r="P69" s="25">
        <f t="shared" si="10"/>
        <v>0</v>
      </c>
      <c r="Q69" s="26">
        <f t="shared" si="11"/>
        <v>0</v>
      </c>
      <c r="R69" s="27">
        <f t="shared" si="12"/>
        <v>0</v>
      </c>
      <c r="S69" s="123">
        <f t="shared" si="7"/>
        <v>0</v>
      </c>
    </row>
    <row r="70" spans="2:19" hidden="1">
      <c r="B70" s="474" t="s">
        <v>997</v>
      </c>
      <c r="C70" s="266"/>
      <c r="D70" s="141"/>
      <c r="E70" s="141"/>
      <c r="F70" s="141"/>
      <c r="G70" s="142"/>
      <c r="H70" s="130">
        <f t="shared" si="13"/>
        <v>0</v>
      </c>
      <c r="I70" s="475">
        <f t="shared" ref="I70:I89" si="14">(L70-(L70*J70))</f>
        <v>151.90926400000001</v>
      </c>
      <c r="J70" s="136"/>
      <c r="K70" s="137"/>
      <c r="L70" s="385">
        <v>151.90926400000001</v>
      </c>
      <c r="M70" s="276"/>
      <c r="N70" s="25">
        <f t="shared" ref="N70:N89" si="15">I70*C70</f>
        <v>0</v>
      </c>
      <c r="O70" s="25">
        <f t="shared" ref="O70:O89" si="16">I70*D70</f>
        <v>0</v>
      </c>
      <c r="P70" s="25">
        <f t="shared" ref="P70:P89" si="17">I70*E70</f>
        <v>0</v>
      </c>
      <c r="Q70" s="26">
        <f t="shared" ref="Q70:Q89" si="18">I70*F70</f>
        <v>0</v>
      </c>
      <c r="R70" s="27">
        <f t="shared" ref="R70:R89" si="19">I70*G70</f>
        <v>0</v>
      </c>
      <c r="S70" s="123">
        <f t="shared" si="7"/>
        <v>0</v>
      </c>
    </row>
    <row r="71" spans="2:19" hidden="1">
      <c r="B71" s="474" t="s">
        <v>998</v>
      </c>
      <c r="C71" s="266"/>
      <c r="D71" s="141"/>
      <c r="E71" s="141"/>
      <c r="F71" s="141"/>
      <c r="G71" s="142"/>
      <c r="H71" s="130">
        <f t="shared" si="13"/>
        <v>0</v>
      </c>
      <c r="I71" s="475">
        <f t="shared" si="14"/>
        <v>262.91660000000002</v>
      </c>
      <c r="J71" s="136"/>
      <c r="K71" s="137"/>
      <c r="L71" s="386">
        <v>262.91660000000002</v>
      </c>
      <c r="M71" s="276"/>
      <c r="N71" s="25">
        <f t="shared" si="15"/>
        <v>0</v>
      </c>
      <c r="O71" s="25">
        <f t="shared" si="16"/>
        <v>0</v>
      </c>
      <c r="P71" s="25">
        <f t="shared" si="17"/>
        <v>0</v>
      </c>
      <c r="Q71" s="26">
        <f t="shared" si="18"/>
        <v>0</v>
      </c>
      <c r="R71" s="27">
        <f t="shared" si="19"/>
        <v>0</v>
      </c>
      <c r="S71" s="123">
        <f t="shared" ref="S71:S89" si="20">SUM(N71:R71)</f>
        <v>0</v>
      </c>
    </row>
    <row r="72" spans="2:19" hidden="1">
      <c r="B72" s="465" t="s">
        <v>158</v>
      </c>
      <c r="C72" s="266"/>
      <c r="D72" s="141"/>
      <c r="E72" s="141"/>
      <c r="F72" s="141"/>
      <c r="G72" s="142"/>
      <c r="H72" s="130">
        <f t="shared" si="13"/>
        <v>0</v>
      </c>
      <c r="I72" s="475">
        <f t="shared" si="14"/>
        <v>28.1127</v>
      </c>
      <c r="J72" s="136"/>
      <c r="K72" s="137"/>
      <c r="L72" s="387">
        <v>28.1127</v>
      </c>
      <c r="M72" s="276"/>
      <c r="N72" s="25">
        <f t="shared" si="15"/>
        <v>0</v>
      </c>
      <c r="O72" s="25">
        <f t="shared" si="16"/>
        <v>0</v>
      </c>
      <c r="P72" s="25">
        <f t="shared" si="17"/>
        <v>0</v>
      </c>
      <c r="Q72" s="26">
        <f t="shared" si="18"/>
        <v>0</v>
      </c>
      <c r="R72" s="27">
        <f t="shared" si="19"/>
        <v>0</v>
      </c>
      <c r="S72" s="123">
        <f t="shared" si="20"/>
        <v>0</v>
      </c>
    </row>
    <row r="73" spans="2:19" hidden="1">
      <c r="B73" s="474" t="s">
        <v>715</v>
      </c>
      <c r="C73" s="266"/>
      <c r="D73" s="141"/>
      <c r="E73" s="141"/>
      <c r="F73" s="141"/>
      <c r="G73" s="142"/>
      <c r="H73" s="130">
        <f t="shared" si="13"/>
        <v>0</v>
      </c>
      <c r="I73" s="475">
        <f t="shared" si="14"/>
        <v>10.49776</v>
      </c>
      <c r="J73" s="136"/>
      <c r="K73" s="137"/>
      <c r="L73" s="387">
        <v>10.49776</v>
      </c>
      <c r="M73" s="276"/>
      <c r="N73" s="25">
        <f t="shared" si="15"/>
        <v>0</v>
      </c>
      <c r="O73" s="25">
        <f t="shared" si="16"/>
        <v>0</v>
      </c>
      <c r="P73" s="25">
        <f t="shared" si="17"/>
        <v>0</v>
      </c>
      <c r="Q73" s="26">
        <f t="shared" si="18"/>
        <v>0</v>
      </c>
      <c r="R73" s="27">
        <f t="shared" si="19"/>
        <v>0</v>
      </c>
      <c r="S73" s="123">
        <f t="shared" si="20"/>
        <v>0</v>
      </c>
    </row>
    <row r="74" spans="2:19" hidden="1">
      <c r="B74" s="474" t="s">
        <v>716</v>
      </c>
      <c r="C74" s="266"/>
      <c r="D74" s="141"/>
      <c r="E74" s="141"/>
      <c r="F74" s="141"/>
      <c r="G74" s="142"/>
      <c r="H74" s="130">
        <f t="shared" si="13"/>
        <v>0</v>
      </c>
      <c r="I74" s="475">
        <f t="shared" si="14"/>
        <v>18.861359999999998</v>
      </c>
      <c r="J74" s="136"/>
      <c r="K74" s="137"/>
      <c r="L74" s="387">
        <v>18.861359999999998</v>
      </c>
      <c r="M74" s="276"/>
      <c r="N74" s="25">
        <f t="shared" si="15"/>
        <v>0</v>
      </c>
      <c r="O74" s="25">
        <f t="shared" si="16"/>
        <v>0</v>
      </c>
      <c r="P74" s="25">
        <f t="shared" si="17"/>
        <v>0</v>
      </c>
      <c r="Q74" s="26">
        <f t="shared" si="18"/>
        <v>0</v>
      </c>
      <c r="R74" s="27">
        <f t="shared" si="19"/>
        <v>0</v>
      </c>
      <c r="S74" s="123">
        <f t="shared" si="20"/>
        <v>0</v>
      </c>
    </row>
    <row r="75" spans="2:19">
      <c r="B75" s="465" t="s">
        <v>159</v>
      </c>
      <c r="C75" s="266"/>
      <c r="D75" s="141">
        <v>16</v>
      </c>
      <c r="E75" s="141"/>
      <c r="F75" s="141">
        <v>24</v>
      </c>
      <c r="G75" s="142"/>
      <c r="H75" s="130">
        <f t="shared" si="13"/>
        <v>40</v>
      </c>
      <c r="I75" s="475">
        <f t="shared" si="14"/>
        <v>54.096525</v>
      </c>
      <c r="J75" s="136"/>
      <c r="K75" s="137"/>
      <c r="L75" s="387">
        <v>54.096525</v>
      </c>
      <c r="M75" s="276"/>
      <c r="N75" s="25">
        <f t="shared" si="15"/>
        <v>0</v>
      </c>
      <c r="O75" s="25">
        <f t="shared" si="16"/>
        <v>865.5444</v>
      </c>
      <c r="P75" s="25">
        <f t="shared" si="17"/>
        <v>0</v>
      </c>
      <c r="Q75" s="26">
        <f t="shared" si="18"/>
        <v>1298.3166000000001</v>
      </c>
      <c r="R75" s="27">
        <f t="shared" si="19"/>
        <v>0</v>
      </c>
      <c r="S75" s="123">
        <f t="shared" si="20"/>
        <v>2163.8609999999999</v>
      </c>
    </row>
    <row r="76" spans="2:19" hidden="1">
      <c r="B76" s="465" t="s">
        <v>160</v>
      </c>
      <c r="C76" s="266"/>
      <c r="D76" s="141"/>
      <c r="E76" s="141"/>
      <c r="F76" s="141"/>
      <c r="G76" s="142"/>
      <c r="H76" s="130">
        <f t="shared" si="13"/>
        <v>0</v>
      </c>
      <c r="I76" s="475">
        <f t="shared" si="14"/>
        <v>41.2181</v>
      </c>
      <c r="J76" s="136"/>
      <c r="K76" s="137"/>
      <c r="L76" s="387">
        <v>41.2181</v>
      </c>
      <c r="M76" s="276"/>
      <c r="N76" s="25">
        <f t="shared" si="15"/>
        <v>0</v>
      </c>
      <c r="O76" s="25">
        <f t="shared" si="16"/>
        <v>0</v>
      </c>
      <c r="P76" s="25">
        <f t="shared" si="17"/>
        <v>0</v>
      </c>
      <c r="Q76" s="26">
        <f t="shared" si="18"/>
        <v>0</v>
      </c>
      <c r="R76" s="27">
        <f t="shared" si="19"/>
        <v>0</v>
      </c>
      <c r="S76" s="123">
        <f t="shared" si="20"/>
        <v>0</v>
      </c>
    </row>
    <row r="77" spans="2:19" hidden="1">
      <c r="B77" s="465" t="s">
        <v>858</v>
      </c>
      <c r="C77" s="266"/>
      <c r="D77" s="141"/>
      <c r="E77" s="141"/>
      <c r="F77" s="141"/>
      <c r="G77" s="142"/>
      <c r="H77" s="130">
        <f t="shared" si="13"/>
        <v>0</v>
      </c>
      <c r="I77" s="475">
        <f t="shared" si="14"/>
        <v>142.45000000000002</v>
      </c>
      <c r="J77" s="136"/>
      <c r="K77" s="137"/>
      <c r="L77" s="387">
        <v>142.45000000000002</v>
      </c>
      <c r="M77" s="276"/>
      <c r="N77" s="25">
        <f t="shared" si="15"/>
        <v>0</v>
      </c>
      <c r="O77" s="25">
        <f t="shared" si="16"/>
        <v>0</v>
      </c>
      <c r="P77" s="25">
        <f t="shared" si="17"/>
        <v>0</v>
      </c>
      <c r="Q77" s="26">
        <f t="shared" si="18"/>
        <v>0</v>
      </c>
      <c r="R77" s="27">
        <f t="shared" si="19"/>
        <v>0</v>
      </c>
      <c r="S77" s="123">
        <f t="shared" si="20"/>
        <v>0</v>
      </c>
    </row>
    <row r="78" spans="2:19">
      <c r="B78" s="465" t="s">
        <v>717</v>
      </c>
      <c r="C78" s="266"/>
      <c r="D78" s="141">
        <v>15</v>
      </c>
      <c r="E78" s="141"/>
      <c r="F78" s="141"/>
      <c r="G78" s="142"/>
      <c r="H78" s="130">
        <f t="shared" si="13"/>
        <v>15</v>
      </c>
      <c r="I78" s="475">
        <f t="shared" si="14"/>
        <v>91.305360000000007</v>
      </c>
      <c r="J78" s="136"/>
      <c r="K78" s="137"/>
      <c r="L78" s="387">
        <v>91.305360000000007</v>
      </c>
      <c r="M78" s="276"/>
      <c r="N78" s="25">
        <f t="shared" si="15"/>
        <v>0</v>
      </c>
      <c r="O78" s="25">
        <f t="shared" si="16"/>
        <v>1369.5804000000001</v>
      </c>
      <c r="P78" s="25">
        <f t="shared" si="17"/>
        <v>0</v>
      </c>
      <c r="Q78" s="26">
        <f t="shared" si="18"/>
        <v>0</v>
      </c>
      <c r="R78" s="27">
        <f t="shared" si="19"/>
        <v>0</v>
      </c>
      <c r="S78" s="123">
        <f t="shared" si="20"/>
        <v>1369.5804000000001</v>
      </c>
    </row>
    <row r="79" spans="2:19">
      <c r="B79" s="465" t="s">
        <v>161</v>
      </c>
      <c r="C79" s="266"/>
      <c r="D79" s="141">
        <v>30</v>
      </c>
      <c r="E79" s="141"/>
      <c r="F79" s="141"/>
      <c r="G79" s="142"/>
      <c r="H79" s="130">
        <f t="shared" si="13"/>
        <v>30</v>
      </c>
      <c r="I79" s="475">
        <f t="shared" si="14"/>
        <v>17.614751000000002</v>
      </c>
      <c r="J79" s="136"/>
      <c r="K79" s="137"/>
      <c r="L79" s="387">
        <v>17.614751000000002</v>
      </c>
      <c r="M79" s="276"/>
      <c r="N79" s="25">
        <f t="shared" si="15"/>
        <v>0</v>
      </c>
      <c r="O79" s="25">
        <f t="shared" si="16"/>
        <v>528.44253000000003</v>
      </c>
      <c r="P79" s="25">
        <f t="shared" si="17"/>
        <v>0</v>
      </c>
      <c r="Q79" s="26">
        <f t="shared" si="18"/>
        <v>0</v>
      </c>
      <c r="R79" s="27">
        <f t="shared" si="19"/>
        <v>0</v>
      </c>
      <c r="S79" s="123">
        <f t="shared" si="20"/>
        <v>528.44253000000003</v>
      </c>
    </row>
    <row r="80" spans="2:19">
      <c r="B80" s="465" t="s">
        <v>162</v>
      </c>
      <c r="C80" s="266"/>
      <c r="D80" s="141">
        <v>800</v>
      </c>
      <c r="E80" s="141"/>
      <c r="F80" s="141">
        <v>180</v>
      </c>
      <c r="G80" s="142"/>
      <c r="H80" s="130">
        <f t="shared" si="13"/>
        <v>980</v>
      </c>
      <c r="I80" s="475">
        <f t="shared" si="14"/>
        <v>18.695664166666663</v>
      </c>
      <c r="J80" s="136"/>
      <c r="K80" s="137"/>
      <c r="L80" s="387">
        <v>18.695664166666663</v>
      </c>
      <c r="M80" s="276"/>
      <c r="N80" s="25">
        <f t="shared" si="15"/>
        <v>0</v>
      </c>
      <c r="O80" s="25">
        <f t="shared" si="16"/>
        <v>14956.531333333331</v>
      </c>
      <c r="P80" s="25">
        <f t="shared" si="17"/>
        <v>0</v>
      </c>
      <c r="Q80" s="26">
        <f t="shared" si="18"/>
        <v>3365.2195499999993</v>
      </c>
      <c r="R80" s="27">
        <f t="shared" si="19"/>
        <v>0</v>
      </c>
      <c r="S80" s="123">
        <f t="shared" si="20"/>
        <v>18321.75088333333</v>
      </c>
    </row>
    <row r="81" spans="2:19" hidden="1">
      <c r="B81" s="465" t="s">
        <v>163</v>
      </c>
      <c r="C81" s="266"/>
      <c r="D81" s="141"/>
      <c r="E81" s="141"/>
      <c r="F81" s="141"/>
      <c r="G81" s="142"/>
      <c r="H81" s="130">
        <f t="shared" si="13"/>
        <v>0</v>
      </c>
      <c r="I81" s="475">
        <f t="shared" si="14"/>
        <v>101.86675199999999</v>
      </c>
      <c r="J81" s="136"/>
      <c r="K81" s="137"/>
      <c r="L81" s="387">
        <v>101.86675199999999</v>
      </c>
      <c r="M81" s="276"/>
      <c r="N81" s="25">
        <f t="shared" si="15"/>
        <v>0</v>
      </c>
      <c r="O81" s="25">
        <f t="shared" si="16"/>
        <v>0</v>
      </c>
      <c r="P81" s="25">
        <f t="shared" si="17"/>
        <v>0</v>
      </c>
      <c r="Q81" s="26">
        <f t="shared" si="18"/>
        <v>0</v>
      </c>
      <c r="R81" s="27">
        <f t="shared" si="19"/>
        <v>0</v>
      </c>
      <c r="S81" s="123">
        <f t="shared" si="20"/>
        <v>0</v>
      </c>
    </row>
    <row r="82" spans="2:19" hidden="1">
      <c r="B82" s="465" t="s">
        <v>164</v>
      </c>
      <c r="C82" s="266"/>
      <c r="D82" s="141"/>
      <c r="E82" s="141"/>
      <c r="F82" s="141"/>
      <c r="G82" s="142"/>
      <c r="H82" s="130">
        <f t="shared" si="13"/>
        <v>0</v>
      </c>
      <c r="I82" s="475">
        <f t="shared" si="14"/>
        <v>56.541100000000007</v>
      </c>
      <c r="J82" s="136"/>
      <c r="K82" s="137"/>
      <c r="L82" s="387">
        <v>56.541100000000007</v>
      </c>
      <c r="M82" s="276"/>
      <c r="N82" s="25">
        <f t="shared" si="15"/>
        <v>0</v>
      </c>
      <c r="O82" s="25">
        <f t="shared" si="16"/>
        <v>0</v>
      </c>
      <c r="P82" s="25">
        <f t="shared" si="17"/>
        <v>0</v>
      </c>
      <c r="Q82" s="26">
        <f t="shared" si="18"/>
        <v>0</v>
      </c>
      <c r="R82" s="27">
        <f t="shared" si="19"/>
        <v>0</v>
      </c>
      <c r="S82" s="123">
        <f t="shared" si="20"/>
        <v>0</v>
      </c>
    </row>
    <row r="83" spans="2:19" hidden="1">
      <c r="B83" s="465" t="s">
        <v>165</v>
      </c>
      <c r="C83" s="266"/>
      <c r="D83" s="141"/>
      <c r="E83" s="141"/>
      <c r="F83" s="141"/>
      <c r="G83" s="142"/>
      <c r="H83" s="130">
        <f t="shared" si="13"/>
        <v>0</v>
      </c>
      <c r="I83" s="475">
        <f t="shared" si="14"/>
        <v>6.4140614999999999</v>
      </c>
      <c r="J83" s="136"/>
      <c r="K83" s="137"/>
      <c r="L83" s="387">
        <v>6.4140614999999999</v>
      </c>
      <c r="M83" s="276"/>
      <c r="N83" s="25">
        <f t="shared" si="15"/>
        <v>0</v>
      </c>
      <c r="O83" s="25">
        <f t="shared" si="16"/>
        <v>0</v>
      </c>
      <c r="P83" s="25">
        <f t="shared" si="17"/>
        <v>0</v>
      </c>
      <c r="Q83" s="26">
        <f t="shared" si="18"/>
        <v>0</v>
      </c>
      <c r="R83" s="27">
        <f t="shared" si="19"/>
        <v>0</v>
      </c>
      <c r="S83" s="123">
        <f t="shared" si="20"/>
        <v>0</v>
      </c>
    </row>
    <row r="84" spans="2:19">
      <c r="B84" s="465" t="s">
        <v>166</v>
      </c>
      <c r="C84" s="266">
        <v>360</v>
      </c>
      <c r="D84" s="141">
        <v>48</v>
      </c>
      <c r="E84" s="141"/>
      <c r="F84" s="141"/>
      <c r="G84" s="142"/>
      <c r="H84" s="130">
        <f t="shared" si="13"/>
        <v>408</v>
      </c>
      <c r="I84" s="475">
        <f t="shared" si="14"/>
        <v>13.813272</v>
      </c>
      <c r="J84" s="136"/>
      <c r="K84" s="137"/>
      <c r="L84" s="387">
        <v>13.813272</v>
      </c>
      <c r="M84" s="276"/>
      <c r="N84" s="25">
        <f t="shared" si="15"/>
        <v>4972.7779199999995</v>
      </c>
      <c r="O84" s="25">
        <f t="shared" si="16"/>
        <v>663.03705600000001</v>
      </c>
      <c r="P84" s="25">
        <f t="shared" si="17"/>
        <v>0</v>
      </c>
      <c r="Q84" s="26">
        <f t="shared" si="18"/>
        <v>0</v>
      </c>
      <c r="R84" s="27">
        <f t="shared" si="19"/>
        <v>0</v>
      </c>
      <c r="S84" s="123">
        <f t="shared" si="20"/>
        <v>5635.8149759999997</v>
      </c>
    </row>
    <row r="85" spans="2:19">
      <c r="B85" s="465" t="s">
        <v>167</v>
      </c>
      <c r="C85" s="266">
        <v>12</v>
      </c>
      <c r="D85" s="141">
        <v>8</v>
      </c>
      <c r="E85" s="141"/>
      <c r="F85" s="141"/>
      <c r="G85" s="142"/>
      <c r="H85" s="130">
        <f t="shared" ref="H85:H86" si="21">SUM(C85:G85)</f>
        <v>20</v>
      </c>
      <c r="I85" s="475">
        <f t="shared" si="14"/>
        <v>63.094262000000008</v>
      </c>
      <c r="J85" s="136"/>
      <c r="K85" s="137"/>
      <c r="L85" s="387">
        <v>63.094262000000008</v>
      </c>
      <c r="M85" s="276"/>
      <c r="N85" s="25">
        <f t="shared" si="15"/>
        <v>757.13114400000006</v>
      </c>
      <c r="O85" s="25">
        <f t="shared" si="16"/>
        <v>504.75409600000006</v>
      </c>
      <c r="P85" s="25">
        <f t="shared" si="17"/>
        <v>0</v>
      </c>
      <c r="Q85" s="26">
        <f t="shared" si="18"/>
        <v>0</v>
      </c>
      <c r="R85" s="27">
        <f t="shared" si="19"/>
        <v>0</v>
      </c>
      <c r="S85" s="123">
        <f t="shared" si="20"/>
        <v>1261.8852400000001</v>
      </c>
    </row>
    <row r="86" spans="2:19">
      <c r="B86" s="465" t="s">
        <v>168</v>
      </c>
      <c r="C86" s="266"/>
      <c r="D86" s="141">
        <v>36</v>
      </c>
      <c r="E86" s="141"/>
      <c r="F86" s="141"/>
      <c r="G86" s="142"/>
      <c r="H86" s="130">
        <f t="shared" si="21"/>
        <v>36</v>
      </c>
      <c r="I86" s="475">
        <f t="shared" si="14"/>
        <v>45.780658000000003</v>
      </c>
      <c r="J86" s="136"/>
      <c r="K86" s="137"/>
      <c r="L86" s="387">
        <v>45.780658000000003</v>
      </c>
      <c r="M86" s="276"/>
      <c r="N86" s="25">
        <f t="shared" si="15"/>
        <v>0</v>
      </c>
      <c r="O86" s="25">
        <f t="shared" si="16"/>
        <v>1648.1036880000001</v>
      </c>
      <c r="P86" s="25">
        <f t="shared" si="17"/>
        <v>0</v>
      </c>
      <c r="Q86" s="26">
        <f t="shared" si="18"/>
        <v>0</v>
      </c>
      <c r="R86" s="27">
        <f t="shared" si="19"/>
        <v>0</v>
      </c>
      <c r="S86" s="123">
        <f t="shared" si="20"/>
        <v>1648.1036880000001</v>
      </c>
    </row>
    <row r="87" spans="2:19" hidden="1">
      <c r="B87" s="465" t="s">
        <v>169</v>
      </c>
      <c r="C87" s="266"/>
      <c r="D87" s="141"/>
      <c r="E87" s="141"/>
      <c r="F87" s="141"/>
      <c r="G87" s="142"/>
      <c r="H87" s="130">
        <f t="shared" si="13"/>
        <v>0</v>
      </c>
      <c r="I87" s="475">
        <f t="shared" si="14"/>
        <v>23.851904999999999</v>
      </c>
      <c r="J87" s="136"/>
      <c r="K87" s="137"/>
      <c r="L87" s="388">
        <v>23.851904999999999</v>
      </c>
      <c r="M87" s="276"/>
      <c r="N87" s="25">
        <f t="shared" si="15"/>
        <v>0</v>
      </c>
      <c r="O87" s="25">
        <f t="shared" si="16"/>
        <v>0</v>
      </c>
      <c r="P87" s="25">
        <f t="shared" si="17"/>
        <v>0</v>
      </c>
      <c r="Q87" s="26">
        <f t="shared" si="18"/>
        <v>0</v>
      </c>
      <c r="R87" s="27">
        <f t="shared" si="19"/>
        <v>0</v>
      </c>
      <c r="S87" s="123">
        <f t="shared" si="20"/>
        <v>0</v>
      </c>
    </row>
    <row r="88" spans="2:19" hidden="1">
      <c r="B88" s="465" t="s">
        <v>2188</v>
      </c>
      <c r="C88" s="141"/>
      <c r="D88" s="141"/>
      <c r="E88" s="141"/>
      <c r="F88" s="141"/>
      <c r="G88" s="142"/>
      <c r="H88" s="130">
        <f t="shared" si="13"/>
        <v>0</v>
      </c>
      <c r="I88" s="538">
        <f t="shared" si="14"/>
        <v>31.05</v>
      </c>
      <c r="J88" s="136"/>
      <c r="K88" s="137">
        <v>0.06</v>
      </c>
      <c r="L88" s="539">
        <v>31.05</v>
      </c>
      <c r="M88" s="276"/>
      <c r="N88" s="540">
        <f t="shared" si="15"/>
        <v>0</v>
      </c>
      <c r="O88" s="540">
        <f t="shared" si="16"/>
        <v>0</v>
      </c>
      <c r="P88" s="540">
        <f t="shared" si="17"/>
        <v>0</v>
      </c>
      <c r="Q88" s="541">
        <f t="shared" si="18"/>
        <v>0</v>
      </c>
      <c r="R88" s="542">
        <f t="shared" si="19"/>
        <v>0</v>
      </c>
      <c r="S88" s="543">
        <f t="shared" si="20"/>
        <v>0</v>
      </c>
    </row>
    <row r="89" spans="2:19" hidden="1">
      <c r="B89" s="465" t="s">
        <v>2189</v>
      </c>
      <c r="C89" s="141"/>
      <c r="D89" s="141"/>
      <c r="E89" s="141"/>
      <c r="F89" s="141"/>
      <c r="G89" s="142"/>
      <c r="H89" s="130">
        <f t="shared" si="13"/>
        <v>0</v>
      </c>
      <c r="I89" s="538">
        <f t="shared" si="14"/>
        <v>16.32</v>
      </c>
      <c r="J89" s="136"/>
      <c r="K89" s="137">
        <v>0.21</v>
      </c>
      <c r="L89" s="539">
        <v>16.32</v>
      </c>
      <c r="M89" s="276"/>
      <c r="N89" s="540">
        <f t="shared" si="15"/>
        <v>0</v>
      </c>
      <c r="O89" s="540">
        <f t="shared" si="16"/>
        <v>0</v>
      </c>
      <c r="P89" s="540">
        <f t="shared" si="17"/>
        <v>0</v>
      </c>
      <c r="Q89" s="541">
        <f t="shared" si="18"/>
        <v>0</v>
      </c>
      <c r="R89" s="542">
        <f t="shared" si="19"/>
        <v>0</v>
      </c>
      <c r="S89" s="543">
        <f t="shared" si="20"/>
        <v>0</v>
      </c>
    </row>
    <row r="90" spans="2:19">
      <c r="B90" s="58" t="s">
        <v>2190</v>
      </c>
      <c r="C90" s="544">
        <f t="shared" ref="C90" si="22">SUM(N6:N87)</f>
        <v>10014.848988</v>
      </c>
      <c r="D90" s="544">
        <f t="shared" ref="D90" si="23">SUM(O6:O87)</f>
        <v>40206.369246666662</v>
      </c>
      <c r="E90" s="544">
        <f t="shared" ref="E90" si="24">SUM(P6:P87)</f>
        <v>0</v>
      </c>
      <c r="F90" s="544">
        <f t="shared" ref="F90" si="25">SUM(Q6:Q87)</f>
        <v>21144.804167999999</v>
      </c>
      <c r="G90" s="544">
        <f t="shared" ref="G90" si="26">SUM(R6:R87)</f>
        <v>0</v>
      </c>
      <c r="H90" s="544">
        <f t="shared" ref="H90" si="27">SUM(S6:S87)</f>
        <v>71366.022402666655</v>
      </c>
      <c r="N90" s="29"/>
      <c r="O90" s="29"/>
      <c r="P90" s="29"/>
      <c r="Q90" s="29"/>
      <c r="R90" s="29"/>
      <c r="S90" s="29"/>
    </row>
    <row r="91" spans="2:19">
      <c r="B91" s="58" t="s">
        <v>2191</v>
      </c>
      <c r="C91" s="544">
        <f t="shared" ref="C91:C92" si="28">N88</f>
        <v>0</v>
      </c>
      <c r="D91" s="544">
        <f t="shared" ref="D91:D92" si="29">O88</f>
        <v>0</v>
      </c>
      <c r="E91" s="544">
        <f t="shared" ref="E91:E92" si="30">P88</f>
        <v>0</v>
      </c>
      <c r="F91" s="544">
        <f t="shared" ref="F91:F92" si="31">Q88</f>
        <v>0</v>
      </c>
      <c r="G91" s="544">
        <f t="shared" ref="G91:G92" si="32">R88</f>
        <v>0</v>
      </c>
      <c r="H91" s="544">
        <f t="shared" ref="H91" si="33">S88</f>
        <v>0</v>
      </c>
      <c r="N91" s="29"/>
      <c r="O91" s="29"/>
      <c r="P91" s="29"/>
      <c r="Q91" s="29"/>
      <c r="R91" s="29"/>
      <c r="S91" s="29"/>
    </row>
    <row r="92" spans="2:19">
      <c r="B92" s="58" t="s">
        <v>2189</v>
      </c>
      <c r="C92" s="544">
        <f t="shared" si="28"/>
        <v>0</v>
      </c>
      <c r="D92" s="544">
        <f t="shared" si="29"/>
        <v>0</v>
      </c>
      <c r="E92" s="544">
        <f t="shared" si="30"/>
        <v>0</v>
      </c>
      <c r="F92" s="544">
        <f t="shared" si="31"/>
        <v>0</v>
      </c>
      <c r="G92" s="544">
        <f t="shared" si="32"/>
        <v>0</v>
      </c>
      <c r="H92" s="544">
        <f t="shared" ref="H92" si="34">S89</f>
        <v>0</v>
      </c>
      <c r="N92" s="29"/>
      <c r="O92" s="29"/>
      <c r="P92" s="29"/>
      <c r="Q92" s="29"/>
      <c r="R92" s="29"/>
      <c r="S92" s="29"/>
    </row>
    <row r="93" spans="2:19">
      <c r="B93" s="58" t="s">
        <v>13</v>
      </c>
      <c r="C93" s="544">
        <f t="shared" ref="C93:G93" si="35">SUM(C90:C92)</f>
        <v>10014.848988</v>
      </c>
      <c r="D93" s="544">
        <f t="shared" si="35"/>
        <v>40206.369246666662</v>
      </c>
      <c r="E93" s="544">
        <f t="shared" si="35"/>
        <v>0</v>
      </c>
      <c r="F93" s="544">
        <f t="shared" si="35"/>
        <v>21144.804167999999</v>
      </c>
      <c r="G93" s="544">
        <f t="shared" si="35"/>
        <v>0</v>
      </c>
      <c r="H93" s="544">
        <f t="shared" ref="H93" si="36">SUM(H90:H92)</f>
        <v>71366.022402666655</v>
      </c>
      <c r="N93" s="29"/>
      <c r="O93" s="29"/>
      <c r="P93" s="29"/>
      <c r="Q93" s="29"/>
      <c r="R93" s="29"/>
      <c r="S93" s="29"/>
    </row>
    <row r="94" spans="2:19">
      <c r="B94" s="59" t="s">
        <v>46</v>
      </c>
    </row>
    <row r="95" spans="2:19" ht="16.5" thickBot="1">
      <c r="B95" s="2"/>
    </row>
    <row r="96" spans="2:19">
      <c r="B96" s="60" t="s">
        <v>47</v>
      </c>
    </row>
    <row r="97" spans="2:7">
      <c r="B97" s="61" t="s">
        <v>19</v>
      </c>
    </row>
    <row r="98" spans="2:7">
      <c r="B98" s="61" t="s">
        <v>17</v>
      </c>
    </row>
    <row r="99" spans="2:7" ht="16.5" thickBot="1">
      <c r="B99" s="62" t="s">
        <v>18</v>
      </c>
    </row>
    <row r="100" spans="2:7">
      <c r="B100" s="2"/>
    </row>
    <row r="101" spans="2:7">
      <c r="B101" s="30" t="s">
        <v>20</v>
      </c>
    </row>
    <row r="102" spans="2:7">
      <c r="B102" s="35"/>
    </row>
    <row r="103" spans="2:7">
      <c r="B103" s="35"/>
    </row>
    <row r="104" spans="2:7">
      <c r="B104" s="2"/>
      <c r="G104" s="5" t="str">
        <f>IF(B104&lt;&gt;"",SUM(C104:F104),"")</f>
        <v/>
      </c>
    </row>
    <row r="105" spans="2:7">
      <c r="G105" s="5" t="str">
        <f t="shared" ref="G105:G168" si="37">IF(B105&lt;&gt;"",SUM(C105:F105),"")</f>
        <v/>
      </c>
    </row>
    <row r="106" spans="2:7">
      <c r="G106" s="5" t="str">
        <f t="shared" si="37"/>
        <v/>
      </c>
    </row>
    <row r="107" spans="2:7">
      <c r="G107" s="5" t="str">
        <f t="shared" si="37"/>
        <v/>
      </c>
    </row>
    <row r="108" spans="2:7">
      <c r="G108" s="5" t="str">
        <f t="shared" si="37"/>
        <v/>
      </c>
    </row>
    <row r="109" spans="2:7">
      <c r="G109" s="5" t="str">
        <f t="shared" si="37"/>
        <v/>
      </c>
    </row>
    <row r="110" spans="2:7">
      <c r="G110" s="5" t="str">
        <f t="shared" si="37"/>
        <v/>
      </c>
    </row>
    <row r="111" spans="2:7">
      <c r="G111" s="5" t="str">
        <f t="shared" si="37"/>
        <v/>
      </c>
    </row>
    <row r="112" spans="2:7">
      <c r="G112" s="5" t="str">
        <f t="shared" si="37"/>
        <v/>
      </c>
    </row>
    <row r="113" spans="7:7">
      <c r="G113" s="5" t="str">
        <f t="shared" si="37"/>
        <v/>
      </c>
    </row>
    <row r="114" spans="7:7">
      <c r="G114" s="5" t="str">
        <f t="shared" si="37"/>
        <v/>
      </c>
    </row>
    <row r="115" spans="7:7">
      <c r="G115" s="5" t="str">
        <f t="shared" si="37"/>
        <v/>
      </c>
    </row>
    <row r="116" spans="7:7">
      <c r="G116" s="5" t="str">
        <f t="shared" si="37"/>
        <v/>
      </c>
    </row>
    <row r="117" spans="7:7">
      <c r="G117" s="5" t="str">
        <f t="shared" si="37"/>
        <v/>
      </c>
    </row>
    <row r="118" spans="7:7">
      <c r="G118" s="5" t="str">
        <f t="shared" si="37"/>
        <v/>
      </c>
    </row>
    <row r="119" spans="7:7">
      <c r="G119" s="5" t="str">
        <f t="shared" si="37"/>
        <v/>
      </c>
    </row>
    <row r="120" spans="7:7">
      <c r="G120" s="5" t="str">
        <f t="shared" si="37"/>
        <v/>
      </c>
    </row>
    <row r="121" spans="7:7">
      <c r="G121" s="5" t="str">
        <f t="shared" si="37"/>
        <v/>
      </c>
    </row>
    <row r="122" spans="7:7">
      <c r="G122" s="5" t="str">
        <f t="shared" si="37"/>
        <v/>
      </c>
    </row>
    <row r="123" spans="7:7">
      <c r="G123" s="5" t="str">
        <f t="shared" si="37"/>
        <v/>
      </c>
    </row>
    <row r="124" spans="7:7">
      <c r="G124" s="5" t="str">
        <f t="shared" si="37"/>
        <v/>
      </c>
    </row>
    <row r="125" spans="7:7">
      <c r="G125" s="5" t="str">
        <f t="shared" si="37"/>
        <v/>
      </c>
    </row>
    <row r="126" spans="7:7">
      <c r="G126" s="5" t="str">
        <f t="shared" si="37"/>
        <v/>
      </c>
    </row>
    <row r="127" spans="7:7">
      <c r="G127" s="5" t="str">
        <f t="shared" si="37"/>
        <v/>
      </c>
    </row>
    <row r="128" spans="7:7">
      <c r="G128" s="5" t="str">
        <f t="shared" si="37"/>
        <v/>
      </c>
    </row>
    <row r="129" spans="7:7">
      <c r="G129" s="5" t="str">
        <f t="shared" si="37"/>
        <v/>
      </c>
    </row>
    <row r="130" spans="7:7">
      <c r="G130" s="5" t="str">
        <f t="shared" si="37"/>
        <v/>
      </c>
    </row>
    <row r="131" spans="7:7">
      <c r="G131" s="5" t="str">
        <f t="shared" si="37"/>
        <v/>
      </c>
    </row>
    <row r="132" spans="7:7">
      <c r="G132" s="5" t="str">
        <f t="shared" si="37"/>
        <v/>
      </c>
    </row>
    <row r="133" spans="7:7">
      <c r="G133" s="5" t="str">
        <f t="shared" si="37"/>
        <v/>
      </c>
    </row>
    <row r="134" spans="7:7">
      <c r="G134" s="5" t="str">
        <f t="shared" si="37"/>
        <v/>
      </c>
    </row>
    <row r="135" spans="7:7">
      <c r="G135" s="5" t="str">
        <f t="shared" si="37"/>
        <v/>
      </c>
    </row>
    <row r="136" spans="7:7">
      <c r="G136" s="5" t="str">
        <f t="shared" si="37"/>
        <v/>
      </c>
    </row>
    <row r="137" spans="7:7">
      <c r="G137" s="5" t="str">
        <f t="shared" si="37"/>
        <v/>
      </c>
    </row>
    <row r="138" spans="7:7">
      <c r="G138" s="5" t="str">
        <f t="shared" si="37"/>
        <v/>
      </c>
    </row>
    <row r="139" spans="7:7">
      <c r="G139" s="5" t="str">
        <f t="shared" si="37"/>
        <v/>
      </c>
    </row>
    <row r="140" spans="7:7">
      <c r="G140" s="5" t="str">
        <f t="shared" si="37"/>
        <v/>
      </c>
    </row>
    <row r="141" spans="7:7">
      <c r="G141" s="5" t="str">
        <f t="shared" si="37"/>
        <v/>
      </c>
    </row>
    <row r="142" spans="7:7">
      <c r="G142" s="5" t="str">
        <f t="shared" si="37"/>
        <v/>
      </c>
    </row>
    <row r="143" spans="7:7">
      <c r="G143" s="5" t="str">
        <f t="shared" si="37"/>
        <v/>
      </c>
    </row>
    <row r="144" spans="7:7">
      <c r="G144" s="5" t="str">
        <f t="shared" si="37"/>
        <v/>
      </c>
    </row>
    <row r="145" spans="7:7">
      <c r="G145" s="5" t="str">
        <f t="shared" si="37"/>
        <v/>
      </c>
    </row>
    <row r="146" spans="7:7">
      <c r="G146" s="5" t="str">
        <f t="shared" si="37"/>
        <v/>
      </c>
    </row>
    <row r="147" spans="7:7">
      <c r="G147" s="5" t="str">
        <f t="shared" si="37"/>
        <v/>
      </c>
    </row>
    <row r="148" spans="7:7">
      <c r="G148" s="5" t="str">
        <f t="shared" si="37"/>
        <v/>
      </c>
    </row>
    <row r="149" spans="7:7">
      <c r="G149" s="5" t="str">
        <f t="shared" si="37"/>
        <v/>
      </c>
    </row>
    <row r="150" spans="7:7">
      <c r="G150" s="5" t="str">
        <f t="shared" si="37"/>
        <v/>
      </c>
    </row>
    <row r="151" spans="7:7">
      <c r="G151" s="5" t="str">
        <f t="shared" si="37"/>
        <v/>
      </c>
    </row>
    <row r="152" spans="7:7">
      <c r="G152" s="5" t="str">
        <f t="shared" si="37"/>
        <v/>
      </c>
    </row>
    <row r="153" spans="7:7">
      <c r="G153" s="5" t="str">
        <f t="shared" si="37"/>
        <v/>
      </c>
    </row>
    <row r="154" spans="7:7">
      <c r="G154" s="5" t="str">
        <f t="shared" si="37"/>
        <v/>
      </c>
    </row>
    <row r="155" spans="7:7">
      <c r="G155" s="5" t="str">
        <f t="shared" si="37"/>
        <v/>
      </c>
    </row>
    <row r="156" spans="7:7">
      <c r="G156" s="5" t="str">
        <f t="shared" si="37"/>
        <v/>
      </c>
    </row>
    <row r="157" spans="7:7">
      <c r="G157" s="5" t="str">
        <f t="shared" si="37"/>
        <v/>
      </c>
    </row>
    <row r="158" spans="7:7">
      <c r="G158" s="5" t="str">
        <f t="shared" si="37"/>
        <v/>
      </c>
    </row>
    <row r="159" spans="7:7">
      <c r="G159" s="5" t="str">
        <f t="shared" si="37"/>
        <v/>
      </c>
    </row>
    <row r="160" spans="7:7">
      <c r="G160" s="5" t="str">
        <f t="shared" si="37"/>
        <v/>
      </c>
    </row>
    <row r="161" spans="7:7">
      <c r="G161" s="5" t="str">
        <f t="shared" si="37"/>
        <v/>
      </c>
    </row>
    <row r="162" spans="7:7">
      <c r="G162" s="5" t="str">
        <f t="shared" si="37"/>
        <v/>
      </c>
    </row>
    <row r="163" spans="7:7">
      <c r="G163" s="5" t="str">
        <f t="shared" si="37"/>
        <v/>
      </c>
    </row>
    <row r="164" spans="7:7">
      <c r="G164" s="5" t="str">
        <f t="shared" si="37"/>
        <v/>
      </c>
    </row>
    <row r="165" spans="7:7">
      <c r="G165" s="5" t="str">
        <f t="shared" si="37"/>
        <v/>
      </c>
    </row>
    <row r="166" spans="7:7">
      <c r="G166" s="5" t="str">
        <f t="shared" si="37"/>
        <v/>
      </c>
    </row>
    <row r="167" spans="7:7">
      <c r="G167" s="5" t="str">
        <f t="shared" si="37"/>
        <v/>
      </c>
    </row>
    <row r="168" spans="7:7">
      <c r="G168" s="5" t="str">
        <f t="shared" si="37"/>
        <v/>
      </c>
    </row>
    <row r="169" spans="7:7">
      <c r="G169" s="5" t="str">
        <f t="shared" ref="G169:G232" si="38">IF(B169&lt;&gt;"",SUM(C169:F169),"")</f>
        <v/>
      </c>
    </row>
    <row r="170" spans="7:7">
      <c r="G170" s="5" t="str">
        <f t="shared" si="38"/>
        <v/>
      </c>
    </row>
    <row r="171" spans="7:7">
      <c r="G171" s="5" t="str">
        <f t="shared" si="38"/>
        <v/>
      </c>
    </row>
    <row r="172" spans="7:7">
      <c r="G172" s="5" t="str">
        <f t="shared" si="38"/>
        <v/>
      </c>
    </row>
    <row r="173" spans="7:7">
      <c r="G173" s="5" t="str">
        <f t="shared" si="38"/>
        <v/>
      </c>
    </row>
    <row r="174" spans="7:7">
      <c r="G174" s="5" t="str">
        <f t="shared" si="38"/>
        <v/>
      </c>
    </row>
    <row r="175" spans="7:7">
      <c r="G175" s="5" t="str">
        <f t="shared" si="38"/>
        <v/>
      </c>
    </row>
    <row r="176" spans="7:7">
      <c r="G176" s="5" t="str">
        <f t="shared" si="38"/>
        <v/>
      </c>
    </row>
    <row r="177" spans="7:7">
      <c r="G177" s="5" t="str">
        <f t="shared" si="38"/>
        <v/>
      </c>
    </row>
    <row r="178" spans="7:7">
      <c r="G178" s="5" t="str">
        <f t="shared" si="38"/>
        <v/>
      </c>
    </row>
    <row r="179" spans="7:7">
      <c r="G179" s="5" t="str">
        <f t="shared" si="38"/>
        <v/>
      </c>
    </row>
    <row r="180" spans="7:7">
      <c r="G180" s="5" t="str">
        <f t="shared" si="38"/>
        <v/>
      </c>
    </row>
    <row r="181" spans="7:7">
      <c r="G181" s="5" t="str">
        <f t="shared" si="38"/>
        <v/>
      </c>
    </row>
    <row r="182" spans="7:7">
      <c r="G182" s="5" t="str">
        <f t="shared" si="38"/>
        <v/>
      </c>
    </row>
    <row r="183" spans="7:7">
      <c r="G183" s="5" t="str">
        <f t="shared" si="38"/>
        <v/>
      </c>
    </row>
    <row r="184" spans="7:7">
      <c r="G184" s="5" t="str">
        <f t="shared" si="38"/>
        <v/>
      </c>
    </row>
    <row r="185" spans="7:7">
      <c r="G185" s="5" t="str">
        <f t="shared" si="38"/>
        <v/>
      </c>
    </row>
    <row r="186" spans="7:7">
      <c r="G186" s="5" t="str">
        <f t="shared" si="38"/>
        <v/>
      </c>
    </row>
    <row r="187" spans="7:7">
      <c r="G187" s="5" t="str">
        <f t="shared" si="38"/>
        <v/>
      </c>
    </row>
    <row r="188" spans="7:7">
      <c r="G188" s="5" t="str">
        <f t="shared" si="38"/>
        <v/>
      </c>
    </row>
    <row r="189" spans="7:7">
      <c r="G189" s="5" t="str">
        <f t="shared" si="38"/>
        <v/>
      </c>
    </row>
    <row r="190" spans="7:7">
      <c r="G190" s="5" t="str">
        <f t="shared" si="38"/>
        <v/>
      </c>
    </row>
    <row r="191" spans="7:7">
      <c r="G191" s="5" t="str">
        <f t="shared" si="38"/>
        <v/>
      </c>
    </row>
    <row r="192" spans="7:7">
      <c r="G192" s="5" t="str">
        <f t="shared" si="38"/>
        <v/>
      </c>
    </row>
    <row r="193" spans="7:7">
      <c r="G193" s="5" t="str">
        <f t="shared" si="38"/>
        <v/>
      </c>
    </row>
    <row r="194" spans="7:7">
      <c r="G194" s="5" t="str">
        <f t="shared" si="38"/>
        <v/>
      </c>
    </row>
    <row r="195" spans="7:7">
      <c r="G195" s="5" t="str">
        <f t="shared" si="38"/>
        <v/>
      </c>
    </row>
    <row r="196" spans="7:7">
      <c r="G196" s="5" t="str">
        <f t="shared" si="38"/>
        <v/>
      </c>
    </row>
    <row r="197" spans="7:7">
      <c r="G197" s="5" t="str">
        <f t="shared" si="38"/>
        <v/>
      </c>
    </row>
    <row r="198" spans="7:7">
      <c r="G198" s="5" t="str">
        <f t="shared" si="38"/>
        <v/>
      </c>
    </row>
    <row r="199" spans="7:7">
      <c r="G199" s="5" t="str">
        <f t="shared" si="38"/>
        <v/>
      </c>
    </row>
    <row r="200" spans="7:7">
      <c r="G200" s="5" t="str">
        <f t="shared" si="38"/>
        <v/>
      </c>
    </row>
    <row r="201" spans="7:7">
      <c r="G201" s="5" t="str">
        <f t="shared" si="38"/>
        <v/>
      </c>
    </row>
    <row r="202" spans="7:7">
      <c r="G202" s="5" t="str">
        <f t="shared" si="38"/>
        <v/>
      </c>
    </row>
    <row r="203" spans="7:7">
      <c r="G203" s="5" t="str">
        <f t="shared" si="38"/>
        <v/>
      </c>
    </row>
    <row r="204" spans="7:7">
      <c r="G204" s="5" t="str">
        <f t="shared" si="38"/>
        <v/>
      </c>
    </row>
    <row r="205" spans="7:7">
      <c r="G205" s="5" t="str">
        <f t="shared" si="38"/>
        <v/>
      </c>
    </row>
    <row r="206" spans="7:7">
      <c r="G206" s="5" t="str">
        <f t="shared" si="38"/>
        <v/>
      </c>
    </row>
    <row r="207" spans="7:7">
      <c r="G207" s="5" t="str">
        <f t="shared" si="38"/>
        <v/>
      </c>
    </row>
    <row r="208" spans="7:7">
      <c r="G208" s="5" t="str">
        <f t="shared" si="38"/>
        <v/>
      </c>
    </row>
    <row r="209" spans="7:7">
      <c r="G209" s="5" t="str">
        <f t="shared" si="38"/>
        <v/>
      </c>
    </row>
    <row r="210" spans="7:7">
      <c r="G210" s="5" t="str">
        <f t="shared" si="38"/>
        <v/>
      </c>
    </row>
    <row r="211" spans="7:7">
      <c r="G211" s="5" t="str">
        <f t="shared" si="38"/>
        <v/>
      </c>
    </row>
    <row r="212" spans="7:7">
      <c r="G212" s="5" t="str">
        <f t="shared" si="38"/>
        <v/>
      </c>
    </row>
    <row r="213" spans="7:7">
      <c r="G213" s="5" t="str">
        <f t="shared" si="38"/>
        <v/>
      </c>
    </row>
    <row r="214" spans="7:7">
      <c r="G214" s="5" t="str">
        <f t="shared" si="38"/>
        <v/>
      </c>
    </row>
    <row r="215" spans="7:7">
      <c r="G215" s="5" t="str">
        <f t="shared" si="38"/>
        <v/>
      </c>
    </row>
    <row r="216" spans="7:7">
      <c r="G216" s="5" t="str">
        <f t="shared" si="38"/>
        <v/>
      </c>
    </row>
    <row r="217" spans="7:7">
      <c r="G217" s="5" t="str">
        <f t="shared" si="38"/>
        <v/>
      </c>
    </row>
    <row r="218" spans="7:7">
      <c r="G218" s="5" t="str">
        <f t="shared" si="38"/>
        <v/>
      </c>
    </row>
    <row r="219" spans="7:7">
      <c r="G219" s="5" t="str">
        <f t="shared" si="38"/>
        <v/>
      </c>
    </row>
    <row r="220" spans="7:7">
      <c r="G220" s="5" t="str">
        <f t="shared" si="38"/>
        <v/>
      </c>
    </row>
    <row r="221" spans="7:7">
      <c r="G221" s="5" t="str">
        <f t="shared" si="38"/>
        <v/>
      </c>
    </row>
    <row r="222" spans="7:7">
      <c r="G222" s="5" t="str">
        <f t="shared" si="38"/>
        <v/>
      </c>
    </row>
    <row r="223" spans="7:7">
      <c r="G223" s="5" t="str">
        <f t="shared" si="38"/>
        <v/>
      </c>
    </row>
    <row r="224" spans="7:7">
      <c r="G224" s="5" t="str">
        <f t="shared" si="38"/>
        <v/>
      </c>
    </row>
    <row r="225" spans="7:7">
      <c r="G225" s="5" t="str">
        <f t="shared" si="38"/>
        <v/>
      </c>
    </row>
    <row r="226" spans="7:7">
      <c r="G226" s="5" t="str">
        <f t="shared" si="38"/>
        <v/>
      </c>
    </row>
    <row r="227" spans="7:7">
      <c r="G227" s="5" t="str">
        <f t="shared" si="38"/>
        <v/>
      </c>
    </row>
    <row r="228" spans="7:7">
      <c r="G228" s="5" t="str">
        <f t="shared" si="38"/>
        <v/>
      </c>
    </row>
    <row r="229" spans="7:7">
      <c r="G229" s="5" t="str">
        <f t="shared" si="38"/>
        <v/>
      </c>
    </row>
    <row r="230" spans="7:7">
      <c r="G230" s="5" t="str">
        <f t="shared" si="38"/>
        <v/>
      </c>
    </row>
    <row r="231" spans="7:7">
      <c r="G231" s="5" t="str">
        <f t="shared" si="38"/>
        <v/>
      </c>
    </row>
    <row r="232" spans="7:7">
      <c r="G232" s="5" t="str">
        <f t="shared" si="38"/>
        <v/>
      </c>
    </row>
    <row r="233" spans="7:7">
      <c r="G233" s="5" t="str">
        <f t="shared" ref="G233:G296" si="39">IF(B233&lt;&gt;"",SUM(C233:F233),"")</f>
        <v/>
      </c>
    </row>
    <row r="234" spans="7:7">
      <c r="G234" s="5" t="str">
        <f t="shared" si="39"/>
        <v/>
      </c>
    </row>
    <row r="235" spans="7:7">
      <c r="G235" s="5" t="str">
        <f t="shared" si="39"/>
        <v/>
      </c>
    </row>
    <row r="236" spans="7:7">
      <c r="G236" s="5" t="str">
        <f t="shared" si="39"/>
        <v/>
      </c>
    </row>
    <row r="237" spans="7:7">
      <c r="G237" s="5" t="str">
        <f t="shared" si="39"/>
        <v/>
      </c>
    </row>
    <row r="238" spans="7:7">
      <c r="G238" s="5" t="str">
        <f t="shared" si="39"/>
        <v/>
      </c>
    </row>
    <row r="239" spans="7:7">
      <c r="G239" s="5" t="str">
        <f t="shared" si="39"/>
        <v/>
      </c>
    </row>
    <row r="240" spans="7:7">
      <c r="G240" s="5" t="str">
        <f t="shared" si="39"/>
        <v/>
      </c>
    </row>
    <row r="241" spans="7:7">
      <c r="G241" s="5" t="str">
        <f t="shared" si="39"/>
        <v/>
      </c>
    </row>
    <row r="242" spans="7:7">
      <c r="G242" s="5" t="str">
        <f t="shared" si="39"/>
        <v/>
      </c>
    </row>
    <row r="243" spans="7:7">
      <c r="G243" s="5" t="str">
        <f t="shared" si="39"/>
        <v/>
      </c>
    </row>
    <row r="244" spans="7:7">
      <c r="G244" s="5" t="str">
        <f t="shared" si="39"/>
        <v/>
      </c>
    </row>
    <row r="245" spans="7:7">
      <c r="G245" s="5" t="str">
        <f t="shared" si="39"/>
        <v/>
      </c>
    </row>
    <row r="246" spans="7:7">
      <c r="G246" s="5" t="str">
        <f t="shared" si="39"/>
        <v/>
      </c>
    </row>
    <row r="247" spans="7:7">
      <c r="G247" s="5" t="str">
        <f t="shared" si="39"/>
        <v/>
      </c>
    </row>
    <row r="248" spans="7:7">
      <c r="G248" s="5" t="str">
        <f t="shared" si="39"/>
        <v/>
      </c>
    </row>
    <row r="249" spans="7:7">
      <c r="G249" s="5" t="str">
        <f t="shared" si="39"/>
        <v/>
      </c>
    </row>
    <row r="250" spans="7:7">
      <c r="G250" s="5" t="str">
        <f t="shared" si="39"/>
        <v/>
      </c>
    </row>
    <row r="251" spans="7:7">
      <c r="G251" s="5" t="str">
        <f t="shared" si="39"/>
        <v/>
      </c>
    </row>
    <row r="252" spans="7:7">
      <c r="G252" s="5" t="str">
        <f t="shared" si="39"/>
        <v/>
      </c>
    </row>
    <row r="253" spans="7:7">
      <c r="G253" s="5" t="str">
        <f t="shared" si="39"/>
        <v/>
      </c>
    </row>
    <row r="254" spans="7:7">
      <c r="G254" s="5" t="str">
        <f t="shared" si="39"/>
        <v/>
      </c>
    </row>
    <row r="255" spans="7:7">
      <c r="G255" s="5" t="str">
        <f t="shared" si="39"/>
        <v/>
      </c>
    </row>
    <row r="256" spans="7:7">
      <c r="G256" s="5" t="str">
        <f t="shared" si="39"/>
        <v/>
      </c>
    </row>
    <row r="257" spans="7:7">
      <c r="G257" s="5" t="str">
        <f t="shared" si="39"/>
        <v/>
      </c>
    </row>
    <row r="258" spans="7:7">
      <c r="G258" s="5" t="str">
        <f t="shared" si="39"/>
        <v/>
      </c>
    </row>
    <row r="259" spans="7:7">
      <c r="G259" s="5" t="str">
        <f t="shared" si="39"/>
        <v/>
      </c>
    </row>
    <row r="260" spans="7:7">
      <c r="G260" s="5" t="str">
        <f t="shared" si="39"/>
        <v/>
      </c>
    </row>
    <row r="261" spans="7:7">
      <c r="G261" s="5" t="str">
        <f t="shared" si="39"/>
        <v/>
      </c>
    </row>
    <row r="262" spans="7:7">
      <c r="G262" s="5" t="str">
        <f t="shared" si="39"/>
        <v/>
      </c>
    </row>
    <row r="263" spans="7:7">
      <c r="G263" s="5" t="str">
        <f t="shared" si="39"/>
        <v/>
      </c>
    </row>
    <row r="264" spans="7:7">
      <c r="G264" s="5" t="str">
        <f t="shared" si="39"/>
        <v/>
      </c>
    </row>
    <row r="265" spans="7:7">
      <c r="G265" s="5" t="str">
        <f t="shared" si="39"/>
        <v/>
      </c>
    </row>
    <row r="266" spans="7:7">
      <c r="G266" s="5" t="str">
        <f t="shared" si="39"/>
        <v/>
      </c>
    </row>
    <row r="267" spans="7:7">
      <c r="G267" s="5" t="str">
        <f t="shared" si="39"/>
        <v/>
      </c>
    </row>
    <row r="268" spans="7:7">
      <c r="G268" s="5" t="str">
        <f t="shared" si="39"/>
        <v/>
      </c>
    </row>
    <row r="269" spans="7:7">
      <c r="G269" s="5" t="str">
        <f t="shared" si="39"/>
        <v/>
      </c>
    </row>
    <row r="270" spans="7:7">
      <c r="G270" s="5" t="str">
        <f t="shared" si="39"/>
        <v/>
      </c>
    </row>
    <row r="271" spans="7:7">
      <c r="G271" s="5" t="str">
        <f t="shared" si="39"/>
        <v/>
      </c>
    </row>
    <row r="272" spans="7:7">
      <c r="G272" s="5" t="str">
        <f t="shared" si="39"/>
        <v/>
      </c>
    </row>
    <row r="273" spans="7:7">
      <c r="G273" s="5" t="str">
        <f t="shared" si="39"/>
        <v/>
      </c>
    </row>
    <row r="274" spans="7:7">
      <c r="G274" s="5" t="str">
        <f t="shared" si="39"/>
        <v/>
      </c>
    </row>
    <row r="275" spans="7:7">
      <c r="G275" s="5" t="str">
        <f t="shared" si="39"/>
        <v/>
      </c>
    </row>
    <row r="276" spans="7:7">
      <c r="G276" s="5" t="str">
        <f t="shared" si="39"/>
        <v/>
      </c>
    </row>
    <row r="277" spans="7:7">
      <c r="G277" s="5" t="str">
        <f t="shared" si="39"/>
        <v/>
      </c>
    </row>
    <row r="278" spans="7:7">
      <c r="G278" s="5" t="str">
        <f t="shared" si="39"/>
        <v/>
      </c>
    </row>
    <row r="279" spans="7:7">
      <c r="G279" s="5" t="str">
        <f t="shared" si="39"/>
        <v/>
      </c>
    </row>
    <row r="280" spans="7:7">
      <c r="G280" s="5" t="str">
        <f t="shared" si="39"/>
        <v/>
      </c>
    </row>
    <row r="281" spans="7:7">
      <c r="G281" s="5" t="str">
        <f t="shared" si="39"/>
        <v/>
      </c>
    </row>
    <row r="282" spans="7:7">
      <c r="G282" s="5" t="str">
        <f t="shared" si="39"/>
        <v/>
      </c>
    </row>
    <row r="283" spans="7:7">
      <c r="G283" s="5" t="str">
        <f t="shared" si="39"/>
        <v/>
      </c>
    </row>
    <row r="284" spans="7:7">
      <c r="G284" s="5" t="str">
        <f t="shared" si="39"/>
        <v/>
      </c>
    </row>
    <row r="285" spans="7:7">
      <c r="G285" s="5" t="str">
        <f t="shared" si="39"/>
        <v/>
      </c>
    </row>
    <row r="286" spans="7:7">
      <c r="G286" s="5" t="str">
        <f t="shared" si="39"/>
        <v/>
      </c>
    </row>
    <row r="287" spans="7:7">
      <c r="G287" s="5" t="str">
        <f t="shared" si="39"/>
        <v/>
      </c>
    </row>
    <row r="288" spans="7:7">
      <c r="G288" s="5" t="str">
        <f t="shared" si="39"/>
        <v/>
      </c>
    </row>
    <row r="289" spans="7:7">
      <c r="G289" s="5" t="str">
        <f t="shared" si="39"/>
        <v/>
      </c>
    </row>
    <row r="290" spans="7:7">
      <c r="G290" s="5" t="str">
        <f t="shared" si="39"/>
        <v/>
      </c>
    </row>
    <row r="291" spans="7:7">
      <c r="G291" s="5" t="str">
        <f t="shared" si="39"/>
        <v/>
      </c>
    </row>
    <row r="292" spans="7:7">
      <c r="G292" s="5" t="str">
        <f t="shared" si="39"/>
        <v/>
      </c>
    </row>
    <row r="293" spans="7:7">
      <c r="G293" s="5" t="str">
        <f t="shared" si="39"/>
        <v/>
      </c>
    </row>
    <row r="294" spans="7:7">
      <c r="G294" s="5" t="str">
        <f t="shared" si="39"/>
        <v/>
      </c>
    </row>
    <row r="295" spans="7:7">
      <c r="G295" s="5" t="str">
        <f t="shared" si="39"/>
        <v/>
      </c>
    </row>
    <row r="296" spans="7:7">
      <c r="G296" s="5" t="str">
        <f t="shared" si="39"/>
        <v/>
      </c>
    </row>
    <row r="297" spans="7:7">
      <c r="G297" s="5" t="str">
        <f t="shared" ref="G297:G360" si="40">IF(B297&lt;&gt;"",SUM(C297:F297),"")</f>
        <v/>
      </c>
    </row>
    <row r="298" spans="7:7">
      <c r="G298" s="5" t="str">
        <f t="shared" si="40"/>
        <v/>
      </c>
    </row>
    <row r="299" spans="7:7">
      <c r="G299" s="5" t="str">
        <f t="shared" si="40"/>
        <v/>
      </c>
    </row>
    <row r="300" spans="7:7">
      <c r="G300" s="5" t="str">
        <f t="shared" si="40"/>
        <v/>
      </c>
    </row>
    <row r="301" spans="7:7">
      <c r="G301" s="5" t="str">
        <f t="shared" si="40"/>
        <v/>
      </c>
    </row>
    <row r="302" spans="7:7">
      <c r="G302" s="5" t="str">
        <f t="shared" si="40"/>
        <v/>
      </c>
    </row>
    <row r="303" spans="7:7">
      <c r="G303" s="5" t="str">
        <f t="shared" si="40"/>
        <v/>
      </c>
    </row>
    <row r="304" spans="7:7">
      <c r="G304" s="5" t="str">
        <f t="shared" si="40"/>
        <v/>
      </c>
    </row>
    <row r="305" spans="7:7">
      <c r="G305" s="5" t="str">
        <f t="shared" si="40"/>
        <v/>
      </c>
    </row>
    <row r="306" spans="7:7">
      <c r="G306" s="5" t="str">
        <f t="shared" si="40"/>
        <v/>
      </c>
    </row>
    <row r="307" spans="7:7">
      <c r="G307" s="5" t="str">
        <f t="shared" si="40"/>
        <v/>
      </c>
    </row>
    <row r="308" spans="7:7">
      <c r="G308" s="5" t="str">
        <f t="shared" si="40"/>
        <v/>
      </c>
    </row>
    <row r="309" spans="7:7">
      <c r="G309" s="5" t="str">
        <f t="shared" si="40"/>
        <v/>
      </c>
    </row>
    <row r="310" spans="7:7">
      <c r="G310" s="5" t="str">
        <f t="shared" si="40"/>
        <v/>
      </c>
    </row>
    <row r="311" spans="7:7">
      <c r="G311" s="5" t="str">
        <f t="shared" si="40"/>
        <v/>
      </c>
    </row>
    <row r="312" spans="7:7">
      <c r="G312" s="5" t="str">
        <f t="shared" si="40"/>
        <v/>
      </c>
    </row>
    <row r="313" spans="7:7">
      <c r="G313" s="5" t="str">
        <f t="shared" si="40"/>
        <v/>
      </c>
    </row>
    <row r="314" spans="7:7">
      <c r="G314" s="5" t="str">
        <f t="shared" si="40"/>
        <v/>
      </c>
    </row>
    <row r="315" spans="7:7">
      <c r="G315" s="5" t="str">
        <f t="shared" si="40"/>
        <v/>
      </c>
    </row>
    <row r="316" spans="7:7">
      <c r="G316" s="5" t="str">
        <f t="shared" si="40"/>
        <v/>
      </c>
    </row>
    <row r="317" spans="7:7">
      <c r="G317" s="5" t="str">
        <f t="shared" si="40"/>
        <v/>
      </c>
    </row>
    <row r="318" spans="7:7">
      <c r="G318" s="5" t="str">
        <f t="shared" si="40"/>
        <v/>
      </c>
    </row>
    <row r="319" spans="7:7">
      <c r="G319" s="5" t="str">
        <f t="shared" si="40"/>
        <v/>
      </c>
    </row>
    <row r="320" spans="7:7">
      <c r="G320" s="5" t="str">
        <f t="shared" si="40"/>
        <v/>
      </c>
    </row>
    <row r="321" spans="7:7">
      <c r="G321" s="5" t="str">
        <f t="shared" si="40"/>
        <v/>
      </c>
    </row>
    <row r="322" spans="7:7">
      <c r="G322" s="5" t="str">
        <f t="shared" si="40"/>
        <v/>
      </c>
    </row>
    <row r="323" spans="7:7">
      <c r="G323" s="5" t="str">
        <f t="shared" si="40"/>
        <v/>
      </c>
    </row>
    <row r="324" spans="7:7">
      <c r="G324" s="5" t="str">
        <f t="shared" si="40"/>
        <v/>
      </c>
    </row>
    <row r="325" spans="7:7">
      <c r="G325" s="5" t="str">
        <f t="shared" si="40"/>
        <v/>
      </c>
    </row>
    <row r="326" spans="7:7">
      <c r="G326" s="5" t="str">
        <f t="shared" si="40"/>
        <v/>
      </c>
    </row>
    <row r="327" spans="7:7">
      <c r="G327" s="5" t="str">
        <f t="shared" si="40"/>
        <v/>
      </c>
    </row>
    <row r="328" spans="7:7">
      <c r="G328" s="5" t="str">
        <f t="shared" si="40"/>
        <v/>
      </c>
    </row>
    <row r="329" spans="7:7">
      <c r="G329" s="5" t="str">
        <f t="shared" si="40"/>
        <v/>
      </c>
    </row>
    <row r="330" spans="7:7">
      <c r="G330" s="5" t="str">
        <f t="shared" si="40"/>
        <v/>
      </c>
    </row>
    <row r="331" spans="7:7">
      <c r="G331" s="5" t="str">
        <f t="shared" si="40"/>
        <v/>
      </c>
    </row>
    <row r="332" spans="7:7">
      <c r="G332" s="5" t="str">
        <f t="shared" si="40"/>
        <v/>
      </c>
    </row>
    <row r="333" spans="7:7">
      <c r="G333" s="5" t="str">
        <f t="shared" si="40"/>
        <v/>
      </c>
    </row>
    <row r="334" spans="7:7">
      <c r="G334" s="5" t="str">
        <f t="shared" si="40"/>
        <v/>
      </c>
    </row>
    <row r="335" spans="7:7">
      <c r="G335" s="5" t="str">
        <f t="shared" si="40"/>
        <v/>
      </c>
    </row>
    <row r="336" spans="7:7">
      <c r="G336" s="5" t="str">
        <f t="shared" si="40"/>
        <v/>
      </c>
    </row>
    <row r="337" spans="7:7">
      <c r="G337" s="5" t="str">
        <f t="shared" si="40"/>
        <v/>
      </c>
    </row>
    <row r="338" spans="7:7">
      <c r="G338" s="5" t="str">
        <f t="shared" si="40"/>
        <v/>
      </c>
    </row>
    <row r="339" spans="7:7">
      <c r="G339" s="5" t="str">
        <f t="shared" si="40"/>
        <v/>
      </c>
    </row>
    <row r="340" spans="7:7">
      <c r="G340" s="5" t="str">
        <f t="shared" si="40"/>
        <v/>
      </c>
    </row>
    <row r="341" spans="7:7">
      <c r="G341" s="5" t="str">
        <f t="shared" si="40"/>
        <v/>
      </c>
    </row>
    <row r="342" spans="7:7">
      <c r="G342" s="5" t="str">
        <f t="shared" si="40"/>
        <v/>
      </c>
    </row>
    <row r="343" spans="7:7">
      <c r="G343" s="5" t="str">
        <f t="shared" si="40"/>
        <v/>
      </c>
    </row>
    <row r="344" spans="7:7">
      <c r="G344" s="5" t="str">
        <f t="shared" si="40"/>
        <v/>
      </c>
    </row>
    <row r="345" spans="7:7">
      <c r="G345" s="5" t="str">
        <f t="shared" si="40"/>
        <v/>
      </c>
    </row>
    <row r="346" spans="7:7">
      <c r="G346" s="5" t="str">
        <f t="shared" si="40"/>
        <v/>
      </c>
    </row>
    <row r="347" spans="7:7">
      <c r="G347" s="5" t="str">
        <f t="shared" si="40"/>
        <v/>
      </c>
    </row>
    <row r="348" spans="7:7">
      <c r="G348" s="5" t="str">
        <f t="shared" si="40"/>
        <v/>
      </c>
    </row>
    <row r="349" spans="7:7">
      <c r="G349" s="5" t="str">
        <f t="shared" si="40"/>
        <v/>
      </c>
    </row>
    <row r="350" spans="7:7">
      <c r="G350" s="5" t="str">
        <f t="shared" si="40"/>
        <v/>
      </c>
    </row>
    <row r="351" spans="7:7">
      <c r="G351" s="5" t="str">
        <f t="shared" si="40"/>
        <v/>
      </c>
    </row>
    <row r="352" spans="7:7">
      <c r="G352" s="5" t="str">
        <f t="shared" si="40"/>
        <v/>
      </c>
    </row>
    <row r="353" spans="7:7">
      <c r="G353" s="5" t="str">
        <f t="shared" si="40"/>
        <v/>
      </c>
    </row>
    <row r="354" spans="7:7">
      <c r="G354" s="5" t="str">
        <f t="shared" si="40"/>
        <v/>
      </c>
    </row>
    <row r="355" spans="7:7">
      <c r="G355" s="5" t="str">
        <f t="shared" si="40"/>
        <v/>
      </c>
    </row>
    <row r="356" spans="7:7">
      <c r="G356" s="5" t="str">
        <f t="shared" si="40"/>
        <v/>
      </c>
    </row>
    <row r="357" spans="7:7">
      <c r="G357" s="5" t="str">
        <f t="shared" si="40"/>
        <v/>
      </c>
    </row>
    <row r="358" spans="7:7">
      <c r="G358" s="5" t="str">
        <f t="shared" si="40"/>
        <v/>
      </c>
    </row>
    <row r="359" spans="7:7">
      <c r="G359" s="5" t="str">
        <f t="shared" si="40"/>
        <v/>
      </c>
    </row>
    <row r="360" spans="7:7">
      <c r="G360" s="5" t="str">
        <f t="shared" si="40"/>
        <v/>
      </c>
    </row>
    <row r="361" spans="7:7">
      <c r="G361" s="5" t="str">
        <f t="shared" ref="G361:G424" si="41">IF(B361&lt;&gt;"",SUM(C361:F361),"")</f>
        <v/>
      </c>
    </row>
    <row r="362" spans="7:7">
      <c r="G362" s="5" t="str">
        <f t="shared" si="41"/>
        <v/>
      </c>
    </row>
    <row r="363" spans="7:7">
      <c r="G363" s="5" t="str">
        <f t="shared" si="41"/>
        <v/>
      </c>
    </row>
    <row r="364" spans="7:7">
      <c r="G364" s="5" t="str">
        <f t="shared" si="41"/>
        <v/>
      </c>
    </row>
    <row r="365" spans="7:7">
      <c r="G365" s="5" t="str">
        <f t="shared" si="41"/>
        <v/>
      </c>
    </row>
    <row r="366" spans="7:7">
      <c r="G366" s="5" t="str">
        <f t="shared" si="41"/>
        <v/>
      </c>
    </row>
    <row r="367" spans="7:7">
      <c r="G367" s="5" t="str">
        <f t="shared" si="41"/>
        <v/>
      </c>
    </row>
    <row r="368" spans="7:7">
      <c r="G368" s="5" t="str">
        <f t="shared" si="41"/>
        <v/>
      </c>
    </row>
    <row r="369" spans="7:7">
      <c r="G369" s="5" t="str">
        <f t="shared" si="41"/>
        <v/>
      </c>
    </row>
    <row r="370" spans="7:7">
      <c r="G370" s="5" t="str">
        <f t="shared" si="41"/>
        <v/>
      </c>
    </row>
    <row r="371" spans="7:7">
      <c r="G371" s="5" t="str">
        <f t="shared" si="41"/>
        <v/>
      </c>
    </row>
    <row r="372" spans="7:7">
      <c r="G372" s="5" t="str">
        <f t="shared" si="41"/>
        <v/>
      </c>
    </row>
    <row r="373" spans="7:7">
      <c r="G373" s="5" t="str">
        <f t="shared" si="41"/>
        <v/>
      </c>
    </row>
    <row r="374" spans="7:7">
      <c r="G374" s="5" t="str">
        <f t="shared" si="41"/>
        <v/>
      </c>
    </row>
    <row r="375" spans="7:7">
      <c r="G375" s="5" t="str">
        <f t="shared" si="41"/>
        <v/>
      </c>
    </row>
    <row r="376" spans="7:7">
      <c r="G376" s="5" t="str">
        <f t="shared" si="41"/>
        <v/>
      </c>
    </row>
    <row r="377" spans="7:7">
      <c r="G377" s="5" t="str">
        <f t="shared" si="41"/>
        <v/>
      </c>
    </row>
    <row r="378" spans="7:7">
      <c r="G378" s="5" t="str">
        <f t="shared" si="41"/>
        <v/>
      </c>
    </row>
    <row r="379" spans="7:7">
      <c r="G379" s="5" t="str">
        <f t="shared" si="41"/>
        <v/>
      </c>
    </row>
    <row r="380" spans="7:7">
      <c r="G380" s="5" t="str">
        <f t="shared" si="41"/>
        <v/>
      </c>
    </row>
    <row r="381" spans="7:7">
      <c r="G381" s="5" t="str">
        <f t="shared" si="41"/>
        <v/>
      </c>
    </row>
    <row r="382" spans="7:7">
      <c r="G382" s="5" t="str">
        <f t="shared" si="41"/>
        <v/>
      </c>
    </row>
    <row r="383" spans="7:7">
      <c r="G383" s="5" t="str">
        <f t="shared" si="41"/>
        <v/>
      </c>
    </row>
    <row r="384" spans="7:7">
      <c r="G384" s="5" t="str">
        <f t="shared" si="41"/>
        <v/>
      </c>
    </row>
    <row r="385" spans="7:7">
      <c r="G385" s="5" t="str">
        <f t="shared" si="41"/>
        <v/>
      </c>
    </row>
    <row r="386" spans="7:7">
      <c r="G386" s="5" t="str">
        <f t="shared" si="41"/>
        <v/>
      </c>
    </row>
    <row r="387" spans="7:7">
      <c r="G387" s="5" t="str">
        <f t="shared" si="41"/>
        <v/>
      </c>
    </row>
    <row r="388" spans="7:7">
      <c r="G388" s="5" t="str">
        <f t="shared" si="41"/>
        <v/>
      </c>
    </row>
    <row r="389" spans="7:7">
      <c r="G389" s="5" t="str">
        <f t="shared" si="41"/>
        <v/>
      </c>
    </row>
    <row r="390" spans="7:7">
      <c r="G390" s="5" t="str">
        <f t="shared" si="41"/>
        <v/>
      </c>
    </row>
    <row r="391" spans="7:7">
      <c r="G391" s="5" t="str">
        <f t="shared" si="41"/>
        <v/>
      </c>
    </row>
    <row r="392" spans="7:7">
      <c r="G392" s="5" t="str">
        <f t="shared" si="41"/>
        <v/>
      </c>
    </row>
    <row r="393" spans="7:7">
      <c r="G393" s="5" t="str">
        <f t="shared" si="41"/>
        <v/>
      </c>
    </row>
    <row r="394" spans="7:7">
      <c r="G394" s="5" t="str">
        <f t="shared" si="41"/>
        <v/>
      </c>
    </row>
    <row r="395" spans="7:7">
      <c r="G395" s="5" t="str">
        <f t="shared" si="41"/>
        <v/>
      </c>
    </row>
    <row r="396" spans="7:7">
      <c r="G396" s="5" t="str">
        <f t="shared" si="41"/>
        <v/>
      </c>
    </row>
    <row r="397" spans="7:7">
      <c r="G397" s="5" t="str">
        <f t="shared" si="41"/>
        <v/>
      </c>
    </row>
    <row r="398" spans="7:7">
      <c r="G398" s="5" t="str">
        <f t="shared" si="41"/>
        <v/>
      </c>
    </row>
    <row r="399" spans="7:7">
      <c r="G399" s="5" t="str">
        <f t="shared" si="41"/>
        <v/>
      </c>
    </row>
    <row r="400" spans="7:7">
      <c r="G400" s="5" t="str">
        <f t="shared" si="41"/>
        <v/>
      </c>
    </row>
    <row r="401" spans="7:7">
      <c r="G401" s="5" t="str">
        <f t="shared" si="41"/>
        <v/>
      </c>
    </row>
    <row r="402" spans="7:7">
      <c r="G402" s="5" t="str">
        <f t="shared" si="41"/>
        <v/>
      </c>
    </row>
    <row r="403" spans="7:7">
      <c r="G403" s="5" t="str">
        <f t="shared" si="41"/>
        <v/>
      </c>
    </row>
    <row r="404" spans="7:7">
      <c r="G404" s="5" t="str">
        <f t="shared" si="41"/>
        <v/>
      </c>
    </row>
    <row r="405" spans="7:7">
      <c r="G405" s="5" t="str">
        <f t="shared" si="41"/>
        <v/>
      </c>
    </row>
    <row r="406" spans="7:7">
      <c r="G406" s="5" t="str">
        <f t="shared" si="41"/>
        <v/>
      </c>
    </row>
    <row r="407" spans="7:7">
      <c r="G407" s="5" t="str">
        <f t="shared" si="41"/>
        <v/>
      </c>
    </row>
    <row r="408" spans="7:7">
      <c r="G408" s="5" t="str">
        <f t="shared" si="41"/>
        <v/>
      </c>
    </row>
    <row r="409" spans="7:7">
      <c r="G409" s="5" t="str">
        <f t="shared" si="41"/>
        <v/>
      </c>
    </row>
    <row r="410" spans="7:7">
      <c r="G410" s="5" t="str">
        <f t="shared" si="41"/>
        <v/>
      </c>
    </row>
    <row r="411" spans="7:7">
      <c r="G411" s="5" t="str">
        <f t="shared" si="41"/>
        <v/>
      </c>
    </row>
    <row r="412" spans="7:7">
      <c r="G412" s="5" t="str">
        <f t="shared" si="41"/>
        <v/>
      </c>
    </row>
    <row r="413" spans="7:7">
      <c r="G413" s="5" t="str">
        <f t="shared" si="41"/>
        <v/>
      </c>
    </row>
    <row r="414" spans="7:7">
      <c r="G414" s="5" t="str">
        <f t="shared" si="41"/>
        <v/>
      </c>
    </row>
    <row r="415" spans="7:7">
      <c r="G415" s="5" t="str">
        <f t="shared" si="41"/>
        <v/>
      </c>
    </row>
    <row r="416" spans="7:7">
      <c r="G416" s="5" t="str">
        <f t="shared" si="41"/>
        <v/>
      </c>
    </row>
    <row r="417" spans="7:7">
      <c r="G417" s="5" t="str">
        <f t="shared" si="41"/>
        <v/>
      </c>
    </row>
    <row r="418" spans="7:7">
      <c r="G418" s="5" t="str">
        <f t="shared" si="41"/>
        <v/>
      </c>
    </row>
    <row r="419" spans="7:7">
      <c r="G419" s="5" t="str">
        <f t="shared" si="41"/>
        <v/>
      </c>
    </row>
    <row r="420" spans="7:7">
      <c r="G420" s="5" t="str">
        <f t="shared" si="41"/>
        <v/>
      </c>
    </row>
    <row r="421" spans="7:7">
      <c r="G421" s="5" t="str">
        <f t="shared" si="41"/>
        <v/>
      </c>
    </row>
    <row r="422" spans="7:7">
      <c r="G422" s="5" t="str">
        <f t="shared" si="41"/>
        <v/>
      </c>
    </row>
    <row r="423" spans="7:7">
      <c r="G423" s="5" t="str">
        <f t="shared" si="41"/>
        <v/>
      </c>
    </row>
    <row r="424" spans="7:7">
      <c r="G424" s="5" t="str">
        <f t="shared" si="41"/>
        <v/>
      </c>
    </row>
    <row r="425" spans="7:7">
      <c r="G425" s="5" t="str">
        <f t="shared" ref="G425:G488" si="42">IF(B425&lt;&gt;"",SUM(C425:F425),"")</f>
        <v/>
      </c>
    </row>
    <row r="426" spans="7:7">
      <c r="G426" s="5" t="str">
        <f t="shared" si="42"/>
        <v/>
      </c>
    </row>
    <row r="427" spans="7:7">
      <c r="G427" s="5" t="str">
        <f t="shared" si="42"/>
        <v/>
      </c>
    </row>
    <row r="428" spans="7:7">
      <c r="G428" s="5" t="str">
        <f t="shared" si="42"/>
        <v/>
      </c>
    </row>
    <row r="429" spans="7:7">
      <c r="G429" s="5" t="str">
        <f t="shared" si="42"/>
        <v/>
      </c>
    </row>
    <row r="430" spans="7:7">
      <c r="G430" s="5" t="str">
        <f t="shared" si="42"/>
        <v/>
      </c>
    </row>
    <row r="431" spans="7:7">
      <c r="G431" s="5" t="str">
        <f t="shared" si="42"/>
        <v/>
      </c>
    </row>
    <row r="432" spans="7:7">
      <c r="G432" s="5" t="str">
        <f t="shared" si="42"/>
        <v/>
      </c>
    </row>
    <row r="433" spans="7:7">
      <c r="G433" s="5" t="str">
        <f t="shared" si="42"/>
        <v/>
      </c>
    </row>
    <row r="434" spans="7:7">
      <c r="G434" s="5" t="str">
        <f t="shared" si="42"/>
        <v/>
      </c>
    </row>
    <row r="435" spans="7:7">
      <c r="G435" s="5" t="str">
        <f t="shared" si="42"/>
        <v/>
      </c>
    </row>
    <row r="436" spans="7:7">
      <c r="G436" s="5" t="str">
        <f t="shared" si="42"/>
        <v/>
      </c>
    </row>
    <row r="437" spans="7:7">
      <c r="G437" s="5" t="str">
        <f t="shared" si="42"/>
        <v/>
      </c>
    </row>
    <row r="438" spans="7:7">
      <c r="G438" s="5" t="str">
        <f t="shared" si="42"/>
        <v/>
      </c>
    </row>
    <row r="439" spans="7:7">
      <c r="G439" s="5" t="str">
        <f t="shared" si="42"/>
        <v/>
      </c>
    </row>
    <row r="440" spans="7:7">
      <c r="G440" s="5" t="str">
        <f t="shared" si="42"/>
        <v/>
      </c>
    </row>
    <row r="441" spans="7:7">
      <c r="G441" s="5" t="str">
        <f t="shared" si="42"/>
        <v/>
      </c>
    </row>
    <row r="442" spans="7:7">
      <c r="G442" s="5" t="str">
        <f t="shared" si="42"/>
        <v/>
      </c>
    </row>
    <row r="443" spans="7:7">
      <c r="G443" s="5" t="str">
        <f t="shared" si="42"/>
        <v/>
      </c>
    </row>
    <row r="444" spans="7:7">
      <c r="G444" s="5" t="str">
        <f t="shared" si="42"/>
        <v/>
      </c>
    </row>
    <row r="445" spans="7:7">
      <c r="G445" s="5" t="str">
        <f t="shared" si="42"/>
        <v/>
      </c>
    </row>
    <row r="446" spans="7:7">
      <c r="G446" s="5" t="str">
        <f t="shared" si="42"/>
        <v/>
      </c>
    </row>
    <row r="447" spans="7:7">
      <c r="G447" s="5" t="str">
        <f t="shared" si="42"/>
        <v/>
      </c>
    </row>
    <row r="448" spans="7:7">
      <c r="G448" s="5" t="str">
        <f t="shared" si="42"/>
        <v/>
      </c>
    </row>
    <row r="449" spans="7:7">
      <c r="G449" s="5" t="str">
        <f t="shared" si="42"/>
        <v/>
      </c>
    </row>
    <row r="450" spans="7:7">
      <c r="G450" s="5" t="str">
        <f t="shared" si="42"/>
        <v/>
      </c>
    </row>
    <row r="451" spans="7:7">
      <c r="G451" s="5" t="str">
        <f t="shared" si="42"/>
        <v/>
      </c>
    </row>
    <row r="452" spans="7:7">
      <c r="G452" s="5" t="str">
        <f t="shared" si="42"/>
        <v/>
      </c>
    </row>
    <row r="453" spans="7:7">
      <c r="G453" s="5" t="str">
        <f t="shared" si="42"/>
        <v/>
      </c>
    </row>
    <row r="454" spans="7:7">
      <c r="G454" s="5" t="str">
        <f t="shared" si="42"/>
        <v/>
      </c>
    </row>
    <row r="455" spans="7:7">
      <c r="G455" s="5" t="str">
        <f t="shared" si="42"/>
        <v/>
      </c>
    </row>
    <row r="456" spans="7:7">
      <c r="G456" s="5" t="str">
        <f t="shared" si="42"/>
        <v/>
      </c>
    </row>
    <row r="457" spans="7:7">
      <c r="G457" s="5" t="str">
        <f t="shared" si="42"/>
        <v/>
      </c>
    </row>
    <row r="458" spans="7:7">
      <c r="G458" s="5" t="str">
        <f t="shared" si="42"/>
        <v/>
      </c>
    </row>
    <row r="459" spans="7:7">
      <c r="G459" s="5" t="str">
        <f t="shared" si="42"/>
        <v/>
      </c>
    </row>
    <row r="460" spans="7:7">
      <c r="G460" s="5" t="str">
        <f t="shared" si="42"/>
        <v/>
      </c>
    </row>
    <row r="461" spans="7:7">
      <c r="G461" s="5" t="str">
        <f t="shared" si="42"/>
        <v/>
      </c>
    </row>
    <row r="462" spans="7:7">
      <c r="G462" s="5" t="str">
        <f t="shared" si="42"/>
        <v/>
      </c>
    </row>
    <row r="463" spans="7:7">
      <c r="G463" s="5" t="str">
        <f t="shared" si="42"/>
        <v/>
      </c>
    </row>
    <row r="464" spans="7:7">
      <c r="G464" s="5" t="str">
        <f t="shared" si="42"/>
        <v/>
      </c>
    </row>
    <row r="465" spans="7:7">
      <c r="G465" s="5" t="str">
        <f t="shared" si="42"/>
        <v/>
      </c>
    </row>
    <row r="466" spans="7:7">
      <c r="G466" s="5" t="str">
        <f t="shared" si="42"/>
        <v/>
      </c>
    </row>
    <row r="467" spans="7:7">
      <c r="G467" s="5" t="str">
        <f t="shared" si="42"/>
        <v/>
      </c>
    </row>
    <row r="468" spans="7:7">
      <c r="G468" s="5" t="str">
        <f t="shared" si="42"/>
        <v/>
      </c>
    </row>
    <row r="469" spans="7:7">
      <c r="G469" s="5" t="str">
        <f t="shared" si="42"/>
        <v/>
      </c>
    </row>
    <row r="470" spans="7:7">
      <c r="G470" s="5" t="str">
        <f t="shared" si="42"/>
        <v/>
      </c>
    </row>
    <row r="471" spans="7:7">
      <c r="G471" s="5" t="str">
        <f t="shared" si="42"/>
        <v/>
      </c>
    </row>
    <row r="472" spans="7:7">
      <c r="G472" s="5" t="str">
        <f t="shared" si="42"/>
        <v/>
      </c>
    </row>
    <row r="473" spans="7:7">
      <c r="G473" s="5" t="str">
        <f t="shared" si="42"/>
        <v/>
      </c>
    </row>
    <row r="474" spans="7:7">
      <c r="G474" s="5" t="str">
        <f t="shared" si="42"/>
        <v/>
      </c>
    </row>
    <row r="475" spans="7:7">
      <c r="G475" s="5" t="str">
        <f t="shared" si="42"/>
        <v/>
      </c>
    </row>
    <row r="476" spans="7:7">
      <c r="G476" s="5" t="str">
        <f t="shared" si="42"/>
        <v/>
      </c>
    </row>
    <row r="477" spans="7:7">
      <c r="G477" s="5" t="str">
        <f t="shared" si="42"/>
        <v/>
      </c>
    </row>
    <row r="478" spans="7:7">
      <c r="G478" s="5" t="str">
        <f t="shared" si="42"/>
        <v/>
      </c>
    </row>
    <row r="479" spans="7:7">
      <c r="G479" s="5" t="str">
        <f t="shared" si="42"/>
        <v/>
      </c>
    </row>
    <row r="480" spans="7:7">
      <c r="G480" s="5" t="str">
        <f t="shared" si="42"/>
        <v/>
      </c>
    </row>
    <row r="481" spans="7:7">
      <c r="G481" s="5" t="str">
        <f t="shared" si="42"/>
        <v/>
      </c>
    </row>
    <row r="482" spans="7:7">
      <c r="G482" s="5" t="str">
        <f t="shared" si="42"/>
        <v/>
      </c>
    </row>
    <row r="483" spans="7:7">
      <c r="G483" s="5" t="str">
        <f t="shared" si="42"/>
        <v/>
      </c>
    </row>
    <row r="484" spans="7:7">
      <c r="G484" s="5" t="str">
        <f t="shared" si="42"/>
        <v/>
      </c>
    </row>
    <row r="485" spans="7:7">
      <c r="G485" s="5" t="str">
        <f t="shared" si="42"/>
        <v/>
      </c>
    </row>
    <row r="486" spans="7:7">
      <c r="G486" s="5" t="str">
        <f t="shared" si="42"/>
        <v/>
      </c>
    </row>
    <row r="487" spans="7:7">
      <c r="G487" s="5" t="str">
        <f t="shared" si="42"/>
        <v/>
      </c>
    </row>
    <row r="488" spans="7:7">
      <c r="G488" s="5" t="str">
        <f t="shared" si="42"/>
        <v/>
      </c>
    </row>
    <row r="489" spans="7:7">
      <c r="G489" s="5" t="str">
        <f t="shared" ref="G489:G520" si="43">IF(B489&lt;&gt;"",SUM(C489:F489),"")</f>
        <v/>
      </c>
    </row>
    <row r="490" spans="7:7">
      <c r="G490" s="5" t="str">
        <f t="shared" si="43"/>
        <v/>
      </c>
    </row>
    <row r="491" spans="7:7">
      <c r="G491" s="5" t="str">
        <f t="shared" si="43"/>
        <v/>
      </c>
    </row>
    <row r="492" spans="7:7">
      <c r="G492" s="5" t="str">
        <f t="shared" si="43"/>
        <v/>
      </c>
    </row>
    <row r="493" spans="7:7">
      <c r="G493" s="5" t="str">
        <f t="shared" si="43"/>
        <v/>
      </c>
    </row>
    <row r="494" spans="7:7">
      <c r="G494" s="5" t="str">
        <f t="shared" si="43"/>
        <v/>
      </c>
    </row>
    <row r="495" spans="7:7">
      <c r="G495" s="5" t="str">
        <f t="shared" si="43"/>
        <v/>
      </c>
    </row>
    <row r="496" spans="7:7">
      <c r="G496" s="5" t="str">
        <f t="shared" si="43"/>
        <v/>
      </c>
    </row>
    <row r="497" spans="7:7">
      <c r="G497" s="5" t="str">
        <f t="shared" si="43"/>
        <v/>
      </c>
    </row>
    <row r="498" spans="7:7">
      <c r="G498" s="5" t="str">
        <f t="shared" si="43"/>
        <v/>
      </c>
    </row>
    <row r="499" spans="7:7">
      <c r="G499" s="5" t="str">
        <f t="shared" si="43"/>
        <v/>
      </c>
    </row>
    <row r="500" spans="7:7">
      <c r="G500" s="5" t="str">
        <f t="shared" si="43"/>
        <v/>
      </c>
    </row>
    <row r="501" spans="7:7">
      <c r="G501" s="5" t="str">
        <f t="shared" si="43"/>
        <v/>
      </c>
    </row>
    <row r="502" spans="7:7">
      <c r="G502" s="5" t="str">
        <f t="shared" si="43"/>
        <v/>
      </c>
    </row>
    <row r="503" spans="7:7">
      <c r="G503" s="5" t="str">
        <f t="shared" si="43"/>
        <v/>
      </c>
    </row>
    <row r="504" spans="7:7">
      <c r="G504" s="5" t="str">
        <f t="shared" si="43"/>
        <v/>
      </c>
    </row>
    <row r="505" spans="7:7">
      <c r="G505" s="5" t="str">
        <f t="shared" si="43"/>
        <v/>
      </c>
    </row>
    <row r="506" spans="7:7">
      <c r="G506" s="5" t="str">
        <f t="shared" si="43"/>
        <v/>
      </c>
    </row>
    <row r="507" spans="7:7">
      <c r="G507" s="5" t="str">
        <f t="shared" si="43"/>
        <v/>
      </c>
    </row>
    <row r="508" spans="7:7">
      <c r="G508" s="5" t="str">
        <f t="shared" si="43"/>
        <v/>
      </c>
    </row>
    <row r="509" spans="7:7">
      <c r="G509" s="5" t="str">
        <f t="shared" si="43"/>
        <v/>
      </c>
    </row>
    <row r="510" spans="7:7">
      <c r="G510" s="5" t="str">
        <f t="shared" si="43"/>
        <v/>
      </c>
    </row>
    <row r="511" spans="7:7">
      <c r="G511" s="5" t="str">
        <f t="shared" si="43"/>
        <v/>
      </c>
    </row>
    <row r="512" spans="7:7">
      <c r="G512" s="5" t="str">
        <f t="shared" si="43"/>
        <v/>
      </c>
    </row>
    <row r="513" spans="7:7">
      <c r="G513" s="5" t="str">
        <f t="shared" si="43"/>
        <v/>
      </c>
    </row>
    <row r="514" spans="7:7">
      <c r="G514" s="5" t="str">
        <f t="shared" si="43"/>
        <v/>
      </c>
    </row>
    <row r="515" spans="7:7">
      <c r="G515" s="5" t="str">
        <f t="shared" si="43"/>
        <v/>
      </c>
    </row>
    <row r="516" spans="7:7">
      <c r="G516" s="5" t="str">
        <f t="shared" si="43"/>
        <v/>
      </c>
    </row>
    <row r="517" spans="7:7">
      <c r="G517" s="5" t="str">
        <f t="shared" si="43"/>
        <v/>
      </c>
    </row>
    <row r="518" spans="7:7">
      <c r="G518" s="5" t="str">
        <f t="shared" si="43"/>
        <v/>
      </c>
    </row>
    <row r="519" spans="7:7">
      <c r="G519" s="5" t="str">
        <f t="shared" si="43"/>
        <v/>
      </c>
    </row>
    <row r="520" spans="7:7">
      <c r="G520" s="5" t="str">
        <f t="shared" si="43"/>
        <v/>
      </c>
    </row>
  </sheetData>
  <sheetProtection algorithmName="SHA-512" hashValue="8Y6QNICBNm9hL8HNkjrX30OuGN45vKCSUp6UzWS0Sn6hKbS/ThcblxAZjZ5OSfLzvpzS6cRWuOreW85kPyQPYg==" saltValue="YMkm2JOsyJpHdTaoCGpprg==" spinCount="100000" sheet="1" sort="0" autoFilter="0" pivotTables="0"/>
  <autoFilter ref="B5:S94" xr:uid="{00000000-0001-0000-0900-000000000000}">
    <filterColumn colId="6">
      <filters blank="1">
        <filter val="110"/>
        <filter val="12"/>
        <filter val="120"/>
        <filter val="144"/>
        <filter val="15"/>
        <filter val="20"/>
        <filter val="216"/>
        <filter val="24"/>
        <filter val="30"/>
        <filter val="36"/>
        <filter val="40"/>
        <filter val="408"/>
        <filter val="48"/>
        <filter val="500"/>
        <filter val="78"/>
        <filter val="80"/>
        <filter val="800"/>
        <filter val="980"/>
        <filter val="R$ -"/>
        <filter val="R$ 71.366,02"/>
      </filters>
    </filterColumn>
  </autoFilter>
  <sortState xmlns:xlrd2="http://schemas.microsoft.com/office/spreadsheetml/2017/richdata2" ref="B6:M87">
    <sortCondition ref="B6:B87"/>
  </sortState>
  <pageMargins left="0.78740157480314965" right="0.78740157480314965" top="0.78740157480314965" bottom="0.78740157480314965" header="0" footer="0"/>
  <pageSetup paperSize="9" scale="87" orientation="landscape" verticalDpi="4294967295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 filterMode="1">
    <tabColor rgb="FF006600"/>
    <pageSetUpPr fitToPage="1"/>
  </sheetPr>
  <dimension ref="B1:T514"/>
  <sheetViews>
    <sheetView workbookViewId="0">
      <pane ySplit="5" topLeftCell="A6" activePane="bottomLeft" state="frozen"/>
      <selection pane="bottomLeft" activeCell="D86" sqref="D86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3" width="13.5703125" style="221" customWidth="1"/>
    <col min="4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3" width="14.85546875" style="6" hidden="1" customWidth="1"/>
    <col min="14" max="14" width="13.85546875" style="98" bestFit="1" customWidth="1"/>
    <col min="15" max="15" width="10.5703125" style="1" hidden="1" customWidth="1"/>
    <col min="16" max="16" width="11" style="1" hidden="1" customWidth="1"/>
    <col min="17" max="18" width="10.5703125" style="1" hidden="1" customWidth="1"/>
    <col min="19" max="19" width="12.140625" style="1" hidden="1" customWidth="1"/>
    <col min="20" max="20" width="11.5703125" style="1" hidden="1" customWidth="1"/>
    <col min="21" max="16384" width="9.140625" style="1"/>
  </cols>
  <sheetData>
    <row r="1" spans="2:20" ht="4.5" customHeight="1">
      <c r="B1" s="1"/>
      <c r="C1" s="182"/>
      <c r="D1" s="4"/>
      <c r="E1" s="4"/>
      <c r="F1" s="4"/>
      <c r="G1" s="4"/>
    </row>
    <row r="2" spans="2:20" ht="59.25" customHeight="1">
      <c r="B2" s="63" t="s">
        <v>27</v>
      </c>
      <c r="C2" s="182"/>
      <c r="D2" s="4"/>
      <c r="E2" s="4"/>
      <c r="F2" s="4"/>
      <c r="G2" s="4"/>
      <c r="H2" s="4"/>
      <c r="I2" s="4"/>
      <c r="J2" s="4"/>
      <c r="K2" s="4"/>
      <c r="L2" s="1"/>
      <c r="M2" s="1"/>
      <c r="N2" s="99"/>
    </row>
    <row r="3" spans="2:20" ht="4.5" customHeight="1" thickBot="1">
      <c r="B3" s="1"/>
      <c r="C3" s="182"/>
      <c r="D3" s="4"/>
      <c r="E3" s="4"/>
      <c r="F3" s="4"/>
      <c r="G3" s="4"/>
    </row>
    <row r="4" spans="2:20">
      <c r="B4" s="446" t="s">
        <v>6</v>
      </c>
      <c r="C4" s="43" t="s">
        <v>937</v>
      </c>
      <c r="D4" s="43" t="s">
        <v>937</v>
      </c>
      <c r="E4" s="43" t="s">
        <v>937</v>
      </c>
      <c r="F4" s="43" t="s">
        <v>937</v>
      </c>
      <c r="G4" s="43" t="s">
        <v>937</v>
      </c>
      <c r="H4" s="447"/>
      <c r="I4" s="447" t="s">
        <v>48</v>
      </c>
      <c r="J4" s="448" t="s">
        <v>9</v>
      </c>
      <c r="K4" s="448" t="s">
        <v>9</v>
      </c>
      <c r="L4" s="476">
        <v>4.5454545454545456E-2</v>
      </c>
      <c r="M4" s="477">
        <v>0.05</v>
      </c>
      <c r="N4" s="449" t="s">
        <v>15</v>
      </c>
      <c r="O4" s="36"/>
      <c r="P4" s="19"/>
      <c r="Q4" s="19"/>
      <c r="R4" s="19"/>
      <c r="S4" s="19"/>
      <c r="T4" s="19"/>
    </row>
    <row r="5" spans="2:20" ht="16.5" thickBot="1">
      <c r="B5" s="479" t="s">
        <v>5</v>
      </c>
      <c r="C5" s="480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63" t="s">
        <v>11</v>
      </c>
      <c r="N5" s="478" t="s">
        <v>16</v>
      </c>
      <c r="O5" s="37" t="s">
        <v>0</v>
      </c>
      <c r="P5" s="20" t="s">
        <v>12</v>
      </c>
      <c r="Q5" s="20" t="s">
        <v>2</v>
      </c>
      <c r="R5" s="20" t="s">
        <v>3</v>
      </c>
      <c r="S5" s="21" t="s">
        <v>1</v>
      </c>
      <c r="T5" s="22" t="s">
        <v>4</v>
      </c>
    </row>
    <row r="6" spans="2:20" hidden="1">
      <c r="B6" s="419" t="s">
        <v>1481</v>
      </c>
      <c r="C6" s="14"/>
      <c r="D6" s="14"/>
      <c r="E6" s="14"/>
      <c r="F6" s="14"/>
      <c r="G6" s="14"/>
      <c r="H6" s="23">
        <f>SUM(C6:G6)</f>
        <v>0</v>
      </c>
      <c r="I6" s="464">
        <f>L6-(L6*J6)</f>
        <v>1.8923333333333332</v>
      </c>
      <c r="J6" s="16">
        <v>0.3</v>
      </c>
      <c r="K6" s="17">
        <v>0.3</v>
      </c>
      <c r="L6" s="223">
        <v>2.7033333333333331</v>
      </c>
      <c r="M6" s="66">
        <v>11.81</v>
      </c>
      <c r="N6" s="170">
        <v>24</v>
      </c>
      <c r="O6" s="25">
        <f t="shared" ref="O6:O37" si="0">I6*C6</f>
        <v>0</v>
      </c>
      <c r="P6" s="25">
        <f t="shared" ref="P6:P37" si="1">I6*D6</f>
        <v>0</v>
      </c>
      <c r="Q6" s="25">
        <f t="shared" ref="Q6:Q37" si="2">I6*E6</f>
        <v>0</v>
      </c>
      <c r="R6" s="26">
        <f t="shared" ref="R6:R37" si="3">I6*F6</f>
        <v>0</v>
      </c>
      <c r="S6" s="27">
        <f t="shared" ref="S6:S37" si="4">I6*G6</f>
        <v>0</v>
      </c>
      <c r="T6" s="28">
        <f>SUM(O6:S6)</f>
        <v>0</v>
      </c>
    </row>
    <row r="7" spans="2:20" hidden="1">
      <c r="B7" s="419" t="s">
        <v>1482</v>
      </c>
      <c r="C7" s="14"/>
      <c r="D7" s="14"/>
      <c r="E7" s="14"/>
      <c r="F7" s="14"/>
      <c r="G7" s="14"/>
      <c r="H7" s="24">
        <f t="shared" ref="H7:H69" si="5">SUM(C7:G7)</f>
        <v>0</v>
      </c>
      <c r="I7" s="464">
        <f>(L7-(L7*J7))</f>
        <v>2.0778333333333334</v>
      </c>
      <c r="J7" s="10">
        <v>0.3</v>
      </c>
      <c r="K7" s="17">
        <v>0.3</v>
      </c>
      <c r="L7" s="223">
        <v>2.9683333333333333</v>
      </c>
      <c r="M7" s="66">
        <v>310.77</v>
      </c>
      <c r="N7" s="170">
        <v>72</v>
      </c>
      <c r="O7" s="25">
        <f t="shared" si="0"/>
        <v>0</v>
      </c>
      <c r="P7" s="25">
        <f t="shared" si="1"/>
        <v>0</v>
      </c>
      <c r="Q7" s="25">
        <f t="shared" si="2"/>
        <v>0</v>
      </c>
      <c r="R7" s="26">
        <f t="shared" si="3"/>
        <v>0</v>
      </c>
      <c r="S7" s="27">
        <f t="shared" si="4"/>
        <v>0</v>
      </c>
      <c r="T7" s="28">
        <f t="shared" ref="T7:T69" si="6">SUM(O7:S7)</f>
        <v>0</v>
      </c>
    </row>
    <row r="8" spans="2:20">
      <c r="B8" s="419" t="s">
        <v>1483</v>
      </c>
      <c r="C8" s="14">
        <v>1860</v>
      </c>
      <c r="D8" s="14"/>
      <c r="E8" s="14"/>
      <c r="F8" s="14"/>
      <c r="G8" s="14"/>
      <c r="H8" s="24">
        <f t="shared" si="5"/>
        <v>1860</v>
      </c>
      <c r="I8" s="464">
        <f t="shared" ref="I8:I35" si="7">L8-(L8*J8)</f>
        <v>10.038</v>
      </c>
      <c r="J8" s="10">
        <v>0.3</v>
      </c>
      <c r="K8" s="17">
        <v>0.3</v>
      </c>
      <c r="L8" s="223">
        <v>14.34</v>
      </c>
      <c r="M8" s="66">
        <v>9.36</v>
      </c>
      <c r="N8" s="170">
        <v>60</v>
      </c>
      <c r="O8" s="25">
        <f t="shared" si="0"/>
        <v>18670.68</v>
      </c>
      <c r="P8" s="25">
        <f t="shared" si="1"/>
        <v>0</v>
      </c>
      <c r="Q8" s="25">
        <f t="shared" si="2"/>
        <v>0</v>
      </c>
      <c r="R8" s="26">
        <f t="shared" si="3"/>
        <v>0</v>
      </c>
      <c r="S8" s="27">
        <f t="shared" si="4"/>
        <v>0</v>
      </c>
      <c r="T8" s="28">
        <f t="shared" si="6"/>
        <v>18670.68</v>
      </c>
    </row>
    <row r="9" spans="2:20">
      <c r="B9" s="419" t="s">
        <v>1484</v>
      </c>
      <c r="C9" s="14">
        <v>384</v>
      </c>
      <c r="D9" s="14"/>
      <c r="E9" s="14"/>
      <c r="F9" s="14"/>
      <c r="G9" s="14">
        <v>600</v>
      </c>
      <c r="H9" s="24">
        <f t="shared" si="5"/>
        <v>984</v>
      </c>
      <c r="I9" s="464">
        <f t="shared" si="7"/>
        <v>4.4939999999999998</v>
      </c>
      <c r="J9" s="10">
        <v>0.3</v>
      </c>
      <c r="K9" s="17">
        <v>0.3</v>
      </c>
      <c r="L9" s="223">
        <v>6.42</v>
      </c>
      <c r="M9" s="66">
        <v>14.97</v>
      </c>
      <c r="N9" s="170">
        <v>48</v>
      </c>
      <c r="O9" s="25">
        <f t="shared" si="0"/>
        <v>1725.6959999999999</v>
      </c>
      <c r="P9" s="25">
        <f t="shared" si="1"/>
        <v>0</v>
      </c>
      <c r="Q9" s="25">
        <f t="shared" si="2"/>
        <v>0</v>
      </c>
      <c r="R9" s="26">
        <f t="shared" si="3"/>
        <v>0</v>
      </c>
      <c r="S9" s="27">
        <f t="shared" si="4"/>
        <v>2696.3999999999996</v>
      </c>
      <c r="T9" s="28">
        <f t="shared" si="6"/>
        <v>4422.0959999999995</v>
      </c>
    </row>
    <row r="10" spans="2:20">
      <c r="B10" s="419" t="s">
        <v>1485</v>
      </c>
      <c r="C10" s="14">
        <v>384</v>
      </c>
      <c r="D10" s="14"/>
      <c r="E10" s="14"/>
      <c r="F10" s="14">
        <v>600</v>
      </c>
      <c r="G10" s="14">
        <v>600</v>
      </c>
      <c r="H10" s="24">
        <f t="shared" si="5"/>
        <v>1584</v>
      </c>
      <c r="I10" s="464">
        <f t="shared" si="7"/>
        <v>7.1959999999999997</v>
      </c>
      <c r="J10" s="10">
        <v>0.3</v>
      </c>
      <c r="K10" s="17">
        <v>0.3</v>
      </c>
      <c r="L10" s="223">
        <v>10.28</v>
      </c>
      <c r="M10" s="66">
        <v>20.87</v>
      </c>
      <c r="N10" s="170">
        <v>48</v>
      </c>
      <c r="O10" s="25">
        <f t="shared" si="0"/>
        <v>2763.2640000000001</v>
      </c>
      <c r="P10" s="25">
        <f t="shared" si="1"/>
        <v>0</v>
      </c>
      <c r="Q10" s="25">
        <f t="shared" si="2"/>
        <v>0</v>
      </c>
      <c r="R10" s="26">
        <f t="shared" si="3"/>
        <v>4317.5999999999995</v>
      </c>
      <c r="S10" s="27">
        <f t="shared" si="4"/>
        <v>4317.5999999999995</v>
      </c>
      <c r="T10" s="28">
        <f t="shared" si="6"/>
        <v>11398.464</v>
      </c>
    </row>
    <row r="11" spans="2:20" hidden="1">
      <c r="B11" s="419" t="s">
        <v>1486</v>
      </c>
      <c r="C11" s="14"/>
      <c r="D11" s="14"/>
      <c r="E11" s="14"/>
      <c r="F11" s="14"/>
      <c r="G11" s="14"/>
      <c r="H11" s="24">
        <f t="shared" si="5"/>
        <v>0</v>
      </c>
      <c r="I11" s="464">
        <f t="shared" si="7"/>
        <v>5.2744999999999997</v>
      </c>
      <c r="J11" s="10">
        <v>0.3</v>
      </c>
      <c r="K11" s="17">
        <v>0.3</v>
      </c>
      <c r="L11" s="223">
        <v>7.5350000000000001</v>
      </c>
      <c r="M11" s="66">
        <v>10.98</v>
      </c>
      <c r="N11" s="170">
        <v>60</v>
      </c>
      <c r="O11" s="25">
        <f t="shared" si="0"/>
        <v>0</v>
      </c>
      <c r="P11" s="25">
        <f t="shared" si="1"/>
        <v>0</v>
      </c>
      <c r="Q11" s="25">
        <f t="shared" si="2"/>
        <v>0</v>
      </c>
      <c r="R11" s="26">
        <f t="shared" si="3"/>
        <v>0</v>
      </c>
      <c r="S11" s="27">
        <f t="shared" si="4"/>
        <v>0</v>
      </c>
      <c r="T11" s="28">
        <f t="shared" si="6"/>
        <v>0</v>
      </c>
    </row>
    <row r="12" spans="2:20" hidden="1">
      <c r="B12" s="419" t="s">
        <v>1487</v>
      </c>
      <c r="C12" s="14"/>
      <c r="D12" s="14"/>
      <c r="E12" s="14"/>
      <c r="F12" s="14"/>
      <c r="G12" s="14"/>
      <c r="H12" s="24">
        <f t="shared" si="5"/>
        <v>0</v>
      </c>
      <c r="I12" s="464">
        <f t="shared" si="7"/>
        <v>8.4945000000000004</v>
      </c>
      <c r="J12" s="10">
        <v>0.3</v>
      </c>
      <c r="K12" s="17">
        <v>0.3</v>
      </c>
      <c r="L12" s="223">
        <v>12.135</v>
      </c>
      <c r="M12" s="66">
        <v>17.66</v>
      </c>
      <c r="N12" s="170">
        <v>60</v>
      </c>
      <c r="O12" s="25">
        <f t="shared" si="0"/>
        <v>0</v>
      </c>
      <c r="P12" s="25">
        <f t="shared" si="1"/>
        <v>0</v>
      </c>
      <c r="Q12" s="25">
        <f t="shared" si="2"/>
        <v>0</v>
      </c>
      <c r="R12" s="26">
        <f t="shared" si="3"/>
        <v>0</v>
      </c>
      <c r="S12" s="27">
        <f t="shared" si="4"/>
        <v>0</v>
      </c>
      <c r="T12" s="28">
        <f t="shared" si="6"/>
        <v>0</v>
      </c>
    </row>
    <row r="13" spans="2:20">
      <c r="B13" s="419" t="s">
        <v>1488</v>
      </c>
      <c r="C13" s="14"/>
      <c r="D13" s="14">
        <v>18</v>
      </c>
      <c r="E13" s="14"/>
      <c r="F13" s="14"/>
      <c r="G13" s="14"/>
      <c r="H13" s="24">
        <f t="shared" si="5"/>
        <v>18</v>
      </c>
      <c r="I13" s="464">
        <f t="shared" si="7"/>
        <v>13.558729166666666</v>
      </c>
      <c r="J13" s="10">
        <v>0.35</v>
      </c>
      <c r="K13" s="17">
        <v>0.3</v>
      </c>
      <c r="L13" s="169">
        <v>20.859583333333333</v>
      </c>
      <c r="M13" s="66">
        <v>470.43</v>
      </c>
      <c r="N13" s="170">
        <v>24</v>
      </c>
      <c r="O13" s="25">
        <f t="shared" si="0"/>
        <v>0</v>
      </c>
      <c r="P13" s="25">
        <f t="shared" si="1"/>
        <v>244.05712499999998</v>
      </c>
      <c r="Q13" s="25">
        <f t="shared" si="2"/>
        <v>0</v>
      </c>
      <c r="R13" s="26">
        <f t="shared" si="3"/>
        <v>0</v>
      </c>
      <c r="S13" s="27">
        <f t="shared" si="4"/>
        <v>0</v>
      </c>
      <c r="T13" s="28">
        <f t="shared" si="6"/>
        <v>244.05712499999998</v>
      </c>
    </row>
    <row r="14" spans="2:20" hidden="1">
      <c r="B14" s="419" t="s">
        <v>1489</v>
      </c>
      <c r="C14" s="14"/>
      <c r="D14" s="14"/>
      <c r="E14" s="14"/>
      <c r="F14" s="14"/>
      <c r="G14" s="14"/>
      <c r="H14" s="24">
        <f t="shared" si="5"/>
        <v>0</v>
      </c>
      <c r="I14" s="464">
        <f t="shared" si="7"/>
        <v>202.26050000000004</v>
      </c>
      <c r="J14" s="10">
        <v>0.35</v>
      </c>
      <c r="K14" s="17">
        <v>0.3</v>
      </c>
      <c r="L14" s="222">
        <v>311.17</v>
      </c>
      <c r="M14" s="66">
        <v>363.99</v>
      </c>
      <c r="N14" s="170">
        <v>12</v>
      </c>
      <c r="O14" s="25">
        <f t="shared" si="0"/>
        <v>0</v>
      </c>
      <c r="P14" s="25">
        <f t="shared" si="1"/>
        <v>0</v>
      </c>
      <c r="Q14" s="25">
        <f t="shared" si="2"/>
        <v>0</v>
      </c>
      <c r="R14" s="26">
        <f t="shared" si="3"/>
        <v>0</v>
      </c>
      <c r="S14" s="27">
        <f t="shared" si="4"/>
        <v>0</v>
      </c>
      <c r="T14" s="28">
        <f t="shared" si="6"/>
        <v>0</v>
      </c>
    </row>
    <row r="15" spans="2:20">
      <c r="B15" s="419" t="s">
        <v>1490</v>
      </c>
      <c r="C15" s="14"/>
      <c r="D15" s="14">
        <v>160</v>
      </c>
      <c r="E15" s="14"/>
      <c r="F15" s="14"/>
      <c r="G15" s="14"/>
      <c r="H15" s="24">
        <f t="shared" si="5"/>
        <v>160</v>
      </c>
      <c r="I15" s="464">
        <f t="shared" si="7"/>
        <v>8.7621354166666663</v>
      </c>
      <c r="J15" s="10">
        <v>0.35</v>
      </c>
      <c r="K15" s="17">
        <v>0.3</v>
      </c>
      <c r="L15" s="169">
        <v>13.480208333333332</v>
      </c>
      <c r="M15" s="66">
        <v>452.47</v>
      </c>
      <c r="N15" s="170">
        <v>1</v>
      </c>
      <c r="O15" s="25">
        <f t="shared" si="0"/>
        <v>0</v>
      </c>
      <c r="P15" s="25">
        <f t="shared" si="1"/>
        <v>1401.9416666666666</v>
      </c>
      <c r="Q15" s="25">
        <f t="shared" si="2"/>
        <v>0</v>
      </c>
      <c r="R15" s="26">
        <f t="shared" si="3"/>
        <v>0</v>
      </c>
      <c r="S15" s="27">
        <f t="shared" si="4"/>
        <v>0</v>
      </c>
      <c r="T15" s="28">
        <f t="shared" si="6"/>
        <v>1401.9416666666666</v>
      </c>
    </row>
    <row r="16" spans="2:20" hidden="1">
      <c r="B16" s="419" t="s">
        <v>1491</v>
      </c>
      <c r="C16" s="14"/>
      <c r="D16" s="14"/>
      <c r="E16" s="14"/>
      <c r="F16" s="14"/>
      <c r="G16" s="14"/>
      <c r="H16" s="24">
        <f t="shared" si="5"/>
        <v>0</v>
      </c>
      <c r="I16" s="464">
        <f t="shared" si="7"/>
        <v>6.4050000000000002</v>
      </c>
      <c r="J16" s="10">
        <v>0.3</v>
      </c>
      <c r="K16" s="17">
        <v>0.3</v>
      </c>
      <c r="L16" s="223">
        <v>9.15</v>
      </c>
      <c r="M16" s="66">
        <v>13.33</v>
      </c>
      <c r="N16" s="170">
        <v>48</v>
      </c>
      <c r="O16" s="25">
        <f t="shared" si="0"/>
        <v>0</v>
      </c>
      <c r="P16" s="25">
        <f t="shared" si="1"/>
        <v>0</v>
      </c>
      <c r="Q16" s="25">
        <f t="shared" si="2"/>
        <v>0</v>
      </c>
      <c r="R16" s="26">
        <f t="shared" si="3"/>
        <v>0</v>
      </c>
      <c r="S16" s="27">
        <f t="shared" si="4"/>
        <v>0</v>
      </c>
      <c r="T16" s="28">
        <f t="shared" si="6"/>
        <v>0</v>
      </c>
    </row>
    <row r="17" spans="2:20" hidden="1">
      <c r="B17" s="419" t="s">
        <v>1492</v>
      </c>
      <c r="C17" s="14"/>
      <c r="D17" s="14"/>
      <c r="E17" s="14"/>
      <c r="F17" s="14"/>
      <c r="G17" s="14"/>
      <c r="H17" s="24">
        <f t="shared" si="5"/>
        <v>0</v>
      </c>
      <c r="I17" s="464">
        <f t="shared" si="7"/>
        <v>24.192</v>
      </c>
      <c r="J17" s="10">
        <v>0.3</v>
      </c>
      <c r="K17" s="17">
        <v>0.3</v>
      </c>
      <c r="L17" s="223">
        <v>34.56</v>
      </c>
      <c r="M17" s="66">
        <v>16.68</v>
      </c>
      <c r="N17" s="170">
        <v>48</v>
      </c>
      <c r="O17" s="25">
        <f t="shared" si="0"/>
        <v>0</v>
      </c>
      <c r="P17" s="25">
        <f t="shared" si="1"/>
        <v>0</v>
      </c>
      <c r="Q17" s="25">
        <f t="shared" si="2"/>
        <v>0</v>
      </c>
      <c r="R17" s="26">
        <f t="shared" si="3"/>
        <v>0</v>
      </c>
      <c r="S17" s="27">
        <f t="shared" si="4"/>
        <v>0</v>
      </c>
      <c r="T17" s="28">
        <f t="shared" si="6"/>
        <v>0</v>
      </c>
    </row>
    <row r="18" spans="2:20" hidden="1">
      <c r="B18" s="419" t="s">
        <v>1493</v>
      </c>
      <c r="C18" s="14"/>
      <c r="D18" s="14"/>
      <c r="E18" s="14"/>
      <c r="F18" s="14"/>
      <c r="G18" s="14"/>
      <c r="H18" s="24">
        <f t="shared" si="5"/>
        <v>0</v>
      </c>
      <c r="I18" s="464">
        <f t="shared" si="7"/>
        <v>8.0220000000000002</v>
      </c>
      <c r="J18" s="10">
        <v>0.3</v>
      </c>
      <c r="K18" s="17">
        <v>0.3</v>
      </c>
      <c r="L18" s="223">
        <v>11.46</v>
      </c>
      <c r="M18" s="66">
        <v>29</v>
      </c>
      <c r="N18" s="170">
        <v>24</v>
      </c>
      <c r="O18" s="25">
        <f t="shared" si="0"/>
        <v>0</v>
      </c>
      <c r="P18" s="25">
        <f t="shared" si="1"/>
        <v>0</v>
      </c>
      <c r="Q18" s="25">
        <f t="shared" si="2"/>
        <v>0</v>
      </c>
      <c r="R18" s="26">
        <f t="shared" si="3"/>
        <v>0</v>
      </c>
      <c r="S18" s="27">
        <f t="shared" si="4"/>
        <v>0</v>
      </c>
      <c r="T18" s="28">
        <f t="shared" si="6"/>
        <v>0</v>
      </c>
    </row>
    <row r="19" spans="2:20" hidden="1">
      <c r="B19" s="419" t="s">
        <v>1494</v>
      </c>
      <c r="C19" s="14"/>
      <c r="D19" s="14"/>
      <c r="E19" s="14"/>
      <c r="F19" s="14"/>
      <c r="G19" s="14"/>
      <c r="H19" s="24">
        <f t="shared" si="5"/>
        <v>0</v>
      </c>
      <c r="I19" s="464">
        <f t="shared" si="7"/>
        <v>13.954499999999999</v>
      </c>
      <c r="J19" s="10">
        <v>0.3</v>
      </c>
      <c r="K19" s="17">
        <v>0.3</v>
      </c>
      <c r="L19" s="223">
        <v>19.934999999999999</v>
      </c>
      <c r="M19" s="66">
        <v>50.27</v>
      </c>
      <c r="N19" s="170">
        <v>12</v>
      </c>
      <c r="O19" s="25">
        <f t="shared" si="0"/>
        <v>0</v>
      </c>
      <c r="P19" s="25">
        <f t="shared" si="1"/>
        <v>0</v>
      </c>
      <c r="Q19" s="25">
        <f t="shared" si="2"/>
        <v>0</v>
      </c>
      <c r="R19" s="26">
        <f t="shared" si="3"/>
        <v>0</v>
      </c>
      <c r="S19" s="27">
        <f t="shared" si="4"/>
        <v>0</v>
      </c>
      <c r="T19" s="28">
        <f t="shared" si="6"/>
        <v>0</v>
      </c>
    </row>
    <row r="20" spans="2:20">
      <c r="B20" s="419" t="s">
        <v>1495</v>
      </c>
      <c r="C20" s="14">
        <v>360</v>
      </c>
      <c r="D20" s="14"/>
      <c r="E20" s="14"/>
      <c r="F20" s="14">
        <v>120</v>
      </c>
      <c r="G20" s="14"/>
      <c r="H20" s="24">
        <f t="shared" si="5"/>
        <v>480</v>
      </c>
      <c r="I20" s="464">
        <f t="shared" si="7"/>
        <v>4.6129999999999995</v>
      </c>
      <c r="J20" s="10">
        <v>0.3</v>
      </c>
      <c r="K20" s="17">
        <v>0.3</v>
      </c>
      <c r="L20" s="223">
        <v>6.59</v>
      </c>
      <c r="M20" s="66">
        <v>9.6</v>
      </c>
      <c r="N20" s="170">
        <v>120</v>
      </c>
      <c r="O20" s="25">
        <f t="shared" si="0"/>
        <v>1660.6799999999998</v>
      </c>
      <c r="P20" s="25">
        <f t="shared" si="1"/>
        <v>0</v>
      </c>
      <c r="Q20" s="25">
        <f t="shared" si="2"/>
        <v>0</v>
      </c>
      <c r="R20" s="26">
        <f t="shared" si="3"/>
        <v>553.55999999999995</v>
      </c>
      <c r="S20" s="27">
        <f t="shared" si="4"/>
        <v>0</v>
      </c>
      <c r="T20" s="28">
        <f t="shared" si="6"/>
        <v>2214.2399999999998</v>
      </c>
    </row>
    <row r="21" spans="2:20">
      <c r="B21" s="419" t="s">
        <v>1496</v>
      </c>
      <c r="C21" s="14">
        <v>144</v>
      </c>
      <c r="D21" s="14">
        <v>180</v>
      </c>
      <c r="E21" s="14"/>
      <c r="F21" s="14">
        <v>360</v>
      </c>
      <c r="G21" s="14">
        <v>600</v>
      </c>
      <c r="H21" s="24">
        <f t="shared" si="5"/>
        <v>1284</v>
      </c>
      <c r="I21" s="464">
        <f t="shared" si="7"/>
        <v>5.5790000000000006</v>
      </c>
      <c r="J21" s="10">
        <v>0.3</v>
      </c>
      <c r="K21" s="17">
        <v>0.3</v>
      </c>
      <c r="L21" s="223">
        <v>7.9700000000000006</v>
      </c>
      <c r="M21" s="66">
        <v>22.31</v>
      </c>
      <c r="N21" s="170">
        <v>48</v>
      </c>
      <c r="O21" s="25">
        <f t="shared" si="0"/>
        <v>803.37600000000009</v>
      </c>
      <c r="P21" s="25">
        <f t="shared" si="1"/>
        <v>1004.2200000000001</v>
      </c>
      <c r="Q21" s="25">
        <f t="shared" si="2"/>
        <v>0</v>
      </c>
      <c r="R21" s="26">
        <f t="shared" si="3"/>
        <v>2008.4400000000003</v>
      </c>
      <c r="S21" s="27">
        <f t="shared" si="4"/>
        <v>3347.4000000000005</v>
      </c>
      <c r="T21" s="28">
        <f t="shared" si="6"/>
        <v>7163.4360000000015</v>
      </c>
    </row>
    <row r="22" spans="2:20">
      <c r="B22" s="419" t="s">
        <v>1497</v>
      </c>
      <c r="C22" s="14">
        <v>2040</v>
      </c>
      <c r="D22" s="14"/>
      <c r="E22" s="14"/>
      <c r="F22" s="14"/>
      <c r="G22" s="14"/>
      <c r="H22" s="24">
        <f t="shared" si="5"/>
        <v>2040</v>
      </c>
      <c r="I22" s="464">
        <f t="shared" si="7"/>
        <v>10.731000000000002</v>
      </c>
      <c r="J22" s="10">
        <v>0.3</v>
      </c>
      <c r="K22" s="17">
        <v>0.3</v>
      </c>
      <c r="L22" s="223">
        <v>15.330000000000002</v>
      </c>
      <c r="M22" s="66">
        <v>11.61</v>
      </c>
      <c r="N22" s="170">
        <v>60</v>
      </c>
      <c r="O22" s="25">
        <f t="shared" si="0"/>
        <v>21891.24</v>
      </c>
      <c r="P22" s="25">
        <f t="shared" si="1"/>
        <v>0</v>
      </c>
      <c r="Q22" s="25">
        <f t="shared" si="2"/>
        <v>0</v>
      </c>
      <c r="R22" s="26">
        <f t="shared" si="3"/>
        <v>0</v>
      </c>
      <c r="S22" s="27">
        <f t="shared" si="4"/>
        <v>0</v>
      </c>
      <c r="T22" s="28">
        <f t="shared" si="6"/>
        <v>21891.24</v>
      </c>
    </row>
    <row r="23" spans="2:20" hidden="1">
      <c r="B23" s="419" t="s">
        <v>1498</v>
      </c>
      <c r="C23" s="14"/>
      <c r="D23" s="14"/>
      <c r="E23" s="14"/>
      <c r="F23" s="14"/>
      <c r="G23" s="14"/>
      <c r="H23" s="24">
        <f t="shared" si="5"/>
        <v>0</v>
      </c>
      <c r="I23" s="464">
        <f t="shared" si="7"/>
        <v>8.4314999999999998</v>
      </c>
      <c r="J23" s="10">
        <v>0.3</v>
      </c>
      <c r="K23" s="17">
        <v>0.3</v>
      </c>
      <c r="L23" s="223">
        <v>12.045</v>
      </c>
      <c r="M23" s="66">
        <v>17.53</v>
      </c>
      <c r="N23" s="170">
        <v>48</v>
      </c>
      <c r="O23" s="25">
        <f t="shared" si="0"/>
        <v>0</v>
      </c>
      <c r="P23" s="25">
        <f t="shared" si="1"/>
        <v>0</v>
      </c>
      <c r="Q23" s="25">
        <f t="shared" si="2"/>
        <v>0</v>
      </c>
      <c r="R23" s="26">
        <f t="shared" si="3"/>
        <v>0</v>
      </c>
      <c r="S23" s="27">
        <f t="shared" si="4"/>
        <v>0</v>
      </c>
      <c r="T23" s="28">
        <f t="shared" si="6"/>
        <v>0</v>
      </c>
    </row>
    <row r="24" spans="2:20" hidden="1">
      <c r="B24" s="419" t="s">
        <v>1499</v>
      </c>
      <c r="C24" s="14"/>
      <c r="D24" s="14"/>
      <c r="E24" s="14"/>
      <c r="F24" s="14"/>
      <c r="G24" s="14"/>
      <c r="H24" s="24">
        <f t="shared" si="5"/>
        <v>0</v>
      </c>
      <c r="I24" s="464">
        <f t="shared" si="7"/>
        <v>11.154500000000001</v>
      </c>
      <c r="J24" s="10">
        <v>0.3</v>
      </c>
      <c r="K24" s="17">
        <v>0.3</v>
      </c>
      <c r="L24" s="223">
        <v>15.935</v>
      </c>
      <c r="M24" s="66">
        <v>23.19</v>
      </c>
      <c r="N24" s="170">
        <v>48</v>
      </c>
      <c r="O24" s="25">
        <f t="shared" si="0"/>
        <v>0</v>
      </c>
      <c r="P24" s="25">
        <f t="shared" si="1"/>
        <v>0</v>
      </c>
      <c r="Q24" s="25">
        <f t="shared" si="2"/>
        <v>0</v>
      </c>
      <c r="R24" s="26">
        <f t="shared" si="3"/>
        <v>0</v>
      </c>
      <c r="S24" s="27">
        <f t="shared" si="4"/>
        <v>0</v>
      </c>
      <c r="T24" s="28">
        <f t="shared" si="6"/>
        <v>0</v>
      </c>
    </row>
    <row r="25" spans="2:20">
      <c r="B25" s="419" t="s">
        <v>1500</v>
      </c>
      <c r="C25" s="14"/>
      <c r="D25" s="14">
        <v>18</v>
      </c>
      <c r="E25" s="14"/>
      <c r="F25" s="14"/>
      <c r="G25" s="14">
        <v>60</v>
      </c>
      <c r="H25" s="24">
        <f t="shared" si="5"/>
        <v>78</v>
      </c>
      <c r="I25" s="464">
        <f t="shared" si="7"/>
        <v>7.8155000000000001</v>
      </c>
      <c r="J25" s="10">
        <v>0.3</v>
      </c>
      <c r="K25" s="17">
        <v>0.3</v>
      </c>
      <c r="L25" s="223">
        <v>11.164999999999999</v>
      </c>
      <c r="M25" s="67">
        <v>11.37</v>
      </c>
      <c r="N25" s="170">
        <v>60</v>
      </c>
      <c r="O25" s="25">
        <f t="shared" si="0"/>
        <v>0</v>
      </c>
      <c r="P25" s="25">
        <f t="shared" si="1"/>
        <v>140.679</v>
      </c>
      <c r="Q25" s="25">
        <f t="shared" si="2"/>
        <v>0</v>
      </c>
      <c r="R25" s="26">
        <f t="shared" si="3"/>
        <v>0</v>
      </c>
      <c r="S25" s="27">
        <f t="shared" si="4"/>
        <v>468.93</v>
      </c>
      <c r="T25" s="28">
        <f t="shared" si="6"/>
        <v>609.60900000000004</v>
      </c>
    </row>
    <row r="26" spans="2:20" hidden="1">
      <c r="B26" s="419" t="s">
        <v>1501</v>
      </c>
      <c r="C26" s="14"/>
      <c r="D26" s="14"/>
      <c r="E26" s="14"/>
      <c r="F26" s="14"/>
      <c r="G26" s="14"/>
      <c r="H26" s="24">
        <f t="shared" si="5"/>
        <v>0</v>
      </c>
      <c r="I26" s="464">
        <f t="shared" si="7"/>
        <v>22.896999999999998</v>
      </c>
      <c r="J26" s="10">
        <v>0.3</v>
      </c>
      <c r="K26" s="17">
        <v>0.3</v>
      </c>
      <c r="L26" s="223">
        <v>32.71</v>
      </c>
      <c r="M26" s="68">
        <v>16.25</v>
      </c>
      <c r="N26" s="170">
        <v>48</v>
      </c>
      <c r="O26" s="25">
        <f t="shared" si="0"/>
        <v>0</v>
      </c>
      <c r="P26" s="25">
        <f t="shared" si="1"/>
        <v>0</v>
      </c>
      <c r="Q26" s="25">
        <f t="shared" si="2"/>
        <v>0</v>
      </c>
      <c r="R26" s="26">
        <f t="shared" si="3"/>
        <v>0</v>
      </c>
      <c r="S26" s="27">
        <f t="shared" si="4"/>
        <v>0</v>
      </c>
      <c r="T26" s="28">
        <f t="shared" si="6"/>
        <v>0</v>
      </c>
    </row>
    <row r="27" spans="2:20" hidden="1">
      <c r="B27" s="419" t="s">
        <v>1502</v>
      </c>
      <c r="C27" s="14"/>
      <c r="D27" s="14"/>
      <c r="E27" s="14"/>
      <c r="F27" s="14"/>
      <c r="G27" s="14"/>
      <c r="H27" s="24">
        <f t="shared" si="5"/>
        <v>0</v>
      </c>
      <c r="I27" s="464">
        <f t="shared" si="7"/>
        <v>5.4634999999999998</v>
      </c>
      <c r="J27" s="10">
        <v>0.3</v>
      </c>
      <c r="K27" s="17">
        <v>0.3</v>
      </c>
      <c r="L27" s="223">
        <v>7.8049999999999997</v>
      </c>
      <c r="M27" s="66">
        <v>47.59</v>
      </c>
      <c r="N27" s="170">
        <v>12</v>
      </c>
      <c r="O27" s="25">
        <f t="shared" si="0"/>
        <v>0</v>
      </c>
      <c r="P27" s="25">
        <f t="shared" si="1"/>
        <v>0</v>
      </c>
      <c r="Q27" s="25">
        <f t="shared" si="2"/>
        <v>0</v>
      </c>
      <c r="R27" s="26">
        <f t="shared" si="3"/>
        <v>0</v>
      </c>
      <c r="S27" s="27">
        <f t="shared" si="4"/>
        <v>0</v>
      </c>
      <c r="T27" s="28">
        <f t="shared" si="6"/>
        <v>0</v>
      </c>
    </row>
    <row r="28" spans="2:20">
      <c r="B28" s="419" t="s">
        <v>1503</v>
      </c>
      <c r="C28" s="14">
        <v>48</v>
      </c>
      <c r="D28" s="14"/>
      <c r="E28" s="14"/>
      <c r="F28" s="14">
        <v>60</v>
      </c>
      <c r="G28" s="14"/>
      <c r="H28" s="24">
        <f t="shared" si="5"/>
        <v>108</v>
      </c>
      <c r="I28" s="464">
        <f t="shared" si="7"/>
        <v>11.770500000000002</v>
      </c>
      <c r="J28" s="10">
        <v>0.3</v>
      </c>
      <c r="K28" s="17">
        <v>0.3</v>
      </c>
      <c r="L28" s="223">
        <v>16.815000000000001</v>
      </c>
      <c r="M28" s="66">
        <v>24.47</v>
      </c>
      <c r="N28" s="170">
        <v>48</v>
      </c>
      <c r="O28" s="25">
        <f t="shared" si="0"/>
        <v>564.98400000000015</v>
      </c>
      <c r="P28" s="25">
        <f t="shared" si="1"/>
        <v>0</v>
      </c>
      <c r="Q28" s="25">
        <f t="shared" si="2"/>
        <v>0</v>
      </c>
      <c r="R28" s="26">
        <f t="shared" si="3"/>
        <v>706.23000000000013</v>
      </c>
      <c r="S28" s="27">
        <f t="shared" si="4"/>
        <v>0</v>
      </c>
      <c r="T28" s="28">
        <f t="shared" si="6"/>
        <v>1271.2140000000004</v>
      </c>
    </row>
    <row r="29" spans="2:20" hidden="1">
      <c r="B29" s="419" t="s">
        <v>1504</v>
      </c>
      <c r="C29" s="14"/>
      <c r="D29" s="14"/>
      <c r="E29" s="14"/>
      <c r="F29" s="14"/>
      <c r="G29" s="14"/>
      <c r="H29" s="24">
        <f t="shared" si="5"/>
        <v>0</v>
      </c>
      <c r="I29" s="464">
        <f t="shared" si="7"/>
        <v>6.0269999999999992</v>
      </c>
      <c r="J29" s="10">
        <v>0.3</v>
      </c>
      <c r="K29" s="17">
        <v>0.3</v>
      </c>
      <c r="L29" s="223">
        <v>8.61</v>
      </c>
      <c r="M29" s="66">
        <v>12.54</v>
      </c>
      <c r="N29" s="170">
        <v>60</v>
      </c>
      <c r="O29" s="25">
        <f t="shared" si="0"/>
        <v>0</v>
      </c>
      <c r="P29" s="25">
        <f t="shared" si="1"/>
        <v>0</v>
      </c>
      <c r="Q29" s="25">
        <f t="shared" si="2"/>
        <v>0</v>
      </c>
      <c r="R29" s="26">
        <f t="shared" si="3"/>
        <v>0</v>
      </c>
      <c r="S29" s="27">
        <f t="shared" si="4"/>
        <v>0</v>
      </c>
      <c r="T29" s="28">
        <f t="shared" si="6"/>
        <v>0</v>
      </c>
    </row>
    <row r="30" spans="2:20" hidden="1">
      <c r="B30" s="419" t="s">
        <v>1505</v>
      </c>
      <c r="C30" s="14"/>
      <c r="D30" s="14"/>
      <c r="E30" s="14"/>
      <c r="F30" s="14"/>
      <c r="G30" s="14"/>
      <c r="H30" s="24">
        <f t="shared" si="5"/>
        <v>0</v>
      </c>
      <c r="I30" s="464">
        <f t="shared" si="7"/>
        <v>14.7105</v>
      </c>
      <c r="J30" s="10">
        <v>0.3</v>
      </c>
      <c r="K30" s="17">
        <v>0.3</v>
      </c>
      <c r="L30" s="223">
        <v>21.015000000000001</v>
      </c>
      <c r="M30" s="68">
        <v>30.58</v>
      </c>
      <c r="N30" s="170">
        <v>24</v>
      </c>
      <c r="O30" s="25">
        <f t="shared" si="0"/>
        <v>0</v>
      </c>
      <c r="P30" s="25">
        <f t="shared" si="1"/>
        <v>0</v>
      </c>
      <c r="Q30" s="25">
        <f t="shared" si="2"/>
        <v>0</v>
      </c>
      <c r="R30" s="26">
        <f t="shared" si="3"/>
        <v>0</v>
      </c>
      <c r="S30" s="27">
        <f t="shared" si="4"/>
        <v>0</v>
      </c>
      <c r="T30" s="28">
        <f t="shared" si="6"/>
        <v>0</v>
      </c>
    </row>
    <row r="31" spans="2:20" hidden="1">
      <c r="B31" s="419" t="s">
        <v>1506</v>
      </c>
      <c r="C31" s="14"/>
      <c r="D31" s="14"/>
      <c r="E31" s="14"/>
      <c r="F31" s="14"/>
      <c r="G31" s="14"/>
      <c r="H31" s="24">
        <f t="shared" si="5"/>
        <v>0</v>
      </c>
      <c r="I31" s="464">
        <f t="shared" si="7"/>
        <v>11.599</v>
      </c>
      <c r="J31" s="10">
        <v>0.3</v>
      </c>
      <c r="K31" s="17">
        <v>0.3</v>
      </c>
      <c r="L31" s="223">
        <v>16.57</v>
      </c>
      <c r="M31" s="66">
        <v>24.12</v>
      </c>
      <c r="N31" s="170">
        <v>30</v>
      </c>
      <c r="O31" s="25">
        <f t="shared" si="0"/>
        <v>0</v>
      </c>
      <c r="P31" s="25">
        <f t="shared" si="1"/>
        <v>0</v>
      </c>
      <c r="Q31" s="25">
        <f t="shared" si="2"/>
        <v>0</v>
      </c>
      <c r="R31" s="26">
        <f t="shared" si="3"/>
        <v>0</v>
      </c>
      <c r="S31" s="27">
        <f t="shared" si="4"/>
        <v>0</v>
      </c>
      <c r="T31" s="28">
        <f t="shared" si="6"/>
        <v>0</v>
      </c>
    </row>
    <row r="32" spans="2:20" hidden="1">
      <c r="B32" s="419" t="s">
        <v>1507</v>
      </c>
      <c r="C32" s="14"/>
      <c r="D32" s="14"/>
      <c r="E32" s="14"/>
      <c r="F32" s="14"/>
      <c r="G32" s="14"/>
      <c r="H32" s="24">
        <f t="shared" si="5"/>
        <v>0</v>
      </c>
      <c r="I32" s="464">
        <f t="shared" si="7"/>
        <v>7.476</v>
      </c>
      <c r="J32" s="10">
        <v>0.3</v>
      </c>
      <c r="K32" s="17">
        <v>0.3</v>
      </c>
      <c r="L32" s="223">
        <v>10.68</v>
      </c>
      <c r="M32" s="66">
        <v>15.55</v>
      </c>
      <c r="N32" s="170">
        <v>60</v>
      </c>
      <c r="O32" s="25">
        <f t="shared" si="0"/>
        <v>0</v>
      </c>
      <c r="P32" s="25">
        <f t="shared" si="1"/>
        <v>0</v>
      </c>
      <c r="Q32" s="25">
        <f t="shared" si="2"/>
        <v>0</v>
      </c>
      <c r="R32" s="26">
        <f t="shared" si="3"/>
        <v>0</v>
      </c>
      <c r="S32" s="27">
        <f t="shared" si="4"/>
        <v>0</v>
      </c>
      <c r="T32" s="28">
        <f t="shared" si="6"/>
        <v>0</v>
      </c>
    </row>
    <row r="33" spans="2:20" hidden="1">
      <c r="B33" s="419" t="s">
        <v>1508</v>
      </c>
      <c r="C33" s="14"/>
      <c r="D33" s="14"/>
      <c r="E33" s="14"/>
      <c r="F33" s="14"/>
      <c r="G33" s="14"/>
      <c r="H33" s="24">
        <f t="shared" si="5"/>
        <v>0</v>
      </c>
      <c r="I33" s="464">
        <f t="shared" si="7"/>
        <v>15.557500000000001</v>
      </c>
      <c r="J33" s="10">
        <v>0.3</v>
      </c>
      <c r="K33" s="17">
        <v>0.3</v>
      </c>
      <c r="L33" s="223">
        <v>22.225000000000001</v>
      </c>
      <c r="M33" s="66">
        <v>32.340000000000003</v>
      </c>
      <c r="N33" s="170">
        <v>24</v>
      </c>
      <c r="O33" s="25">
        <f t="shared" si="0"/>
        <v>0</v>
      </c>
      <c r="P33" s="25">
        <f t="shared" si="1"/>
        <v>0</v>
      </c>
      <c r="Q33" s="25">
        <f t="shared" si="2"/>
        <v>0</v>
      </c>
      <c r="R33" s="26">
        <f t="shared" si="3"/>
        <v>0</v>
      </c>
      <c r="S33" s="27">
        <f t="shared" si="4"/>
        <v>0</v>
      </c>
      <c r="T33" s="28">
        <f t="shared" ref="T33:T35" si="8">SUM(O33:S33)</f>
        <v>0</v>
      </c>
    </row>
    <row r="34" spans="2:20">
      <c r="B34" s="419" t="s">
        <v>1509</v>
      </c>
      <c r="C34" s="14"/>
      <c r="D34" s="14"/>
      <c r="E34" s="14"/>
      <c r="F34" s="14">
        <v>180</v>
      </c>
      <c r="G34" s="14">
        <v>500</v>
      </c>
      <c r="H34" s="24">
        <f t="shared" si="5"/>
        <v>680</v>
      </c>
      <c r="I34" s="464">
        <f>(L34-(L34*J34))/20</f>
        <v>1.707125</v>
      </c>
      <c r="J34" s="10">
        <v>0.3</v>
      </c>
      <c r="K34" s="17">
        <v>0.3</v>
      </c>
      <c r="L34" s="223">
        <v>48.774999999999999</v>
      </c>
      <c r="M34" s="66">
        <v>70.94</v>
      </c>
      <c r="N34" s="170">
        <v>30</v>
      </c>
      <c r="O34" s="25">
        <f t="shared" si="0"/>
        <v>0</v>
      </c>
      <c r="P34" s="25">
        <f t="shared" si="1"/>
        <v>0</v>
      </c>
      <c r="Q34" s="25">
        <f t="shared" si="2"/>
        <v>0</v>
      </c>
      <c r="R34" s="26">
        <f t="shared" si="3"/>
        <v>307.28250000000003</v>
      </c>
      <c r="S34" s="27">
        <f t="shared" si="4"/>
        <v>853.5625</v>
      </c>
      <c r="T34" s="28">
        <f t="shared" si="8"/>
        <v>1160.845</v>
      </c>
    </row>
    <row r="35" spans="2:20">
      <c r="B35" s="419" t="s">
        <v>1510</v>
      </c>
      <c r="C35" s="14">
        <v>60</v>
      </c>
      <c r="D35" s="14"/>
      <c r="E35" s="14"/>
      <c r="F35" s="14">
        <v>240</v>
      </c>
      <c r="G35" s="14"/>
      <c r="H35" s="24">
        <f t="shared" si="5"/>
        <v>300</v>
      </c>
      <c r="I35" s="464">
        <f t="shared" si="7"/>
        <v>4.6445000000000007</v>
      </c>
      <c r="J35" s="10">
        <v>0.3</v>
      </c>
      <c r="K35" s="17">
        <v>0.3</v>
      </c>
      <c r="L35" s="223">
        <v>6.6350000000000007</v>
      </c>
      <c r="M35" s="68">
        <v>9.66</v>
      </c>
      <c r="N35" s="170">
        <v>60</v>
      </c>
      <c r="O35" s="25">
        <f t="shared" si="0"/>
        <v>278.67000000000007</v>
      </c>
      <c r="P35" s="25">
        <f t="shared" si="1"/>
        <v>0</v>
      </c>
      <c r="Q35" s="25">
        <f t="shared" si="2"/>
        <v>0</v>
      </c>
      <c r="R35" s="26">
        <f t="shared" si="3"/>
        <v>1114.6800000000003</v>
      </c>
      <c r="S35" s="27">
        <f t="shared" si="4"/>
        <v>0</v>
      </c>
      <c r="T35" s="28">
        <f t="shared" si="8"/>
        <v>1393.3500000000004</v>
      </c>
    </row>
    <row r="36" spans="2:20" hidden="1">
      <c r="B36" s="7"/>
      <c r="C36" s="220"/>
      <c r="D36" s="14"/>
      <c r="E36" s="14"/>
      <c r="F36" s="14"/>
      <c r="G36" s="8"/>
      <c r="H36" s="24">
        <f t="shared" si="5"/>
        <v>0</v>
      </c>
      <c r="I36" s="171">
        <f t="shared" ref="I36:I78" si="9">L39-(L39*J36)</f>
        <v>0</v>
      </c>
      <c r="J36" s="10"/>
      <c r="K36" s="17">
        <v>0.3</v>
      </c>
      <c r="L36" s="11"/>
      <c r="M36" s="11"/>
      <c r="N36" s="100"/>
      <c r="O36" s="25">
        <f t="shared" si="0"/>
        <v>0</v>
      </c>
      <c r="P36" s="25">
        <f t="shared" si="1"/>
        <v>0</v>
      </c>
      <c r="Q36" s="25">
        <f t="shared" si="2"/>
        <v>0</v>
      </c>
      <c r="R36" s="26">
        <f t="shared" si="3"/>
        <v>0</v>
      </c>
      <c r="S36" s="27">
        <f t="shared" si="4"/>
        <v>0</v>
      </c>
      <c r="T36" s="28">
        <f t="shared" si="6"/>
        <v>0</v>
      </c>
    </row>
    <row r="37" spans="2:20" hidden="1">
      <c r="B37" s="7"/>
      <c r="C37" s="220"/>
      <c r="D37" s="14"/>
      <c r="E37" s="14"/>
      <c r="F37" s="14"/>
      <c r="G37" s="8"/>
      <c r="H37" s="24">
        <f t="shared" si="5"/>
        <v>0</v>
      </c>
      <c r="I37" s="171">
        <f t="shared" si="9"/>
        <v>0</v>
      </c>
      <c r="J37" s="10"/>
      <c r="K37" s="17">
        <v>0.3</v>
      </c>
      <c r="L37" s="11"/>
      <c r="M37" s="11"/>
      <c r="N37" s="100"/>
      <c r="O37" s="25">
        <f t="shared" si="0"/>
        <v>0</v>
      </c>
      <c r="P37" s="25">
        <f t="shared" si="1"/>
        <v>0</v>
      </c>
      <c r="Q37" s="25">
        <f t="shared" si="2"/>
        <v>0</v>
      </c>
      <c r="R37" s="26">
        <f t="shared" si="3"/>
        <v>0</v>
      </c>
      <c r="S37" s="27">
        <f t="shared" si="4"/>
        <v>0</v>
      </c>
      <c r="T37" s="28">
        <f t="shared" si="6"/>
        <v>0</v>
      </c>
    </row>
    <row r="38" spans="2:20" hidden="1">
      <c r="B38" s="7"/>
      <c r="C38" s="220"/>
      <c r="D38" s="14"/>
      <c r="E38" s="14"/>
      <c r="F38" s="14"/>
      <c r="G38" s="8"/>
      <c r="H38" s="24">
        <f t="shared" si="5"/>
        <v>0</v>
      </c>
      <c r="I38" s="171">
        <f t="shared" si="9"/>
        <v>0</v>
      </c>
      <c r="J38" s="10"/>
      <c r="K38" s="17">
        <v>0.3</v>
      </c>
      <c r="L38" s="11"/>
      <c r="M38" s="11"/>
      <c r="N38" s="100"/>
      <c r="O38" s="25">
        <f t="shared" ref="O38:O69" si="10">I38*C38</f>
        <v>0</v>
      </c>
      <c r="P38" s="25">
        <f t="shared" ref="P38:P69" si="11">I38*D38</f>
        <v>0</v>
      </c>
      <c r="Q38" s="25">
        <f t="shared" ref="Q38:Q69" si="12">I38*E38</f>
        <v>0</v>
      </c>
      <c r="R38" s="26">
        <f t="shared" ref="R38:R69" si="13">I38*F38</f>
        <v>0</v>
      </c>
      <c r="S38" s="27">
        <f t="shared" ref="S38:S69" si="14">I38*G38</f>
        <v>0</v>
      </c>
      <c r="T38" s="28">
        <f t="shared" si="6"/>
        <v>0</v>
      </c>
    </row>
    <row r="39" spans="2:20" hidden="1">
      <c r="B39" s="7"/>
      <c r="C39" s="220"/>
      <c r="D39" s="14"/>
      <c r="E39" s="14"/>
      <c r="F39" s="14"/>
      <c r="G39" s="8"/>
      <c r="H39" s="24">
        <f t="shared" si="5"/>
        <v>0</v>
      </c>
      <c r="I39" s="171">
        <f t="shared" si="9"/>
        <v>0</v>
      </c>
      <c r="J39" s="10"/>
      <c r="K39" s="17">
        <v>0.3</v>
      </c>
      <c r="L39" s="11"/>
      <c r="M39" s="11"/>
      <c r="N39" s="100"/>
      <c r="O39" s="25">
        <f t="shared" si="10"/>
        <v>0</v>
      </c>
      <c r="P39" s="25">
        <f t="shared" si="11"/>
        <v>0</v>
      </c>
      <c r="Q39" s="25">
        <f t="shared" si="12"/>
        <v>0</v>
      </c>
      <c r="R39" s="26">
        <f t="shared" si="13"/>
        <v>0</v>
      </c>
      <c r="S39" s="27">
        <f t="shared" si="14"/>
        <v>0</v>
      </c>
      <c r="T39" s="28">
        <f t="shared" si="6"/>
        <v>0</v>
      </c>
    </row>
    <row r="40" spans="2:20" hidden="1">
      <c r="B40" s="7"/>
      <c r="C40" s="220"/>
      <c r="D40" s="14"/>
      <c r="E40" s="14"/>
      <c r="F40" s="14"/>
      <c r="G40" s="8"/>
      <c r="H40" s="24">
        <f t="shared" si="5"/>
        <v>0</v>
      </c>
      <c r="I40" s="171">
        <f t="shared" si="9"/>
        <v>0</v>
      </c>
      <c r="J40" s="10"/>
      <c r="K40" s="17">
        <v>0.3</v>
      </c>
      <c r="L40" s="11"/>
      <c r="M40" s="11"/>
      <c r="N40" s="100"/>
      <c r="O40" s="25">
        <f t="shared" si="10"/>
        <v>0</v>
      </c>
      <c r="P40" s="25">
        <f t="shared" si="11"/>
        <v>0</v>
      </c>
      <c r="Q40" s="25">
        <f t="shared" si="12"/>
        <v>0</v>
      </c>
      <c r="R40" s="26">
        <f t="shared" si="13"/>
        <v>0</v>
      </c>
      <c r="S40" s="27">
        <f t="shared" si="14"/>
        <v>0</v>
      </c>
      <c r="T40" s="28">
        <f t="shared" si="6"/>
        <v>0</v>
      </c>
    </row>
    <row r="41" spans="2:20" hidden="1">
      <c r="B41" s="7"/>
      <c r="C41" s="220"/>
      <c r="D41" s="14"/>
      <c r="E41" s="14"/>
      <c r="F41" s="14"/>
      <c r="G41" s="8"/>
      <c r="H41" s="24">
        <f t="shared" si="5"/>
        <v>0</v>
      </c>
      <c r="I41" s="171">
        <f t="shared" si="9"/>
        <v>0</v>
      </c>
      <c r="J41" s="10"/>
      <c r="K41" s="17">
        <v>0.3</v>
      </c>
      <c r="L41" s="11"/>
      <c r="M41" s="11"/>
      <c r="N41" s="100"/>
      <c r="O41" s="25">
        <f t="shared" si="10"/>
        <v>0</v>
      </c>
      <c r="P41" s="25">
        <f t="shared" si="11"/>
        <v>0</v>
      </c>
      <c r="Q41" s="25">
        <f t="shared" si="12"/>
        <v>0</v>
      </c>
      <c r="R41" s="26">
        <f t="shared" si="13"/>
        <v>0</v>
      </c>
      <c r="S41" s="27">
        <f t="shared" si="14"/>
        <v>0</v>
      </c>
      <c r="T41" s="28">
        <f t="shared" si="6"/>
        <v>0</v>
      </c>
    </row>
    <row r="42" spans="2:20" hidden="1">
      <c r="B42" s="7"/>
      <c r="C42" s="220"/>
      <c r="D42" s="14"/>
      <c r="E42" s="14"/>
      <c r="F42" s="14"/>
      <c r="G42" s="8"/>
      <c r="H42" s="24">
        <f t="shared" si="5"/>
        <v>0</v>
      </c>
      <c r="I42" s="171">
        <f t="shared" si="9"/>
        <v>0</v>
      </c>
      <c r="J42" s="10"/>
      <c r="K42" s="17">
        <v>0.3</v>
      </c>
      <c r="L42" s="11"/>
      <c r="M42" s="11"/>
      <c r="N42" s="100"/>
      <c r="O42" s="25">
        <f t="shared" si="10"/>
        <v>0</v>
      </c>
      <c r="P42" s="25">
        <f t="shared" si="11"/>
        <v>0</v>
      </c>
      <c r="Q42" s="25">
        <f t="shared" si="12"/>
        <v>0</v>
      </c>
      <c r="R42" s="26">
        <f t="shared" si="13"/>
        <v>0</v>
      </c>
      <c r="S42" s="27">
        <f t="shared" si="14"/>
        <v>0</v>
      </c>
      <c r="T42" s="28">
        <f t="shared" si="6"/>
        <v>0</v>
      </c>
    </row>
    <row r="43" spans="2:20" hidden="1">
      <c r="B43" s="7"/>
      <c r="C43" s="220"/>
      <c r="D43" s="14"/>
      <c r="E43" s="14"/>
      <c r="F43" s="14"/>
      <c r="G43" s="8"/>
      <c r="H43" s="24">
        <f t="shared" si="5"/>
        <v>0</v>
      </c>
      <c r="I43" s="171">
        <f t="shared" si="9"/>
        <v>0</v>
      </c>
      <c r="J43" s="10"/>
      <c r="K43" s="17">
        <v>0.3</v>
      </c>
      <c r="L43" s="11"/>
      <c r="M43" s="11"/>
      <c r="N43" s="100"/>
      <c r="O43" s="25">
        <f t="shared" si="10"/>
        <v>0</v>
      </c>
      <c r="P43" s="25">
        <f t="shared" si="11"/>
        <v>0</v>
      </c>
      <c r="Q43" s="25">
        <f t="shared" si="12"/>
        <v>0</v>
      </c>
      <c r="R43" s="26">
        <f t="shared" si="13"/>
        <v>0</v>
      </c>
      <c r="S43" s="27">
        <f t="shared" si="14"/>
        <v>0</v>
      </c>
      <c r="T43" s="28">
        <f t="shared" si="6"/>
        <v>0</v>
      </c>
    </row>
    <row r="44" spans="2:20" hidden="1">
      <c r="B44" s="7"/>
      <c r="C44" s="220"/>
      <c r="D44" s="14"/>
      <c r="E44" s="14"/>
      <c r="F44" s="14"/>
      <c r="G44" s="8"/>
      <c r="H44" s="24">
        <f t="shared" si="5"/>
        <v>0</v>
      </c>
      <c r="I44" s="171">
        <f t="shared" si="9"/>
        <v>0</v>
      </c>
      <c r="J44" s="10"/>
      <c r="K44" s="17">
        <v>0.3</v>
      </c>
      <c r="L44" s="11"/>
      <c r="M44" s="11"/>
      <c r="N44" s="100"/>
      <c r="O44" s="25">
        <f t="shared" si="10"/>
        <v>0</v>
      </c>
      <c r="P44" s="25">
        <f t="shared" si="11"/>
        <v>0</v>
      </c>
      <c r="Q44" s="25">
        <f t="shared" si="12"/>
        <v>0</v>
      </c>
      <c r="R44" s="26">
        <f t="shared" si="13"/>
        <v>0</v>
      </c>
      <c r="S44" s="27">
        <f t="shared" si="14"/>
        <v>0</v>
      </c>
      <c r="T44" s="28">
        <f t="shared" si="6"/>
        <v>0</v>
      </c>
    </row>
    <row r="45" spans="2:20" hidden="1">
      <c r="B45" s="7"/>
      <c r="C45" s="220"/>
      <c r="D45" s="14"/>
      <c r="E45" s="14"/>
      <c r="F45" s="14"/>
      <c r="G45" s="8"/>
      <c r="H45" s="24">
        <f t="shared" si="5"/>
        <v>0</v>
      </c>
      <c r="I45" s="171">
        <f t="shared" si="9"/>
        <v>0</v>
      </c>
      <c r="J45" s="10"/>
      <c r="K45" s="17">
        <v>0.3</v>
      </c>
      <c r="L45" s="11"/>
      <c r="M45" s="11"/>
      <c r="N45" s="100"/>
      <c r="O45" s="25">
        <f t="shared" si="10"/>
        <v>0</v>
      </c>
      <c r="P45" s="25">
        <f t="shared" si="11"/>
        <v>0</v>
      </c>
      <c r="Q45" s="25">
        <f t="shared" si="12"/>
        <v>0</v>
      </c>
      <c r="R45" s="26">
        <f t="shared" si="13"/>
        <v>0</v>
      </c>
      <c r="S45" s="27">
        <f t="shared" si="14"/>
        <v>0</v>
      </c>
      <c r="T45" s="28">
        <f t="shared" si="6"/>
        <v>0</v>
      </c>
    </row>
    <row r="46" spans="2:20" hidden="1">
      <c r="B46" s="7"/>
      <c r="C46" s="220"/>
      <c r="D46" s="14"/>
      <c r="E46" s="14"/>
      <c r="F46" s="14"/>
      <c r="G46" s="8"/>
      <c r="H46" s="24">
        <f t="shared" si="5"/>
        <v>0</v>
      </c>
      <c r="I46" s="171">
        <f t="shared" si="9"/>
        <v>0</v>
      </c>
      <c r="J46" s="10"/>
      <c r="K46" s="17">
        <v>0.3</v>
      </c>
      <c r="L46" s="11"/>
      <c r="M46" s="11"/>
      <c r="N46" s="100"/>
      <c r="O46" s="25">
        <f t="shared" si="10"/>
        <v>0</v>
      </c>
      <c r="P46" s="25">
        <f t="shared" si="11"/>
        <v>0</v>
      </c>
      <c r="Q46" s="25">
        <f t="shared" si="12"/>
        <v>0</v>
      </c>
      <c r="R46" s="26">
        <f t="shared" si="13"/>
        <v>0</v>
      </c>
      <c r="S46" s="27">
        <f t="shared" si="14"/>
        <v>0</v>
      </c>
      <c r="T46" s="28">
        <f t="shared" si="6"/>
        <v>0</v>
      </c>
    </row>
    <row r="47" spans="2:20" hidden="1">
      <c r="B47" s="7"/>
      <c r="C47" s="220"/>
      <c r="D47" s="14"/>
      <c r="E47" s="14"/>
      <c r="F47" s="14"/>
      <c r="G47" s="8"/>
      <c r="H47" s="24">
        <f t="shared" si="5"/>
        <v>0</v>
      </c>
      <c r="I47" s="171">
        <f t="shared" si="9"/>
        <v>0</v>
      </c>
      <c r="J47" s="10"/>
      <c r="K47" s="17">
        <v>0.3</v>
      </c>
      <c r="L47" s="11"/>
      <c r="M47" s="11"/>
      <c r="N47" s="100"/>
      <c r="O47" s="25">
        <f t="shared" si="10"/>
        <v>0</v>
      </c>
      <c r="P47" s="25">
        <f t="shared" si="11"/>
        <v>0</v>
      </c>
      <c r="Q47" s="25">
        <f t="shared" si="12"/>
        <v>0</v>
      </c>
      <c r="R47" s="26">
        <f t="shared" si="13"/>
        <v>0</v>
      </c>
      <c r="S47" s="27">
        <f t="shared" si="14"/>
        <v>0</v>
      </c>
      <c r="T47" s="28">
        <f t="shared" si="6"/>
        <v>0</v>
      </c>
    </row>
    <row r="48" spans="2:20" hidden="1">
      <c r="B48" s="7"/>
      <c r="C48" s="220"/>
      <c r="D48" s="14"/>
      <c r="E48" s="14"/>
      <c r="F48" s="14"/>
      <c r="G48" s="8"/>
      <c r="H48" s="24">
        <f t="shared" si="5"/>
        <v>0</v>
      </c>
      <c r="I48" s="171">
        <f t="shared" si="9"/>
        <v>0</v>
      </c>
      <c r="J48" s="10"/>
      <c r="K48" s="17">
        <v>0.3</v>
      </c>
      <c r="L48" s="11"/>
      <c r="M48" s="11"/>
      <c r="N48" s="100"/>
      <c r="O48" s="25">
        <f t="shared" si="10"/>
        <v>0</v>
      </c>
      <c r="P48" s="25">
        <f t="shared" si="11"/>
        <v>0</v>
      </c>
      <c r="Q48" s="25">
        <f t="shared" si="12"/>
        <v>0</v>
      </c>
      <c r="R48" s="26">
        <f t="shared" si="13"/>
        <v>0</v>
      </c>
      <c r="S48" s="27">
        <f t="shared" si="14"/>
        <v>0</v>
      </c>
      <c r="T48" s="28">
        <f t="shared" si="6"/>
        <v>0</v>
      </c>
    </row>
    <row r="49" spans="2:20" hidden="1">
      <c r="B49" s="7"/>
      <c r="C49" s="220"/>
      <c r="D49" s="14"/>
      <c r="E49" s="14"/>
      <c r="F49" s="14"/>
      <c r="G49" s="8"/>
      <c r="H49" s="24">
        <f t="shared" si="5"/>
        <v>0</v>
      </c>
      <c r="I49" s="171">
        <f t="shared" si="9"/>
        <v>0</v>
      </c>
      <c r="J49" s="10"/>
      <c r="K49" s="17">
        <v>0.3</v>
      </c>
      <c r="L49" s="11"/>
      <c r="M49" s="11"/>
      <c r="N49" s="100"/>
      <c r="O49" s="25">
        <f t="shared" si="10"/>
        <v>0</v>
      </c>
      <c r="P49" s="25">
        <f t="shared" si="11"/>
        <v>0</v>
      </c>
      <c r="Q49" s="25">
        <f t="shared" si="12"/>
        <v>0</v>
      </c>
      <c r="R49" s="26">
        <f t="shared" si="13"/>
        <v>0</v>
      </c>
      <c r="S49" s="27">
        <f t="shared" si="14"/>
        <v>0</v>
      </c>
      <c r="T49" s="28">
        <f t="shared" si="6"/>
        <v>0</v>
      </c>
    </row>
    <row r="50" spans="2:20" hidden="1">
      <c r="B50" s="7"/>
      <c r="C50" s="220"/>
      <c r="D50" s="14"/>
      <c r="E50" s="14"/>
      <c r="F50" s="14"/>
      <c r="G50" s="8"/>
      <c r="H50" s="24">
        <f t="shared" si="5"/>
        <v>0</v>
      </c>
      <c r="I50" s="171">
        <f t="shared" si="9"/>
        <v>0</v>
      </c>
      <c r="J50" s="10"/>
      <c r="K50" s="17">
        <v>0.3</v>
      </c>
      <c r="L50" s="11"/>
      <c r="M50" s="11"/>
      <c r="N50" s="100"/>
      <c r="O50" s="25">
        <f t="shared" si="10"/>
        <v>0</v>
      </c>
      <c r="P50" s="25">
        <f t="shared" si="11"/>
        <v>0</v>
      </c>
      <c r="Q50" s="25">
        <f t="shared" si="12"/>
        <v>0</v>
      </c>
      <c r="R50" s="26">
        <f t="shared" si="13"/>
        <v>0</v>
      </c>
      <c r="S50" s="27">
        <f t="shared" si="14"/>
        <v>0</v>
      </c>
      <c r="T50" s="28">
        <f t="shared" si="6"/>
        <v>0</v>
      </c>
    </row>
    <row r="51" spans="2:20" hidden="1">
      <c r="B51" s="7"/>
      <c r="C51" s="220"/>
      <c r="D51" s="14"/>
      <c r="E51" s="14"/>
      <c r="F51" s="14"/>
      <c r="G51" s="8"/>
      <c r="H51" s="24">
        <f t="shared" si="5"/>
        <v>0</v>
      </c>
      <c r="I51" s="171">
        <f t="shared" si="9"/>
        <v>0</v>
      </c>
      <c r="J51" s="10"/>
      <c r="K51" s="17">
        <v>0.3</v>
      </c>
      <c r="L51" s="11"/>
      <c r="M51" s="11"/>
      <c r="N51" s="100"/>
      <c r="O51" s="25">
        <f t="shared" si="10"/>
        <v>0</v>
      </c>
      <c r="P51" s="25">
        <f t="shared" si="11"/>
        <v>0</v>
      </c>
      <c r="Q51" s="25">
        <f t="shared" si="12"/>
        <v>0</v>
      </c>
      <c r="R51" s="26">
        <f t="shared" si="13"/>
        <v>0</v>
      </c>
      <c r="S51" s="27">
        <f t="shared" si="14"/>
        <v>0</v>
      </c>
      <c r="T51" s="28">
        <f t="shared" si="6"/>
        <v>0</v>
      </c>
    </row>
    <row r="52" spans="2:20" hidden="1">
      <c r="B52" s="7"/>
      <c r="C52" s="220"/>
      <c r="D52" s="14"/>
      <c r="E52" s="14"/>
      <c r="F52" s="14"/>
      <c r="G52" s="8"/>
      <c r="H52" s="24">
        <f t="shared" si="5"/>
        <v>0</v>
      </c>
      <c r="I52" s="171">
        <f t="shared" si="9"/>
        <v>0</v>
      </c>
      <c r="J52" s="10"/>
      <c r="K52" s="17">
        <v>0.3</v>
      </c>
      <c r="L52" s="11"/>
      <c r="M52" s="11"/>
      <c r="N52" s="100"/>
      <c r="O52" s="25">
        <f t="shared" si="10"/>
        <v>0</v>
      </c>
      <c r="P52" s="25">
        <f t="shared" si="11"/>
        <v>0</v>
      </c>
      <c r="Q52" s="25">
        <f t="shared" si="12"/>
        <v>0</v>
      </c>
      <c r="R52" s="26">
        <f t="shared" si="13"/>
        <v>0</v>
      </c>
      <c r="S52" s="27">
        <f t="shared" si="14"/>
        <v>0</v>
      </c>
      <c r="T52" s="28">
        <f t="shared" si="6"/>
        <v>0</v>
      </c>
    </row>
    <row r="53" spans="2:20" hidden="1">
      <c r="B53" s="7"/>
      <c r="C53" s="220"/>
      <c r="D53" s="14"/>
      <c r="E53" s="14"/>
      <c r="F53" s="14"/>
      <c r="G53" s="8"/>
      <c r="H53" s="24">
        <f t="shared" si="5"/>
        <v>0</v>
      </c>
      <c r="I53" s="171">
        <f t="shared" si="9"/>
        <v>0</v>
      </c>
      <c r="J53" s="10"/>
      <c r="K53" s="17">
        <v>0.3</v>
      </c>
      <c r="L53" s="11"/>
      <c r="M53" s="11"/>
      <c r="N53" s="100"/>
      <c r="O53" s="25">
        <f t="shared" si="10"/>
        <v>0</v>
      </c>
      <c r="P53" s="25">
        <f t="shared" si="11"/>
        <v>0</v>
      </c>
      <c r="Q53" s="25">
        <f t="shared" si="12"/>
        <v>0</v>
      </c>
      <c r="R53" s="26">
        <f t="shared" si="13"/>
        <v>0</v>
      </c>
      <c r="S53" s="27">
        <f t="shared" si="14"/>
        <v>0</v>
      </c>
      <c r="T53" s="28">
        <f t="shared" si="6"/>
        <v>0</v>
      </c>
    </row>
    <row r="54" spans="2:20" hidden="1">
      <c r="B54" s="7"/>
      <c r="C54" s="220"/>
      <c r="D54" s="14"/>
      <c r="E54" s="14"/>
      <c r="F54" s="14"/>
      <c r="G54" s="8"/>
      <c r="H54" s="24">
        <f t="shared" si="5"/>
        <v>0</v>
      </c>
      <c r="I54" s="171">
        <f t="shared" si="9"/>
        <v>0</v>
      </c>
      <c r="J54" s="10"/>
      <c r="K54" s="17">
        <v>0.3</v>
      </c>
      <c r="L54" s="11"/>
      <c r="M54" s="11"/>
      <c r="N54" s="100"/>
      <c r="O54" s="25">
        <f t="shared" si="10"/>
        <v>0</v>
      </c>
      <c r="P54" s="25">
        <f t="shared" si="11"/>
        <v>0</v>
      </c>
      <c r="Q54" s="25">
        <f t="shared" si="12"/>
        <v>0</v>
      </c>
      <c r="R54" s="26">
        <f t="shared" si="13"/>
        <v>0</v>
      </c>
      <c r="S54" s="27">
        <f t="shared" si="14"/>
        <v>0</v>
      </c>
      <c r="T54" s="28">
        <f t="shared" si="6"/>
        <v>0</v>
      </c>
    </row>
    <row r="55" spans="2:20" hidden="1">
      <c r="B55" s="7"/>
      <c r="C55" s="220"/>
      <c r="D55" s="14"/>
      <c r="E55" s="14"/>
      <c r="F55" s="14"/>
      <c r="G55" s="8"/>
      <c r="H55" s="24">
        <f t="shared" si="5"/>
        <v>0</v>
      </c>
      <c r="I55" s="171">
        <f t="shared" si="9"/>
        <v>0</v>
      </c>
      <c r="J55" s="10"/>
      <c r="K55" s="17">
        <v>0.3</v>
      </c>
      <c r="L55" s="11"/>
      <c r="M55" s="11"/>
      <c r="N55" s="100"/>
      <c r="O55" s="25">
        <f t="shared" si="10"/>
        <v>0</v>
      </c>
      <c r="P55" s="25">
        <f t="shared" si="11"/>
        <v>0</v>
      </c>
      <c r="Q55" s="25">
        <f t="shared" si="12"/>
        <v>0</v>
      </c>
      <c r="R55" s="26">
        <f t="shared" si="13"/>
        <v>0</v>
      </c>
      <c r="S55" s="27">
        <f t="shared" si="14"/>
        <v>0</v>
      </c>
      <c r="T55" s="28">
        <f t="shared" si="6"/>
        <v>0</v>
      </c>
    </row>
    <row r="56" spans="2:20" hidden="1">
      <c r="B56" s="7"/>
      <c r="C56" s="220"/>
      <c r="D56" s="14"/>
      <c r="E56" s="14"/>
      <c r="F56" s="14"/>
      <c r="G56" s="8"/>
      <c r="H56" s="24">
        <f t="shared" si="5"/>
        <v>0</v>
      </c>
      <c r="I56" s="171">
        <f t="shared" si="9"/>
        <v>0</v>
      </c>
      <c r="J56" s="10"/>
      <c r="K56" s="17">
        <v>0.3</v>
      </c>
      <c r="L56" s="11"/>
      <c r="M56" s="11"/>
      <c r="N56" s="100"/>
      <c r="O56" s="25">
        <f t="shared" si="10"/>
        <v>0</v>
      </c>
      <c r="P56" s="25">
        <f t="shared" si="11"/>
        <v>0</v>
      </c>
      <c r="Q56" s="25">
        <f t="shared" si="12"/>
        <v>0</v>
      </c>
      <c r="R56" s="26">
        <f t="shared" si="13"/>
        <v>0</v>
      </c>
      <c r="S56" s="27">
        <f t="shared" si="14"/>
        <v>0</v>
      </c>
      <c r="T56" s="28">
        <f t="shared" si="6"/>
        <v>0</v>
      </c>
    </row>
    <row r="57" spans="2:20" hidden="1">
      <c r="B57" s="7"/>
      <c r="C57" s="220"/>
      <c r="D57" s="14"/>
      <c r="E57" s="14"/>
      <c r="F57" s="14"/>
      <c r="G57" s="8"/>
      <c r="H57" s="24">
        <f t="shared" si="5"/>
        <v>0</v>
      </c>
      <c r="I57" s="171">
        <f t="shared" si="9"/>
        <v>0</v>
      </c>
      <c r="J57" s="10"/>
      <c r="K57" s="17">
        <v>0.3</v>
      </c>
      <c r="L57" s="11"/>
      <c r="M57" s="11"/>
      <c r="N57" s="100"/>
      <c r="O57" s="25">
        <f t="shared" si="10"/>
        <v>0</v>
      </c>
      <c r="P57" s="25">
        <f t="shared" si="11"/>
        <v>0</v>
      </c>
      <c r="Q57" s="25">
        <f t="shared" si="12"/>
        <v>0</v>
      </c>
      <c r="R57" s="26">
        <f t="shared" si="13"/>
        <v>0</v>
      </c>
      <c r="S57" s="27">
        <f t="shared" si="14"/>
        <v>0</v>
      </c>
      <c r="T57" s="28">
        <f t="shared" si="6"/>
        <v>0</v>
      </c>
    </row>
    <row r="58" spans="2:20" hidden="1">
      <c r="B58" s="7"/>
      <c r="C58" s="220"/>
      <c r="D58" s="14"/>
      <c r="E58" s="14"/>
      <c r="F58" s="14"/>
      <c r="G58" s="8"/>
      <c r="H58" s="24">
        <f t="shared" si="5"/>
        <v>0</v>
      </c>
      <c r="I58" s="171">
        <f t="shared" si="9"/>
        <v>0</v>
      </c>
      <c r="J58" s="10"/>
      <c r="K58" s="17">
        <v>0.3</v>
      </c>
      <c r="L58" s="11"/>
      <c r="M58" s="11"/>
      <c r="N58" s="100"/>
      <c r="O58" s="25">
        <f t="shared" si="10"/>
        <v>0</v>
      </c>
      <c r="P58" s="25">
        <f t="shared" si="11"/>
        <v>0</v>
      </c>
      <c r="Q58" s="25">
        <f t="shared" si="12"/>
        <v>0</v>
      </c>
      <c r="R58" s="26">
        <f t="shared" si="13"/>
        <v>0</v>
      </c>
      <c r="S58" s="27">
        <f t="shared" si="14"/>
        <v>0</v>
      </c>
      <c r="T58" s="28">
        <f t="shared" si="6"/>
        <v>0</v>
      </c>
    </row>
    <row r="59" spans="2:20" hidden="1">
      <c r="B59" s="7"/>
      <c r="C59" s="220"/>
      <c r="D59" s="14"/>
      <c r="E59" s="14"/>
      <c r="F59" s="14"/>
      <c r="G59" s="8"/>
      <c r="H59" s="24">
        <f t="shared" si="5"/>
        <v>0</v>
      </c>
      <c r="I59" s="171">
        <f t="shared" si="9"/>
        <v>0</v>
      </c>
      <c r="J59" s="10"/>
      <c r="K59" s="17">
        <v>0.3</v>
      </c>
      <c r="L59" s="11"/>
      <c r="M59" s="11"/>
      <c r="N59" s="100"/>
      <c r="O59" s="25">
        <f t="shared" si="10"/>
        <v>0</v>
      </c>
      <c r="P59" s="25">
        <f t="shared" si="11"/>
        <v>0</v>
      </c>
      <c r="Q59" s="25">
        <f t="shared" si="12"/>
        <v>0</v>
      </c>
      <c r="R59" s="26">
        <f t="shared" si="13"/>
        <v>0</v>
      </c>
      <c r="S59" s="27">
        <f t="shared" si="14"/>
        <v>0</v>
      </c>
      <c r="T59" s="28">
        <f t="shared" si="6"/>
        <v>0</v>
      </c>
    </row>
    <row r="60" spans="2:20" hidden="1">
      <c r="B60" s="7"/>
      <c r="C60" s="220"/>
      <c r="D60" s="14"/>
      <c r="E60" s="14"/>
      <c r="F60" s="14"/>
      <c r="G60" s="8"/>
      <c r="H60" s="24">
        <f t="shared" si="5"/>
        <v>0</v>
      </c>
      <c r="I60" s="171">
        <f t="shared" si="9"/>
        <v>0</v>
      </c>
      <c r="J60" s="10"/>
      <c r="K60" s="17">
        <v>0.3</v>
      </c>
      <c r="L60" s="11"/>
      <c r="M60" s="11"/>
      <c r="N60" s="100"/>
      <c r="O60" s="25">
        <f t="shared" si="10"/>
        <v>0</v>
      </c>
      <c r="P60" s="25">
        <f t="shared" si="11"/>
        <v>0</v>
      </c>
      <c r="Q60" s="25">
        <f t="shared" si="12"/>
        <v>0</v>
      </c>
      <c r="R60" s="26">
        <f t="shared" si="13"/>
        <v>0</v>
      </c>
      <c r="S60" s="27">
        <f t="shared" si="14"/>
        <v>0</v>
      </c>
      <c r="T60" s="28">
        <f t="shared" si="6"/>
        <v>0</v>
      </c>
    </row>
    <row r="61" spans="2:20" hidden="1">
      <c r="B61" s="7"/>
      <c r="C61" s="220"/>
      <c r="D61" s="14"/>
      <c r="E61" s="14"/>
      <c r="F61" s="14"/>
      <c r="G61" s="8"/>
      <c r="H61" s="24">
        <f t="shared" si="5"/>
        <v>0</v>
      </c>
      <c r="I61" s="171">
        <f t="shared" si="9"/>
        <v>0</v>
      </c>
      <c r="J61" s="10"/>
      <c r="K61" s="17">
        <v>0.3</v>
      </c>
      <c r="L61" s="11"/>
      <c r="M61" s="11"/>
      <c r="N61" s="100"/>
      <c r="O61" s="25">
        <f t="shared" si="10"/>
        <v>0</v>
      </c>
      <c r="P61" s="25">
        <f t="shared" si="11"/>
        <v>0</v>
      </c>
      <c r="Q61" s="25">
        <f t="shared" si="12"/>
        <v>0</v>
      </c>
      <c r="R61" s="26">
        <f t="shared" si="13"/>
        <v>0</v>
      </c>
      <c r="S61" s="27">
        <f t="shared" si="14"/>
        <v>0</v>
      </c>
      <c r="T61" s="28">
        <f t="shared" si="6"/>
        <v>0</v>
      </c>
    </row>
    <row r="62" spans="2:20" hidden="1">
      <c r="B62" s="7"/>
      <c r="C62" s="220"/>
      <c r="D62" s="14"/>
      <c r="E62" s="14"/>
      <c r="F62" s="14"/>
      <c r="G62" s="8"/>
      <c r="H62" s="24">
        <f t="shared" si="5"/>
        <v>0</v>
      </c>
      <c r="I62" s="171">
        <f t="shared" si="9"/>
        <v>0</v>
      </c>
      <c r="J62" s="10"/>
      <c r="K62" s="17">
        <v>0.3</v>
      </c>
      <c r="L62" s="11"/>
      <c r="M62" s="11"/>
      <c r="N62" s="100"/>
      <c r="O62" s="25">
        <f t="shared" si="10"/>
        <v>0</v>
      </c>
      <c r="P62" s="25">
        <f t="shared" si="11"/>
        <v>0</v>
      </c>
      <c r="Q62" s="25">
        <f t="shared" si="12"/>
        <v>0</v>
      </c>
      <c r="R62" s="26">
        <f t="shared" si="13"/>
        <v>0</v>
      </c>
      <c r="S62" s="27">
        <f t="shared" si="14"/>
        <v>0</v>
      </c>
      <c r="T62" s="28">
        <f t="shared" si="6"/>
        <v>0</v>
      </c>
    </row>
    <row r="63" spans="2:20" hidden="1">
      <c r="B63" s="7"/>
      <c r="C63" s="220"/>
      <c r="D63" s="14"/>
      <c r="E63" s="14"/>
      <c r="F63" s="14"/>
      <c r="G63" s="8"/>
      <c r="H63" s="24">
        <f t="shared" si="5"/>
        <v>0</v>
      </c>
      <c r="I63" s="171">
        <f t="shared" si="9"/>
        <v>0</v>
      </c>
      <c r="J63" s="10"/>
      <c r="K63" s="17">
        <v>0.3</v>
      </c>
      <c r="L63" s="11"/>
      <c r="M63" s="11"/>
      <c r="N63" s="100"/>
      <c r="O63" s="25">
        <f t="shared" si="10"/>
        <v>0</v>
      </c>
      <c r="P63" s="25">
        <f t="shared" si="11"/>
        <v>0</v>
      </c>
      <c r="Q63" s="25">
        <f t="shared" si="12"/>
        <v>0</v>
      </c>
      <c r="R63" s="26">
        <f t="shared" si="13"/>
        <v>0</v>
      </c>
      <c r="S63" s="27">
        <f t="shared" si="14"/>
        <v>0</v>
      </c>
      <c r="T63" s="28">
        <f t="shared" si="6"/>
        <v>0</v>
      </c>
    </row>
    <row r="64" spans="2:20" hidden="1">
      <c r="B64" s="7"/>
      <c r="C64" s="220"/>
      <c r="D64" s="14"/>
      <c r="E64" s="14"/>
      <c r="F64" s="14"/>
      <c r="G64" s="8"/>
      <c r="H64" s="24">
        <f t="shared" si="5"/>
        <v>0</v>
      </c>
      <c r="I64" s="171">
        <f t="shared" si="9"/>
        <v>0</v>
      </c>
      <c r="J64" s="10"/>
      <c r="K64" s="17">
        <v>0.3</v>
      </c>
      <c r="L64" s="11"/>
      <c r="M64" s="11"/>
      <c r="N64" s="100"/>
      <c r="O64" s="25">
        <f t="shared" si="10"/>
        <v>0</v>
      </c>
      <c r="P64" s="25">
        <f t="shared" si="11"/>
        <v>0</v>
      </c>
      <c r="Q64" s="25">
        <f t="shared" si="12"/>
        <v>0</v>
      </c>
      <c r="R64" s="26">
        <f t="shared" si="13"/>
        <v>0</v>
      </c>
      <c r="S64" s="27">
        <f t="shared" si="14"/>
        <v>0</v>
      </c>
      <c r="T64" s="28">
        <f t="shared" si="6"/>
        <v>0</v>
      </c>
    </row>
    <row r="65" spans="2:20" hidden="1">
      <c r="B65" s="7"/>
      <c r="C65" s="220"/>
      <c r="D65" s="14"/>
      <c r="E65" s="14"/>
      <c r="F65" s="14"/>
      <c r="G65" s="8"/>
      <c r="H65" s="24">
        <f t="shared" si="5"/>
        <v>0</v>
      </c>
      <c r="I65" s="171">
        <f t="shared" si="9"/>
        <v>0</v>
      </c>
      <c r="J65" s="10"/>
      <c r="K65" s="17">
        <v>0.3</v>
      </c>
      <c r="L65" s="11"/>
      <c r="M65" s="11"/>
      <c r="N65" s="100"/>
      <c r="O65" s="25">
        <f t="shared" si="10"/>
        <v>0</v>
      </c>
      <c r="P65" s="25">
        <f t="shared" si="11"/>
        <v>0</v>
      </c>
      <c r="Q65" s="25">
        <f t="shared" si="12"/>
        <v>0</v>
      </c>
      <c r="R65" s="26">
        <f t="shared" si="13"/>
        <v>0</v>
      </c>
      <c r="S65" s="27">
        <f t="shared" si="14"/>
        <v>0</v>
      </c>
      <c r="T65" s="28">
        <f t="shared" si="6"/>
        <v>0</v>
      </c>
    </row>
    <row r="66" spans="2:20" hidden="1">
      <c r="B66" s="7"/>
      <c r="C66" s="220"/>
      <c r="D66" s="14"/>
      <c r="E66" s="14"/>
      <c r="F66" s="14"/>
      <c r="G66" s="8"/>
      <c r="H66" s="24">
        <f t="shared" si="5"/>
        <v>0</v>
      </c>
      <c r="I66" s="171">
        <f t="shared" si="9"/>
        <v>0</v>
      </c>
      <c r="J66" s="10"/>
      <c r="K66" s="17">
        <v>0.3</v>
      </c>
      <c r="L66" s="11"/>
      <c r="M66" s="11"/>
      <c r="N66" s="100"/>
      <c r="O66" s="25">
        <f t="shared" si="10"/>
        <v>0</v>
      </c>
      <c r="P66" s="25">
        <f t="shared" si="11"/>
        <v>0</v>
      </c>
      <c r="Q66" s="25">
        <f t="shared" si="12"/>
        <v>0</v>
      </c>
      <c r="R66" s="26">
        <f t="shared" si="13"/>
        <v>0</v>
      </c>
      <c r="S66" s="27">
        <f t="shared" si="14"/>
        <v>0</v>
      </c>
      <c r="T66" s="28">
        <f t="shared" si="6"/>
        <v>0</v>
      </c>
    </row>
    <row r="67" spans="2:20" hidden="1">
      <c r="B67" s="7"/>
      <c r="C67" s="220"/>
      <c r="D67" s="14"/>
      <c r="E67" s="14"/>
      <c r="F67" s="14"/>
      <c r="G67" s="8"/>
      <c r="H67" s="24">
        <f t="shared" si="5"/>
        <v>0</v>
      </c>
      <c r="I67" s="171">
        <f t="shared" si="9"/>
        <v>0</v>
      </c>
      <c r="J67" s="10"/>
      <c r="K67" s="17">
        <v>0.3</v>
      </c>
      <c r="L67" s="11"/>
      <c r="M67" s="11"/>
      <c r="N67" s="100"/>
      <c r="O67" s="25">
        <f t="shared" si="10"/>
        <v>0</v>
      </c>
      <c r="P67" s="25">
        <f t="shared" si="11"/>
        <v>0</v>
      </c>
      <c r="Q67" s="25">
        <f t="shared" si="12"/>
        <v>0</v>
      </c>
      <c r="R67" s="26">
        <f t="shared" si="13"/>
        <v>0</v>
      </c>
      <c r="S67" s="27">
        <f t="shared" si="14"/>
        <v>0</v>
      </c>
      <c r="T67" s="28">
        <f t="shared" si="6"/>
        <v>0</v>
      </c>
    </row>
    <row r="68" spans="2:20" hidden="1">
      <c r="B68" s="7"/>
      <c r="C68" s="220"/>
      <c r="D68" s="14"/>
      <c r="E68" s="14"/>
      <c r="F68" s="14"/>
      <c r="G68" s="8"/>
      <c r="H68" s="24">
        <f t="shared" si="5"/>
        <v>0</v>
      </c>
      <c r="I68" s="171">
        <f t="shared" si="9"/>
        <v>0</v>
      </c>
      <c r="J68" s="10"/>
      <c r="K68" s="17">
        <v>0.3</v>
      </c>
      <c r="L68" s="11"/>
      <c r="M68" s="11"/>
      <c r="N68" s="100"/>
      <c r="O68" s="25">
        <f t="shared" si="10"/>
        <v>0</v>
      </c>
      <c r="P68" s="25">
        <f t="shared" si="11"/>
        <v>0</v>
      </c>
      <c r="Q68" s="25">
        <f t="shared" si="12"/>
        <v>0</v>
      </c>
      <c r="R68" s="26">
        <f t="shared" si="13"/>
        <v>0</v>
      </c>
      <c r="S68" s="27">
        <f t="shared" si="14"/>
        <v>0</v>
      </c>
      <c r="T68" s="28">
        <f t="shared" si="6"/>
        <v>0</v>
      </c>
    </row>
    <row r="69" spans="2:20" hidden="1">
      <c r="B69" s="7"/>
      <c r="C69" s="220"/>
      <c r="D69" s="14"/>
      <c r="E69" s="14"/>
      <c r="F69" s="14"/>
      <c r="G69" s="8"/>
      <c r="H69" s="24">
        <f t="shared" si="5"/>
        <v>0</v>
      </c>
      <c r="I69" s="171">
        <f t="shared" si="9"/>
        <v>0</v>
      </c>
      <c r="J69" s="10"/>
      <c r="K69" s="17">
        <v>0.3</v>
      </c>
      <c r="L69" s="11"/>
      <c r="M69" s="11"/>
      <c r="N69" s="100"/>
      <c r="O69" s="25">
        <f t="shared" si="10"/>
        <v>0</v>
      </c>
      <c r="P69" s="25">
        <f t="shared" si="11"/>
        <v>0</v>
      </c>
      <c r="Q69" s="25">
        <f t="shared" si="12"/>
        <v>0</v>
      </c>
      <c r="R69" s="26">
        <f t="shared" si="13"/>
        <v>0</v>
      </c>
      <c r="S69" s="27">
        <f t="shared" si="14"/>
        <v>0</v>
      </c>
      <c r="T69" s="28">
        <f t="shared" si="6"/>
        <v>0</v>
      </c>
    </row>
    <row r="70" spans="2:20" hidden="1">
      <c r="B70" s="7"/>
      <c r="C70" s="220"/>
      <c r="D70" s="14"/>
      <c r="E70" s="14"/>
      <c r="F70" s="14"/>
      <c r="G70" s="8"/>
      <c r="H70" s="24">
        <f t="shared" ref="H70:H78" si="15">SUM(C70:G70)</f>
        <v>0</v>
      </c>
      <c r="I70" s="171">
        <f t="shared" si="9"/>
        <v>0</v>
      </c>
      <c r="J70" s="10"/>
      <c r="K70" s="17">
        <v>0.3</v>
      </c>
      <c r="L70" s="11"/>
      <c r="M70" s="11"/>
      <c r="N70" s="100"/>
      <c r="O70" s="25">
        <f t="shared" ref="O70:O78" si="16">I70*C70</f>
        <v>0</v>
      </c>
      <c r="P70" s="25">
        <f t="shared" ref="P70:P78" si="17">I70*D70</f>
        <v>0</v>
      </c>
      <c r="Q70" s="25">
        <f t="shared" ref="Q70:Q78" si="18">I70*E70</f>
        <v>0</v>
      </c>
      <c r="R70" s="26">
        <f t="shared" ref="R70:R78" si="19">I70*F70</f>
        <v>0</v>
      </c>
      <c r="S70" s="27">
        <f t="shared" ref="S70:S78" si="20">I70*G70</f>
        <v>0</v>
      </c>
      <c r="T70" s="28">
        <f t="shared" ref="T70:T78" si="21">SUM(O70:S70)</f>
        <v>0</v>
      </c>
    </row>
    <row r="71" spans="2:20" hidden="1">
      <c r="B71" s="7"/>
      <c r="C71" s="220"/>
      <c r="D71" s="14"/>
      <c r="E71" s="14"/>
      <c r="F71" s="14"/>
      <c r="G71" s="8"/>
      <c r="H71" s="24">
        <f t="shared" si="15"/>
        <v>0</v>
      </c>
      <c r="I71" s="171">
        <f t="shared" si="9"/>
        <v>0</v>
      </c>
      <c r="J71" s="10"/>
      <c r="K71" s="17">
        <v>0.3</v>
      </c>
      <c r="L71" s="11"/>
      <c r="M71" s="11"/>
      <c r="N71" s="100"/>
      <c r="O71" s="25">
        <f t="shared" si="16"/>
        <v>0</v>
      </c>
      <c r="P71" s="25">
        <f t="shared" si="17"/>
        <v>0</v>
      </c>
      <c r="Q71" s="25">
        <f t="shared" si="18"/>
        <v>0</v>
      </c>
      <c r="R71" s="26">
        <f t="shared" si="19"/>
        <v>0</v>
      </c>
      <c r="S71" s="27">
        <f t="shared" si="20"/>
        <v>0</v>
      </c>
      <c r="T71" s="28">
        <f t="shared" si="21"/>
        <v>0</v>
      </c>
    </row>
    <row r="72" spans="2:20" hidden="1">
      <c r="B72" s="7"/>
      <c r="C72" s="220"/>
      <c r="D72" s="14"/>
      <c r="E72" s="14"/>
      <c r="F72" s="14"/>
      <c r="G72" s="8"/>
      <c r="H72" s="24">
        <f t="shared" si="15"/>
        <v>0</v>
      </c>
      <c r="I72" s="171">
        <f t="shared" si="9"/>
        <v>0</v>
      </c>
      <c r="J72" s="10"/>
      <c r="K72" s="17">
        <v>0.3</v>
      </c>
      <c r="L72" s="11"/>
      <c r="M72" s="11"/>
      <c r="N72" s="100"/>
      <c r="O72" s="25">
        <f t="shared" si="16"/>
        <v>0</v>
      </c>
      <c r="P72" s="25">
        <f t="shared" si="17"/>
        <v>0</v>
      </c>
      <c r="Q72" s="25">
        <f t="shared" si="18"/>
        <v>0</v>
      </c>
      <c r="R72" s="26">
        <f t="shared" si="19"/>
        <v>0</v>
      </c>
      <c r="S72" s="27">
        <f t="shared" si="20"/>
        <v>0</v>
      </c>
      <c r="T72" s="28">
        <f t="shared" si="21"/>
        <v>0</v>
      </c>
    </row>
    <row r="73" spans="2:20" hidden="1">
      <c r="B73" s="7"/>
      <c r="C73" s="220"/>
      <c r="D73" s="14"/>
      <c r="E73" s="14"/>
      <c r="F73" s="14"/>
      <c r="G73" s="8"/>
      <c r="H73" s="24">
        <f t="shared" si="15"/>
        <v>0</v>
      </c>
      <c r="I73" s="171">
        <f t="shared" si="9"/>
        <v>0</v>
      </c>
      <c r="J73" s="10"/>
      <c r="K73" s="17">
        <v>0.3</v>
      </c>
      <c r="L73" s="11"/>
      <c r="M73" s="11"/>
      <c r="N73" s="100"/>
      <c r="O73" s="25">
        <f t="shared" si="16"/>
        <v>0</v>
      </c>
      <c r="P73" s="25">
        <f t="shared" si="17"/>
        <v>0</v>
      </c>
      <c r="Q73" s="25">
        <f t="shared" si="18"/>
        <v>0</v>
      </c>
      <c r="R73" s="26">
        <f t="shared" si="19"/>
        <v>0</v>
      </c>
      <c r="S73" s="27">
        <f t="shared" si="20"/>
        <v>0</v>
      </c>
      <c r="T73" s="28">
        <f t="shared" si="21"/>
        <v>0</v>
      </c>
    </row>
    <row r="74" spans="2:20" hidden="1">
      <c r="B74" s="7"/>
      <c r="C74" s="220"/>
      <c r="D74" s="14"/>
      <c r="E74" s="14"/>
      <c r="F74" s="14"/>
      <c r="G74" s="8"/>
      <c r="H74" s="24">
        <f t="shared" si="15"/>
        <v>0</v>
      </c>
      <c r="I74" s="171">
        <f t="shared" si="9"/>
        <v>0</v>
      </c>
      <c r="J74" s="10"/>
      <c r="K74" s="17">
        <v>0.3</v>
      </c>
      <c r="L74" s="11"/>
      <c r="M74" s="11"/>
      <c r="N74" s="100"/>
      <c r="O74" s="25">
        <f t="shared" si="16"/>
        <v>0</v>
      </c>
      <c r="P74" s="25">
        <f t="shared" si="17"/>
        <v>0</v>
      </c>
      <c r="Q74" s="25">
        <f t="shared" si="18"/>
        <v>0</v>
      </c>
      <c r="R74" s="26">
        <f t="shared" si="19"/>
        <v>0</v>
      </c>
      <c r="S74" s="27">
        <f t="shared" si="20"/>
        <v>0</v>
      </c>
      <c r="T74" s="28">
        <f t="shared" si="21"/>
        <v>0</v>
      </c>
    </row>
    <row r="75" spans="2:20" hidden="1">
      <c r="B75" s="7"/>
      <c r="C75" s="220"/>
      <c r="D75" s="14"/>
      <c r="E75" s="14"/>
      <c r="F75" s="14"/>
      <c r="G75" s="8"/>
      <c r="H75" s="24">
        <f t="shared" si="15"/>
        <v>0</v>
      </c>
      <c r="I75" s="171">
        <f t="shared" si="9"/>
        <v>0</v>
      </c>
      <c r="J75" s="10"/>
      <c r="K75" s="17">
        <v>0.3</v>
      </c>
      <c r="L75" s="11"/>
      <c r="M75" s="11"/>
      <c r="N75" s="100"/>
      <c r="O75" s="25">
        <f t="shared" si="16"/>
        <v>0</v>
      </c>
      <c r="P75" s="25">
        <f t="shared" si="17"/>
        <v>0</v>
      </c>
      <c r="Q75" s="25">
        <f t="shared" si="18"/>
        <v>0</v>
      </c>
      <c r="R75" s="26">
        <f t="shared" si="19"/>
        <v>0</v>
      </c>
      <c r="S75" s="27">
        <f t="shared" si="20"/>
        <v>0</v>
      </c>
      <c r="T75" s="28">
        <f t="shared" si="21"/>
        <v>0</v>
      </c>
    </row>
    <row r="76" spans="2:20" hidden="1">
      <c r="B76" s="7"/>
      <c r="C76" s="220"/>
      <c r="D76" s="14"/>
      <c r="E76" s="14"/>
      <c r="F76" s="14"/>
      <c r="G76" s="8"/>
      <c r="H76" s="24">
        <f t="shared" si="15"/>
        <v>0</v>
      </c>
      <c r="I76" s="171">
        <f t="shared" si="9"/>
        <v>0</v>
      </c>
      <c r="J76" s="10"/>
      <c r="K76" s="17">
        <v>0.3</v>
      </c>
      <c r="L76" s="11"/>
      <c r="M76" s="11"/>
      <c r="N76" s="100"/>
      <c r="O76" s="25">
        <f t="shared" si="16"/>
        <v>0</v>
      </c>
      <c r="P76" s="25">
        <f t="shared" si="17"/>
        <v>0</v>
      </c>
      <c r="Q76" s="25">
        <f t="shared" si="18"/>
        <v>0</v>
      </c>
      <c r="R76" s="26">
        <f t="shared" si="19"/>
        <v>0</v>
      </c>
      <c r="S76" s="27">
        <f t="shared" si="20"/>
        <v>0</v>
      </c>
      <c r="T76" s="28">
        <f t="shared" si="21"/>
        <v>0</v>
      </c>
    </row>
    <row r="77" spans="2:20" hidden="1">
      <c r="B77" s="7"/>
      <c r="C77" s="220"/>
      <c r="D77" s="14"/>
      <c r="E77" s="14"/>
      <c r="F77" s="14"/>
      <c r="G77" s="8"/>
      <c r="H77" s="24">
        <f t="shared" si="15"/>
        <v>0</v>
      </c>
      <c r="I77" s="171">
        <f t="shared" si="9"/>
        <v>0</v>
      </c>
      <c r="J77" s="10"/>
      <c r="K77" s="17">
        <v>0.3</v>
      </c>
      <c r="L77" s="11"/>
      <c r="M77" s="11"/>
      <c r="N77" s="100"/>
      <c r="O77" s="25">
        <f t="shared" si="16"/>
        <v>0</v>
      </c>
      <c r="P77" s="25">
        <f t="shared" si="17"/>
        <v>0</v>
      </c>
      <c r="Q77" s="25">
        <f t="shared" si="18"/>
        <v>0</v>
      </c>
      <c r="R77" s="26">
        <f t="shared" si="19"/>
        <v>0</v>
      </c>
      <c r="S77" s="27">
        <f t="shared" si="20"/>
        <v>0</v>
      </c>
      <c r="T77" s="28">
        <f t="shared" si="21"/>
        <v>0</v>
      </c>
    </row>
    <row r="78" spans="2:20" hidden="1">
      <c r="B78" s="7"/>
      <c r="C78" s="220"/>
      <c r="D78" s="14"/>
      <c r="E78" s="14"/>
      <c r="F78" s="14"/>
      <c r="G78" s="8"/>
      <c r="H78" s="24">
        <f t="shared" si="15"/>
        <v>0</v>
      </c>
      <c r="I78" s="171">
        <f t="shared" si="9"/>
        <v>0</v>
      </c>
      <c r="J78" s="10"/>
      <c r="K78" s="17">
        <v>0.3</v>
      </c>
      <c r="L78" s="11"/>
      <c r="M78" s="11"/>
      <c r="N78" s="100"/>
      <c r="O78" s="25">
        <f t="shared" si="16"/>
        <v>0</v>
      </c>
      <c r="P78" s="25">
        <f t="shared" si="17"/>
        <v>0</v>
      </c>
      <c r="Q78" s="25">
        <f t="shared" si="18"/>
        <v>0</v>
      </c>
      <c r="R78" s="26">
        <f t="shared" si="19"/>
        <v>0</v>
      </c>
      <c r="S78" s="27">
        <f t="shared" si="20"/>
        <v>0</v>
      </c>
      <c r="T78" s="28">
        <f t="shared" si="21"/>
        <v>0</v>
      </c>
    </row>
    <row r="79" spans="2:20">
      <c r="B79" s="58" t="s">
        <v>13</v>
      </c>
      <c r="C79" s="288">
        <f t="shared" ref="C79" si="22">O79</f>
        <v>48358.59</v>
      </c>
      <c r="D79" s="288">
        <f t="shared" ref="D79" si="23">P79</f>
        <v>2790.8977916666668</v>
      </c>
      <c r="E79" s="288">
        <f t="shared" ref="E79" si="24">Q79</f>
        <v>0</v>
      </c>
      <c r="F79" s="288">
        <f t="shared" ref="F79" si="25">R79</f>
        <v>9007.7925000000014</v>
      </c>
      <c r="G79" s="288">
        <f t="shared" ref="G79" si="26">S79</f>
        <v>11683.8925</v>
      </c>
      <c r="H79" s="288">
        <f t="shared" ref="H79" si="27">T79</f>
        <v>71841.172791666671</v>
      </c>
      <c r="O79" s="29">
        <f t="shared" ref="O79:T79" si="28">SUM(O6:O78)</f>
        <v>48358.59</v>
      </c>
      <c r="P79" s="29">
        <f t="shared" si="28"/>
        <v>2790.8977916666668</v>
      </c>
      <c r="Q79" s="29">
        <f t="shared" si="28"/>
        <v>0</v>
      </c>
      <c r="R79" s="29">
        <f t="shared" si="28"/>
        <v>9007.7925000000014</v>
      </c>
      <c r="S79" s="29">
        <f t="shared" si="28"/>
        <v>11683.8925</v>
      </c>
      <c r="T79" s="29">
        <f t="shared" si="28"/>
        <v>71841.172791666671</v>
      </c>
    </row>
    <row r="80" spans="2:20">
      <c r="B80" s="59" t="s">
        <v>46</v>
      </c>
    </row>
    <row r="81" spans="2:2" ht="16.5" thickBot="1">
      <c r="B81" s="2"/>
    </row>
    <row r="82" spans="2:2">
      <c r="B82" s="60" t="s">
        <v>47</v>
      </c>
    </row>
    <row r="83" spans="2:2">
      <c r="B83" s="101" t="s">
        <v>419</v>
      </c>
    </row>
    <row r="84" spans="2:2">
      <c r="B84" s="101" t="s">
        <v>420</v>
      </c>
    </row>
    <row r="85" spans="2:2">
      <c r="B85" s="101" t="s">
        <v>421</v>
      </c>
    </row>
    <row r="86" spans="2:2">
      <c r="B86" s="102" t="s">
        <v>423</v>
      </c>
    </row>
    <row r="87" spans="2:2">
      <c r="B87" s="103" t="s">
        <v>422</v>
      </c>
    </row>
    <row r="88" spans="2:2">
      <c r="B88" s="104" t="s">
        <v>424</v>
      </c>
    </row>
    <row r="89" spans="2:2">
      <c r="B89" s="104" t="s">
        <v>425</v>
      </c>
    </row>
    <row r="90" spans="2:2" ht="16.5" thickBot="1">
      <c r="B90" s="105" t="s">
        <v>426</v>
      </c>
    </row>
    <row r="91" spans="2:2" ht="16.5" thickBot="1">
      <c r="B91" s="2"/>
    </row>
    <row r="92" spans="2:2">
      <c r="B92" s="60" t="s">
        <v>456</v>
      </c>
    </row>
    <row r="93" spans="2:2">
      <c r="B93" s="101" t="s">
        <v>457</v>
      </c>
    </row>
    <row r="94" spans="2:2">
      <c r="B94" s="103" t="s">
        <v>460</v>
      </c>
    </row>
    <row r="95" spans="2:2">
      <c r="B95" s="103" t="s">
        <v>458</v>
      </c>
    </row>
    <row r="96" spans="2:2">
      <c r="B96" s="103" t="s">
        <v>459</v>
      </c>
    </row>
    <row r="97" spans="2:7">
      <c r="B97" s="101" t="s">
        <v>461</v>
      </c>
    </row>
    <row r="98" spans="2:7">
      <c r="B98" s="103" t="s">
        <v>464</v>
      </c>
    </row>
    <row r="99" spans="2:7">
      <c r="B99" s="109" t="s">
        <v>462</v>
      </c>
    </row>
    <row r="100" spans="2:7" ht="16.5" thickBot="1">
      <c r="B100" s="110" t="s">
        <v>463</v>
      </c>
    </row>
    <row r="102" spans="2:7">
      <c r="B102" s="30" t="s">
        <v>20</v>
      </c>
    </row>
    <row r="103" spans="2:7">
      <c r="B103" s="35"/>
    </row>
    <row r="104" spans="2:7">
      <c r="B104" s="35"/>
    </row>
    <row r="105" spans="2:7">
      <c r="G105" s="5" t="str">
        <f t="shared" ref="G105:G162" si="29">IF(B105&lt;&gt;"",SUM(C105:F105),"")</f>
        <v/>
      </c>
    </row>
    <row r="106" spans="2:7">
      <c r="G106" s="5" t="str">
        <f t="shared" si="29"/>
        <v/>
      </c>
    </row>
    <row r="107" spans="2:7">
      <c r="G107" s="5" t="str">
        <f t="shared" si="29"/>
        <v/>
      </c>
    </row>
    <row r="108" spans="2:7">
      <c r="G108" s="5" t="str">
        <f t="shared" si="29"/>
        <v/>
      </c>
    </row>
    <row r="109" spans="2:7">
      <c r="G109" s="5" t="str">
        <f t="shared" si="29"/>
        <v/>
      </c>
    </row>
    <row r="110" spans="2:7">
      <c r="G110" s="5" t="str">
        <f t="shared" si="29"/>
        <v/>
      </c>
    </row>
    <row r="111" spans="2:7">
      <c r="G111" s="5" t="str">
        <f t="shared" si="29"/>
        <v/>
      </c>
    </row>
    <row r="112" spans="2:7">
      <c r="G112" s="5" t="str">
        <f t="shared" si="29"/>
        <v/>
      </c>
    </row>
    <row r="113" spans="7:7">
      <c r="G113" s="5" t="str">
        <f t="shared" si="29"/>
        <v/>
      </c>
    </row>
    <row r="114" spans="7:7">
      <c r="G114" s="5" t="str">
        <f t="shared" si="29"/>
        <v/>
      </c>
    </row>
    <row r="115" spans="7:7">
      <c r="G115" s="5" t="str">
        <f t="shared" si="29"/>
        <v/>
      </c>
    </row>
    <row r="116" spans="7:7">
      <c r="G116" s="5" t="str">
        <f t="shared" si="29"/>
        <v/>
      </c>
    </row>
    <row r="117" spans="7:7">
      <c r="G117" s="5" t="str">
        <f t="shared" si="29"/>
        <v/>
      </c>
    </row>
    <row r="118" spans="7:7">
      <c r="G118" s="5" t="str">
        <f t="shared" si="29"/>
        <v/>
      </c>
    </row>
    <row r="119" spans="7:7">
      <c r="G119" s="5" t="str">
        <f t="shared" si="29"/>
        <v/>
      </c>
    </row>
    <row r="120" spans="7:7">
      <c r="G120" s="5" t="str">
        <f t="shared" si="29"/>
        <v/>
      </c>
    </row>
    <row r="121" spans="7:7">
      <c r="G121" s="5" t="str">
        <f t="shared" si="29"/>
        <v/>
      </c>
    </row>
    <row r="122" spans="7:7">
      <c r="G122" s="5" t="str">
        <f t="shared" si="29"/>
        <v/>
      </c>
    </row>
    <row r="123" spans="7:7">
      <c r="G123" s="5" t="str">
        <f t="shared" si="29"/>
        <v/>
      </c>
    </row>
    <row r="124" spans="7:7">
      <c r="G124" s="5" t="str">
        <f t="shared" si="29"/>
        <v/>
      </c>
    </row>
    <row r="125" spans="7:7">
      <c r="G125" s="5" t="str">
        <f t="shared" si="29"/>
        <v/>
      </c>
    </row>
    <row r="126" spans="7:7">
      <c r="G126" s="5" t="str">
        <f t="shared" si="29"/>
        <v/>
      </c>
    </row>
    <row r="127" spans="7:7">
      <c r="G127" s="5" t="str">
        <f t="shared" si="29"/>
        <v/>
      </c>
    </row>
    <row r="128" spans="7:7">
      <c r="G128" s="5" t="str">
        <f t="shared" si="29"/>
        <v/>
      </c>
    </row>
    <row r="129" spans="7:7">
      <c r="G129" s="5" t="str">
        <f t="shared" si="29"/>
        <v/>
      </c>
    </row>
    <row r="130" spans="7:7">
      <c r="G130" s="5" t="str">
        <f t="shared" si="29"/>
        <v/>
      </c>
    </row>
    <row r="131" spans="7:7">
      <c r="G131" s="5" t="str">
        <f t="shared" si="29"/>
        <v/>
      </c>
    </row>
    <row r="132" spans="7:7">
      <c r="G132" s="5" t="str">
        <f t="shared" si="29"/>
        <v/>
      </c>
    </row>
    <row r="133" spans="7:7">
      <c r="G133" s="5" t="str">
        <f t="shared" si="29"/>
        <v/>
      </c>
    </row>
    <row r="134" spans="7:7">
      <c r="G134" s="5" t="str">
        <f t="shared" si="29"/>
        <v/>
      </c>
    </row>
    <row r="135" spans="7:7">
      <c r="G135" s="5" t="str">
        <f t="shared" si="29"/>
        <v/>
      </c>
    </row>
    <row r="136" spans="7:7">
      <c r="G136" s="5" t="str">
        <f t="shared" si="29"/>
        <v/>
      </c>
    </row>
    <row r="137" spans="7:7">
      <c r="G137" s="5" t="str">
        <f t="shared" si="29"/>
        <v/>
      </c>
    </row>
    <row r="138" spans="7:7">
      <c r="G138" s="5" t="str">
        <f t="shared" si="29"/>
        <v/>
      </c>
    </row>
    <row r="139" spans="7:7">
      <c r="G139" s="5" t="str">
        <f t="shared" si="29"/>
        <v/>
      </c>
    </row>
    <row r="140" spans="7:7">
      <c r="G140" s="5" t="str">
        <f t="shared" si="29"/>
        <v/>
      </c>
    </row>
    <row r="141" spans="7:7">
      <c r="G141" s="5" t="str">
        <f t="shared" si="29"/>
        <v/>
      </c>
    </row>
    <row r="142" spans="7:7">
      <c r="G142" s="5" t="str">
        <f t="shared" si="29"/>
        <v/>
      </c>
    </row>
    <row r="143" spans="7:7">
      <c r="G143" s="5" t="str">
        <f t="shared" si="29"/>
        <v/>
      </c>
    </row>
    <row r="144" spans="7:7">
      <c r="G144" s="5" t="str">
        <f t="shared" si="29"/>
        <v/>
      </c>
    </row>
    <row r="145" spans="7:7">
      <c r="G145" s="5" t="str">
        <f t="shared" si="29"/>
        <v/>
      </c>
    </row>
    <row r="146" spans="7:7">
      <c r="G146" s="5" t="str">
        <f t="shared" si="29"/>
        <v/>
      </c>
    </row>
    <row r="147" spans="7:7">
      <c r="G147" s="5" t="str">
        <f t="shared" si="29"/>
        <v/>
      </c>
    </row>
    <row r="148" spans="7:7">
      <c r="G148" s="5" t="str">
        <f t="shared" si="29"/>
        <v/>
      </c>
    </row>
    <row r="149" spans="7:7">
      <c r="G149" s="5" t="str">
        <f t="shared" si="29"/>
        <v/>
      </c>
    </row>
    <row r="150" spans="7:7">
      <c r="G150" s="5" t="str">
        <f t="shared" si="29"/>
        <v/>
      </c>
    </row>
    <row r="151" spans="7:7">
      <c r="G151" s="5" t="str">
        <f t="shared" si="29"/>
        <v/>
      </c>
    </row>
    <row r="152" spans="7:7">
      <c r="G152" s="5" t="str">
        <f t="shared" si="29"/>
        <v/>
      </c>
    </row>
    <row r="153" spans="7:7">
      <c r="G153" s="5" t="str">
        <f t="shared" si="29"/>
        <v/>
      </c>
    </row>
    <row r="154" spans="7:7">
      <c r="G154" s="5" t="str">
        <f t="shared" si="29"/>
        <v/>
      </c>
    </row>
    <row r="155" spans="7:7">
      <c r="G155" s="5" t="str">
        <f t="shared" si="29"/>
        <v/>
      </c>
    </row>
    <row r="156" spans="7:7">
      <c r="G156" s="5" t="str">
        <f t="shared" si="29"/>
        <v/>
      </c>
    </row>
    <row r="157" spans="7:7">
      <c r="G157" s="5" t="str">
        <f t="shared" si="29"/>
        <v/>
      </c>
    </row>
    <row r="158" spans="7:7">
      <c r="G158" s="5" t="str">
        <f t="shared" si="29"/>
        <v/>
      </c>
    </row>
    <row r="159" spans="7:7">
      <c r="G159" s="5" t="str">
        <f t="shared" si="29"/>
        <v/>
      </c>
    </row>
    <row r="160" spans="7:7">
      <c r="G160" s="5" t="str">
        <f t="shared" si="29"/>
        <v/>
      </c>
    </row>
    <row r="161" spans="7:7">
      <c r="G161" s="5" t="str">
        <f t="shared" si="29"/>
        <v/>
      </c>
    </row>
    <row r="162" spans="7:7">
      <c r="G162" s="5" t="str">
        <f t="shared" si="29"/>
        <v/>
      </c>
    </row>
    <row r="163" spans="7:7">
      <c r="G163" s="5" t="str">
        <f t="shared" ref="G163:G226" si="30">IF(B163&lt;&gt;"",SUM(C163:F163),"")</f>
        <v/>
      </c>
    </row>
    <row r="164" spans="7:7">
      <c r="G164" s="5" t="str">
        <f t="shared" si="30"/>
        <v/>
      </c>
    </row>
    <row r="165" spans="7:7">
      <c r="G165" s="5" t="str">
        <f t="shared" si="30"/>
        <v/>
      </c>
    </row>
    <row r="166" spans="7:7">
      <c r="G166" s="5" t="str">
        <f t="shared" si="30"/>
        <v/>
      </c>
    </row>
    <row r="167" spans="7:7">
      <c r="G167" s="5" t="str">
        <f t="shared" si="30"/>
        <v/>
      </c>
    </row>
    <row r="168" spans="7:7">
      <c r="G168" s="5" t="str">
        <f t="shared" si="30"/>
        <v/>
      </c>
    </row>
    <row r="169" spans="7:7">
      <c r="G169" s="5" t="str">
        <f t="shared" si="30"/>
        <v/>
      </c>
    </row>
    <row r="170" spans="7:7">
      <c r="G170" s="5" t="str">
        <f t="shared" si="30"/>
        <v/>
      </c>
    </row>
    <row r="171" spans="7:7">
      <c r="G171" s="5" t="str">
        <f t="shared" si="30"/>
        <v/>
      </c>
    </row>
    <row r="172" spans="7:7">
      <c r="G172" s="5" t="str">
        <f t="shared" si="30"/>
        <v/>
      </c>
    </row>
    <row r="173" spans="7:7">
      <c r="G173" s="5" t="str">
        <f t="shared" si="30"/>
        <v/>
      </c>
    </row>
    <row r="174" spans="7:7">
      <c r="G174" s="5" t="str">
        <f t="shared" si="30"/>
        <v/>
      </c>
    </row>
    <row r="175" spans="7:7">
      <c r="G175" s="5" t="str">
        <f t="shared" si="30"/>
        <v/>
      </c>
    </row>
    <row r="176" spans="7:7">
      <c r="G176" s="5" t="str">
        <f t="shared" si="30"/>
        <v/>
      </c>
    </row>
    <row r="177" spans="7:7">
      <c r="G177" s="5" t="str">
        <f t="shared" si="30"/>
        <v/>
      </c>
    </row>
    <row r="178" spans="7:7">
      <c r="G178" s="5" t="str">
        <f t="shared" si="30"/>
        <v/>
      </c>
    </row>
    <row r="179" spans="7:7">
      <c r="G179" s="5" t="str">
        <f t="shared" si="30"/>
        <v/>
      </c>
    </row>
    <row r="180" spans="7:7">
      <c r="G180" s="5" t="str">
        <f t="shared" si="30"/>
        <v/>
      </c>
    </row>
    <row r="181" spans="7:7">
      <c r="G181" s="5" t="str">
        <f t="shared" si="30"/>
        <v/>
      </c>
    </row>
    <row r="182" spans="7:7">
      <c r="G182" s="5" t="str">
        <f t="shared" si="30"/>
        <v/>
      </c>
    </row>
    <row r="183" spans="7:7">
      <c r="G183" s="5" t="str">
        <f t="shared" si="30"/>
        <v/>
      </c>
    </row>
    <row r="184" spans="7:7">
      <c r="G184" s="5" t="str">
        <f t="shared" si="30"/>
        <v/>
      </c>
    </row>
    <row r="185" spans="7:7">
      <c r="G185" s="5" t="str">
        <f t="shared" si="30"/>
        <v/>
      </c>
    </row>
    <row r="186" spans="7:7">
      <c r="G186" s="5" t="str">
        <f t="shared" si="30"/>
        <v/>
      </c>
    </row>
    <row r="187" spans="7:7">
      <c r="G187" s="5" t="str">
        <f t="shared" si="30"/>
        <v/>
      </c>
    </row>
    <row r="188" spans="7:7">
      <c r="G188" s="5" t="str">
        <f t="shared" si="30"/>
        <v/>
      </c>
    </row>
    <row r="189" spans="7:7">
      <c r="G189" s="5" t="str">
        <f t="shared" si="30"/>
        <v/>
      </c>
    </row>
    <row r="190" spans="7:7">
      <c r="G190" s="5" t="str">
        <f t="shared" si="30"/>
        <v/>
      </c>
    </row>
    <row r="191" spans="7:7">
      <c r="G191" s="5" t="str">
        <f t="shared" si="30"/>
        <v/>
      </c>
    </row>
    <row r="192" spans="7:7">
      <c r="G192" s="5" t="str">
        <f t="shared" si="30"/>
        <v/>
      </c>
    </row>
    <row r="193" spans="7:7">
      <c r="G193" s="5" t="str">
        <f t="shared" si="30"/>
        <v/>
      </c>
    </row>
    <row r="194" spans="7:7">
      <c r="G194" s="5" t="str">
        <f t="shared" si="30"/>
        <v/>
      </c>
    </row>
    <row r="195" spans="7:7">
      <c r="G195" s="5" t="str">
        <f t="shared" si="30"/>
        <v/>
      </c>
    </row>
    <row r="196" spans="7:7">
      <c r="G196" s="5" t="str">
        <f t="shared" si="30"/>
        <v/>
      </c>
    </row>
    <row r="197" spans="7:7">
      <c r="G197" s="5" t="str">
        <f t="shared" si="30"/>
        <v/>
      </c>
    </row>
    <row r="198" spans="7:7">
      <c r="G198" s="5" t="str">
        <f t="shared" si="30"/>
        <v/>
      </c>
    </row>
    <row r="199" spans="7:7">
      <c r="G199" s="5" t="str">
        <f t="shared" si="30"/>
        <v/>
      </c>
    </row>
    <row r="200" spans="7:7">
      <c r="G200" s="5" t="str">
        <f t="shared" si="30"/>
        <v/>
      </c>
    </row>
    <row r="201" spans="7:7">
      <c r="G201" s="5" t="str">
        <f t="shared" si="30"/>
        <v/>
      </c>
    </row>
    <row r="202" spans="7:7">
      <c r="G202" s="5" t="str">
        <f t="shared" si="30"/>
        <v/>
      </c>
    </row>
    <row r="203" spans="7:7">
      <c r="G203" s="5" t="str">
        <f t="shared" si="30"/>
        <v/>
      </c>
    </row>
    <row r="204" spans="7:7">
      <c r="G204" s="5" t="str">
        <f t="shared" si="30"/>
        <v/>
      </c>
    </row>
    <row r="205" spans="7:7">
      <c r="G205" s="5" t="str">
        <f t="shared" si="30"/>
        <v/>
      </c>
    </row>
    <row r="206" spans="7:7">
      <c r="G206" s="5" t="str">
        <f t="shared" si="30"/>
        <v/>
      </c>
    </row>
    <row r="207" spans="7:7">
      <c r="G207" s="5" t="str">
        <f t="shared" si="30"/>
        <v/>
      </c>
    </row>
    <row r="208" spans="7:7">
      <c r="G208" s="5" t="str">
        <f t="shared" si="30"/>
        <v/>
      </c>
    </row>
    <row r="209" spans="7:7">
      <c r="G209" s="5" t="str">
        <f t="shared" si="30"/>
        <v/>
      </c>
    </row>
    <row r="210" spans="7:7">
      <c r="G210" s="5" t="str">
        <f t="shared" si="30"/>
        <v/>
      </c>
    </row>
    <row r="211" spans="7:7">
      <c r="G211" s="5" t="str">
        <f t="shared" si="30"/>
        <v/>
      </c>
    </row>
    <row r="212" spans="7:7">
      <c r="G212" s="5" t="str">
        <f t="shared" si="30"/>
        <v/>
      </c>
    </row>
    <row r="213" spans="7:7">
      <c r="G213" s="5" t="str">
        <f t="shared" si="30"/>
        <v/>
      </c>
    </row>
    <row r="214" spans="7:7">
      <c r="G214" s="5" t="str">
        <f t="shared" si="30"/>
        <v/>
      </c>
    </row>
    <row r="215" spans="7:7">
      <c r="G215" s="5" t="str">
        <f t="shared" si="30"/>
        <v/>
      </c>
    </row>
    <row r="216" spans="7:7">
      <c r="G216" s="5" t="str">
        <f t="shared" si="30"/>
        <v/>
      </c>
    </row>
    <row r="217" spans="7:7">
      <c r="G217" s="5" t="str">
        <f t="shared" si="30"/>
        <v/>
      </c>
    </row>
    <row r="218" spans="7:7">
      <c r="G218" s="5" t="str">
        <f t="shared" si="30"/>
        <v/>
      </c>
    </row>
    <row r="219" spans="7:7">
      <c r="G219" s="5" t="str">
        <f t="shared" si="30"/>
        <v/>
      </c>
    </row>
    <row r="220" spans="7:7">
      <c r="G220" s="5" t="str">
        <f t="shared" si="30"/>
        <v/>
      </c>
    </row>
    <row r="221" spans="7:7">
      <c r="G221" s="5" t="str">
        <f t="shared" si="30"/>
        <v/>
      </c>
    </row>
    <row r="222" spans="7:7">
      <c r="G222" s="5" t="str">
        <f t="shared" si="30"/>
        <v/>
      </c>
    </row>
    <row r="223" spans="7:7">
      <c r="G223" s="5" t="str">
        <f t="shared" si="30"/>
        <v/>
      </c>
    </row>
    <row r="224" spans="7:7">
      <c r="G224" s="5" t="str">
        <f t="shared" si="30"/>
        <v/>
      </c>
    </row>
    <row r="225" spans="7:7">
      <c r="G225" s="5" t="str">
        <f t="shared" si="30"/>
        <v/>
      </c>
    </row>
    <row r="226" spans="7:7">
      <c r="G226" s="5" t="str">
        <f t="shared" si="30"/>
        <v/>
      </c>
    </row>
    <row r="227" spans="7:7">
      <c r="G227" s="5" t="str">
        <f t="shared" ref="G227:G290" si="31">IF(B227&lt;&gt;"",SUM(C227:F227),"")</f>
        <v/>
      </c>
    </row>
    <row r="228" spans="7:7">
      <c r="G228" s="5" t="str">
        <f t="shared" si="31"/>
        <v/>
      </c>
    </row>
    <row r="229" spans="7:7">
      <c r="G229" s="5" t="str">
        <f t="shared" si="31"/>
        <v/>
      </c>
    </row>
    <row r="230" spans="7:7">
      <c r="G230" s="5" t="str">
        <f t="shared" si="31"/>
        <v/>
      </c>
    </row>
    <row r="231" spans="7:7">
      <c r="G231" s="5" t="str">
        <f t="shared" si="31"/>
        <v/>
      </c>
    </row>
    <row r="232" spans="7:7">
      <c r="G232" s="5" t="str">
        <f t="shared" si="31"/>
        <v/>
      </c>
    </row>
    <row r="233" spans="7:7">
      <c r="G233" s="5" t="str">
        <f t="shared" si="31"/>
        <v/>
      </c>
    </row>
    <row r="234" spans="7:7">
      <c r="G234" s="5" t="str">
        <f t="shared" si="31"/>
        <v/>
      </c>
    </row>
    <row r="235" spans="7:7">
      <c r="G235" s="5" t="str">
        <f t="shared" si="31"/>
        <v/>
      </c>
    </row>
    <row r="236" spans="7:7">
      <c r="G236" s="5" t="str">
        <f t="shared" si="31"/>
        <v/>
      </c>
    </row>
    <row r="237" spans="7:7">
      <c r="G237" s="5" t="str">
        <f t="shared" si="31"/>
        <v/>
      </c>
    </row>
    <row r="238" spans="7:7">
      <c r="G238" s="5" t="str">
        <f t="shared" si="31"/>
        <v/>
      </c>
    </row>
    <row r="239" spans="7:7">
      <c r="G239" s="5" t="str">
        <f t="shared" si="31"/>
        <v/>
      </c>
    </row>
    <row r="240" spans="7:7">
      <c r="G240" s="5" t="str">
        <f t="shared" si="31"/>
        <v/>
      </c>
    </row>
    <row r="241" spans="7:7">
      <c r="G241" s="5" t="str">
        <f t="shared" si="31"/>
        <v/>
      </c>
    </row>
    <row r="242" spans="7:7">
      <c r="G242" s="5" t="str">
        <f t="shared" si="31"/>
        <v/>
      </c>
    </row>
    <row r="243" spans="7:7">
      <c r="G243" s="5" t="str">
        <f t="shared" si="31"/>
        <v/>
      </c>
    </row>
    <row r="244" spans="7:7">
      <c r="G244" s="5" t="str">
        <f t="shared" si="31"/>
        <v/>
      </c>
    </row>
    <row r="245" spans="7:7">
      <c r="G245" s="5" t="str">
        <f t="shared" si="31"/>
        <v/>
      </c>
    </row>
    <row r="246" spans="7:7">
      <c r="G246" s="5" t="str">
        <f t="shared" si="31"/>
        <v/>
      </c>
    </row>
    <row r="247" spans="7:7">
      <c r="G247" s="5" t="str">
        <f t="shared" si="31"/>
        <v/>
      </c>
    </row>
    <row r="248" spans="7:7">
      <c r="G248" s="5" t="str">
        <f t="shared" si="31"/>
        <v/>
      </c>
    </row>
    <row r="249" spans="7:7">
      <c r="G249" s="5" t="str">
        <f t="shared" si="31"/>
        <v/>
      </c>
    </row>
    <row r="250" spans="7:7">
      <c r="G250" s="5" t="str">
        <f t="shared" si="31"/>
        <v/>
      </c>
    </row>
    <row r="251" spans="7:7">
      <c r="G251" s="5" t="str">
        <f t="shared" si="31"/>
        <v/>
      </c>
    </row>
    <row r="252" spans="7:7">
      <c r="G252" s="5" t="str">
        <f t="shared" si="31"/>
        <v/>
      </c>
    </row>
    <row r="253" spans="7:7">
      <c r="G253" s="5" t="str">
        <f t="shared" si="31"/>
        <v/>
      </c>
    </row>
    <row r="254" spans="7:7">
      <c r="G254" s="5" t="str">
        <f t="shared" si="31"/>
        <v/>
      </c>
    </row>
    <row r="255" spans="7:7">
      <c r="G255" s="5" t="str">
        <f t="shared" si="31"/>
        <v/>
      </c>
    </row>
    <row r="256" spans="7:7">
      <c r="G256" s="5" t="str">
        <f t="shared" si="31"/>
        <v/>
      </c>
    </row>
    <row r="257" spans="7:7">
      <c r="G257" s="5" t="str">
        <f t="shared" si="31"/>
        <v/>
      </c>
    </row>
    <row r="258" spans="7:7">
      <c r="G258" s="5" t="str">
        <f t="shared" si="31"/>
        <v/>
      </c>
    </row>
    <row r="259" spans="7:7">
      <c r="G259" s="5" t="str">
        <f t="shared" si="31"/>
        <v/>
      </c>
    </row>
    <row r="260" spans="7:7">
      <c r="G260" s="5" t="str">
        <f t="shared" si="31"/>
        <v/>
      </c>
    </row>
    <row r="261" spans="7:7">
      <c r="G261" s="5" t="str">
        <f t="shared" si="31"/>
        <v/>
      </c>
    </row>
    <row r="262" spans="7:7">
      <c r="G262" s="5" t="str">
        <f t="shared" si="31"/>
        <v/>
      </c>
    </row>
    <row r="263" spans="7:7">
      <c r="G263" s="5" t="str">
        <f t="shared" si="31"/>
        <v/>
      </c>
    </row>
    <row r="264" spans="7:7">
      <c r="G264" s="5" t="str">
        <f t="shared" si="31"/>
        <v/>
      </c>
    </row>
    <row r="265" spans="7:7">
      <c r="G265" s="5" t="str">
        <f t="shared" si="31"/>
        <v/>
      </c>
    </row>
    <row r="266" spans="7:7">
      <c r="G266" s="5" t="str">
        <f t="shared" si="31"/>
        <v/>
      </c>
    </row>
    <row r="267" spans="7:7">
      <c r="G267" s="5" t="str">
        <f t="shared" si="31"/>
        <v/>
      </c>
    </row>
    <row r="268" spans="7:7">
      <c r="G268" s="5" t="str">
        <f t="shared" si="31"/>
        <v/>
      </c>
    </row>
    <row r="269" spans="7:7">
      <c r="G269" s="5" t="str">
        <f t="shared" si="31"/>
        <v/>
      </c>
    </row>
    <row r="270" spans="7:7">
      <c r="G270" s="5" t="str">
        <f t="shared" si="31"/>
        <v/>
      </c>
    </row>
    <row r="271" spans="7:7">
      <c r="G271" s="5" t="str">
        <f t="shared" si="31"/>
        <v/>
      </c>
    </row>
    <row r="272" spans="7:7">
      <c r="G272" s="5" t="str">
        <f t="shared" si="31"/>
        <v/>
      </c>
    </row>
    <row r="273" spans="7:7">
      <c r="G273" s="5" t="str">
        <f t="shared" si="31"/>
        <v/>
      </c>
    </row>
    <row r="274" spans="7:7">
      <c r="G274" s="5" t="str">
        <f t="shared" si="31"/>
        <v/>
      </c>
    </row>
    <row r="275" spans="7:7">
      <c r="G275" s="5" t="str">
        <f t="shared" si="31"/>
        <v/>
      </c>
    </row>
    <row r="276" spans="7:7">
      <c r="G276" s="5" t="str">
        <f t="shared" si="31"/>
        <v/>
      </c>
    </row>
    <row r="277" spans="7:7">
      <c r="G277" s="5" t="str">
        <f t="shared" si="31"/>
        <v/>
      </c>
    </row>
    <row r="278" spans="7:7">
      <c r="G278" s="5" t="str">
        <f t="shared" si="31"/>
        <v/>
      </c>
    </row>
    <row r="279" spans="7:7">
      <c r="G279" s="5" t="str">
        <f t="shared" si="31"/>
        <v/>
      </c>
    </row>
    <row r="280" spans="7:7">
      <c r="G280" s="5" t="str">
        <f t="shared" si="31"/>
        <v/>
      </c>
    </row>
    <row r="281" spans="7:7">
      <c r="G281" s="5" t="str">
        <f t="shared" si="31"/>
        <v/>
      </c>
    </row>
    <row r="282" spans="7:7">
      <c r="G282" s="5" t="str">
        <f t="shared" si="31"/>
        <v/>
      </c>
    </row>
    <row r="283" spans="7:7">
      <c r="G283" s="5" t="str">
        <f t="shared" si="31"/>
        <v/>
      </c>
    </row>
    <row r="284" spans="7:7">
      <c r="G284" s="5" t="str">
        <f t="shared" si="31"/>
        <v/>
      </c>
    </row>
    <row r="285" spans="7:7">
      <c r="G285" s="5" t="str">
        <f t="shared" si="31"/>
        <v/>
      </c>
    </row>
    <row r="286" spans="7:7">
      <c r="G286" s="5" t="str">
        <f t="shared" si="31"/>
        <v/>
      </c>
    </row>
    <row r="287" spans="7:7">
      <c r="G287" s="5" t="str">
        <f t="shared" si="31"/>
        <v/>
      </c>
    </row>
    <row r="288" spans="7:7">
      <c r="G288" s="5" t="str">
        <f t="shared" si="31"/>
        <v/>
      </c>
    </row>
    <row r="289" spans="7:7">
      <c r="G289" s="5" t="str">
        <f t="shared" si="31"/>
        <v/>
      </c>
    </row>
    <row r="290" spans="7:7">
      <c r="G290" s="5" t="str">
        <f t="shared" si="31"/>
        <v/>
      </c>
    </row>
    <row r="291" spans="7:7">
      <c r="G291" s="5" t="str">
        <f t="shared" ref="G291:G354" si="32">IF(B291&lt;&gt;"",SUM(C291:F291),"")</f>
        <v/>
      </c>
    </row>
    <row r="292" spans="7:7">
      <c r="G292" s="5" t="str">
        <f t="shared" si="32"/>
        <v/>
      </c>
    </row>
    <row r="293" spans="7:7">
      <c r="G293" s="5" t="str">
        <f t="shared" si="32"/>
        <v/>
      </c>
    </row>
    <row r="294" spans="7:7">
      <c r="G294" s="5" t="str">
        <f t="shared" si="32"/>
        <v/>
      </c>
    </row>
    <row r="295" spans="7:7">
      <c r="G295" s="5" t="str">
        <f t="shared" si="32"/>
        <v/>
      </c>
    </row>
    <row r="296" spans="7:7">
      <c r="G296" s="5" t="str">
        <f t="shared" si="32"/>
        <v/>
      </c>
    </row>
    <row r="297" spans="7:7">
      <c r="G297" s="5" t="str">
        <f t="shared" si="32"/>
        <v/>
      </c>
    </row>
    <row r="298" spans="7:7">
      <c r="G298" s="5" t="str">
        <f t="shared" si="32"/>
        <v/>
      </c>
    </row>
    <row r="299" spans="7:7">
      <c r="G299" s="5" t="str">
        <f t="shared" si="32"/>
        <v/>
      </c>
    </row>
    <row r="300" spans="7:7">
      <c r="G300" s="5" t="str">
        <f t="shared" si="32"/>
        <v/>
      </c>
    </row>
    <row r="301" spans="7:7">
      <c r="G301" s="5" t="str">
        <f t="shared" si="32"/>
        <v/>
      </c>
    </row>
    <row r="302" spans="7:7">
      <c r="G302" s="5" t="str">
        <f t="shared" si="32"/>
        <v/>
      </c>
    </row>
    <row r="303" spans="7:7">
      <c r="G303" s="5" t="str">
        <f t="shared" si="32"/>
        <v/>
      </c>
    </row>
    <row r="304" spans="7:7">
      <c r="G304" s="5" t="str">
        <f t="shared" si="32"/>
        <v/>
      </c>
    </row>
    <row r="305" spans="7:7">
      <c r="G305" s="5" t="str">
        <f t="shared" si="32"/>
        <v/>
      </c>
    </row>
    <row r="306" spans="7:7">
      <c r="G306" s="5" t="str">
        <f t="shared" si="32"/>
        <v/>
      </c>
    </row>
    <row r="307" spans="7:7">
      <c r="G307" s="5" t="str">
        <f t="shared" si="32"/>
        <v/>
      </c>
    </row>
    <row r="308" spans="7:7">
      <c r="G308" s="5" t="str">
        <f t="shared" si="32"/>
        <v/>
      </c>
    </row>
    <row r="309" spans="7:7">
      <c r="G309" s="5" t="str">
        <f t="shared" si="32"/>
        <v/>
      </c>
    </row>
    <row r="310" spans="7:7">
      <c r="G310" s="5" t="str">
        <f t="shared" si="32"/>
        <v/>
      </c>
    </row>
    <row r="311" spans="7:7">
      <c r="G311" s="5" t="str">
        <f t="shared" si="32"/>
        <v/>
      </c>
    </row>
    <row r="312" spans="7:7">
      <c r="G312" s="5" t="str">
        <f t="shared" si="32"/>
        <v/>
      </c>
    </row>
    <row r="313" spans="7:7">
      <c r="G313" s="5" t="str">
        <f t="shared" si="32"/>
        <v/>
      </c>
    </row>
    <row r="314" spans="7:7">
      <c r="G314" s="5" t="str">
        <f t="shared" si="32"/>
        <v/>
      </c>
    </row>
    <row r="315" spans="7:7">
      <c r="G315" s="5" t="str">
        <f t="shared" si="32"/>
        <v/>
      </c>
    </row>
    <row r="316" spans="7:7">
      <c r="G316" s="5" t="str">
        <f t="shared" si="32"/>
        <v/>
      </c>
    </row>
    <row r="317" spans="7:7">
      <c r="G317" s="5" t="str">
        <f t="shared" si="32"/>
        <v/>
      </c>
    </row>
    <row r="318" spans="7:7">
      <c r="G318" s="5" t="str">
        <f t="shared" si="32"/>
        <v/>
      </c>
    </row>
    <row r="319" spans="7:7">
      <c r="G319" s="5" t="str">
        <f t="shared" si="32"/>
        <v/>
      </c>
    </row>
    <row r="320" spans="7:7">
      <c r="G320" s="5" t="str">
        <f t="shared" si="32"/>
        <v/>
      </c>
    </row>
    <row r="321" spans="7:7">
      <c r="G321" s="5" t="str">
        <f t="shared" si="32"/>
        <v/>
      </c>
    </row>
    <row r="322" spans="7:7">
      <c r="G322" s="5" t="str">
        <f t="shared" si="32"/>
        <v/>
      </c>
    </row>
    <row r="323" spans="7:7">
      <c r="G323" s="5" t="str">
        <f t="shared" si="32"/>
        <v/>
      </c>
    </row>
    <row r="324" spans="7:7">
      <c r="G324" s="5" t="str">
        <f t="shared" si="32"/>
        <v/>
      </c>
    </row>
    <row r="325" spans="7:7">
      <c r="G325" s="5" t="str">
        <f t="shared" si="32"/>
        <v/>
      </c>
    </row>
    <row r="326" spans="7:7">
      <c r="G326" s="5" t="str">
        <f t="shared" si="32"/>
        <v/>
      </c>
    </row>
    <row r="327" spans="7:7">
      <c r="G327" s="5" t="str">
        <f t="shared" si="32"/>
        <v/>
      </c>
    </row>
    <row r="328" spans="7:7">
      <c r="G328" s="5" t="str">
        <f t="shared" si="32"/>
        <v/>
      </c>
    </row>
    <row r="329" spans="7:7">
      <c r="G329" s="5" t="str">
        <f t="shared" si="32"/>
        <v/>
      </c>
    </row>
    <row r="330" spans="7:7">
      <c r="G330" s="5" t="str">
        <f t="shared" si="32"/>
        <v/>
      </c>
    </row>
    <row r="331" spans="7:7">
      <c r="G331" s="5" t="str">
        <f t="shared" si="32"/>
        <v/>
      </c>
    </row>
    <row r="332" spans="7:7">
      <c r="G332" s="5" t="str">
        <f t="shared" si="32"/>
        <v/>
      </c>
    </row>
    <row r="333" spans="7:7">
      <c r="G333" s="5" t="str">
        <f t="shared" si="32"/>
        <v/>
      </c>
    </row>
    <row r="334" spans="7:7">
      <c r="G334" s="5" t="str">
        <f t="shared" si="32"/>
        <v/>
      </c>
    </row>
    <row r="335" spans="7:7">
      <c r="G335" s="5" t="str">
        <f t="shared" si="32"/>
        <v/>
      </c>
    </row>
    <row r="336" spans="7:7">
      <c r="G336" s="5" t="str">
        <f t="shared" si="32"/>
        <v/>
      </c>
    </row>
    <row r="337" spans="7:7">
      <c r="G337" s="5" t="str">
        <f t="shared" si="32"/>
        <v/>
      </c>
    </row>
    <row r="338" spans="7:7">
      <c r="G338" s="5" t="str">
        <f t="shared" si="32"/>
        <v/>
      </c>
    </row>
    <row r="339" spans="7:7">
      <c r="G339" s="5" t="str">
        <f t="shared" si="32"/>
        <v/>
      </c>
    </row>
    <row r="340" spans="7:7">
      <c r="G340" s="5" t="str">
        <f t="shared" si="32"/>
        <v/>
      </c>
    </row>
    <row r="341" spans="7:7">
      <c r="G341" s="5" t="str">
        <f t="shared" si="32"/>
        <v/>
      </c>
    </row>
    <row r="342" spans="7:7">
      <c r="G342" s="5" t="str">
        <f t="shared" si="32"/>
        <v/>
      </c>
    </row>
    <row r="343" spans="7:7">
      <c r="G343" s="5" t="str">
        <f t="shared" si="32"/>
        <v/>
      </c>
    </row>
    <row r="344" spans="7:7">
      <c r="G344" s="5" t="str">
        <f t="shared" si="32"/>
        <v/>
      </c>
    </row>
    <row r="345" spans="7:7">
      <c r="G345" s="5" t="str">
        <f t="shared" si="32"/>
        <v/>
      </c>
    </row>
    <row r="346" spans="7:7">
      <c r="G346" s="5" t="str">
        <f t="shared" si="32"/>
        <v/>
      </c>
    </row>
    <row r="347" spans="7:7">
      <c r="G347" s="5" t="str">
        <f t="shared" si="32"/>
        <v/>
      </c>
    </row>
    <row r="348" spans="7:7">
      <c r="G348" s="5" t="str">
        <f t="shared" si="32"/>
        <v/>
      </c>
    </row>
    <row r="349" spans="7:7">
      <c r="G349" s="5" t="str">
        <f t="shared" si="32"/>
        <v/>
      </c>
    </row>
    <row r="350" spans="7:7">
      <c r="G350" s="5" t="str">
        <f t="shared" si="32"/>
        <v/>
      </c>
    </row>
    <row r="351" spans="7:7">
      <c r="G351" s="5" t="str">
        <f t="shared" si="32"/>
        <v/>
      </c>
    </row>
    <row r="352" spans="7:7">
      <c r="G352" s="5" t="str">
        <f t="shared" si="32"/>
        <v/>
      </c>
    </row>
    <row r="353" spans="7:7">
      <c r="G353" s="5" t="str">
        <f t="shared" si="32"/>
        <v/>
      </c>
    </row>
    <row r="354" spans="7:7">
      <c r="G354" s="5" t="str">
        <f t="shared" si="32"/>
        <v/>
      </c>
    </row>
    <row r="355" spans="7:7">
      <c r="G355" s="5" t="str">
        <f t="shared" ref="G355:G418" si="33">IF(B355&lt;&gt;"",SUM(C355:F355),"")</f>
        <v/>
      </c>
    </row>
    <row r="356" spans="7:7">
      <c r="G356" s="5" t="str">
        <f t="shared" si="33"/>
        <v/>
      </c>
    </row>
    <row r="357" spans="7:7">
      <c r="G357" s="5" t="str">
        <f t="shared" si="33"/>
        <v/>
      </c>
    </row>
    <row r="358" spans="7:7">
      <c r="G358" s="5" t="str">
        <f t="shared" si="33"/>
        <v/>
      </c>
    </row>
    <row r="359" spans="7:7">
      <c r="G359" s="5" t="str">
        <f t="shared" si="33"/>
        <v/>
      </c>
    </row>
    <row r="360" spans="7:7">
      <c r="G360" s="5" t="str">
        <f t="shared" si="33"/>
        <v/>
      </c>
    </row>
    <row r="361" spans="7:7">
      <c r="G361" s="5" t="str">
        <f t="shared" si="33"/>
        <v/>
      </c>
    </row>
    <row r="362" spans="7:7">
      <c r="G362" s="5" t="str">
        <f t="shared" si="33"/>
        <v/>
      </c>
    </row>
    <row r="363" spans="7:7">
      <c r="G363" s="5" t="str">
        <f t="shared" si="33"/>
        <v/>
      </c>
    </row>
    <row r="364" spans="7:7">
      <c r="G364" s="5" t="str">
        <f t="shared" si="33"/>
        <v/>
      </c>
    </row>
    <row r="365" spans="7:7">
      <c r="G365" s="5" t="str">
        <f t="shared" si="33"/>
        <v/>
      </c>
    </row>
    <row r="366" spans="7:7">
      <c r="G366" s="5" t="str">
        <f t="shared" si="33"/>
        <v/>
      </c>
    </row>
    <row r="367" spans="7:7">
      <c r="G367" s="5" t="str">
        <f t="shared" si="33"/>
        <v/>
      </c>
    </row>
    <row r="368" spans="7:7">
      <c r="G368" s="5" t="str">
        <f t="shared" si="33"/>
        <v/>
      </c>
    </row>
    <row r="369" spans="7:7">
      <c r="G369" s="5" t="str">
        <f t="shared" si="33"/>
        <v/>
      </c>
    </row>
    <row r="370" spans="7:7">
      <c r="G370" s="5" t="str">
        <f t="shared" si="33"/>
        <v/>
      </c>
    </row>
    <row r="371" spans="7:7">
      <c r="G371" s="5" t="str">
        <f t="shared" si="33"/>
        <v/>
      </c>
    </row>
    <row r="372" spans="7:7">
      <c r="G372" s="5" t="str">
        <f t="shared" si="33"/>
        <v/>
      </c>
    </row>
    <row r="373" spans="7:7">
      <c r="G373" s="5" t="str">
        <f t="shared" si="33"/>
        <v/>
      </c>
    </row>
    <row r="374" spans="7:7">
      <c r="G374" s="5" t="str">
        <f t="shared" si="33"/>
        <v/>
      </c>
    </row>
    <row r="375" spans="7:7">
      <c r="G375" s="5" t="str">
        <f t="shared" si="33"/>
        <v/>
      </c>
    </row>
    <row r="376" spans="7:7">
      <c r="G376" s="5" t="str">
        <f t="shared" si="33"/>
        <v/>
      </c>
    </row>
    <row r="377" spans="7:7">
      <c r="G377" s="5" t="str">
        <f t="shared" si="33"/>
        <v/>
      </c>
    </row>
    <row r="378" spans="7:7">
      <c r="G378" s="5" t="str">
        <f t="shared" si="33"/>
        <v/>
      </c>
    </row>
    <row r="379" spans="7:7">
      <c r="G379" s="5" t="str">
        <f t="shared" si="33"/>
        <v/>
      </c>
    </row>
    <row r="380" spans="7:7">
      <c r="G380" s="5" t="str">
        <f t="shared" si="33"/>
        <v/>
      </c>
    </row>
    <row r="381" spans="7:7">
      <c r="G381" s="5" t="str">
        <f t="shared" si="33"/>
        <v/>
      </c>
    </row>
    <row r="382" spans="7:7">
      <c r="G382" s="5" t="str">
        <f t="shared" si="33"/>
        <v/>
      </c>
    </row>
    <row r="383" spans="7:7">
      <c r="G383" s="5" t="str">
        <f t="shared" si="33"/>
        <v/>
      </c>
    </row>
    <row r="384" spans="7:7">
      <c r="G384" s="5" t="str">
        <f t="shared" si="33"/>
        <v/>
      </c>
    </row>
    <row r="385" spans="7:7">
      <c r="G385" s="5" t="str">
        <f t="shared" si="33"/>
        <v/>
      </c>
    </row>
    <row r="386" spans="7:7">
      <c r="G386" s="5" t="str">
        <f t="shared" si="33"/>
        <v/>
      </c>
    </row>
    <row r="387" spans="7:7">
      <c r="G387" s="5" t="str">
        <f t="shared" si="33"/>
        <v/>
      </c>
    </row>
    <row r="388" spans="7:7">
      <c r="G388" s="5" t="str">
        <f t="shared" si="33"/>
        <v/>
      </c>
    </row>
    <row r="389" spans="7:7">
      <c r="G389" s="5" t="str">
        <f t="shared" si="33"/>
        <v/>
      </c>
    </row>
    <row r="390" spans="7:7">
      <c r="G390" s="5" t="str">
        <f t="shared" si="33"/>
        <v/>
      </c>
    </row>
    <row r="391" spans="7:7">
      <c r="G391" s="5" t="str">
        <f t="shared" si="33"/>
        <v/>
      </c>
    </row>
    <row r="392" spans="7:7">
      <c r="G392" s="5" t="str">
        <f t="shared" si="33"/>
        <v/>
      </c>
    </row>
    <row r="393" spans="7:7">
      <c r="G393" s="5" t="str">
        <f t="shared" si="33"/>
        <v/>
      </c>
    </row>
    <row r="394" spans="7:7">
      <c r="G394" s="5" t="str">
        <f t="shared" si="33"/>
        <v/>
      </c>
    </row>
    <row r="395" spans="7:7">
      <c r="G395" s="5" t="str">
        <f t="shared" si="33"/>
        <v/>
      </c>
    </row>
    <row r="396" spans="7:7">
      <c r="G396" s="5" t="str">
        <f t="shared" si="33"/>
        <v/>
      </c>
    </row>
    <row r="397" spans="7:7">
      <c r="G397" s="5" t="str">
        <f t="shared" si="33"/>
        <v/>
      </c>
    </row>
    <row r="398" spans="7:7">
      <c r="G398" s="5" t="str">
        <f t="shared" si="33"/>
        <v/>
      </c>
    </row>
    <row r="399" spans="7:7">
      <c r="G399" s="5" t="str">
        <f t="shared" si="33"/>
        <v/>
      </c>
    </row>
    <row r="400" spans="7:7">
      <c r="G400" s="5" t="str">
        <f t="shared" si="33"/>
        <v/>
      </c>
    </row>
    <row r="401" spans="7:7">
      <c r="G401" s="5" t="str">
        <f t="shared" si="33"/>
        <v/>
      </c>
    </row>
    <row r="402" spans="7:7">
      <c r="G402" s="5" t="str">
        <f t="shared" si="33"/>
        <v/>
      </c>
    </row>
    <row r="403" spans="7:7">
      <c r="G403" s="5" t="str">
        <f t="shared" si="33"/>
        <v/>
      </c>
    </row>
    <row r="404" spans="7:7">
      <c r="G404" s="5" t="str">
        <f t="shared" si="33"/>
        <v/>
      </c>
    </row>
    <row r="405" spans="7:7">
      <c r="G405" s="5" t="str">
        <f t="shared" si="33"/>
        <v/>
      </c>
    </row>
    <row r="406" spans="7:7">
      <c r="G406" s="5" t="str">
        <f t="shared" si="33"/>
        <v/>
      </c>
    </row>
    <row r="407" spans="7:7">
      <c r="G407" s="5" t="str">
        <f t="shared" si="33"/>
        <v/>
      </c>
    </row>
    <row r="408" spans="7:7">
      <c r="G408" s="5" t="str">
        <f t="shared" si="33"/>
        <v/>
      </c>
    </row>
    <row r="409" spans="7:7">
      <c r="G409" s="5" t="str">
        <f t="shared" si="33"/>
        <v/>
      </c>
    </row>
    <row r="410" spans="7:7">
      <c r="G410" s="5" t="str">
        <f t="shared" si="33"/>
        <v/>
      </c>
    </row>
    <row r="411" spans="7:7">
      <c r="G411" s="5" t="str">
        <f t="shared" si="33"/>
        <v/>
      </c>
    </row>
    <row r="412" spans="7:7">
      <c r="G412" s="5" t="str">
        <f t="shared" si="33"/>
        <v/>
      </c>
    </row>
    <row r="413" spans="7:7">
      <c r="G413" s="5" t="str">
        <f t="shared" si="33"/>
        <v/>
      </c>
    </row>
    <row r="414" spans="7:7">
      <c r="G414" s="5" t="str">
        <f t="shared" si="33"/>
        <v/>
      </c>
    </row>
    <row r="415" spans="7:7">
      <c r="G415" s="5" t="str">
        <f t="shared" si="33"/>
        <v/>
      </c>
    </row>
    <row r="416" spans="7:7">
      <c r="G416" s="5" t="str">
        <f t="shared" si="33"/>
        <v/>
      </c>
    </row>
    <row r="417" spans="7:7">
      <c r="G417" s="5" t="str">
        <f t="shared" si="33"/>
        <v/>
      </c>
    </row>
    <row r="418" spans="7:7">
      <c r="G418" s="5" t="str">
        <f t="shared" si="33"/>
        <v/>
      </c>
    </row>
    <row r="419" spans="7:7">
      <c r="G419" s="5" t="str">
        <f t="shared" ref="G419:G482" si="34">IF(B419&lt;&gt;"",SUM(C419:F419),"")</f>
        <v/>
      </c>
    </row>
    <row r="420" spans="7:7">
      <c r="G420" s="5" t="str">
        <f t="shared" si="34"/>
        <v/>
      </c>
    </row>
    <row r="421" spans="7:7">
      <c r="G421" s="5" t="str">
        <f t="shared" si="34"/>
        <v/>
      </c>
    </row>
    <row r="422" spans="7:7">
      <c r="G422" s="5" t="str">
        <f t="shared" si="34"/>
        <v/>
      </c>
    </row>
    <row r="423" spans="7:7">
      <c r="G423" s="5" t="str">
        <f t="shared" si="34"/>
        <v/>
      </c>
    </row>
    <row r="424" spans="7:7">
      <c r="G424" s="5" t="str">
        <f t="shared" si="34"/>
        <v/>
      </c>
    </row>
    <row r="425" spans="7:7">
      <c r="G425" s="5" t="str">
        <f t="shared" si="34"/>
        <v/>
      </c>
    </row>
    <row r="426" spans="7:7">
      <c r="G426" s="5" t="str">
        <f t="shared" si="34"/>
        <v/>
      </c>
    </row>
    <row r="427" spans="7:7">
      <c r="G427" s="5" t="str">
        <f t="shared" si="34"/>
        <v/>
      </c>
    </row>
    <row r="428" spans="7:7">
      <c r="G428" s="5" t="str">
        <f t="shared" si="34"/>
        <v/>
      </c>
    </row>
    <row r="429" spans="7:7">
      <c r="G429" s="5" t="str">
        <f t="shared" si="34"/>
        <v/>
      </c>
    </row>
    <row r="430" spans="7:7">
      <c r="G430" s="5" t="str">
        <f t="shared" si="34"/>
        <v/>
      </c>
    </row>
    <row r="431" spans="7:7">
      <c r="G431" s="5" t="str">
        <f t="shared" si="34"/>
        <v/>
      </c>
    </row>
    <row r="432" spans="7:7">
      <c r="G432" s="5" t="str">
        <f t="shared" si="34"/>
        <v/>
      </c>
    </row>
    <row r="433" spans="7:7">
      <c r="G433" s="5" t="str">
        <f t="shared" si="34"/>
        <v/>
      </c>
    </row>
    <row r="434" spans="7:7">
      <c r="G434" s="5" t="str">
        <f t="shared" si="34"/>
        <v/>
      </c>
    </row>
    <row r="435" spans="7:7">
      <c r="G435" s="5" t="str">
        <f t="shared" si="34"/>
        <v/>
      </c>
    </row>
    <row r="436" spans="7:7">
      <c r="G436" s="5" t="str">
        <f t="shared" si="34"/>
        <v/>
      </c>
    </row>
    <row r="437" spans="7:7">
      <c r="G437" s="5" t="str">
        <f t="shared" si="34"/>
        <v/>
      </c>
    </row>
    <row r="438" spans="7:7">
      <c r="G438" s="5" t="str">
        <f t="shared" si="34"/>
        <v/>
      </c>
    </row>
    <row r="439" spans="7:7">
      <c r="G439" s="5" t="str">
        <f t="shared" si="34"/>
        <v/>
      </c>
    </row>
    <row r="440" spans="7:7">
      <c r="G440" s="5" t="str">
        <f t="shared" si="34"/>
        <v/>
      </c>
    </row>
    <row r="441" spans="7:7">
      <c r="G441" s="5" t="str">
        <f t="shared" si="34"/>
        <v/>
      </c>
    </row>
    <row r="442" spans="7:7">
      <c r="G442" s="5" t="str">
        <f t="shared" si="34"/>
        <v/>
      </c>
    </row>
    <row r="443" spans="7:7">
      <c r="G443" s="5" t="str">
        <f t="shared" si="34"/>
        <v/>
      </c>
    </row>
    <row r="444" spans="7:7">
      <c r="G444" s="5" t="str">
        <f t="shared" si="34"/>
        <v/>
      </c>
    </row>
    <row r="445" spans="7:7">
      <c r="G445" s="5" t="str">
        <f t="shared" si="34"/>
        <v/>
      </c>
    </row>
    <row r="446" spans="7:7">
      <c r="G446" s="5" t="str">
        <f t="shared" si="34"/>
        <v/>
      </c>
    </row>
    <row r="447" spans="7:7">
      <c r="G447" s="5" t="str">
        <f t="shared" si="34"/>
        <v/>
      </c>
    </row>
    <row r="448" spans="7:7">
      <c r="G448" s="5" t="str">
        <f t="shared" si="34"/>
        <v/>
      </c>
    </row>
    <row r="449" spans="7:7">
      <c r="G449" s="5" t="str">
        <f t="shared" si="34"/>
        <v/>
      </c>
    </row>
    <row r="450" spans="7:7">
      <c r="G450" s="5" t="str">
        <f t="shared" si="34"/>
        <v/>
      </c>
    </row>
    <row r="451" spans="7:7">
      <c r="G451" s="5" t="str">
        <f t="shared" si="34"/>
        <v/>
      </c>
    </row>
    <row r="452" spans="7:7">
      <c r="G452" s="5" t="str">
        <f t="shared" si="34"/>
        <v/>
      </c>
    </row>
    <row r="453" spans="7:7">
      <c r="G453" s="5" t="str">
        <f t="shared" si="34"/>
        <v/>
      </c>
    </row>
    <row r="454" spans="7:7">
      <c r="G454" s="5" t="str">
        <f t="shared" si="34"/>
        <v/>
      </c>
    </row>
    <row r="455" spans="7:7">
      <c r="G455" s="5" t="str">
        <f t="shared" si="34"/>
        <v/>
      </c>
    </row>
    <row r="456" spans="7:7">
      <c r="G456" s="5" t="str">
        <f t="shared" si="34"/>
        <v/>
      </c>
    </row>
    <row r="457" spans="7:7">
      <c r="G457" s="5" t="str">
        <f t="shared" si="34"/>
        <v/>
      </c>
    </row>
    <row r="458" spans="7:7">
      <c r="G458" s="5" t="str">
        <f t="shared" si="34"/>
        <v/>
      </c>
    </row>
    <row r="459" spans="7:7">
      <c r="G459" s="5" t="str">
        <f t="shared" si="34"/>
        <v/>
      </c>
    </row>
    <row r="460" spans="7:7">
      <c r="G460" s="5" t="str">
        <f t="shared" si="34"/>
        <v/>
      </c>
    </row>
    <row r="461" spans="7:7">
      <c r="G461" s="5" t="str">
        <f t="shared" si="34"/>
        <v/>
      </c>
    </row>
    <row r="462" spans="7:7">
      <c r="G462" s="5" t="str">
        <f t="shared" si="34"/>
        <v/>
      </c>
    </row>
    <row r="463" spans="7:7">
      <c r="G463" s="5" t="str">
        <f t="shared" si="34"/>
        <v/>
      </c>
    </row>
    <row r="464" spans="7:7">
      <c r="G464" s="5" t="str">
        <f t="shared" si="34"/>
        <v/>
      </c>
    </row>
    <row r="465" spans="7:7">
      <c r="G465" s="5" t="str">
        <f t="shared" si="34"/>
        <v/>
      </c>
    </row>
    <row r="466" spans="7:7">
      <c r="G466" s="5" t="str">
        <f t="shared" si="34"/>
        <v/>
      </c>
    </row>
    <row r="467" spans="7:7">
      <c r="G467" s="5" t="str">
        <f t="shared" si="34"/>
        <v/>
      </c>
    </row>
    <row r="468" spans="7:7">
      <c r="G468" s="5" t="str">
        <f t="shared" si="34"/>
        <v/>
      </c>
    </row>
    <row r="469" spans="7:7">
      <c r="G469" s="5" t="str">
        <f t="shared" si="34"/>
        <v/>
      </c>
    </row>
    <row r="470" spans="7:7">
      <c r="G470" s="5" t="str">
        <f t="shared" si="34"/>
        <v/>
      </c>
    </row>
    <row r="471" spans="7:7">
      <c r="G471" s="5" t="str">
        <f t="shared" si="34"/>
        <v/>
      </c>
    </row>
    <row r="472" spans="7:7">
      <c r="G472" s="5" t="str">
        <f t="shared" si="34"/>
        <v/>
      </c>
    </row>
    <row r="473" spans="7:7">
      <c r="G473" s="5" t="str">
        <f t="shared" si="34"/>
        <v/>
      </c>
    </row>
    <row r="474" spans="7:7">
      <c r="G474" s="5" t="str">
        <f t="shared" si="34"/>
        <v/>
      </c>
    </row>
    <row r="475" spans="7:7">
      <c r="G475" s="5" t="str">
        <f t="shared" si="34"/>
        <v/>
      </c>
    </row>
    <row r="476" spans="7:7">
      <c r="G476" s="5" t="str">
        <f t="shared" si="34"/>
        <v/>
      </c>
    </row>
    <row r="477" spans="7:7">
      <c r="G477" s="5" t="str">
        <f t="shared" si="34"/>
        <v/>
      </c>
    </row>
    <row r="478" spans="7:7">
      <c r="G478" s="5" t="str">
        <f t="shared" si="34"/>
        <v/>
      </c>
    </row>
    <row r="479" spans="7:7">
      <c r="G479" s="5" t="str">
        <f t="shared" si="34"/>
        <v/>
      </c>
    </row>
    <row r="480" spans="7:7">
      <c r="G480" s="5" t="str">
        <f t="shared" si="34"/>
        <v/>
      </c>
    </row>
    <row r="481" spans="7:7">
      <c r="G481" s="5" t="str">
        <f t="shared" si="34"/>
        <v/>
      </c>
    </row>
    <row r="482" spans="7:7">
      <c r="G482" s="5" t="str">
        <f t="shared" si="34"/>
        <v/>
      </c>
    </row>
    <row r="483" spans="7:7">
      <c r="G483" s="5" t="str">
        <f t="shared" ref="G483:G514" si="35">IF(B483&lt;&gt;"",SUM(C483:F483),"")</f>
        <v/>
      </c>
    </row>
    <row r="484" spans="7:7">
      <c r="G484" s="5" t="str">
        <f t="shared" si="35"/>
        <v/>
      </c>
    </row>
    <row r="485" spans="7:7">
      <c r="G485" s="5" t="str">
        <f t="shared" si="35"/>
        <v/>
      </c>
    </row>
    <row r="486" spans="7:7">
      <c r="G486" s="5" t="str">
        <f t="shared" si="35"/>
        <v/>
      </c>
    </row>
    <row r="487" spans="7:7">
      <c r="G487" s="5" t="str">
        <f t="shared" si="35"/>
        <v/>
      </c>
    </row>
    <row r="488" spans="7:7">
      <c r="G488" s="5" t="str">
        <f t="shared" si="35"/>
        <v/>
      </c>
    </row>
    <row r="489" spans="7:7">
      <c r="G489" s="5" t="str">
        <f t="shared" si="35"/>
        <v/>
      </c>
    </row>
    <row r="490" spans="7:7">
      <c r="G490" s="5" t="str">
        <f t="shared" si="35"/>
        <v/>
      </c>
    </row>
    <row r="491" spans="7:7">
      <c r="G491" s="5" t="str">
        <f t="shared" si="35"/>
        <v/>
      </c>
    </row>
    <row r="492" spans="7:7">
      <c r="G492" s="5" t="str">
        <f t="shared" si="35"/>
        <v/>
      </c>
    </row>
    <row r="493" spans="7:7">
      <c r="G493" s="5" t="str">
        <f t="shared" si="35"/>
        <v/>
      </c>
    </row>
    <row r="494" spans="7:7">
      <c r="G494" s="5" t="str">
        <f t="shared" si="35"/>
        <v/>
      </c>
    </row>
    <row r="495" spans="7:7">
      <c r="G495" s="5" t="str">
        <f t="shared" si="35"/>
        <v/>
      </c>
    </row>
    <row r="496" spans="7:7">
      <c r="G496" s="5" t="str">
        <f t="shared" si="35"/>
        <v/>
      </c>
    </row>
    <row r="497" spans="7:7">
      <c r="G497" s="5" t="str">
        <f t="shared" si="35"/>
        <v/>
      </c>
    </row>
    <row r="498" spans="7:7">
      <c r="G498" s="5" t="str">
        <f t="shared" si="35"/>
        <v/>
      </c>
    </row>
    <row r="499" spans="7:7">
      <c r="G499" s="5" t="str">
        <f t="shared" si="35"/>
        <v/>
      </c>
    </row>
    <row r="500" spans="7:7">
      <c r="G500" s="5" t="str">
        <f t="shared" si="35"/>
        <v/>
      </c>
    </row>
    <row r="501" spans="7:7">
      <c r="G501" s="5" t="str">
        <f t="shared" si="35"/>
        <v/>
      </c>
    </row>
    <row r="502" spans="7:7">
      <c r="G502" s="5" t="str">
        <f t="shared" si="35"/>
        <v/>
      </c>
    </row>
    <row r="503" spans="7:7">
      <c r="G503" s="5" t="str">
        <f t="shared" si="35"/>
        <v/>
      </c>
    </row>
    <row r="504" spans="7:7">
      <c r="G504" s="5" t="str">
        <f t="shared" si="35"/>
        <v/>
      </c>
    </row>
    <row r="505" spans="7:7">
      <c r="G505" s="5" t="str">
        <f t="shared" si="35"/>
        <v/>
      </c>
    </row>
    <row r="506" spans="7:7">
      <c r="G506" s="5" t="str">
        <f t="shared" si="35"/>
        <v/>
      </c>
    </row>
    <row r="507" spans="7:7">
      <c r="G507" s="5" t="str">
        <f t="shared" si="35"/>
        <v/>
      </c>
    </row>
    <row r="508" spans="7:7">
      <c r="G508" s="5" t="str">
        <f t="shared" si="35"/>
        <v/>
      </c>
    </row>
    <row r="509" spans="7:7">
      <c r="G509" s="5" t="str">
        <f t="shared" si="35"/>
        <v/>
      </c>
    </row>
    <row r="510" spans="7:7">
      <c r="G510" s="5" t="str">
        <f t="shared" si="35"/>
        <v/>
      </c>
    </row>
    <row r="511" spans="7:7">
      <c r="G511" s="5" t="str">
        <f t="shared" si="35"/>
        <v/>
      </c>
    </row>
    <row r="512" spans="7:7">
      <c r="G512" s="5" t="str">
        <f t="shared" si="35"/>
        <v/>
      </c>
    </row>
    <row r="513" spans="7:7">
      <c r="G513" s="5" t="str">
        <f t="shared" si="35"/>
        <v/>
      </c>
    </row>
    <row r="514" spans="7:7">
      <c r="G514" s="5" t="str">
        <f t="shared" si="35"/>
        <v/>
      </c>
    </row>
  </sheetData>
  <sheetProtection sort="0" autoFilter="0" pivotTables="0"/>
  <autoFilter ref="H5:H80" xr:uid="{A64B131C-A945-4088-ABB3-397141C251BA}">
    <filterColumn colId="0">
      <filters blank="1">
        <filter val="1.860"/>
        <filter val="108"/>
        <filter val="160"/>
        <filter val="18"/>
        <filter val="180"/>
        <filter val="2.040"/>
        <filter val="300"/>
        <filter val="384"/>
        <filter val="480"/>
        <filter val="684"/>
        <filter val="984"/>
        <filter val="R$ 65.995,65"/>
      </filters>
    </filterColumn>
  </autoFilter>
  <pageMargins left="0.78740157480314965" right="0.78740157480314965" top="0.78740157480314965" bottom="0.78740157480314965" header="0" footer="0"/>
  <pageSetup paperSize="9" scale="84" orientation="landscape" verticalDpi="4294967295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37F96-8D0F-4200-BF52-B59DD94E0F73}">
  <sheetPr codeName="Planilha12" filterMode="1">
    <tabColor rgb="FF006600"/>
    <pageSetUpPr fitToPage="1"/>
  </sheetPr>
  <dimension ref="B1:S450"/>
  <sheetViews>
    <sheetView workbookViewId="0">
      <pane ySplit="5" topLeftCell="A6" activePane="bottomLeft" state="frozen"/>
      <selection pane="bottomLeft" activeCell="F30" sqref="F30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4.140625" style="5" bestFit="1" customWidth="1"/>
    <col min="8" max="8" width="14.5703125" style="1" customWidth="1"/>
    <col min="9" max="9" width="13" style="1" customWidth="1"/>
    <col min="10" max="11" width="9.5703125" style="9" customWidth="1"/>
    <col min="12" max="12" width="12.1406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24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377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54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383" t="s">
        <v>1010</v>
      </c>
      <c r="C6" s="106"/>
      <c r="D6" s="38"/>
      <c r="E6" s="38"/>
      <c r="F6" s="39"/>
      <c r="G6" s="40">
        <v>35</v>
      </c>
      <c r="H6" s="23">
        <f t="shared" ref="H6:H22" si="0">SUM(C6:G6)</f>
        <v>35</v>
      </c>
      <c r="I6" s="464">
        <f t="shared" ref="I6:I22" si="1">L6-(L6*J6)</f>
        <v>19.53</v>
      </c>
      <c r="J6" s="16"/>
      <c r="K6" s="17"/>
      <c r="L6" s="390">
        <v>19.53</v>
      </c>
      <c r="M6" s="31"/>
      <c r="N6" s="25">
        <f t="shared" ref="N6:N22" si="2">I6*C6</f>
        <v>0</v>
      </c>
      <c r="O6" s="25">
        <f t="shared" ref="O6:O22" si="3">I6*D6</f>
        <v>0</v>
      </c>
      <c r="P6" s="25">
        <f t="shared" ref="P6:P22" si="4">I6*E6</f>
        <v>0</v>
      </c>
      <c r="Q6" s="26">
        <f t="shared" ref="Q6:Q22" si="5">I6*F6</f>
        <v>0</v>
      </c>
      <c r="R6" s="27">
        <f t="shared" ref="R6:R22" si="6">I6*G6</f>
        <v>683.55000000000007</v>
      </c>
      <c r="S6" s="28">
        <f>SUM(N6:R6)</f>
        <v>683.55000000000007</v>
      </c>
    </row>
    <row r="7" spans="2:19">
      <c r="B7" s="383" t="s">
        <v>1009</v>
      </c>
      <c r="C7" s="107"/>
      <c r="D7" s="13"/>
      <c r="E7" s="13"/>
      <c r="F7" s="14"/>
      <c r="G7" s="8">
        <v>35</v>
      </c>
      <c r="H7" s="24">
        <f t="shared" si="0"/>
        <v>35</v>
      </c>
      <c r="I7" s="456">
        <f t="shared" si="1"/>
        <v>30.31</v>
      </c>
      <c r="J7" s="10"/>
      <c r="K7" s="12"/>
      <c r="L7" s="390">
        <v>30.31</v>
      </c>
      <c r="M7" s="32"/>
      <c r="N7" s="25">
        <f t="shared" si="2"/>
        <v>0</v>
      </c>
      <c r="O7" s="25">
        <f t="shared" si="3"/>
        <v>0</v>
      </c>
      <c r="P7" s="25">
        <f t="shared" si="4"/>
        <v>0</v>
      </c>
      <c r="Q7" s="26">
        <f t="shared" si="5"/>
        <v>0</v>
      </c>
      <c r="R7" s="27">
        <f t="shared" si="6"/>
        <v>1060.8499999999999</v>
      </c>
      <c r="S7" s="28">
        <f t="shared" ref="S7:S22" si="7">SUM(N7:R7)</f>
        <v>1060.8499999999999</v>
      </c>
    </row>
    <row r="8" spans="2:19" hidden="1">
      <c r="B8" s="383" t="s">
        <v>1005</v>
      </c>
      <c r="C8" s="107"/>
      <c r="D8" s="13"/>
      <c r="E8" s="13"/>
      <c r="F8" s="14"/>
      <c r="G8" s="8"/>
      <c r="H8" s="24">
        <f t="shared" si="0"/>
        <v>0</v>
      </c>
      <c r="I8" s="456">
        <f t="shared" si="1"/>
        <v>292.55</v>
      </c>
      <c r="J8" s="10"/>
      <c r="K8" s="12"/>
      <c r="L8" s="390">
        <v>292.55</v>
      </c>
      <c r="M8" s="32"/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28">
        <f t="shared" si="7"/>
        <v>0</v>
      </c>
    </row>
    <row r="9" spans="2:19">
      <c r="B9" s="383" t="s">
        <v>1004</v>
      </c>
      <c r="C9" s="107"/>
      <c r="D9" s="13">
        <v>6</v>
      </c>
      <c r="E9" s="13"/>
      <c r="F9" s="14"/>
      <c r="G9" s="8"/>
      <c r="H9" s="24">
        <f t="shared" si="0"/>
        <v>6</v>
      </c>
      <c r="I9" s="456">
        <f t="shared" si="1"/>
        <v>167.92</v>
      </c>
      <c r="J9" s="10"/>
      <c r="K9" s="12"/>
      <c r="L9" s="390">
        <v>167.92</v>
      </c>
      <c r="M9" s="32"/>
      <c r="N9" s="25">
        <f t="shared" si="2"/>
        <v>0</v>
      </c>
      <c r="O9" s="25">
        <f t="shared" si="3"/>
        <v>1007.52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28">
        <f t="shared" si="7"/>
        <v>1007.52</v>
      </c>
    </row>
    <row r="10" spans="2:19" hidden="1">
      <c r="B10" s="383" t="s">
        <v>1003</v>
      </c>
      <c r="C10" s="108"/>
      <c r="D10" s="14"/>
      <c r="E10" s="14"/>
      <c r="F10" s="14"/>
      <c r="G10" s="8"/>
      <c r="H10" s="24">
        <f t="shared" si="0"/>
        <v>0</v>
      </c>
      <c r="I10" s="456">
        <f t="shared" si="1"/>
        <v>22.08</v>
      </c>
      <c r="J10" s="10"/>
      <c r="K10" s="12"/>
      <c r="L10" s="390">
        <v>22.08</v>
      </c>
      <c r="M10" s="32"/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28">
        <f t="shared" si="7"/>
        <v>0</v>
      </c>
    </row>
    <row r="11" spans="2:19" hidden="1">
      <c r="B11" s="383" t="s">
        <v>1008</v>
      </c>
      <c r="C11" s="107"/>
      <c r="D11" s="13"/>
      <c r="E11" s="13"/>
      <c r="F11" s="14"/>
      <c r="G11" s="8"/>
      <c r="H11" s="24">
        <f t="shared" si="0"/>
        <v>0</v>
      </c>
      <c r="I11" s="456">
        <f t="shared" si="1"/>
        <v>573.15</v>
      </c>
      <c r="J11" s="10"/>
      <c r="K11" s="12"/>
      <c r="L11" s="390">
        <v>573.15</v>
      </c>
      <c r="M11" s="32"/>
      <c r="N11" s="25">
        <f t="shared" si="2"/>
        <v>0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28">
        <f t="shared" si="7"/>
        <v>0</v>
      </c>
    </row>
    <row r="12" spans="2:19" hidden="1">
      <c r="B12" s="383" t="s">
        <v>1006</v>
      </c>
      <c r="C12" s="107"/>
      <c r="D12" s="13"/>
      <c r="E12" s="13"/>
      <c r="F12" s="14"/>
      <c r="G12" s="8"/>
      <c r="H12" s="24">
        <f t="shared" si="0"/>
        <v>0</v>
      </c>
      <c r="I12" s="456">
        <f t="shared" si="1"/>
        <v>43.6</v>
      </c>
      <c r="J12" s="10"/>
      <c r="K12" s="12"/>
      <c r="L12" s="390">
        <v>43.6</v>
      </c>
      <c r="M12" s="32"/>
      <c r="N12" s="25">
        <f t="shared" si="2"/>
        <v>0</v>
      </c>
      <c r="O12" s="25">
        <f t="shared" si="3"/>
        <v>0</v>
      </c>
      <c r="P12" s="25">
        <f t="shared" si="4"/>
        <v>0</v>
      </c>
      <c r="Q12" s="26">
        <f t="shared" si="5"/>
        <v>0</v>
      </c>
      <c r="R12" s="27">
        <f t="shared" si="6"/>
        <v>0</v>
      </c>
      <c r="S12" s="28">
        <f t="shared" si="7"/>
        <v>0</v>
      </c>
    </row>
    <row r="13" spans="2:19">
      <c r="B13" s="383" t="s">
        <v>1007</v>
      </c>
      <c r="C13" s="108"/>
      <c r="D13" s="14"/>
      <c r="E13" s="14">
        <v>10</v>
      </c>
      <c r="F13" s="14"/>
      <c r="G13" s="8"/>
      <c r="H13" s="24">
        <f t="shared" si="0"/>
        <v>10</v>
      </c>
      <c r="I13" s="456">
        <f t="shared" si="1"/>
        <v>328.43</v>
      </c>
      <c r="J13" s="10"/>
      <c r="K13" s="12"/>
      <c r="L13" s="390">
        <v>328.43</v>
      </c>
      <c r="M13" s="32"/>
      <c r="N13" s="25">
        <f t="shared" si="2"/>
        <v>0</v>
      </c>
      <c r="O13" s="25">
        <f t="shared" si="3"/>
        <v>0</v>
      </c>
      <c r="P13" s="25">
        <f t="shared" si="4"/>
        <v>3284.3</v>
      </c>
      <c r="Q13" s="26">
        <f t="shared" si="5"/>
        <v>0</v>
      </c>
      <c r="R13" s="27">
        <f t="shared" si="6"/>
        <v>0</v>
      </c>
      <c r="S13" s="28">
        <f t="shared" si="7"/>
        <v>3284.3</v>
      </c>
    </row>
    <row r="14" spans="2:19">
      <c r="B14" s="383" t="s">
        <v>1012</v>
      </c>
      <c r="C14" s="107"/>
      <c r="D14" s="13"/>
      <c r="E14" s="13"/>
      <c r="F14" s="14"/>
      <c r="G14" s="8">
        <v>150</v>
      </c>
      <c r="H14" s="24">
        <f t="shared" si="0"/>
        <v>150</v>
      </c>
      <c r="I14" s="456">
        <f t="shared" si="1"/>
        <v>110.7</v>
      </c>
      <c r="J14" s="10"/>
      <c r="K14" s="12"/>
      <c r="L14" s="390">
        <v>110.7</v>
      </c>
      <c r="M14" s="32"/>
      <c r="N14" s="25">
        <f t="shared" si="2"/>
        <v>0</v>
      </c>
      <c r="O14" s="25">
        <f t="shared" si="3"/>
        <v>0</v>
      </c>
      <c r="P14" s="25">
        <f t="shared" si="4"/>
        <v>0</v>
      </c>
      <c r="Q14" s="26">
        <f t="shared" si="5"/>
        <v>0</v>
      </c>
      <c r="R14" s="27">
        <f t="shared" si="6"/>
        <v>16605</v>
      </c>
      <c r="S14" s="28">
        <f t="shared" si="7"/>
        <v>16605</v>
      </c>
    </row>
    <row r="15" spans="2:19">
      <c r="B15" s="383" t="s">
        <v>1011</v>
      </c>
      <c r="C15" s="107"/>
      <c r="D15" s="13"/>
      <c r="E15" s="13"/>
      <c r="F15" s="14"/>
      <c r="G15" s="8">
        <v>1000</v>
      </c>
      <c r="H15" s="24">
        <f t="shared" si="0"/>
        <v>1000</v>
      </c>
      <c r="I15" s="456">
        <f>472/20</f>
        <v>23.6</v>
      </c>
      <c r="J15" s="10"/>
      <c r="K15" s="12"/>
      <c r="L15" s="390">
        <v>22.85</v>
      </c>
      <c r="M15" s="32"/>
      <c r="N15" s="25">
        <f t="shared" si="2"/>
        <v>0</v>
      </c>
      <c r="O15" s="25">
        <f t="shared" si="3"/>
        <v>0</v>
      </c>
      <c r="P15" s="25">
        <f t="shared" si="4"/>
        <v>0</v>
      </c>
      <c r="Q15" s="26">
        <f t="shared" si="5"/>
        <v>0</v>
      </c>
      <c r="R15" s="27">
        <f t="shared" si="6"/>
        <v>23600</v>
      </c>
      <c r="S15" s="28">
        <f t="shared" si="7"/>
        <v>23600</v>
      </c>
    </row>
    <row r="16" spans="2:19" hidden="1">
      <c r="B16" s="383" t="s">
        <v>465</v>
      </c>
      <c r="C16" s="107"/>
      <c r="D16" s="13"/>
      <c r="E16" s="13"/>
      <c r="F16" s="14"/>
      <c r="G16" s="8"/>
      <c r="H16" s="24">
        <f t="shared" si="0"/>
        <v>0</v>
      </c>
      <c r="I16" s="456">
        <f t="shared" si="1"/>
        <v>198.93</v>
      </c>
      <c r="J16" s="10"/>
      <c r="K16" s="12"/>
      <c r="L16" s="390">
        <v>198.93</v>
      </c>
      <c r="M16" s="32"/>
      <c r="N16" s="25">
        <f t="shared" si="2"/>
        <v>0</v>
      </c>
      <c r="O16" s="25">
        <f t="shared" si="3"/>
        <v>0</v>
      </c>
      <c r="P16" s="25">
        <f t="shared" si="4"/>
        <v>0</v>
      </c>
      <c r="Q16" s="26">
        <f t="shared" si="5"/>
        <v>0</v>
      </c>
      <c r="R16" s="27">
        <f t="shared" si="6"/>
        <v>0</v>
      </c>
      <c r="S16" s="28">
        <f t="shared" si="7"/>
        <v>0</v>
      </c>
    </row>
    <row r="17" spans="2:19">
      <c r="B17" s="383" t="s">
        <v>466</v>
      </c>
      <c r="C17" s="108"/>
      <c r="D17" s="14"/>
      <c r="E17" s="14"/>
      <c r="F17" s="14"/>
      <c r="G17" s="8">
        <v>60</v>
      </c>
      <c r="H17" s="24">
        <f t="shared" si="0"/>
        <v>60</v>
      </c>
      <c r="I17" s="456">
        <f t="shared" si="1"/>
        <v>117.24</v>
      </c>
      <c r="J17" s="10"/>
      <c r="K17" s="12"/>
      <c r="L17" s="390">
        <v>117.24</v>
      </c>
      <c r="M17" s="32"/>
      <c r="N17" s="25">
        <f t="shared" si="2"/>
        <v>0</v>
      </c>
      <c r="O17" s="25">
        <f t="shared" si="3"/>
        <v>0</v>
      </c>
      <c r="P17" s="25">
        <f t="shared" si="4"/>
        <v>0</v>
      </c>
      <c r="Q17" s="26">
        <f t="shared" si="5"/>
        <v>0</v>
      </c>
      <c r="R17" s="27">
        <f t="shared" si="6"/>
        <v>7034.4</v>
      </c>
      <c r="S17" s="28">
        <f t="shared" si="7"/>
        <v>7034.4</v>
      </c>
    </row>
    <row r="18" spans="2:19" hidden="1">
      <c r="B18" s="383" t="s">
        <v>845</v>
      </c>
      <c r="C18" s="108"/>
      <c r="D18" s="14"/>
      <c r="E18" s="14"/>
      <c r="F18" s="14"/>
      <c r="G18" s="8"/>
      <c r="H18" s="24">
        <f t="shared" si="0"/>
        <v>0</v>
      </c>
      <c r="I18" s="456">
        <f t="shared" si="1"/>
        <v>134.9</v>
      </c>
      <c r="J18" s="10"/>
      <c r="K18" s="12"/>
      <c r="L18" s="390">
        <v>134.9</v>
      </c>
      <c r="M18" s="32"/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28">
        <f t="shared" si="7"/>
        <v>0</v>
      </c>
    </row>
    <row r="19" spans="2:19">
      <c r="B19" s="383" t="s">
        <v>1001</v>
      </c>
      <c r="C19" s="107"/>
      <c r="D19" s="13"/>
      <c r="E19" s="13">
        <v>16</v>
      </c>
      <c r="F19" s="14"/>
      <c r="G19" s="8"/>
      <c r="H19" s="24">
        <f t="shared" si="0"/>
        <v>16</v>
      </c>
      <c r="I19" s="456">
        <f t="shared" si="1"/>
        <v>533.21</v>
      </c>
      <c r="J19" s="10"/>
      <c r="K19" s="12"/>
      <c r="L19" s="390">
        <v>533.21</v>
      </c>
      <c r="M19" s="32"/>
      <c r="N19" s="25">
        <f t="shared" si="2"/>
        <v>0</v>
      </c>
      <c r="O19" s="25">
        <f t="shared" si="3"/>
        <v>0</v>
      </c>
      <c r="P19" s="25">
        <f t="shared" si="4"/>
        <v>8531.36</v>
      </c>
      <c r="Q19" s="26">
        <f t="shared" si="5"/>
        <v>0</v>
      </c>
      <c r="R19" s="27">
        <f t="shared" si="6"/>
        <v>0</v>
      </c>
      <c r="S19" s="28">
        <f t="shared" si="7"/>
        <v>8531.36</v>
      </c>
    </row>
    <row r="20" spans="2:19">
      <c r="B20" s="383" t="s">
        <v>1002</v>
      </c>
      <c r="C20" s="108"/>
      <c r="D20" s="14">
        <v>36</v>
      </c>
      <c r="E20" s="14"/>
      <c r="F20" s="14"/>
      <c r="G20" s="8"/>
      <c r="H20" s="24">
        <f t="shared" si="0"/>
        <v>36</v>
      </c>
      <c r="I20" s="456">
        <f t="shared" si="1"/>
        <v>490.5</v>
      </c>
      <c r="J20" s="10"/>
      <c r="K20" s="12"/>
      <c r="L20" s="390">
        <v>490.5</v>
      </c>
      <c r="M20" s="32"/>
      <c r="N20" s="25">
        <f t="shared" si="2"/>
        <v>0</v>
      </c>
      <c r="O20" s="25">
        <f t="shared" si="3"/>
        <v>17658</v>
      </c>
      <c r="P20" s="25">
        <f t="shared" si="4"/>
        <v>0</v>
      </c>
      <c r="Q20" s="26">
        <f t="shared" si="5"/>
        <v>0</v>
      </c>
      <c r="R20" s="27">
        <f t="shared" si="6"/>
        <v>0</v>
      </c>
      <c r="S20" s="28">
        <f t="shared" si="7"/>
        <v>17658</v>
      </c>
    </row>
    <row r="21" spans="2:19">
      <c r="B21" s="383" t="s">
        <v>1000</v>
      </c>
      <c r="C21" s="108"/>
      <c r="D21" s="14">
        <v>120</v>
      </c>
      <c r="E21" s="14"/>
      <c r="F21" s="14"/>
      <c r="G21" s="8"/>
      <c r="H21" s="24">
        <f t="shared" si="0"/>
        <v>120</v>
      </c>
      <c r="I21" s="456">
        <f t="shared" si="1"/>
        <v>24.37</v>
      </c>
      <c r="J21" s="10"/>
      <c r="K21" s="12"/>
      <c r="L21" s="390">
        <v>24.37</v>
      </c>
      <c r="M21" s="32"/>
      <c r="N21" s="25">
        <f t="shared" si="2"/>
        <v>0</v>
      </c>
      <c r="O21" s="25">
        <f t="shared" si="3"/>
        <v>2924.4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28">
        <f t="shared" si="7"/>
        <v>2924.4</v>
      </c>
    </row>
    <row r="22" spans="2:19" hidden="1">
      <c r="B22" s="383" t="s">
        <v>1013</v>
      </c>
      <c r="C22" s="107"/>
      <c r="D22" s="13"/>
      <c r="E22" s="13"/>
      <c r="F22" s="14"/>
      <c r="G22" s="8"/>
      <c r="H22" s="24">
        <f t="shared" si="0"/>
        <v>0</v>
      </c>
      <c r="I22" s="456">
        <f t="shared" si="1"/>
        <v>21.19</v>
      </c>
      <c r="J22" s="10"/>
      <c r="K22" s="12"/>
      <c r="L22" s="390">
        <v>21.19</v>
      </c>
      <c r="M22" s="32"/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28">
        <f t="shared" si="7"/>
        <v>0</v>
      </c>
    </row>
    <row r="23" spans="2:19">
      <c r="B23" s="58" t="s">
        <v>13</v>
      </c>
      <c r="C23" s="376">
        <f t="shared" ref="C23" si="8">N23</f>
        <v>0</v>
      </c>
      <c r="D23" s="376">
        <f t="shared" ref="D23" si="9">O23</f>
        <v>21589.920000000002</v>
      </c>
      <c r="E23" s="376">
        <f t="shared" ref="E23" si="10">P23</f>
        <v>11815.66</v>
      </c>
      <c r="F23" s="376">
        <f t="shared" ref="F23" si="11">Q23</f>
        <v>0</v>
      </c>
      <c r="G23" s="376">
        <f t="shared" ref="G23" si="12">R23</f>
        <v>48983.8</v>
      </c>
      <c r="H23" s="376">
        <f t="shared" ref="H23" si="13">S23</f>
        <v>82389.38</v>
      </c>
      <c r="N23" s="29">
        <f t="shared" ref="N23:S23" si="14">SUM(N6:N22)</f>
        <v>0</v>
      </c>
      <c r="O23" s="29">
        <f t="shared" si="14"/>
        <v>21589.920000000002</v>
      </c>
      <c r="P23" s="29">
        <f t="shared" si="14"/>
        <v>11815.66</v>
      </c>
      <c r="Q23" s="29">
        <f t="shared" si="14"/>
        <v>0</v>
      </c>
      <c r="R23" s="29">
        <f t="shared" si="14"/>
        <v>48983.8</v>
      </c>
      <c r="S23" s="29">
        <f t="shared" si="14"/>
        <v>82389.38</v>
      </c>
    </row>
    <row r="24" spans="2:19">
      <c r="B24" s="59" t="s">
        <v>46</v>
      </c>
    </row>
    <row r="25" spans="2:19" ht="16.5" thickBot="1">
      <c r="B25" s="2"/>
    </row>
    <row r="26" spans="2:19">
      <c r="B26" s="60" t="s">
        <v>47</v>
      </c>
    </row>
    <row r="27" spans="2:19">
      <c r="B27" s="61" t="s">
        <v>694</v>
      </c>
    </row>
    <row r="28" spans="2:19">
      <c r="B28" s="61" t="s">
        <v>695</v>
      </c>
    </row>
    <row r="29" spans="2:19" ht="16.5" thickBot="1">
      <c r="B29" s="62" t="s">
        <v>18</v>
      </c>
    </row>
    <row r="30" spans="2:19">
      <c r="B30" s="2"/>
    </row>
    <row r="31" spans="2:19">
      <c r="B31" s="30" t="s">
        <v>20</v>
      </c>
    </row>
    <row r="32" spans="2:19">
      <c r="B32" s="35"/>
    </row>
    <row r="33" spans="2:7">
      <c r="B33" s="35"/>
    </row>
    <row r="34" spans="2:7">
      <c r="B34" s="2"/>
      <c r="G34" s="5" t="str">
        <f>IF(B34&lt;&gt;"",SUM(C34:F34),"")</f>
        <v/>
      </c>
    </row>
    <row r="35" spans="2:7">
      <c r="G35" s="5" t="str">
        <f t="shared" ref="G35:G98" si="15">IF(B35&lt;&gt;"",SUM(C35:F35),"")</f>
        <v/>
      </c>
    </row>
    <row r="36" spans="2:7">
      <c r="G36" s="5" t="str">
        <f t="shared" si="15"/>
        <v/>
      </c>
    </row>
    <row r="37" spans="2:7">
      <c r="G37" s="5" t="str">
        <f t="shared" si="15"/>
        <v/>
      </c>
    </row>
    <row r="38" spans="2:7">
      <c r="G38" s="5" t="str">
        <f t="shared" si="15"/>
        <v/>
      </c>
    </row>
    <row r="39" spans="2:7">
      <c r="G39" s="5" t="str">
        <f t="shared" si="15"/>
        <v/>
      </c>
    </row>
    <row r="40" spans="2:7">
      <c r="G40" s="5" t="str">
        <f t="shared" si="15"/>
        <v/>
      </c>
    </row>
    <row r="41" spans="2:7">
      <c r="G41" s="5" t="str">
        <f t="shared" si="15"/>
        <v/>
      </c>
    </row>
    <row r="42" spans="2:7">
      <c r="G42" s="5" t="str">
        <f t="shared" si="15"/>
        <v/>
      </c>
    </row>
    <row r="43" spans="2:7">
      <c r="G43" s="5" t="str">
        <f t="shared" si="15"/>
        <v/>
      </c>
    </row>
    <row r="44" spans="2:7">
      <c r="G44" s="5" t="str">
        <f t="shared" si="15"/>
        <v/>
      </c>
    </row>
    <row r="45" spans="2:7">
      <c r="G45" s="5" t="str">
        <f t="shared" si="15"/>
        <v/>
      </c>
    </row>
    <row r="46" spans="2:7">
      <c r="G46" s="5" t="str">
        <f t="shared" si="15"/>
        <v/>
      </c>
    </row>
    <row r="47" spans="2:7">
      <c r="G47" s="5" t="str">
        <f t="shared" si="15"/>
        <v/>
      </c>
    </row>
    <row r="48" spans="2:7">
      <c r="G48" s="5" t="str">
        <f t="shared" si="15"/>
        <v/>
      </c>
    </row>
    <row r="49" spans="7:7">
      <c r="G49" s="5" t="str">
        <f t="shared" si="15"/>
        <v/>
      </c>
    </row>
    <row r="50" spans="7:7">
      <c r="G50" s="5" t="str">
        <f t="shared" si="15"/>
        <v/>
      </c>
    </row>
    <row r="51" spans="7:7">
      <c r="G51" s="5" t="str">
        <f t="shared" si="15"/>
        <v/>
      </c>
    </row>
    <row r="52" spans="7:7">
      <c r="G52" s="5" t="str">
        <f t="shared" si="15"/>
        <v/>
      </c>
    </row>
    <row r="53" spans="7:7">
      <c r="G53" s="5" t="str">
        <f t="shared" si="15"/>
        <v/>
      </c>
    </row>
    <row r="54" spans="7:7">
      <c r="G54" s="5" t="str">
        <f t="shared" si="15"/>
        <v/>
      </c>
    </row>
    <row r="55" spans="7:7">
      <c r="G55" s="5" t="str">
        <f t="shared" si="15"/>
        <v/>
      </c>
    </row>
    <row r="56" spans="7:7">
      <c r="G56" s="5" t="str">
        <f t="shared" si="15"/>
        <v/>
      </c>
    </row>
    <row r="57" spans="7:7">
      <c r="G57" s="5" t="str">
        <f t="shared" si="15"/>
        <v/>
      </c>
    </row>
    <row r="58" spans="7:7">
      <c r="G58" s="5" t="str">
        <f t="shared" si="15"/>
        <v/>
      </c>
    </row>
    <row r="59" spans="7:7">
      <c r="G59" s="5" t="str">
        <f t="shared" si="15"/>
        <v/>
      </c>
    </row>
    <row r="60" spans="7:7">
      <c r="G60" s="5" t="str">
        <f t="shared" si="15"/>
        <v/>
      </c>
    </row>
    <row r="61" spans="7:7">
      <c r="G61" s="5" t="str">
        <f t="shared" si="15"/>
        <v/>
      </c>
    </row>
    <row r="62" spans="7:7">
      <c r="G62" s="5" t="str">
        <f t="shared" si="15"/>
        <v/>
      </c>
    </row>
    <row r="63" spans="7:7">
      <c r="G63" s="5" t="str">
        <f t="shared" si="15"/>
        <v/>
      </c>
    </row>
    <row r="64" spans="7:7">
      <c r="G64" s="5" t="str">
        <f t="shared" si="15"/>
        <v/>
      </c>
    </row>
    <row r="65" spans="7:7">
      <c r="G65" s="5" t="str">
        <f t="shared" si="15"/>
        <v/>
      </c>
    </row>
    <row r="66" spans="7:7">
      <c r="G66" s="5" t="str">
        <f t="shared" si="15"/>
        <v/>
      </c>
    </row>
    <row r="67" spans="7:7">
      <c r="G67" s="5" t="str">
        <f t="shared" si="15"/>
        <v/>
      </c>
    </row>
    <row r="68" spans="7:7">
      <c r="G68" s="5" t="str">
        <f t="shared" si="15"/>
        <v/>
      </c>
    </row>
    <row r="69" spans="7:7">
      <c r="G69" s="5" t="str">
        <f t="shared" si="15"/>
        <v/>
      </c>
    </row>
    <row r="70" spans="7:7">
      <c r="G70" s="5" t="str">
        <f t="shared" si="15"/>
        <v/>
      </c>
    </row>
    <row r="71" spans="7:7">
      <c r="G71" s="5" t="str">
        <f t="shared" si="15"/>
        <v/>
      </c>
    </row>
    <row r="72" spans="7:7">
      <c r="G72" s="5" t="str">
        <f t="shared" si="15"/>
        <v/>
      </c>
    </row>
    <row r="73" spans="7:7">
      <c r="G73" s="5" t="str">
        <f t="shared" si="15"/>
        <v/>
      </c>
    </row>
    <row r="74" spans="7:7">
      <c r="G74" s="5" t="str">
        <f t="shared" si="15"/>
        <v/>
      </c>
    </row>
    <row r="75" spans="7:7">
      <c r="G75" s="5" t="str">
        <f t="shared" si="15"/>
        <v/>
      </c>
    </row>
    <row r="76" spans="7:7">
      <c r="G76" s="5" t="str">
        <f t="shared" si="15"/>
        <v/>
      </c>
    </row>
    <row r="77" spans="7:7">
      <c r="G77" s="5" t="str">
        <f t="shared" si="15"/>
        <v/>
      </c>
    </row>
    <row r="78" spans="7:7">
      <c r="G78" s="5" t="str">
        <f t="shared" si="15"/>
        <v/>
      </c>
    </row>
    <row r="79" spans="7:7">
      <c r="G79" s="5" t="str">
        <f t="shared" si="15"/>
        <v/>
      </c>
    </row>
    <row r="80" spans="7:7">
      <c r="G80" s="5" t="str">
        <f t="shared" si="15"/>
        <v/>
      </c>
    </row>
    <row r="81" spans="7:7">
      <c r="G81" s="5" t="str">
        <f t="shared" si="15"/>
        <v/>
      </c>
    </row>
    <row r="82" spans="7:7">
      <c r="G82" s="5" t="str">
        <f t="shared" si="15"/>
        <v/>
      </c>
    </row>
    <row r="83" spans="7:7">
      <c r="G83" s="5" t="str">
        <f t="shared" si="15"/>
        <v/>
      </c>
    </row>
    <row r="84" spans="7:7">
      <c r="G84" s="5" t="str">
        <f t="shared" si="15"/>
        <v/>
      </c>
    </row>
    <row r="85" spans="7:7">
      <c r="G85" s="5" t="str">
        <f t="shared" si="15"/>
        <v/>
      </c>
    </row>
    <row r="86" spans="7:7">
      <c r="G86" s="5" t="str">
        <f t="shared" si="15"/>
        <v/>
      </c>
    </row>
    <row r="87" spans="7:7">
      <c r="G87" s="5" t="str">
        <f t="shared" si="15"/>
        <v/>
      </c>
    </row>
    <row r="88" spans="7:7">
      <c r="G88" s="5" t="str">
        <f t="shared" si="15"/>
        <v/>
      </c>
    </row>
    <row r="89" spans="7:7">
      <c r="G89" s="5" t="str">
        <f t="shared" si="15"/>
        <v/>
      </c>
    </row>
    <row r="90" spans="7:7">
      <c r="G90" s="5" t="str">
        <f t="shared" si="15"/>
        <v/>
      </c>
    </row>
    <row r="91" spans="7:7">
      <c r="G91" s="5" t="str">
        <f t="shared" si="15"/>
        <v/>
      </c>
    </row>
    <row r="92" spans="7:7">
      <c r="G92" s="5" t="str">
        <f t="shared" si="15"/>
        <v/>
      </c>
    </row>
    <row r="93" spans="7:7">
      <c r="G93" s="5" t="str">
        <f t="shared" si="15"/>
        <v/>
      </c>
    </row>
    <row r="94" spans="7:7">
      <c r="G94" s="5" t="str">
        <f t="shared" si="15"/>
        <v/>
      </c>
    </row>
    <row r="95" spans="7:7">
      <c r="G95" s="5" t="str">
        <f t="shared" si="15"/>
        <v/>
      </c>
    </row>
    <row r="96" spans="7:7">
      <c r="G96" s="5" t="str">
        <f t="shared" si="15"/>
        <v/>
      </c>
    </row>
    <row r="97" spans="7:7">
      <c r="G97" s="5" t="str">
        <f t="shared" si="15"/>
        <v/>
      </c>
    </row>
    <row r="98" spans="7:7">
      <c r="G98" s="5" t="str">
        <f t="shared" si="15"/>
        <v/>
      </c>
    </row>
    <row r="99" spans="7:7">
      <c r="G99" s="5" t="str">
        <f t="shared" ref="G99:G162" si="16">IF(B99&lt;&gt;"",SUM(C99:F99),"")</f>
        <v/>
      </c>
    </row>
    <row r="100" spans="7:7">
      <c r="G100" s="5" t="str">
        <f t="shared" si="16"/>
        <v/>
      </c>
    </row>
    <row r="101" spans="7:7">
      <c r="G101" s="5" t="str">
        <f t="shared" si="16"/>
        <v/>
      </c>
    </row>
    <row r="102" spans="7:7">
      <c r="G102" s="5" t="str">
        <f t="shared" si="16"/>
        <v/>
      </c>
    </row>
    <row r="103" spans="7:7">
      <c r="G103" s="5" t="str">
        <f t="shared" si="16"/>
        <v/>
      </c>
    </row>
    <row r="104" spans="7:7">
      <c r="G104" s="5" t="str">
        <f t="shared" si="16"/>
        <v/>
      </c>
    </row>
    <row r="105" spans="7:7">
      <c r="G105" s="5" t="str">
        <f t="shared" si="16"/>
        <v/>
      </c>
    </row>
    <row r="106" spans="7:7">
      <c r="G106" s="5" t="str">
        <f t="shared" si="16"/>
        <v/>
      </c>
    </row>
    <row r="107" spans="7:7">
      <c r="G107" s="5" t="str">
        <f t="shared" si="16"/>
        <v/>
      </c>
    </row>
    <row r="108" spans="7:7">
      <c r="G108" s="5" t="str">
        <f t="shared" si="16"/>
        <v/>
      </c>
    </row>
    <row r="109" spans="7:7">
      <c r="G109" s="5" t="str">
        <f t="shared" si="16"/>
        <v/>
      </c>
    </row>
    <row r="110" spans="7:7">
      <c r="G110" s="5" t="str">
        <f t="shared" si="16"/>
        <v/>
      </c>
    </row>
    <row r="111" spans="7:7">
      <c r="G111" s="5" t="str">
        <f t="shared" si="16"/>
        <v/>
      </c>
    </row>
    <row r="112" spans="7:7">
      <c r="G112" s="5" t="str">
        <f t="shared" si="16"/>
        <v/>
      </c>
    </row>
    <row r="113" spans="7:7">
      <c r="G113" s="5" t="str">
        <f t="shared" si="16"/>
        <v/>
      </c>
    </row>
    <row r="114" spans="7:7">
      <c r="G114" s="5" t="str">
        <f t="shared" si="16"/>
        <v/>
      </c>
    </row>
    <row r="115" spans="7:7">
      <c r="G115" s="5" t="str">
        <f t="shared" si="16"/>
        <v/>
      </c>
    </row>
    <row r="116" spans="7:7">
      <c r="G116" s="5" t="str">
        <f t="shared" si="16"/>
        <v/>
      </c>
    </row>
    <row r="117" spans="7:7">
      <c r="G117" s="5" t="str">
        <f t="shared" si="16"/>
        <v/>
      </c>
    </row>
    <row r="118" spans="7:7">
      <c r="G118" s="5" t="str">
        <f t="shared" si="16"/>
        <v/>
      </c>
    </row>
    <row r="119" spans="7:7">
      <c r="G119" s="5" t="str">
        <f t="shared" si="16"/>
        <v/>
      </c>
    </row>
    <row r="120" spans="7:7">
      <c r="G120" s="5" t="str">
        <f t="shared" si="16"/>
        <v/>
      </c>
    </row>
    <row r="121" spans="7:7">
      <c r="G121" s="5" t="str">
        <f t="shared" si="16"/>
        <v/>
      </c>
    </row>
    <row r="122" spans="7:7">
      <c r="G122" s="5" t="str">
        <f t="shared" si="16"/>
        <v/>
      </c>
    </row>
    <row r="123" spans="7:7">
      <c r="G123" s="5" t="str">
        <f t="shared" si="16"/>
        <v/>
      </c>
    </row>
    <row r="124" spans="7:7">
      <c r="G124" s="5" t="str">
        <f t="shared" si="16"/>
        <v/>
      </c>
    </row>
    <row r="125" spans="7:7">
      <c r="G125" s="5" t="str">
        <f t="shared" si="16"/>
        <v/>
      </c>
    </row>
    <row r="126" spans="7:7">
      <c r="G126" s="5" t="str">
        <f t="shared" si="16"/>
        <v/>
      </c>
    </row>
    <row r="127" spans="7:7">
      <c r="G127" s="5" t="str">
        <f t="shared" si="16"/>
        <v/>
      </c>
    </row>
    <row r="128" spans="7:7">
      <c r="G128" s="5" t="str">
        <f t="shared" si="16"/>
        <v/>
      </c>
    </row>
    <row r="129" spans="7:7">
      <c r="G129" s="5" t="str">
        <f t="shared" si="16"/>
        <v/>
      </c>
    </row>
    <row r="130" spans="7:7">
      <c r="G130" s="5" t="str">
        <f t="shared" si="16"/>
        <v/>
      </c>
    </row>
    <row r="131" spans="7:7">
      <c r="G131" s="5" t="str">
        <f t="shared" si="16"/>
        <v/>
      </c>
    </row>
    <row r="132" spans="7:7">
      <c r="G132" s="5" t="str">
        <f t="shared" si="16"/>
        <v/>
      </c>
    </row>
    <row r="133" spans="7:7">
      <c r="G133" s="5" t="str">
        <f t="shared" si="16"/>
        <v/>
      </c>
    </row>
    <row r="134" spans="7:7">
      <c r="G134" s="5" t="str">
        <f t="shared" si="16"/>
        <v/>
      </c>
    </row>
    <row r="135" spans="7:7">
      <c r="G135" s="5" t="str">
        <f t="shared" si="16"/>
        <v/>
      </c>
    </row>
    <row r="136" spans="7:7">
      <c r="G136" s="5" t="str">
        <f t="shared" si="16"/>
        <v/>
      </c>
    </row>
    <row r="137" spans="7:7">
      <c r="G137" s="5" t="str">
        <f t="shared" si="16"/>
        <v/>
      </c>
    </row>
    <row r="138" spans="7:7">
      <c r="G138" s="5" t="str">
        <f t="shared" si="16"/>
        <v/>
      </c>
    </row>
    <row r="139" spans="7:7">
      <c r="G139" s="5" t="str">
        <f t="shared" si="16"/>
        <v/>
      </c>
    </row>
    <row r="140" spans="7:7">
      <c r="G140" s="5" t="str">
        <f t="shared" si="16"/>
        <v/>
      </c>
    </row>
    <row r="141" spans="7:7">
      <c r="G141" s="5" t="str">
        <f t="shared" si="16"/>
        <v/>
      </c>
    </row>
    <row r="142" spans="7:7">
      <c r="G142" s="5" t="str">
        <f t="shared" si="16"/>
        <v/>
      </c>
    </row>
    <row r="143" spans="7:7">
      <c r="G143" s="5" t="str">
        <f t="shared" si="16"/>
        <v/>
      </c>
    </row>
    <row r="144" spans="7:7">
      <c r="G144" s="5" t="str">
        <f t="shared" si="16"/>
        <v/>
      </c>
    </row>
    <row r="145" spans="7:7">
      <c r="G145" s="5" t="str">
        <f t="shared" si="16"/>
        <v/>
      </c>
    </row>
    <row r="146" spans="7:7">
      <c r="G146" s="5" t="str">
        <f t="shared" si="16"/>
        <v/>
      </c>
    </row>
    <row r="147" spans="7:7">
      <c r="G147" s="5" t="str">
        <f t="shared" si="16"/>
        <v/>
      </c>
    </row>
    <row r="148" spans="7:7">
      <c r="G148" s="5" t="str">
        <f t="shared" si="16"/>
        <v/>
      </c>
    </row>
    <row r="149" spans="7:7">
      <c r="G149" s="5" t="str">
        <f t="shared" si="16"/>
        <v/>
      </c>
    </row>
    <row r="150" spans="7:7">
      <c r="G150" s="5" t="str">
        <f t="shared" si="16"/>
        <v/>
      </c>
    </row>
    <row r="151" spans="7:7">
      <c r="G151" s="5" t="str">
        <f t="shared" si="16"/>
        <v/>
      </c>
    </row>
    <row r="152" spans="7:7">
      <c r="G152" s="5" t="str">
        <f t="shared" si="16"/>
        <v/>
      </c>
    </row>
    <row r="153" spans="7:7">
      <c r="G153" s="5" t="str">
        <f t="shared" si="16"/>
        <v/>
      </c>
    </row>
    <row r="154" spans="7:7">
      <c r="G154" s="5" t="str">
        <f t="shared" si="16"/>
        <v/>
      </c>
    </row>
    <row r="155" spans="7:7">
      <c r="G155" s="5" t="str">
        <f t="shared" si="16"/>
        <v/>
      </c>
    </row>
    <row r="156" spans="7:7">
      <c r="G156" s="5" t="str">
        <f t="shared" si="16"/>
        <v/>
      </c>
    </row>
    <row r="157" spans="7:7">
      <c r="G157" s="5" t="str">
        <f t="shared" si="16"/>
        <v/>
      </c>
    </row>
    <row r="158" spans="7:7">
      <c r="G158" s="5" t="str">
        <f t="shared" si="16"/>
        <v/>
      </c>
    </row>
    <row r="159" spans="7:7">
      <c r="G159" s="5" t="str">
        <f t="shared" si="16"/>
        <v/>
      </c>
    </row>
    <row r="160" spans="7:7">
      <c r="G160" s="5" t="str">
        <f t="shared" si="16"/>
        <v/>
      </c>
    </row>
    <row r="161" spans="7:7">
      <c r="G161" s="5" t="str">
        <f t="shared" si="16"/>
        <v/>
      </c>
    </row>
    <row r="162" spans="7:7">
      <c r="G162" s="5" t="str">
        <f t="shared" si="16"/>
        <v/>
      </c>
    </row>
    <row r="163" spans="7:7">
      <c r="G163" s="5" t="str">
        <f t="shared" ref="G163:G226" si="17">IF(B163&lt;&gt;"",SUM(C163:F163),"")</f>
        <v/>
      </c>
    </row>
    <row r="164" spans="7:7">
      <c r="G164" s="5" t="str">
        <f t="shared" si="17"/>
        <v/>
      </c>
    </row>
    <row r="165" spans="7:7">
      <c r="G165" s="5" t="str">
        <f t="shared" si="17"/>
        <v/>
      </c>
    </row>
    <row r="166" spans="7:7">
      <c r="G166" s="5" t="str">
        <f t="shared" si="17"/>
        <v/>
      </c>
    </row>
    <row r="167" spans="7:7">
      <c r="G167" s="5" t="str">
        <f t="shared" si="17"/>
        <v/>
      </c>
    </row>
    <row r="168" spans="7:7">
      <c r="G168" s="5" t="str">
        <f t="shared" si="17"/>
        <v/>
      </c>
    </row>
    <row r="169" spans="7:7">
      <c r="G169" s="5" t="str">
        <f t="shared" si="17"/>
        <v/>
      </c>
    </row>
    <row r="170" spans="7:7">
      <c r="G170" s="5" t="str">
        <f t="shared" si="17"/>
        <v/>
      </c>
    </row>
    <row r="171" spans="7:7">
      <c r="G171" s="5" t="str">
        <f t="shared" si="17"/>
        <v/>
      </c>
    </row>
    <row r="172" spans="7:7">
      <c r="G172" s="5" t="str">
        <f t="shared" si="17"/>
        <v/>
      </c>
    </row>
    <row r="173" spans="7:7">
      <c r="G173" s="5" t="str">
        <f t="shared" si="17"/>
        <v/>
      </c>
    </row>
    <row r="174" spans="7:7">
      <c r="G174" s="5" t="str">
        <f t="shared" si="17"/>
        <v/>
      </c>
    </row>
    <row r="175" spans="7:7">
      <c r="G175" s="5" t="str">
        <f t="shared" si="17"/>
        <v/>
      </c>
    </row>
    <row r="176" spans="7:7">
      <c r="G176" s="5" t="str">
        <f t="shared" si="17"/>
        <v/>
      </c>
    </row>
    <row r="177" spans="7:7">
      <c r="G177" s="5" t="str">
        <f t="shared" si="17"/>
        <v/>
      </c>
    </row>
    <row r="178" spans="7:7">
      <c r="G178" s="5" t="str">
        <f t="shared" si="17"/>
        <v/>
      </c>
    </row>
    <row r="179" spans="7:7">
      <c r="G179" s="5" t="str">
        <f t="shared" si="17"/>
        <v/>
      </c>
    </row>
    <row r="180" spans="7:7">
      <c r="G180" s="5" t="str">
        <f t="shared" si="17"/>
        <v/>
      </c>
    </row>
    <row r="181" spans="7:7">
      <c r="G181" s="5" t="str">
        <f t="shared" si="17"/>
        <v/>
      </c>
    </row>
    <row r="182" spans="7:7">
      <c r="G182" s="5" t="str">
        <f t="shared" si="17"/>
        <v/>
      </c>
    </row>
    <row r="183" spans="7:7">
      <c r="G183" s="5" t="str">
        <f t="shared" si="17"/>
        <v/>
      </c>
    </row>
    <row r="184" spans="7:7">
      <c r="G184" s="5" t="str">
        <f t="shared" si="17"/>
        <v/>
      </c>
    </row>
    <row r="185" spans="7:7">
      <c r="G185" s="5" t="str">
        <f t="shared" si="17"/>
        <v/>
      </c>
    </row>
    <row r="186" spans="7:7">
      <c r="G186" s="5" t="str">
        <f t="shared" si="17"/>
        <v/>
      </c>
    </row>
    <row r="187" spans="7:7">
      <c r="G187" s="5" t="str">
        <f t="shared" si="17"/>
        <v/>
      </c>
    </row>
    <row r="188" spans="7:7">
      <c r="G188" s="5" t="str">
        <f t="shared" si="17"/>
        <v/>
      </c>
    </row>
    <row r="189" spans="7:7">
      <c r="G189" s="5" t="str">
        <f t="shared" si="17"/>
        <v/>
      </c>
    </row>
    <row r="190" spans="7:7">
      <c r="G190" s="5" t="str">
        <f t="shared" si="17"/>
        <v/>
      </c>
    </row>
    <row r="191" spans="7:7">
      <c r="G191" s="5" t="str">
        <f t="shared" si="17"/>
        <v/>
      </c>
    </row>
    <row r="192" spans="7:7">
      <c r="G192" s="5" t="str">
        <f t="shared" si="17"/>
        <v/>
      </c>
    </row>
    <row r="193" spans="7:7">
      <c r="G193" s="5" t="str">
        <f t="shared" si="17"/>
        <v/>
      </c>
    </row>
    <row r="194" spans="7:7">
      <c r="G194" s="5" t="str">
        <f t="shared" si="17"/>
        <v/>
      </c>
    </row>
    <row r="195" spans="7:7">
      <c r="G195" s="5" t="str">
        <f t="shared" si="17"/>
        <v/>
      </c>
    </row>
    <row r="196" spans="7:7">
      <c r="G196" s="5" t="str">
        <f t="shared" si="17"/>
        <v/>
      </c>
    </row>
    <row r="197" spans="7:7">
      <c r="G197" s="5" t="str">
        <f t="shared" si="17"/>
        <v/>
      </c>
    </row>
    <row r="198" spans="7:7">
      <c r="G198" s="5" t="str">
        <f t="shared" si="17"/>
        <v/>
      </c>
    </row>
    <row r="199" spans="7:7">
      <c r="G199" s="5" t="str">
        <f t="shared" si="17"/>
        <v/>
      </c>
    </row>
    <row r="200" spans="7:7">
      <c r="G200" s="5" t="str">
        <f t="shared" si="17"/>
        <v/>
      </c>
    </row>
    <row r="201" spans="7:7">
      <c r="G201" s="5" t="str">
        <f t="shared" si="17"/>
        <v/>
      </c>
    </row>
    <row r="202" spans="7:7">
      <c r="G202" s="5" t="str">
        <f t="shared" si="17"/>
        <v/>
      </c>
    </row>
    <row r="203" spans="7:7">
      <c r="G203" s="5" t="str">
        <f t="shared" si="17"/>
        <v/>
      </c>
    </row>
    <row r="204" spans="7:7">
      <c r="G204" s="5" t="str">
        <f t="shared" si="17"/>
        <v/>
      </c>
    </row>
    <row r="205" spans="7:7">
      <c r="G205" s="5" t="str">
        <f t="shared" si="17"/>
        <v/>
      </c>
    </row>
    <row r="206" spans="7:7">
      <c r="G206" s="5" t="str">
        <f t="shared" si="17"/>
        <v/>
      </c>
    </row>
    <row r="207" spans="7:7">
      <c r="G207" s="5" t="str">
        <f t="shared" si="17"/>
        <v/>
      </c>
    </row>
    <row r="208" spans="7:7">
      <c r="G208" s="5" t="str">
        <f t="shared" si="17"/>
        <v/>
      </c>
    </row>
    <row r="209" spans="7:7">
      <c r="G209" s="5" t="str">
        <f t="shared" si="17"/>
        <v/>
      </c>
    </row>
    <row r="210" spans="7:7">
      <c r="G210" s="5" t="str">
        <f t="shared" si="17"/>
        <v/>
      </c>
    </row>
    <row r="211" spans="7:7">
      <c r="G211" s="5" t="str">
        <f t="shared" si="17"/>
        <v/>
      </c>
    </row>
    <row r="212" spans="7:7">
      <c r="G212" s="5" t="str">
        <f t="shared" si="17"/>
        <v/>
      </c>
    </row>
    <row r="213" spans="7:7">
      <c r="G213" s="5" t="str">
        <f t="shared" si="17"/>
        <v/>
      </c>
    </row>
    <row r="214" spans="7:7">
      <c r="G214" s="5" t="str">
        <f t="shared" si="17"/>
        <v/>
      </c>
    </row>
    <row r="215" spans="7:7">
      <c r="G215" s="5" t="str">
        <f t="shared" si="17"/>
        <v/>
      </c>
    </row>
    <row r="216" spans="7:7">
      <c r="G216" s="5" t="str">
        <f t="shared" si="17"/>
        <v/>
      </c>
    </row>
    <row r="217" spans="7:7">
      <c r="G217" s="5" t="str">
        <f t="shared" si="17"/>
        <v/>
      </c>
    </row>
    <row r="218" spans="7:7">
      <c r="G218" s="5" t="str">
        <f t="shared" si="17"/>
        <v/>
      </c>
    </row>
    <row r="219" spans="7:7">
      <c r="G219" s="5" t="str">
        <f t="shared" si="17"/>
        <v/>
      </c>
    </row>
    <row r="220" spans="7:7">
      <c r="G220" s="5" t="str">
        <f t="shared" si="17"/>
        <v/>
      </c>
    </row>
    <row r="221" spans="7:7">
      <c r="G221" s="5" t="str">
        <f t="shared" si="17"/>
        <v/>
      </c>
    </row>
    <row r="222" spans="7:7">
      <c r="G222" s="5" t="str">
        <f t="shared" si="17"/>
        <v/>
      </c>
    </row>
    <row r="223" spans="7:7">
      <c r="G223" s="5" t="str">
        <f t="shared" si="17"/>
        <v/>
      </c>
    </row>
    <row r="224" spans="7:7">
      <c r="G224" s="5" t="str">
        <f t="shared" si="17"/>
        <v/>
      </c>
    </row>
    <row r="225" spans="7:7">
      <c r="G225" s="5" t="str">
        <f t="shared" si="17"/>
        <v/>
      </c>
    </row>
    <row r="226" spans="7:7">
      <c r="G226" s="5" t="str">
        <f t="shared" si="17"/>
        <v/>
      </c>
    </row>
    <row r="227" spans="7:7">
      <c r="G227" s="5" t="str">
        <f t="shared" ref="G227:G290" si="18">IF(B227&lt;&gt;"",SUM(C227:F227),"")</f>
        <v/>
      </c>
    </row>
    <row r="228" spans="7:7">
      <c r="G228" s="5" t="str">
        <f t="shared" si="18"/>
        <v/>
      </c>
    </row>
    <row r="229" spans="7:7">
      <c r="G229" s="5" t="str">
        <f t="shared" si="18"/>
        <v/>
      </c>
    </row>
    <row r="230" spans="7:7">
      <c r="G230" s="5" t="str">
        <f t="shared" si="18"/>
        <v/>
      </c>
    </row>
    <row r="231" spans="7:7">
      <c r="G231" s="5" t="str">
        <f t="shared" si="18"/>
        <v/>
      </c>
    </row>
    <row r="232" spans="7:7">
      <c r="G232" s="5" t="str">
        <f t="shared" si="18"/>
        <v/>
      </c>
    </row>
    <row r="233" spans="7:7">
      <c r="G233" s="5" t="str">
        <f t="shared" si="18"/>
        <v/>
      </c>
    </row>
    <row r="234" spans="7:7">
      <c r="G234" s="5" t="str">
        <f t="shared" si="18"/>
        <v/>
      </c>
    </row>
    <row r="235" spans="7:7">
      <c r="G235" s="5" t="str">
        <f t="shared" si="18"/>
        <v/>
      </c>
    </row>
    <row r="236" spans="7:7">
      <c r="G236" s="5" t="str">
        <f t="shared" si="18"/>
        <v/>
      </c>
    </row>
    <row r="237" spans="7:7">
      <c r="G237" s="5" t="str">
        <f t="shared" si="18"/>
        <v/>
      </c>
    </row>
    <row r="238" spans="7:7">
      <c r="G238" s="5" t="str">
        <f t="shared" si="18"/>
        <v/>
      </c>
    </row>
    <row r="239" spans="7:7">
      <c r="G239" s="5" t="str">
        <f t="shared" si="18"/>
        <v/>
      </c>
    </row>
    <row r="240" spans="7:7">
      <c r="G240" s="5" t="str">
        <f t="shared" si="18"/>
        <v/>
      </c>
    </row>
    <row r="241" spans="7:7">
      <c r="G241" s="5" t="str">
        <f t="shared" si="18"/>
        <v/>
      </c>
    </row>
    <row r="242" spans="7:7">
      <c r="G242" s="5" t="str">
        <f t="shared" si="18"/>
        <v/>
      </c>
    </row>
    <row r="243" spans="7:7">
      <c r="G243" s="5" t="str">
        <f t="shared" si="18"/>
        <v/>
      </c>
    </row>
    <row r="244" spans="7:7">
      <c r="G244" s="5" t="str">
        <f t="shared" si="18"/>
        <v/>
      </c>
    </row>
    <row r="245" spans="7:7">
      <c r="G245" s="5" t="str">
        <f t="shared" si="18"/>
        <v/>
      </c>
    </row>
    <row r="246" spans="7:7">
      <c r="G246" s="5" t="str">
        <f t="shared" si="18"/>
        <v/>
      </c>
    </row>
    <row r="247" spans="7:7">
      <c r="G247" s="5" t="str">
        <f t="shared" si="18"/>
        <v/>
      </c>
    </row>
    <row r="248" spans="7:7">
      <c r="G248" s="5" t="str">
        <f t="shared" si="18"/>
        <v/>
      </c>
    </row>
    <row r="249" spans="7:7">
      <c r="G249" s="5" t="str">
        <f t="shared" si="18"/>
        <v/>
      </c>
    </row>
    <row r="250" spans="7:7">
      <c r="G250" s="5" t="str">
        <f t="shared" si="18"/>
        <v/>
      </c>
    </row>
    <row r="251" spans="7:7">
      <c r="G251" s="5" t="str">
        <f t="shared" si="18"/>
        <v/>
      </c>
    </row>
    <row r="252" spans="7:7">
      <c r="G252" s="5" t="str">
        <f t="shared" si="18"/>
        <v/>
      </c>
    </row>
    <row r="253" spans="7:7">
      <c r="G253" s="5" t="str">
        <f t="shared" si="18"/>
        <v/>
      </c>
    </row>
    <row r="254" spans="7:7">
      <c r="G254" s="5" t="str">
        <f t="shared" si="18"/>
        <v/>
      </c>
    </row>
    <row r="255" spans="7:7">
      <c r="G255" s="5" t="str">
        <f t="shared" si="18"/>
        <v/>
      </c>
    </row>
    <row r="256" spans="7:7">
      <c r="G256" s="5" t="str">
        <f t="shared" si="18"/>
        <v/>
      </c>
    </row>
    <row r="257" spans="7:7">
      <c r="G257" s="5" t="str">
        <f t="shared" si="18"/>
        <v/>
      </c>
    </row>
    <row r="258" spans="7:7">
      <c r="G258" s="5" t="str">
        <f t="shared" si="18"/>
        <v/>
      </c>
    </row>
    <row r="259" spans="7:7">
      <c r="G259" s="5" t="str">
        <f t="shared" si="18"/>
        <v/>
      </c>
    </row>
    <row r="260" spans="7:7">
      <c r="G260" s="5" t="str">
        <f t="shared" si="18"/>
        <v/>
      </c>
    </row>
    <row r="261" spans="7:7">
      <c r="G261" s="5" t="str">
        <f t="shared" si="18"/>
        <v/>
      </c>
    </row>
    <row r="262" spans="7:7">
      <c r="G262" s="5" t="str">
        <f t="shared" si="18"/>
        <v/>
      </c>
    </row>
    <row r="263" spans="7:7">
      <c r="G263" s="5" t="str">
        <f t="shared" si="18"/>
        <v/>
      </c>
    </row>
    <row r="264" spans="7:7">
      <c r="G264" s="5" t="str">
        <f t="shared" si="18"/>
        <v/>
      </c>
    </row>
    <row r="265" spans="7:7">
      <c r="G265" s="5" t="str">
        <f t="shared" si="18"/>
        <v/>
      </c>
    </row>
    <row r="266" spans="7:7">
      <c r="G266" s="5" t="str">
        <f t="shared" si="18"/>
        <v/>
      </c>
    </row>
    <row r="267" spans="7:7">
      <c r="G267" s="5" t="str">
        <f t="shared" si="18"/>
        <v/>
      </c>
    </row>
    <row r="268" spans="7:7">
      <c r="G268" s="5" t="str">
        <f t="shared" si="18"/>
        <v/>
      </c>
    </row>
    <row r="269" spans="7:7">
      <c r="G269" s="5" t="str">
        <f t="shared" si="18"/>
        <v/>
      </c>
    </row>
    <row r="270" spans="7:7">
      <c r="G270" s="5" t="str">
        <f t="shared" si="18"/>
        <v/>
      </c>
    </row>
    <row r="271" spans="7:7">
      <c r="G271" s="5" t="str">
        <f t="shared" si="18"/>
        <v/>
      </c>
    </row>
    <row r="272" spans="7:7">
      <c r="G272" s="5" t="str">
        <f t="shared" si="18"/>
        <v/>
      </c>
    </row>
    <row r="273" spans="7:7">
      <c r="G273" s="5" t="str">
        <f t="shared" si="18"/>
        <v/>
      </c>
    </row>
    <row r="274" spans="7:7">
      <c r="G274" s="5" t="str">
        <f t="shared" si="18"/>
        <v/>
      </c>
    </row>
    <row r="275" spans="7:7">
      <c r="G275" s="5" t="str">
        <f t="shared" si="18"/>
        <v/>
      </c>
    </row>
    <row r="276" spans="7:7">
      <c r="G276" s="5" t="str">
        <f t="shared" si="18"/>
        <v/>
      </c>
    </row>
    <row r="277" spans="7:7">
      <c r="G277" s="5" t="str">
        <f t="shared" si="18"/>
        <v/>
      </c>
    </row>
    <row r="278" spans="7:7">
      <c r="G278" s="5" t="str">
        <f t="shared" si="18"/>
        <v/>
      </c>
    </row>
    <row r="279" spans="7:7">
      <c r="G279" s="5" t="str">
        <f t="shared" si="18"/>
        <v/>
      </c>
    </row>
    <row r="280" spans="7:7">
      <c r="G280" s="5" t="str">
        <f t="shared" si="18"/>
        <v/>
      </c>
    </row>
    <row r="281" spans="7:7">
      <c r="G281" s="5" t="str">
        <f t="shared" si="18"/>
        <v/>
      </c>
    </row>
    <row r="282" spans="7:7">
      <c r="G282" s="5" t="str">
        <f t="shared" si="18"/>
        <v/>
      </c>
    </row>
    <row r="283" spans="7:7">
      <c r="G283" s="5" t="str">
        <f t="shared" si="18"/>
        <v/>
      </c>
    </row>
    <row r="284" spans="7:7">
      <c r="G284" s="5" t="str">
        <f t="shared" si="18"/>
        <v/>
      </c>
    </row>
    <row r="285" spans="7:7">
      <c r="G285" s="5" t="str">
        <f t="shared" si="18"/>
        <v/>
      </c>
    </row>
    <row r="286" spans="7:7">
      <c r="G286" s="5" t="str">
        <f t="shared" si="18"/>
        <v/>
      </c>
    </row>
    <row r="287" spans="7:7">
      <c r="G287" s="5" t="str">
        <f t="shared" si="18"/>
        <v/>
      </c>
    </row>
    <row r="288" spans="7:7">
      <c r="G288" s="5" t="str">
        <f t="shared" si="18"/>
        <v/>
      </c>
    </row>
    <row r="289" spans="7:7">
      <c r="G289" s="5" t="str">
        <f t="shared" si="18"/>
        <v/>
      </c>
    </row>
    <row r="290" spans="7:7">
      <c r="G290" s="5" t="str">
        <f t="shared" si="18"/>
        <v/>
      </c>
    </row>
    <row r="291" spans="7:7">
      <c r="G291" s="5" t="str">
        <f t="shared" ref="G291:G354" si="19">IF(B291&lt;&gt;"",SUM(C291:F291),"")</f>
        <v/>
      </c>
    </row>
    <row r="292" spans="7:7">
      <c r="G292" s="5" t="str">
        <f t="shared" si="19"/>
        <v/>
      </c>
    </row>
    <row r="293" spans="7:7">
      <c r="G293" s="5" t="str">
        <f t="shared" si="19"/>
        <v/>
      </c>
    </row>
    <row r="294" spans="7:7">
      <c r="G294" s="5" t="str">
        <f t="shared" si="19"/>
        <v/>
      </c>
    </row>
    <row r="295" spans="7:7">
      <c r="G295" s="5" t="str">
        <f t="shared" si="19"/>
        <v/>
      </c>
    </row>
    <row r="296" spans="7:7">
      <c r="G296" s="5" t="str">
        <f t="shared" si="19"/>
        <v/>
      </c>
    </row>
    <row r="297" spans="7:7">
      <c r="G297" s="5" t="str">
        <f t="shared" si="19"/>
        <v/>
      </c>
    </row>
    <row r="298" spans="7:7">
      <c r="G298" s="5" t="str">
        <f t="shared" si="19"/>
        <v/>
      </c>
    </row>
    <row r="299" spans="7:7">
      <c r="G299" s="5" t="str">
        <f t="shared" si="19"/>
        <v/>
      </c>
    </row>
    <row r="300" spans="7:7">
      <c r="G300" s="5" t="str">
        <f t="shared" si="19"/>
        <v/>
      </c>
    </row>
    <row r="301" spans="7:7">
      <c r="G301" s="5" t="str">
        <f t="shared" si="19"/>
        <v/>
      </c>
    </row>
    <row r="302" spans="7:7">
      <c r="G302" s="5" t="str">
        <f t="shared" si="19"/>
        <v/>
      </c>
    </row>
    <row r="303" spans="7:7">
      <c r="G303" s="5" t="str">
        <f t="shared" si="19"/>
        <v/>
      </c>
    </row>
    <row r="304" spans="7:7">
      <c r="G304" s="5" t="str">
        <f t="shared" si="19"/>
        <v/>
      </c>
    </row>
    <row r="305" spans="7:7">
      <c r="G305" s="5" t="str">
        <f t="shared" si="19"/>
        <v/>
      </c>
    </row>
    <row r="306" spans="7:7">
      <c r="G306" s="5" t="str">
        <f t="shared" si="19"/>
        <v/>
      </c>
    </row>
    <row r="307" spans="7:7">
      <c r="G307" s="5" t="str">
        <f t="shared" si="19"/>
        <v/>
      </c>
    </row>
    <row r="308" spans="7:7">
      <c r="G308" s="5" t="str">
        <f t="shared" si="19"/>
        <v/>
      </c>
    </row>
    <row r="309" spans="7:7">
      <c r="G309" s="5" t="str">
        <f t="shared" si="19"/>
        <v/>
      </c>
    </row>
    <row r="310" spans="7:7">
      <c r="G310" s="5" t="str">
        <f t="shared" si="19"/>
        <v/>
      </c>
    </row>
    <row r="311" spans="7:7">
      <c r="G311" s="5" t="str">
        <f t="shared" si="19"/>
        <v/>
      </c>
    </row>
    <row r="312" spans="7:7">
      <c r="G312" s="5" t="str">
        <f t="shared" si="19"/>
        <v/>
      </c>
    </row>
    <row r="313" spans="7:7">
      <c r="G313" s="5" t="str">
        <f t="shared" si="19"/>
        <v/>
      </c>
    </row>
    <row r="314" spans="7:7">
      <c r="G314" s="5" t="str">
        <f t="shared" si="19"/>
        <v/>
      </c>
    </row>
    <row r="315" spans="7:7">
      <c r="G315" s="5" t="str">
        <f t="shared" si="19"/>
        <v/>
      </c>
    </row>
    <row r="316" spans="7:7">
      <c r="G316" s="5" t="str">
        <f t="shared" si="19"/>
        <v/>
      </c>
    </row>
    <row r="317" spans="7:7">
      <c r="G317" s="5" t="str">
        <f t="shared" si="19"/>
        <v/>
      </c>
    </row>
    <row r="318" spans="7:7">
      <c r="G318" s="5" t="str">
        <f t="shared" si="19"/>
        <v/>
      </c>
    </row>
    <row r="319" spans="7:7">
      <c r="G319" s="5" t="str">
        <f t="shared" si="19"/>
        <v/>
      </c>
    </row>
    <row r="320" spans="7:7">
      <c r="G320" s="5" t="str">
        <f t="shared" si="19"/>
        <v/>
      </c>
    </row>
    <row r="321" spans="7:7">
      <c r="G321" s="5" t="str">
        <f t="shared" si="19"/>
        <v/>
      </c>
    </row>
    <row r="322" spans="7:7">
      <c r="G322" s="5" t="str">
        <f t="shared" si="19"/>
        <v/>
      </c>
    </row>
    <row r="323" spans="7:7">
      <c r="G323" s="5" t="str">
        <f t="shared" si="19"/>
        <v/>
      </c>
    </row>
    <row r="324" spans="7:7">
      <c r="G324" s="5" t="str">
        <f t="shared" si="19"/>
        <v/>
      </c>
    </row>
    <row r="325" spans="7:7">
      <c r="G325" s="5" t="str">
        <f t="shared" si="19"/>
        <v/>
      </c>
    </row>
    <row r="326" spans="7:7">
      <c r="G326" s="5" t="str">
        <f t="shared" si="19"/>
        <v/>
      </c>
    </row>
    <row r="327" spans="7:7">
      <c r="G327" s="5" t="str">
        <f t="shared" si="19"/>
        <v/>
      </c>
    </row>
    <row r="328" spans="7:7">
      <c r="G328" s="5" t="str">
        <f t="shared" si="19"/>
        <v/>
      </c>
    </row>
    <row r="329" spans="7:7">
      <c r="G329" s="5" t="str">
        <f t="shared" si="19"/>
        <v/>
      </c>
    </row>
    <row r="330" spans="7:7">
      <c r="G330" s="5" t="str">
        <f t="shared" si="19"/>
        <v/>
      </c>
    </row>
    <row r="331" spans="7:7">
      <c r="G331" s="5" t="str">
        <f t="shared" si="19"/>
        <v/>
      </c>
    </row>
    <row r="332" spans="7:7">
      <c r="G332" s="5" t="str">
        <f t="shared" si="19"/>
        <v/>
      </c>
    </row>
    <row r="333" spans="7:7">
      <c r="G333" s="5" t="str">
        <f t="shared" si="19"/>
        <v/>
      </c>
    </row>
    <row r="334" spans="7:7">
      <c r="G334" s="5" t="str">
        <f t="shared" si="19"/>
        <v/>
      </c>
    </row>
    <row r="335" spans="7:7">
      <c r="G335" s="5" t="str">
        <f t="shared" si="19"/>
        <v/>
      </c>
    </row>
    <row r="336" spans="7:7">
      <c r="G336" s="5" t="str">
        <f t="shared" si="19"/>
        <v/>
      </c>
    </row>
    <row r="337" spans="7:7">
      <c r="G337" s="5" t="str">
        <f t="shared" si="19"/>
        <v/>
      </c>
    </row>
    <row r="338" spans="7:7">
      <c r="G338" s="5" t="str">
        <f t="shared" si="19"/>
        <v/>
      </c>
    </row>
    <row r="339" spans="7:7">
      <c r="G339" s="5" t="str">
        <f t="shared" si="19"/>
        <v/>
      </c>
    </row>
    <row r="340" spans="7:7">
      <c r="G340" s="5" t="str">
        <f t="shared" si="19"/>
        <v/>
      </c>
    </row>
    <row r="341" spans="7:7">
      <c r="G341" s="5" t="str">
        <f t="shared" si="19"/>
        <v/>
      </c>
    </row>
    <row r="342" spans="7:7">
      <c r="G342" s="5" t="str">
        <f t="shared" si="19"/>
        <v/>
      </c>
    </row>
    <row r="343" spans="7:7">
      <c r="G343" s="5" t="str">
        <f t="shared" si="19"/>
        <v/>
      </c>
    </row>
    <row r="344" spans="7:7">
      <c r="G344" s="5" t="str">
        <f t="shared" si="19"/>
        <v/>
      </c>
    </row>
    <row r="345" spans="7:7">
      <c r="G345" s="5" t="str">
        <f t="shared" si="19"/>
        <v/>
      </c>
    </row>
    <row r="346" spans="7:7">
      <c r="G346" s="5" t="str">
        <f t="shared" si="19"/>
        <v/>
      </c>
    </row>
    <row r="347" spans="7:7">
      <c r="G347" s="5" t="str">
        <f t="shared" si="19"/>
        <v/>
      </c>
    </row>
    <row r="348" spans="7:7">
      <c r="G348" s="5" t="str">
        <f t="shared" si="19"/>
        <v/>
      </c>
    </row>
    <row r="349" spans="7:7">
      <c r="G349" s="5" t="str">
        <f t="shared" si="19"/>
        <v/>
      </c>
    </row>
    <row r="350" spans="7:7">
      <c r="G350" s="5" t="str">
        <f t="shared" si="19"/>
        <v/>
      </c>
    </row>
    <row r="351" spans="7:7">
      <c r="G351" s="5" t="str">
        <f t="shared" si="19"/>
        <v/>
      </c>
    </row>
    <row r="352" spans="7:7">
      <c r="G352" s="5" t="str">
        <f t="shared" si="19"/>
        <v/>
      </c>
    </row>
    <row r="353" spans="7:7">
      <c r="G353" s="5" t="str">
        <f t="shared" si="19"/>
        <v/>
      </c>
    </row>
    <row r="354" spans="7:7">
      <c r="G354" s="5" t="str">
        <f t="shared" si="19"/>
        <v/>
      </c>
    </row>
    <row r="355" spans="7:7">
      <c r="G355" s="5" t="str">
        <f t="shared" ref="G355:G418" si="20">IF(B355&lt;&gt;"",SUM(C355:F355),"")</f>
        <v/>
      </c>
    </row>
    <row r="356" spans="7:7">
      <c r="G356" s="5" t="str">
        <f t="shared" si="20"/>
        <v/>
      </c>
    </row>
    <row r="357" spans="7:7">
      <c r="G357" s="5" t="str">
        <f t="shared" si="20"/>
        <v/>
      </c>
    </row>
    <row r="358" spans="7:7">
      <c r="G358" s="5" t="str">
        <f t="shared" si="20"/>
        <v/>
      </c>
    </row>
    <row r="359" spans="7:7">
      <c r="G359" s="5" t="str">
        <f t="shared" si="20"/>
        <v/>
      </c>
    </row>
    <row r="360" spans="7:7">
      <c r="G360" s="5" t="str">
        <f t="shared" si="20"/>
        <v/>
      </c>
    </row>
    <row r="361" spans="7:7">
      <c r="G361" s="5" t="str">
        <f t="shared" si="20"/>
        <v/>
      </c>
    </row>
    <row r="362" spans="7:7">
      <c r="G362" s="5" t="str">
        <f t="shared" si="20"/>
        <v/>
      </c>
    </row>
    <row r="363" spans="7:7">
      <c r="G363" s="5" t="str">
        <f t="shared" si="20"/>
        <v/>
      </c>
    </row>
    <row r="364" spans="7:7">
      <c r="G364" s="5" t="str">
        <f t="shared" si="20"/>
        <v/>
      </c>
    </row>
    <row r="365" spans="7:7">
      <c r="G365" s="5" t="str">
        <f t="shared" si="20"/>
        <v/>
      </c>
    </row>
    <row r="366" spans="7:7">
      <c r="G366" s="5" t="str">
        <f t="shared" si="20"/>
        <v/>
      </c>
    </row>
    <row r="367" spans="7:7">
      <c r="G367" s="5" t="str">
        <f t="shared" si="20"/>
        <v/>
      </c>
    </row>
    <row r="368" spans="7:7">
      <c r="G368" s="5" t="str">
        <f t="shared" si="20"/>
        <v/>
      </c>
    </row>
    <row r="369" spans="7:7">
      <c r="G369" s="5" t="str">
        <f t="shared" si="20"/>
        <v/>
      </c>
    </row>
    <row r="370" spans="7:7">
      <c r="G370" s="5" t="str">
        <f t="shared" si="20"/>
        <v/>
      </c>
    </row>
    <row r="371" spans="7:7">
      <c r="G371" s="5" t="str">
        <f t="shared" si="20"/>
        <v/>
      </c>
    </row>
    <row r="372" spans="7:7">
      <c r="G372" s="5" t="str">
        <f t="shared" si="20"/>
        <v/>
      </c>
    </row>
    <row r="373" spans="7:7">
      <c r="G373" s="5" t="str">
        <f t="shared" si="20"/>
        <v/>
      </c>
    </row>
    <row r="374" spans="7:7">
      <c r="G374" s="5" t="str">
        <f t="shared" si="20"/>
        <v/>
      </c>
    </row>
    <row r="375" spans="7:7">
      <c r="G375" s="5" t="str">
        <f t="shared" si="20"/>
        <v/>
      </c>
    </row>
    <row r="376" spans="7:7">
      <c r="G376" s="5" t="str">
        <f t="shared" si="20"/>
        <v/>
      </c>
    </row>
    <row r="377" spans="7:7">
      <c r="G377" s="5" t="str">
        <f t="shared" si="20"/>
        <v/>
      </c>
    </row>
    <row r="378" spans="7:7">
      <c r="G378" s="5" t="str">
        <f t="shared" si="20"/>
        <v/>
      </c>
    </row>
    <row r="379" spans="7:7">
      <c r="G379" s="5" t="str">
        <f t="shared" si="20"/>
        <v/>
      </c>
    </row>
    <row r="380" spans="7:7">
      <c r="G380" s="5" t="str">
        <f t="shared" si="20"/>
        <v/>
      </c>
    </row>
    <row r="381" spans="7:7">
      <c r="G381" s="5" t="str">
        <f t="shared" si="20"/>
        <v/>
      </c>
    </row>
    <row r="382" spans="7:7">
      <c r="G382" s="5" t="str">
        <f t="shared" si="20"/>
        <v/>
      </c>
    </row>
    <row r="383" spans="7:7">
      <c r="G383" s="5" t="str">
        <f t="shared" si="20"/>
        <v/>
      </c>
    </row>
    <row r="384" spans="7:7">
      <c r="G384" s="5" t="str">
        <f t="shared" si="20"/>
        <v/>
      </c>
    </row>
    <row r="385" spans="7:7">
      <c r="G385" s="5" t="str">
        <f t="shared" si="20"/>
        <v/>
      </c>
    </row>
    <row r="386" spans="7:7">
      <c r="G386" s="5" t="str">
        <f t="shared" si="20"/>
        <v/>
      </c>
    </row>
    <row r="387" spans="7:7">
      <c r="G387" s="5" t="str">
        <f t="shared" si="20"/>
        <v/>
      </c>
    </row>
    <row r="388" spans="7:7">
      <c r="G388" s="5" t="str">
        <f t="shared" si="20"/>
        <v/>
      </c>
    </row>
    <row r="389" spans="7:7">
      <c r="G389" s="5" t="str">
        <f t="shared" si="20"/>
        <v/>
      </c>
    </row>
    <row r="390" spans="7:7">
      <c r="G390" s="5" t="str">
        <f t="shared" si="20"/>
        <v/>
      </c>
    </row>
    <row r="391" spans="7:7">
      <c r="G391" s="5" t="str">
        <f t="shared" si="20"/>
        <v/>
      </c>
    </row>
    <row r="392" spans="7:7">
      <c r="G392" s="5" t="str">
        <f t="shared" si="20"/>
        <v/>
      </c>
    </row>
    <row r="393" spans="7:7">
      <c r="G393" s="5" t="str">
        <f t="shared" si="20"/>
        <v/>
      </c>
    </row>
    <row r="394" spans="7:7">
      <c r="G394" s="5" t="str">
        <f t="shared" si="20"/>
        <v/>
      </c>
    </row>
    <row r="395" spans="7:7">
      <c r="G395" s="5" t="str">
        <f t="shared" si="20"/>
        <v/>
      </c>
    </row>
    <row r="396" spans="7:7">
      <c r="G396" s="5" t="str">
        <f t="shared" si="20"/>
        <v/>
      </c>
    </row>
    <row r="397" spans="7:7">
      <c r="G397" s="5" t="str">
        <f t="shared" si="20"/>
        <v/>
      </c>
    </row>
    <row r="398" spans="7:7">
      <c r="G398" s="5" t="str">
        <f t="shared" si="20"/>
        <v/>
      </c>
    </row>
    <row r="399" spans="7:7">
      <c r="G399" s="5" t="str">
        <f t="shared" si="20"/>
        <v/>
      </c>
    </row>
    <row r="400" spans="7:7">
      <c r="G400" s="5" t="str">
        <f t="shared" si="20"/>
        <v/>
      </c>
    </row>
    <row r="401" spans="7:7">
      <c r="G401" s="5" t="str">
        <f t="shared" si="20"/>
        <v/>
      </c>
    </row>
    <row r="402" spans="7:7">
      <c r="G402" s="5" t="str">
        <f t="shared" si="20"/>
        <v/>
      </c>
    </row>
    <row r="403" spans="7:7">
      <c r="G403" s="5" t="str">
        <f t="shared" si="20"/>
        <v/>
      </c>
    </row>
    <row r="404" spans="7:7">
      <c r="G404" s="5" t="str">
        <f t="shared" si="20"/>
        <v/>
      </c>
    </row>
    <row r="405" spans="7:7">
      <c r="G405" s="5" t="str">
        <f t="shared" si="20"/>
        <v/>
      </c>
    </row>
    <row r="406" spans="7:7">
      <c r="G406" s="5" t="str">
        <f t="shared" si="20"/>
        <v/>
      </c>
    </row>
    <row r="407" spans="7:7">
      <c r="G407" s="5" t="str">
        <f t="shared" si="20"/>
        <v/>
      </c>
    </row>
    <row r="408" spans="7:7">
      <c r="G408" s="5" t="str">
        <f t="shared" si="20"/>
        <v/>
      </c>
    </row>
    <row r="409" spans="7:7">
      <c r="G409" s="5" t="str">
        <f t="shared" si="20"/>
        <v/>
      </c>
    </row>
    <row r="410" spans="7:7">
      <c r="G410" s="5" t="str">
        <f t="shared" si="20"/>
        <v/>
      </c>
    </row>
    <row r="411" spans="7:7">
      <c r="G411" s="5" t="str">
        <f t="shared" si="20"/>
        <v/>
      </c>
    </row>
    <row r="412" spans="7:7">
      <c r="G412" s="5" t="str">
        <f t="shared" si="20"/>
        <v/>
      </c>
    </row>
    <row r="413" spans="7:7">
      <c r="G413" s="5" t="str">
        <f t="shared" si="20"/>
        <v/>
      </c>
    </row>
    <row r="414" spans="7:7">
      <c r="G414" s="5" t="str">
        <f t="shared" si="20"/>
        <v/>
      </c>
    </row>
    <row r="415" spans="7:7">
      <c r="G415" s="5" t="str">
        <f t="shared" si="20"/>
        <v/>
      </c>
    </row>
    <row r="416" spans="7:7">
      <c r="G416" s="5" t="str">
        <f t="shared" si="20"/>
        <v/>
      </c>
    </row>
    <row r="417" spans="7:7">
      <c r="G417" s="5" t="str">
        <f t="shared" si="20"/>
        <v/>
      </c>
    </row>
    <row r="418" spans="7:7">
      <c r="G418" s="5" t="str">
        <f t="shared" si="20"/>
        <v/>
      </c>
    </row>
    <row r="419" spans="7:7">
      <c r="G419" s="5" t="str">
        <f t="shared" ref="G419:G450" si="21">IF(B419&lt;&gt;"",SUM(C419:F419),"")</f>
        <v/>
      </c>
    </row>
    <row r="420" spans="7:7">
      <c r="G420" s="5" t="str">
        <f t="shared" si="21"/>
        <v/>
      </c>
    </row>
    <row r="421" spans="7:7">
      <c r="G421" s="5" t="str">
        <f t="shared" si="21"/>
        <v/>
      </c>
    </row>
    <row r="422" spans="7:7">
      <c r="G422" s="5" t="str">
        <f t="shared" si="21"/>
        <v/>
      </c>
    </row>
    <row r="423" spans="7:7">
      <c r="G423" s="5" t="str">
        <f t="shared" si="21"/>
        <v/>
      </c>
    </row>
    <row r="424" spans="7:7">
      <c r="G424" s="5" t="str">
        <f t="shared" si="21"/>
        <v/>
      </c>
    </row>
    <row r="425" spans="7:7">
      <c r="G425" s="5" t="str">
        <f t="shared" si="21"/>
        <v/>
      </c>
    </row>
    <row r="426" spans="7:7">
      <c r="G426" s="5" t="str">
        <f t="shared" si="21"/>
        <v/>
      </c>
    </row>
    <row r="427" spans="7:7">
      <c r="G427" s="5" t="str">
        <f t="shared" si="21"/>
        <v/>
      </c>
    </row>
    <row r="428" spans="7:7">
      <c r="G428" s="5" t="str">
        <f t="shared" si="21"/>
        <v/>
      </c>
    </row>
    <row r="429" spans="7:7">
      <c r="G429" s="5" t="str">
        <f t="shared" si="21"/>
        <v/>
      </c>
    </row>
    <row r="430" spans="7:7">
      <c r="G430" s="5" t="str">
        <f t="shared" si="21"/>
        <v/>
      </c>
    </row>
    <row r="431" spans="7:7">
      <c r="G431" s="5" t="str">
        <f t="shared" si="21"/>
        <v/>
      </c>
    </row>
    <row r="432" spans="7:7">
      <c r="G432" s="5" t="str">
        <f t="shared" si="21"/>
        <v/>
      </c>
    </row>
    <row r="433" spans="7:7">
      <c r="G433" s="5" t="str">
        <f t="shared" si="21"/>
        <v/>
      </c>
    </row>
    <row r="434" spans="7:7">
      <c r="G434" s="5" t="str">
        <f t="shared" si="21"/>
        <v/>
      </c>
    </row>
    <row r="435" spans="7:7">
      <c r="G435" s="5" t="str">
        <f t="shared" si="21"/>
        <v/>
      </c>
    </row>
    <row r="436" spans="7:7">
      <c r="G436" s="5" t="str">
        <f t="shared" si="21"/>
        <v/>
      </c>
    </row>
    <row r="437" spans="7:7">
      <c r="G437" s="5" t="str">
        <f t="shared" si="21"/>
        <v/>
      </c>
    </row>
    <row r="438" spans="7:7">
      <c r="G438" s="5" t="str">
        <f t="shared" si="21"/>
        <v/>
      </c>
    </row>
    <row r="439" spans="7:7">
      <c r="G439" s="5" t="str">
        <f t="shared" si="21"/>
        <v/>
      </c>
    </row>
    <row r="440" spans="7:7">
      <c r="G440" s="5" t="str">
        <f t="shared" si="21"/>
        <v/>
      </c>
    </row>
    <row r="441" spans="7:7">
      <c r="G441" s="5" t="str">
        <f t="shared" si="21"/>
        <v/>
      </c>
    </row>
    <row r="442" spans="7:7">
      <c r="G442" s="5" t="str">
        <f t="shared" si="21"/>
        <v/>
      </c>
    </row>
    <row r="443" spans="7:7">
      <c r="G443" s="5" t="str">
        <f t="shared" si="21"/>
        <v/>
      </c>
    </row>
    <row r="444" spans="7:7">
      <c r="G444" s="5" t="str">
        <f t="shared" si="21"/>
        <v/>
      </c>
    </row>
    <row r="445" spans="7:7">
      <c r="G445" s="5" t="str">
        <f t="shared" si="21"/>
        <v/>
      </c>
    </row>
    <row r="446" spans="7:7">
      <c r="G446" s="5" t="str">
        <f t="shared" si="21"/>
        <v/>
      </c>
    </row>
    <row r="447" spans="7:7">
      <c r="G447" s="5" t="str">
        <f t="shared" si="21"/>
        <v/>
      </c>
    </row>
    <row r="448" spans="7:7">
      <c r="G448" s="5" t="str">
        <f t="shared" si="21"/>
        <v/>
      </c>
    </row>
    <row r="449" spans="7:7">
      <c r="G449" s="5" t="str">
        <f t="shared" si="21"/>
        <v/>
      </c>
    </row>
    <row r="450" spans="7:7">
      <c r="G450" s="5" t="str">
        <f t="shared" si="21"/>
        <v/>
      </c>
    </row>
  </sheetData>
  <sheetProtection sort="0" autoFilter="0" pivotTables="0"/>
  <autoFilter ref="H5:H24" xr:uid="{FC6BC6DC-3EE8-4E15-B40C-A6E9F4AD5946}">
    <filterColumn colId="0">
      <filters blank="1">
        <filter val="1.000"/>
        <filter val="10"/>
        <filter val="120"/>
        <filter val="150"/>
        <filter val="16"/>
        <filter val="35"/>
        <filter val="36"/>
        <filter val="6"/>
        <filter val="60"/>
        <filter val="R$ 82.389,38"/>
      </filters>
    </filterColumn>
  </autoFilter>
  <sortState xmlns:xlrd2="http://schemas.microsoft.com/office/spreadsheetml/2017/richdata2" ref="B6:M22">
    <sortCondition ref="B6:B22"/>
  </sortState>
  <pageMargins left="0.78740157480314965" right="0.78740157480314965" top="0.78740157480314965" bottom="0.78740157480314965" header="0" footer="0"/>
  <pageSetup paperSize="9" scale="79" orientation="landscape" verticalDpi="4294967295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9952-6D23-4C1F-8876-7987F79483C9}">
  <sheetPr codeName="Planilha13" filterMode="1">
    <tabColor rgb="FF006600"/>
    <pageSetUpPr fitToPage="1"/>
  </sheetPr>
  <dimension ref="B1:S510"/>
  <sheetViews>
    <sheetView workbookViewId="0">
      <pane ySplit="5" topLeftCell="A57" activePane="bottomLeft" state="frozen"/>
      <selection pane="bottomLeft" activeCell="K57" sqref="K57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3" width="14.7109375" style="15" bestFit="1" customWidth="1"/>
    <col min="4" max="4" width="15.85546875" style="15" bestFit="1" customWidth="1"/>
    <col min="5" max="5" width="13.5703125" style="15" customWidth="1"/>
    <col min="6" max="6" width="14.7109375" style="15" bestFit="1" customWidth="1"/>
    <col min="7" max="7" width="13.5703125" style="5" customWidth="1"/>
    <col min="8" max="8" width="15.85546875" style="1" bestFit="1" customWidth="1"/>
    <col min="9" max="9" width="13" style="1" customWidth="1"/>
    <col min="10" max="11" width="9.5703125" style="9" customWidth="1"/>
    <col min="12" max="12" width="14.42578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25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232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206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537" t="s">
        <v>1899</v>
      </c>
      <c r="C6" s="284"/>
      <c r="D6" s="284"/>
      <c r="E6" s="284"/>
      <c r="F6" s="285"/>
      <c r="G6" s="286"/>
      <c r="H6" s="281">
        <f>SUM(C6:G6)</f>
        <v>0</v>
      </c>
      <c r="I6" s="533">
        <f t="shared" ref="I6" si="0">L6-(L6*J6)</f>
        <v>33.25</v>
      </c>
      <c r="J6" s="282"/>
      <c r="K6" s="283"/>
      <c r="L6" s="530">
        <v>33.25</v>
      </c>
      <c r="M6" s="287" t="s">
        <v>2130</v>
      </c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0</v>
      </c>
      <c r="R6" s="27">
        <f t="shared" ref="R6" si="5">I6*G6</f>
        <v>0</v>
      </c>
      <c r="S6" s="28">
        <f>SUM(N6:R6)</f>
        <v>0</v>
      </c>
    </row>
    <row r="7" spans="2:19" hidden="1">
      <c r="B7" s="537" t="s">
        <v>1900</v>
      </c>
      <c r="C7" s="284"/>
      <c r="D7" s="284"/>
      <c r="E7" s="284"/>
      <c r="F7" s="285"/>
      <c r="G7" s="286"/>
      <c r="H7" s="281">
        <f t="shared" ref="H7:H70" si="6">SUM(C7:G7)</f>
        <v>0</v>
      </c>
      <c r="I7" s="533">
        <f t="shared" ref="I7:I70" si="7">L7-(L7*J7)</f>
        <v>23.95</v>
      </c>
      <c r="J7" s="282"/>
      <c r="K7" s="283"/>
      <c r="L7" s="530">
        <v>23.95</v>
      </c>
      <c r="M7" s="287" t="s">
        <v>2131</v>
      </c>
      <c r="N7" s="25">
        <f t="shared" ref="N7:N70" si="8">I7*C7</f>
        <v>0</v>
      </c>
      <c r="O7" s="25">
        <f t="shared" ref="O7:O70" si="9">I7*D7</f>
        <v>0</v>
      </c>
      <c r="P7" s="25">
        <f t="shared" ref="P7:P70" si="10">I7*E7</f>
        <v>0</v>
      </c>
      <c r="Q7" s="26">
        <f t="shared" ref="Q7:Q70" si="11">I7*F7</f>
        <v>0</v>
      </c>
      <c r="R7" s="27">
        <f t="shared" ref="R7:R70" si="12">I7*G7</f>
        <v>0</v>
      </c>
      <c r="S7" s="28">
        <f t="shared" ref="S7:S70" si="13">SUM(N7:R7)</f>
        <v>0</v>
      </c>
    </row>
    <row r="8" spans="2:19" hidden="1">
      <c r="B8" s="537" t="s">
        <v>1901</v>
      </c>
      <c r="C8" s="284"/>
      <c r="D8" s="284"/>
      <c r="E8" s="284"/>
      <c r="F8" s="285"/>
      <c r="G8" s="286"/>
      <c r="H8" s="281">
        <f t="shared" si="6"/>
        <v>0</v>
      </c>
      <c r="I8" s="533">
        <f t="shared" si="7"/>
        <v>11.47</v>
      </c>
      <c r="J8" s="282"/>
      <c r="K8" s="283"/>
      <c r="L8" s="530">
        <v>11.47</v>
      </c>
      <c r="M8" s="287" t="s">
        <v>2132</v>
      </c>
      <c r="N8" s="25">
        <f t="shared" si="8"/>
        <v>0</v>
      </c>
      <c r="O8" s="25">
        <f t="shared" si="9"/>
        <v>0</v>
      </c>
      <c r="P8" s="25">
        <f t="shared" si="10"/>
        <v>0</v>
      </c>
      <c r="Q8" s="26">
        <f t="shared" si="11"/>
        <v>0</v>
      </c>
      <c r="R8" s="27">
        <f t="shared" si="12"/>
        <v>0</v>
      </c>
      <c r="S8" s="28">
        <f t="shared" si="13"/>
        <v>0</v>
      </c>
    </row>
    <row r="9" spans="2:19" hidden="1">
      <c r="B9" s="537" t="s">
        <v>1902</v>
      </c>
      <c r="C9" s="284"/>
      <c r="D9" s="284"/>
      <c r="E9" s="284"/>
      <c r="F9" s="285"/>
      <c r="G9" s="286"/>
      <c r="H9" s="281">
        <f t="shared" si="6"/>
        <v>0</v>
      </c>
      <c r="I9" s="533">
        <f t="shared" si="7"/>
        <v>25.67</v>
      </c>
      <c r="J9" s="282"/>
      <c r="K9" s="283"/>
      <c r="L9" s="530">
        <v>25.67</v>
      </c>
      <c r="M9" s="287" t="s">
        <v>2133</v>
      </c>
      <c r="N9" s="25">
        <f t="shared" si="8"/>
        <v>0</v>
      </c>
      <c r="O9" s="25">
        <f t="shared" si="9"/>
        <v>0</v>
      </c>
      <c r="P9" s="25">
        <f t="shared" si="10"/>
        <v>0</v>
      </c>
      <c r="Q9" s="26">
        <f t="shared" si="11"/>
        <v>0</v>
      </c>
      <c r="R9" s="27">
        <f t="shared" si="12"/>
        <v>0</v>
      </c>
      <c r="S9" s="28">
        <f t="shared" si="13"/>
        <v>0</v>
      </c>
    </row>
    <row r="10" spans="2:19" hidden="1">
      <c r="B10" s="537" t="s">
        <v>1903</v>
      </c>
      <c r="C10" s="284"/>
      <c r="D10" s="284"/>
      <c r="E10" s="284"/>
      <c r="F10" s="285"/>
      <c r="G10" s="286"/>
      <c r="H10" s="281">
        <f t="shared" si="6"/>
        <v>0</v>
      </c>
      <c r="I10" s="533">
        <f t="shared" si="7"/>
        <v>14.47</v>
      </c>
      <c r="J10" s="282"/>
      <c r="K10" s="283"/>
      <c r="L10" s="530">
        <v>14.47</v>
      </c>
      <c r="M10" s="287" t="s">
        <v>2134</v>
      </c>
      <c r="N10" s="25">
        <f t="shared" si="8"/>
        <v>0</v>
      </c>
      <c r="O10" s="25">
        <f t="shared" si="9"/>
        <v>0</v>
      </c>
      <c r="P10" s="25">
        <f t="shared" si="10"/>
        <v>0</v>
      </c>
      <c r="Q10" s="26">
        <f t="shared" si="11"/>
        <v>0</v>
      </c>
      <c r="R10" s="27">
        <f t="shared" si="12"/>
        <v>0</v>
      </c>
      <c r="S10" s="28">
        <f t="shared" si="13"/>
        <v>0</v>
      </c>
    </row>
    <row r="11" spans="2:19" hidden="1">
      <c r="B11" s="537" t="s">
        <v>1904</v>
      </c>
      <c r="C11" s="284"/>
      <c r="D11" s="284"/>
      <c r="E11" s="284"/>
      <c r="F11" s="285"/>
      <c r="G11" s="286"/>
      <c r="H11" s="281">
        <f t="shared" si="6"/>
        <v>0</v>
      </c>
      <c r="I11" s="533">
        <f t="shared" si="7"/>
        <v>15.67</v>
      </c>
      <c r="J11" s="282"/>
      <c r="K11" s="283"/>
      <c r="L11" s="530">
        <v>15.67</v>
      </c>
      <c r="M11" s="287" t="s">
        <v>2135</v>
      </c>
      <c r="N11" s="25">
        <f t="shared" si="8"/>
        <v>0</v>
      </c>
      <c r="O11" s="25">
        <f t="shared" si="9"/>
        <v>0</v>
      </c>
      <c r="P11" s="25">
        <f t="shared" si="10"/>
        <v>0</v>
      </c>
      <c r="Q11" s="26">
        <f t="shared" si="11"/>
        <v>0</v>
      </c>
      <c r="R11" s="27">
        <f t="shared" si="12"/>
        <v>0</v>
      </c>
      <c r="S11" s="28">
        <f t="shared" si="13"/>
        <v>0</v>
      </c>
    </row>
    <row r="12" spans="2:19" hidden="1">
      <c r="B12" s="537" t="s">
        <v>1905</v>
      </c>
      <c r="C12" s="284"/>
      <c r="D12" s="284"/>
      <c r="E12" s="284"/>
      <c r="F12" s="285"/>
      <c r="G12" s="286"/>
      <c r="H12" s="281">
        <f t="shared" si="6"/>
        <v>0</v>
      </c>
      <c r="I12" s="533">
        <f t="shared" si="7"/>
        <v>137.38</v>
      </c>
      <c r="J12" s="282"/>
      <c r="K12" s="283"/>
      <c r="L12" s="530">
        <v>137.38</v>
      </c>
      <c r="M12" s="287" t="s">
        <v>2136</v>
      </c>
      <c r="N12" s="25">
        <f t="shared" si="8"/>
        <v>0</v>
      </c>
      <c r="O12" s="25">
        <f t="shared" si="9"/>
        <v>0</v>
      </c>
      <c r="P12" s="25">
        <f t="shared" si="10"/>
        <v>0</v>
      </c>
      <c r="Q12" s="26">
        <f t="shared" si="11"/>
        <v>0</v>
      </c>
      <c r="R12" s="27">
        <f t="shared" si="12"/>
        <v>0</v>
      </c>
      <c r="S12" s="28">
        <f t="shared" si="13"/>
        <v>0</v>
      </c>
    </row>
    <row r="13" spans="2:19" hidden="1">
      <c r="B13" s="529" t="s">
        <v>1906</v>
      </c>
      <c r="C13" s="284"/>
      <c r="D13" s="284"/>
      <c r="E13" s="284"/>
      <c r="F13" s="285"/>
      <c r="G13" s="286"/>
      <c r="H13" s="281">
        <f t="shared" si="6"/>
        <v>0</v>
      </c>
      <c r="I13" s="533">
        <f t="shared" si="7"/>
        <v>311.08</v>
      </c>
      <c r="J13" s="282"/>
      <c r="K13" s="283"/>
      <c r="L13" s="531">
        <v>311.08</v>
      </c>
      <c r="M13" s="287" t="s">
        <v>2136</v>
      </c>
      <c r="N13" s="25">
        <f t="shared" si="8"/>
        <v>0</v>
      </c>
      <c r="O13" s="25">
        <f t="shared" si="9"/>
        <v>0</v>
      </c>
      <c r="P13" s="25">
        <f t="shared" si="10"/>
        <v>0</v>
      </c>
      <c r="Q13" s="26">
        <f t="shared" si="11"/>
        <v>0</v>
      </c>
      <c r="R13" s="27">
        <f t="shared" si="12"/>
        <v>0</v>
      </c>
      <c r="S13" s="28">
        <f t="shared" si="13"/>
        <v>0</v>
      </c>
    </row>
    <row r="14" spans="2:19" hidden="1">
      <c r="B14" s="537" t="s">
        <v>1907</v>
      </c>
      <c r="C14" s="284"/>
      <c r="D14" s="284"/>
      <c r="E14" s="284"/>
      <c r="F14" s="285"/>
      <c r="G14" s="286"/>
      <c r="H14" s="281">
        <f t="shared" si="6"/>
        <v>0</v>
      </c>
      <c r="I14" s="533">
        <f t="shared" si="7"/>
        <v>14.74</v>
      </c>
      <c r="J14" s="282"/>
      <c r="K14" s="283"/>
      <c r="L14" s="530">
        <v>14.74</v>
      </c>
      <c r="M14" s="287" t="s">
        <v>2134</v>
      </c>
      <c r="N14" s="25">
        <f t="shared" si="8"/>
        <v>0</v>
      </c>
      <c r="O14" s="25">
        <f t="shared" si="9"/>
        <v>0</v>
      </c>
      <c r="P14" s="25">
        <f t="shared" si="10"/>
        <v>0</v>
      </c>
      <c r="Q14" s="26">
        <f t="shared" si="11"/>
        <v>0</v>
      </c>
      <c r="R14" s="27">
        <f t="shared" si="12"/>
        <v>0</v>
      </c>
      <c r="S14" s="28">
        <f t="shared" si="13"/>
        <v>0</v>
      </c>
    </row>
    <row r="15" spans="2:19" hidden="1">
      <c r="B15" s="537" t="s">
        <v>1908</v>
      </c>
      <c r="C15" s="284"/>
      <c r="D15" s="284"/>
      <c r="E15" s="284"/>
      <c r="F15" s="285"/>
      <c r="G15" s="286"/>
      <c r="H15" s="281">
        <f t="shared" si="6"/>
        <v>0</v>
      </c>
      <c r="I15" s="533">
        <f t="shared" si="7"/>
        <v>168</v>
      </c>
      <c r="J15" s="282"/>
      <c r="K15" s="283"/>
      <c r="L15" s="530">
        <v>168</v>
      </c>
      <c r="M15" s="287" t="s">
        <v>2136</v>
      </c>
      <c r="N15" s="25">
        <f t="shared" si="8"/>
        <v>0</v>
      </c>
      <c r="O15" s="25">
        <f t="shared" si="9"/>
        <v>0</v>
      </c>
      <c r="P15" s="25">
        <f t="shared" si="10"/>
        <v>0</v>
      </c>
      <c r="Q15" s="26">
        <f t="shared" si="11"/>
        <v>0</v>
      </c>
      <c r="R15" s="27">
        <f t="shared" si="12"/>
        <v>0</v>
      </c>
      <c r="S15" s="28">
        <f t="shared" si="13"/>
        <v>0</v>
      </c>
    </row>
    <row r="16" spans="2:19" hidden="1">
      <c r="B16" s="537" t="s">
        <v>1909</v>
      </c>
      <c r="C16" s="284"/>
      <c r="D16" s="284"/>
      <c r="E16" s="284"/>
      <c r="F16" s="285"/>
      <c r="G16" s="286"/>
      <c r="H16" s="281">
        <f t="shared" si="6"/>
        <v>0</v>
      </c>
      <c r="I16" s="533">
        <f t="shared" si="7"/>
        <v>328</v>
      </c>
      <c r="J16" s="282"/>
      <c r="K16" s="283"/>
      <c r="L16" s="530">
        <v>328</v>
      </c>
      <c r="M16" s="287" t="s">
        <v>2136</v>
      </c>
      <c r="N16" s="25">
        <f t="shared" si="8"/>
        <v>0</v>
      </c>
      <c r="O16" s="25">
        <f t="shared" si="9"/>
        <v>0</v>
      </c>
      <c r="P16" s="25">
        <f t="shared" si="10"/>
        <v>0</v>
      </c>
      <c r="Q16" s="26">
        <f t="shared" si="11"/>
        <v>0</v>
      </c>
      <c r="R16" s="27">
        <f t="shared" si="12"/>
        <v>0</v>
      </c>
      <c r="S16" s="28">
        <f t="shared" si="13"/>
        <v>0</v>
      </c>
    </row>
    <row r="17" spans="2:19" hidden="1">
      <c r="B17" s="537" t="s">
        <v>1910</v>
      </c>
      <c r="C17" s="284"/>
      <c r="D17" s="284"/>
      <c r="E17" s="284"/>
      <c r="F17" s="285"/>
      <c r="G17" s="286"/>
      <c r="H17" s="281">
        <f t="shared" si="6"/>
        <v>0</v>
      </c>
      <c r="I17" s="533">
        <f t="shared" si="7"/>
        <v>18.690000000000001</v>
      </c>
      <c r="J17" s="282"/>
      <c r="K17" s="283"/>
      <c r="L17" s="530">
        <v>18.690000000000001</v>
      </c>
      <c r="M17" s="287" t="s">
        <v>2134</v>
      </c>
      <c r="N17" s="25">
        <f t="shared" si="8"/>
        <v>0</v>
      </c>
      <c r="O17" s="25">
        <f t="shared" si="9"/>
        <v>0</v>
      </c>
      <c r="P17" s="25">
        <f t="shared" si="10"/>
        <v>0</v>
      </c>
      <c r="Q17" s="26">
        <f t="shared" si="11"/>
        <v>0</v>
      </c>
      <c r="R17" s="27">
        <f t="shared" si="12"/>
        <v>0</v>
      </c>
      <c r="S17" s="28">
        <f t="shared" si="13"/>
        <v>0</v>
      </c>
    </row>
    <row r="18" spans="2:19" hidden="1">
      <c r="B18" s="537" t="s">
        <v>1911</v>
      </c>
      <c r="C18" s="284"/>
      <c r="D18" s="284"/>
      <c r="E18" s="284"/>
      <c r="F18" s="285"/>
      <c r="G18" s="286"/>
      <c r="H18" s="281">
        <f t="shared" si="6"/>
        <v>0</v>
      </c>
      <c r="I18" s="533">
        <f t="shared" si="7"/>
        <v>192.8</v>
      </c>
      <c r="J18" s="282"/>
      <c r="K18" s="283"/>
      <c r="L18" s="530">
        <v>192.8</v>
      </c>
      <c r="M18" s="287" t="s">
        <v>2136</v>
      </c>
      <c r="N18" s="25">
        <f t="shared" si="8"/>
        <v>0</v>
      </c>
      <c r="O18" s="25">
        <f t="shared" si="9"/>
        <v>0</v>
      </c>
      <c r="P18" s="25">
        <f t="shared" si="10"/>
        <v>0</v>
      </c>
      <c r="Q18" s="26">
        <f t="shared" si="11"/>
        <v>0</v>
      </c>
      <c r="R18" s="27">
        <f t="shared" si="12"/>
        <v>0</v>
      </c>
      <c r="S18" s="28">
        <f t="shared" si="13"/>
        <v>0</v>
      </c>
    </row>
    <row r="19" spans="2:19" hidden="1">
      <c r="B19" s="537" t="s">
        <v>1912</v>
      </c>
      <c r="C19" s="284"/>
      <c r="D19" s="284"/>
      <c r="E19" s="284"/>
      <c r="F19" s="285"/>
      <c r="G19" s="286"/>
      <c r="H19" s="281">
        <f t="shared" si="6"/>
        <v>0</v>
      </c>
      <c r="I19" s="533">
        <f t="shared" si="7"/>
        <v>38.299999999999997</v>
      </c>
      <c r="J19" s="282"/>
      <c r="K19" s="283"/>
      <c r="L19" s="530">
        <v>38.299999999999997</v>
      </c>
      <c r="M19" s="287" t="s">
        <v>2137</v>
      </c>
      <c r="N19" s="25">
        <f t="shared" si="8"/>
        <v>0</v>
      </c>
      <c r="O19" s="25">
        <f t="shared" si="9"/>
        <v>0</v>
      </c>
      <c r="P19" s="25">
        <f t="shared" si="10"/>
        <v>0</v>
      </c>
      <c r="Q19" s="26">
        <f t="shared" si="11"/>
        <v>0</v>
      </c>
      <c r="R19" s="27">
        <f t="shared" si="12"/>
        <v>0</v>
      </c>
      <c r="S19" s="28">
        <f t="shared" si="13"/>
        <v>0</v>
      </c>
    </row>
    <row r="20" spans="2:19" hidden="1">
      <c r="B20" s="537" t="s">
        <v>1913</v>
      </c>
      <c r="C20" s="284"/>
      <c r="D20" s="284"/>
      <c r="E20" s="284"/>
      <c r="F20" s="285"/>
      <c r="G20" s="286"/>
      <c r="H20" s="281">
        <f t="shared" si="6"/>
        <v>0</v>
      </c>
      <c r="I20" s="533">
        <f t="shared" si="7"/>
        <v>376.8</v>
      </c>
      <c r="J20" s="282"/>
      <c r="K20" s="283"/>
      <c r="L20" s="530">
        <v>376.8</v>
      </c>
      <c r="M20" s="287" t="s">
        <v>2136</v>
      </c>
      <c r="N20" s="25">
        <f t="shared" si="8"/>
        <v>0</v>
      </c>
      <c r="O20" s="25">
        <f t="shared" si="9"/>
        <v>0</v>
      </c>
      <c r="P20" s="25">
        <f t="shared" si="10"/>
        <v>0</v>
      </c>
      <c r="Q20" s="26">
        <f t="shared" si="11"/>
        <v>0</v>
      </c>
      <c r="R20" s="27">
        <f t="shared" si="12"/>
        <v>0</v>
      </c>
      <c r="S20" s="28">
        <f t="shared" si="13"/>
        <v>0</v>
      </c>
    </row>
    <row r="21" spans="2:19" hidden="1">
      <c r="B21" s="537" t="s">
        <v>1914</v>
      </c>
      <c r="C21" s="284"/>
      <c r="D21" s="284"/>
      <c r="E21" s="284"/>
      <c r="F21" s="285"/>
      <c r="G21" s="286"/>
      <c r="H21" s="281">
        <f t="shared" si="6"/>
        <v>0</v>
      </c>
      <c r="I21" s="533">
        <f t="shared" si="7"/>
        <v>41.35</v>
      </c>
      <c r="J21" s="282"/>
      <c r="K21" s="283"/>
      <c r="L21" s="530">
        <v>41.35</v>
      </c>
      <c r="M21" s="287" t="s">
        <v>2137</v>
      </c>
      <c r="N21" s="25">
        <f t="shared" si="8"/>
        <v>0</v>
      </c>
      <c r="O21" s="25">
        <f t="shared" si="9"/>
        <v>0</v>
      </c>
      <c r="P21" s="25">
        <f t="shared" si="10"/>
        <v>0</v>
      </c>
      <c r="Q21" s="26">
        <f t="shared" si="11"/>
        <v>0</v>
      </c>
      <c r="R21" s="27">
        <f t="shared" si="12"/>
        <v>0</v>
      </c>
      <c r="S21" s="28">
        <f t="shared" si="13"/>
        <v>0</v>
      </c>
    </row>
    <row r="22" spans="2:19" hidden="1">
      <c r="B22" s="537" t="s">
        <v>1915</v>
      </c>
      <c r="C22" s="284"/>
      <c r="D22" s="284"/>
      <c r="E22" s="284"/>
      <c r="F22" s="285"/>
      <c r="G22" s="286"/>
      <c r="H22" s="281">
        <f t="shared" si="6"/>
        <v>0</v>
      </c>
      <c r="I22" s="533">
        <f t="shared" si="7"/>
        <v>11.32</v>
      </c>
      <c r="J22" s="282"/>
      <c r="K22" s="283"/>
      <c r="L22" s="530">
        <v>11.32</v>
      </c>
      <c r="M22" s="287" t="s">
        <v>2132</v>
      </c>
      <c r="N22" s="25">
        <f t="shared" si="8"/>
        <v>0</v>
      </c>
      <c r="O22" s="25">
        <f t="shared" si="9"/>
        <v>0</v>
      </c>
      <c r="P22" s="25">
        <f t="shared" si="10"/>
        <v>0</v>
      </c>
      <c r="Q22" s="26">
        <f t="shared" si="11"/>
        <v>0</v>
      </c>
      <c r="R22" s="27">
        <f t="shared" si="12"/>
        <v>0</v>
      </c>
      <c r="S22" s="28">
        <f t="shared" si="13"/>
        <v>0</v>
      </c>
    </row>
    <row r="23" spans="2:19">
      <c r="B23" s="537" t="s">
        <v>1916</v>
      </c>
      <c r="C23" s="284">
        <v>30</v>
      </c>
      <c r="D23" s="284"/>
      <c r="E23" s="284">
        <v>5</v>
      </c>
      <c r="F23" s="285"/>
      <c r="G23" s="286"/>
      <c r="H23" s="281">
        <f t="shared" si="6"/>
        <v>35</v>
      </c>
      <c r="I23" s="533">
        <v>223.44</v>
      </c>
      <c r="J23" s="282"/>
      <c r="K23" s="283"/>
      <c r="L23" s="530">
        <v>111.52</v>
      </c>
      <c r="M23" s="287" t="s">
        <v>2136</v>
      </c>
      <c r="N23" s="25">
        <f t="shared" si="8"/>
        <v>6703.2</v>
      </c>
      <c r="O23" s="25">
        <f t="shared" si="9"/>
        <v>0</v>
      </c>
      <c r="P23" s="25">
        <f t="shared" si="10"/>
        <v>1117.2</v>
      </c>
      <c r="Q23" s="26">
        <f t="shared" si="11"/>
        <v>0</v>
      </c>
      <c r="R23" s="27">
        <f t="shared" si="12"/>
        <v>0</v>
      </c>
      <c r="S23" s="28">
        <f t="shared" si="13"/>
        <v>7820.4</v>
      </c>
    </row>
    <row r="24" spans="2:19" hidden="1">
      <c r="B24" s="537" t="s">
        <v>1917</v>
      </c>
      <c r="C24" s="284"/>
      <c r="D24" s="284"/>
      <c r="E24" s="284"/>
      <c r="F24" s="285"/>
      <c r="G24" s="286"/>
      <c r="H24" s="281">
        <f t="shared" si="6"/>
        <v>0</v>
      </c>
      <c r="I24" s="533">
        <f t="shared" si="7"/>
        <v>218.12</v>
      </c>
      <c r="J24" s="282"/>
      <c r="K24" s="283"/>
      <c r="L24" s="530">
        <v>218.12</v>
      </c>
      <c r="M24" s="287" t="s">
        <v>2136</v>
      </c>
      <c r="N24" s="25">
        <f t="shared" si="8"/>
        <v>0</v>
      </c>
      <c r="O24" s="25">
        <f t="shared" si="9"/>
        <v>0</v>
      </c>
      <c r="P24" s="25">
        <f t="shared" si="10"/>
        <v>0</v>
      </c>
      <c r="Q24" s="26">
        <f t="shared" si="11"/>
        <v>0</v>
      </c>
      <c r="R24" s="27">
        <f t="shared" si="12"/>
        <v>0</v>
      </c>
      <c r="S24" s="28">
        <f t="shared" si="13"/>
        <v>0</v>
      </c>
    </row>
    <row r="25" spans="2:19" hidden="1">
      <c r="B25" s="537" t="s">
        <v>1918</v>
      </c>
      <c r="C25" s="284"/>
      <c r="D25" s="284"/>
      <c r="E25" s="284"/>
      <c r="F25" s="285"/>
      <c r="G25" s="286"/>
      <c r="H25" s="281">
        <f t="shared" si="6"/>
        <v>0</v>
      </c>
      <c r="I25" s="533">
        <f t="shared" si="7"/>
        <v>7.93</v>
      </c>
      <c r="J25" s="282"/>
      <c r="K25" s="283"/>
      <c r="L25" s="530">
        <v>7.93</v>
      </c>
      <c r="M25" s="287" t="s">
        <v>2138</v>
      </c>
      <c r="N25" s="25">
        <f t="shared" si="8"/>
        <v>0</v>
      </c>
      <c r="O25" s="25">
        <f t="shared" si="9"/>
        <v>0</v>
      </c>
      <c r="P25" s="25">
        <f t="shared" si="10"/>
        <v>0</v>
      </c>
      <c r="Q25" s="26">
        <f t="shared" si="11"/>
        <v>0</v>
      </c>
      <c r="R25" s="27">
        <f t="shared" si="12"/>
        <v>0</v>
      </c>
      <c r="S25" s="28">
        <f t="shared" si="13"/>
        <v>0</v>
      </c>
    </row>
    <row r="26" spans="2:19" hidden="1">
      <c r="B26" s="537" t="s">
        <v>1919</v>
      </c>
      <c r="C26" s="284"/>
      <c r="D26" s="284"/>
      <c r="E26" s="284"/>
      <c r="F26" s="285"/>
      <c r="G26" s="286"/>
      <c r="H26" s="281">
        <f t="shared" si="6"/>
        <v>0</v>
      </c>
      <c r="I26" s="533">
        <f t="shared" si="7"/>
        <v>78.650000000000006</v>
      </c>
      <c r="J26" s="282"/>
      <c r="K26" s="283"/>
      <c r="L26" s="530">
        <v>78.650000000000006</v>
      </c>
      <c r="M26" s="287" t="s">
        <v>2139</v>
      </c>
      <c r="N26" s="25">
        <f t="shared" si="8"/>
        <v>0</v>
      </c>
      <c r="O26" s="25">
        <f t="shared" si="9"/>
        <v>0</v>
      </c>
      <c r="P26" s="25">
        <f t="shared" si="10"/>
        <v>0</v>
      </c>
      <c r="Q26" s="26">
        <f t="shared" si="11"/>
        <v>0</v>
      </c>
      <c r="R26" s="27">
        <f t="shared" si="12"/>
        <v>0</v>
      </c>
      <c r="S26" s="28">
        <f t="shared" si="13"/>
        <v>0</v>
      </c>
    </row>
    <row r="27" spans="2:19">
      <c r="B27" s="537" t="s">
        <v>1920</v>
      </c>
      <c r="C27" s="284"/>
      <c r="D27" s="284"/>
      <c r="E27" s="284">
        <v>25</v>
      </c>
      <c r="F27" s="285"/>
      <c r="G27" s="286"/>
      <c r="H27" s="281">
        <f t="shared" si="6"/>
        <v>25</v>
      </c>
      <c r="I27" s="533"/>
      <c r="J27" s="282"/>
      <c r="K27" s="283" t="s">
        <v>2515</v>
      </c>
      <c r="L27" s="530">
        <v>3.52</v>
      </c>
      <c r="M27" s="287" t="s">
        <v>2138</v>
      </c>
      <c r="N27" s="25">
        <f t="shared" si="8"/>
        <v>0</v>
      </c>
      <c r="O27" s="25">
        <f t="shared" si="9"/>
        <v>0</v>
      </c>
      <c r="P27" s="25">
        <f t="shared" si="10"/>
        <v>0</v>
      </c>
      <c r="Q27" s="26">
        <f t="shared" si="11"/>
        <v>0</v>
      </c>
      <c r="R27" s="27">
        <f t="shared" si="12"/>
        <v>0</v>
      </c>
      <c r="S27" s="28">
        <f t="shared" si="13"/>
        <v>0</v>
      </c>
    </row>
    <row r="28" spans="2:19" hidden="1">
      <c r="B28" s="537" t="s">
        <v>1921</v>
      </c>
      <c r="C28" s="284"/>
      <c r="D28" s="284"/>
      <c r="E28" s="284"/>
      <c r="F28" s="285"/>
      <c r="G28" s="286"/>
      <c r="H28" s="281">
        <f t="shared" si="6"/>
        <v>0</v>
      </c>
      <c r="I28" s="533">
        <f t="shared" si="7"/>
        <v>81.900000000000006</v>
      </c>
      <c r="J28" s="282"/>
      <c r="K28" s="283"/>
      <c r="L28" s="530">
        <v>81.900000000000006</v>
      </c>
      <c r="M28" s="287" t="s">
        <v>2140</v>
      </c>
      <c r="N28" s="25">
        <f t="shared" si="8"/>
        <v>0</v>
      </c>
      <c r="O28" s="25">
        <f t="shared" si="9"/>
        <v>0</v>
      </c>
      <c r="P28" s="25">
        <f t="shared" si="10"/>
        <v>0</v>
      </c>
      <c r="Q28" s="26">
        <f t="shared" si="11"/>
        <v>0</v>
      </c>
      <c r="R28" s="27">
        <f t="shared" si="12"/>
        <v>0</v>
      </c>
      <c r="S28" s="28">
        <f t="shared" si="13"/>
        <v>0</v>
      </c>
    </row>
    <row r="29" spans="2:19" hidden="1">
      <c r="B29" s="529" t="s">
        <v>1922</v>
      </c>
      <c r="C29" s="284"/>
      <c r="D29" s="284"/>
      <c r="E29" s="284"/>
      <c r="F29" s="285"/>
      <c r="G29" s="286"/>
      <c r="H29" s="281">
        <f t="shared" si="6"/>
        <v>0</v>
      </c>
      <c r="I29" s="533">
        <f t="shared" si="7"/>
        <v>19.66</v>
      </c>
      <c r="J29" s="282"/>
      <c r="K29" s="283"/>
      <c r="L29" s="531">
        <v>19.66</v>
      </c>
      <c r="M29" s="287" t="s">
        <v>2141</v>
      </c>
      <c r="N29" s="25">
        <f t="shared" si="8"/>
        <v>0</v>
      </c>
      <c r="O29" s="25">
        <f t="shared" si="9"/>
        <v>0</v>
      </c>
      <c r="P29" s="25">
        <f t="shared" si="10"/>
        <v>0</v>
      </c>
      <c r="Q29" s="26">
        <f t="shared" si="11"/>
        <v>0</v>
      </c>
      <c r="R29" s="27">
        <f t="shared" si="12"/>
        <v>0</v>
      </c>
      <c r="S29" s="28">
        <f t="shared" si="13"/>
        <v>0</v>
      </c>
    </row>
    <row r="30" spans="2:19" hidden="1">
      <c r="B30" s="537" t="s">
        <v>1923</v>
      </c>
      <c r="C30" s="284"/>
      <c r="D30" s="284"/>
      <c r="E30" s="284"/>
      <c r="F30" s="285"/>
      <c r="G30" s="286"/>
      <c r="H30" s="281">
        <f t="shared" si="6"/>
        <v>0</v>
      </c>
      <c r="I30" s="533">
        <f t="shared" si="7"/>
        <v>68.61</v>
      </c>
      <c r="J30" s="282"/>
      <c r="K30" s="283"/>
      <c r="L30" s="530">
        <v>68.61</v>
      </c>
      <c r="M30" s="287" t="s">
        <v>2142</v>
      </c>
      <c r="N30" s="25">
        <f t="shared" si="8"/>
        <v>0</v>
      </c>
      <c r="O30" s="25">
        <f t="shared" si="9"/>
        <v>0</v>
      </c>
      <c r="P30" s="25">
        <f t="shared" si="10"/>
        <v>0</v>
      </c>
      <c r="Q30" s="26">
        <f t="shared" si="11"/>
        <v>0</v>
      </c>
      <c r="R30" s="27">
        <f t="shared" si="12"/>
        <v>0</v>
      </c>
      <c r="S30" s="28">
        <f t="shared" si="13"/>
        <v>0</v>
      </c>
    </row>
    <row r="31" spans="2:19" hidden="1">
      <c r="B31" s="537" t="s">
        <v>1924</v>
      </c>
      <c r="C31" s="284"/>
      <c r="D31" s="284"/>
      <c r="E31" s="284"/>
      <c r="F31" s="285"/>
      <c r="G31" s="286"/>
      <c r="H31" s="281">
        <f t="shared" si="6"/>
        <v>0</v>
      </c>
      <c r="I31" s="533">
        <f t="shared" si="7"/>
        <v>3.18</v>
      </c>
      <c r="J31" s="282"/>
      <c r="K31" s="283"/>
      <c r="L31" s="530">
        <v>3.18</v>
      </c>
      <c r="M31" s="287" t="s">
        <v>2143</v>
      </c>
      <c r="N31" s="25">
        <f t="shared" si="8"/>
        <v>0</v>
      </c>
      <c r="O31" s="25">
        <f t="shared" si="9"/>
        <v>0</v>
      </c>
      <c r="P31" s="25">
        <f t="shared" si="10"/>
        <v>0</v>
      </c>
      <c r="Q31" s="26">
        <f t="shared" si="11"/>
        <v>0</v>
      </c>
      <c r="R31" s="27">
        <f t="shared" si="12"/>
        <v>0</v>
      </c>
      <c r="S31" s="28">
        <f t="shared" si="13"/>
        <v>0</v>
      </c>
    </row>
    <row r="32" spans="2:19">
      <c r="B32" s="529" t="s">
        <v>1925</v>
      </c>
      <c r="C32" s="284">
        <v>24</v>
      </c>
      <c r="D32" s="284">
        <v>30</v>
      </c>
      <c r="E32" s="284">
        <v>40</v>
      </c>
      <c r="F32" s="285"/>
      <c r="G32" s="286"/>
      <c r="H32" s="281">
        <f t="shared" si="6"/>
        <v>94</v>
      </c>
      <c r="I32" s="533">
        <v>7.02</v>
      </c>
      <c r="J32" s="282"/>
      <c r="K32" s="283"/>
      <c r="L32" s="531">
        <v>6.83</v>
      </c>
      <c r="M32" s="287" t="s">
        <v>2144</v>
      </c>
      <c r="N32" s="25">
        <f t="shared" si="8"/>
        <v>168.48</v>
      </c>
      <c r="O32" s="25">
        <f t="shared" si="9"/>
        <v>210.6</v>
      </c>
      <c r="P32" s="25">
        <f t="shared" si="10"/>
        <v>280.79999999999995</v>
      </c>
      <c r="Q32" s="26">
        <f t="shared" si="11"/>
        <v>0</v>
      </c>
      <c r="R32" s="27">
        <f t="shared" si="12"/>
        <v>0</v>
      </c>
      <c r="S32" s="28">
        <f t="shared" si="13"/>
        <v>659.87999999999988</v>
      </c>
    </row>
    <row r="33" spans="2:19" hidden="1">
      <c r="B33" s="537" t="s">
        <v>1926</v>
      </c>
      <c r="C33" s="284"/>
      <c r="D33" s="284"/>
      <c r="E33" s="284"/>
      <c r="F33" s="285"/>
      <c r="G33" s="286"/>
      <c r="H33" s="281">
        <f t="shared" si="6"/>
        <v>0</v>
      </c>
      <c r="I33" s="533">
        <f t="shared" si="7"/>
        <v>15.69</v>
      </c>
      <c r="J33" s="282"/>
      <c r="K33" s="283"/>
      <c r="L33" s="530">
        <v>15.69</v>
      </c>
      <c r="M33" s="287" t="s">
        <v>2145</v>
      </c>
      <c r="N33" s="25">
        <f t="shared" si="8"/>
        <v>0</v>
      </c>
      <c r="O33" s="25">
        <f t="shared" si="9"/>
        <v>0</v>
      </c>
      <c r="P33" s="25">
        <f t="shared" si="10"/>
        <v>0</v>
      </c>
      <c r="Q33" s="26">
        <f t="shared" si="11"/>
        <v>0</v>
      </c>
      <c r="R33" s="27">
        <f t="shared" si="12"/>
        <v>0</v>
      </c>
      <c r="S33" s="28">
        <f t="shared" si="13"/>
        <v>0</v>
      </c>
    </row>
    <row r="34" spans="2:19" hidden="1">
      <c r="B34" s="537" t="s">
        <v>1927</v>
      </c>
      <c r="C34" s="284"/>
      <c r="D34" s="284"/>
      <c r="E34" s="284"/>
      <c r="F34" s="285"/>
      <c r="G34" s="286"/>
      <c r="H34" s="281">
        <f t="shared" si="6"/>
        <v>0</v>
      </c>
      <c r="I34" s="533">
        <f t="shared" si="7"/>
        <v>5.55</v>
      </c>
      <c r="J34" s="282"/>
      <c r="K34" s="283"/>
      <c r="L34" s="530">
        <v>5.55</v>
      </c>
      <c r="M34" s="287" t="s">
        <v>2138</v>
      </c>
      <c r="N34" s="25">
        <f t="shared" si="8"/>
        <v>0</v>
      </c>
      <c r="O34" s="25">
        <f t="shared" si="9"/>
        <v>0</v>
      </c>
      <c r="P34" s="25">
        <f t="shared" si="10"/>
        <v>0</v>
      </c>
      <c r="Q34" s="26">
        <f t="shared" si="11"/>
        <v>0</v>
      </c>
      <c r="R34" s="27">
        <f t="shared" si="12"/>
        <v>0</v>
      </c>
      <c r="S34" s="28">
        <f t="shared" si="13"/>
        <v>0</v>
      </c>
    </row>
    <row r="35" spans="2:19" hidden="1">
      <c r="B35" s="537" t="s">
        <v>1928</v>
      </c>
      <c r="C35" s="284"/>
      <c r="D35" s="284"/>
      <c r="E35" s="284"/>
      <c r="F35" s="285"/>
      <c r="G35" s="286"/>
      <c r="H35" s="281">
        <f t="shared" si="6"/>
        <v>0</v>
      </c>
      <c r="I35" s="533">
        <f t="shared" si="7"/>
        <v>4.8</v>
      </c>
      <c r="J35" s="282"/>
      <c r="K35" s="283"/>
      <c r="L35" s="530">
        <v>4.8</v>
      </c>
      <c r="M35" s="287" t="s">
        <v>2138</v>
      </c>
      <c r="N35" s="25">
        <f t="shared" si="8"/>
        <v>0</v>
      </c>
      <c r="O35" s="25">
        <f t="shared" si="9"/>
        <v>0</v>
      </c>
      <c r="P35" s="25">
        <f t="shared" si="10"/>
        <v>0</v>
      </c>
      <c r="Q35" s="26">
        <f t="shared" si="11"/>
        <v>0</v>
      </c>
      <c r="R35" s="27">
        <f t="shared" si="12"/>
        <v>0</v>
      </c>
      <c r="S35" s="28">
        <f t="shared" si="13"/>
        <v>0</v>
      </c>
    </row>
    <row r="36" spans="2:19" hidden="1">
      <c r="B36" s="537" t="s">
        <v>1929</v>
      </c>
      <c r="C36" s="284"/>
      <c r="D36" s="284"/>
      <c r="E36" s="284"/>
      <c r="F36" s="285"/>
      <c r="G36" s="286"/>
      <c r="H36" s="281">
        <f t="shared" si="6"/>
        <v>0</v>
      </c>
      <c r="I36" s="533">
        <f t="shared" si="7"/>
        <v>4.8</v>
      </c>
      <c r="J36" s="282"/>
      <c r="K36" s="283"/>
      <c r="L36" s="530">
        <v>4.8</v>
      </c>
      <c r="M36" s="287" t="s">
        <v>2138</v>
      </c>
      <c r="N36" s="25">
        <f t="shared" si="8"/>
        <v>0</v>
      </c>
      <c r="O36" s="25">
        <f t="shared" si="9"/>
        <v>0</v>
      </c>
      <c r="P36" s="25">
        <f t="shared" si="10"/>
        <v>0</v>
      </c>
      <c r="Q36" s="26">
        <f t="shared" si="11"/>
        <v>0</v>
      </c>
      <c r="R36" s="27">
        <f t="shared" si="12"/>
        <v>0</v>
      </c>
      <c r="S36" s="28">
        <f t="shared" si="13"/>
        <v>0</v>
      </c>
    </row>
    <row r="37" spans="2:19" hidden="1">
      <c r="B37" s="537" t="s">
        <v>1930</v>
      </c>
      <c r="C37" s="284"/>
      <c r="D37" s="284"/>
      <c r="E37" s="284"/>
      <c r="F37" s="285"/>
      <c r="G37" s="286"/>
      <c r="H37" s="281">
        <f t="shared" si="6"/>
        <v>0</v>
      </c>
      <c r="I37" s="533">
        <f t="shared" si="7"/>
        <v>4.8</v>
      </c>
      <c r="J37" s="282"/>
      <c r="K37" s="283"/>
      <c r="L37" s="530">
        <v>4.8</v>
      </c>
      <c r="M37" s="287" t="s">
        <v>2138</v>
      </c>
      <c r="N37" s="25">
        <f t="shared" si="8"/>
        <v>0</v>
      </c>
      <c r="O37" s="25">
        <f t="shared" si="9"/>
        <v>0</v>
      </c>
      <c r="P37" s="25">
        <f t="shared" si="10"/>
        <v>0</v>
      </c>
      <c r="Q37" s="26">
        <f t="shared" si="11"/>
        <v>0</v>
      </c>
      <c r="R37" s="27">
        <f t="shared" si="12"/>
        <v>0</v>
      </c>
      <c r="S37" s="28">
        <f t="shared" si="13"/>
        <v>0</v>
      </c>
    </row>
    <row r="38" spans="2:19" hidden="1">
      <c r="B38" s="537" t="s">
        <v>1931</v>
      </c>
      <c r="C38" s="284"/>
      <c r="D38" s="284"/>
      <c r="E38" s="284"/>
      <c r="F38" s="285"/>
      <c r="G38" s="286"/>
      <c r="H38" s="281">
        <f t="shared" si="6"/>
        <v>0</v>
      </c>
      <c r="I38" s="533">
        <f t="shared" si="7"/>
        <v>4.8</v>
      </c>
      <c r="J38" s="282"/>
      <c r="K38" s="283"/>
      <c r="L38" s="530">
        <v>4.8</v>
      </c>
      <c r="M38" s="287" t="s">
        <v>2138</v>
      </c>
      <c r="N38" s="25">
        <f t="shared" si="8"/>
        <v>0</v>
      </c>
      <c r="O38" s="25">
        <f t="shared" si="9"/>
        <v>0</v>
      </c>
      <c r="P38" s="25">
        <f t="shared" si="10"/>
        <v>0</v>
      </c>
      <c r="Q38" s="26">
        <f t="shared" si="11"/>
        <v>0</v>
      </c>
      <c r="R38" s="27">
        <f t="shared" si="12"/>
        <v>0</v>
      </c>
      <c r="S38" s="28">
        <f t="shared" si="13"/>
        <v>0</v>
      </c>
    </row>
    <row r="39" spans="2:19" hidden="1">
      <c r="B39" s="537" t="s">
        <v>1932</v>
      </c>
      <c r="C39" s="284"/>
      <c r="D39" s="284"/>
      <c r="E39" s="284"/>
      <c r="F39" s="285"/>
      <c r="G39" s="286"/>
      <c r="H39" s="281">
        <f t="shared" si="6"/>
        <v>0</v>
      </c>
      <c r="I39" s="533">
        <f t="shared" si="7"/>
        <v>4.8</v>
      </c>
      <c r="J39" s="282"/>
      <c r="K39" s="283"/>
      <c r="L39" s="530">
        <v>4.8</v>
      </c>
      <c r="M39" s="287" t="s">
        <v>2138</v>
      </c>
      <c r="N39" s="25">
        <f t="shared" si="8"/>
        <v>0</v>
      </c>
      <c r="O39" s="25">
        <f t="shared" si="9"/>
        <v>0</v>
      </c>
      <c r="P39" s="25">
        <f t="shared" si="10"/>
        <v>0</v>
      </c>
      <c r="Q39" s="26">
        <f t="shared" si="11"/>
        <v>0</v>
      </c>
      <c r="R39" s="27">
        <f t="shared" si="12"/>
        <v>0</v>
      </c>
      <c r="S39" s="28">
        <f t="shared" si="13"/>
        <v>0</v>
      </c>
    </row>
    <row r="40" spans="2:19" hidden="1">
      <c r="B40" s="537" t="s">
        <v>1933</v>
      </c>
      <c r="C40" s="284"/>
      <c r="D40" s="284"/>
      <c r="E40" s="284"/>
      <c r="F40" s="285"/>
      <c r="G40" s="286"/>
      <c r="H40" s="281">
        <f t="shared" si="6"/>
        <v>0</v>
      </c>
      <c r="I40" s="533">
        <f t="shared" si="7"/>
        <v>4.8</v>
      </c>
      <c r="J40" s="282"/>
      <c r="K40" s="283"/>
      <c r="L40" s="530">
        <v>4.8</v>
      </c>
      <c r="M40" s="287" t="s">
        <v>2138</v>
      </c>
      <c r="N40" s="25">
        <f t="shared" si="8"/>
        <v>0</v>
      </c>
      <c r="O40" s="25">
        <f t="shared" si="9"/>
        <v>0</v>
      </c>
      <c r="P40" s="25">
        <f t="shared" si="10"/>
        <v>0</v>
      </c>
      <c r="Q40" s="26">
        <f t="shared" si="11"/>
        <v>0</v>
      </c>
      <c r="R40" s="27">
        <f t="shared" si="12"/>
        <v>0</v>
      </c>
      <c r="S40" s="28">
        <f t="shared" si="13"/>
        <v>0</v>
      </c>
    </row>
    <row r="41" spans="2:19" hidden="1">
      <c r="B41" s="537" t="s">
        <v>1934</v>
      </c>
      <c r="C41" s="284"/>
      <c r="D41" s="284"/>
      <c r="E41" s="284"/>
      <c r="F41" s="285"/>
      <c r="G41" s="286"/>
      <c r="H41" s="281">
        <f t="shared" si="6"/>
        <v>0</v>
      </c>
      <c r="I41" s="533">
        <f t="shared" si="7"/>
        <v>12.75</v>
      </c>
      <c r="J41" s="282"/>
      <c r="K41" s="283"/>
      <c r="L41" s="530">
        <v>12.75</v>
      </c>
      <c r="M41" s="287" t="s">
        <v>2146</v>
      </c>
      <c r="N41" s="25">
        <f t="shared" si="8"/>
        <v>0</v>
      </c>
      <c r="O41" s="25">
        <f t="shared" si="9"/>
        <v>0</v>
      </c>
      <c r="P41" s="25">
        <f t="shared" si="10"/>
        <v>0</v>
      </c>
      <c r="Q41" s="26">
        <f t="shared" si="11"/>
        <v>0</v>
      </c>
      <c r="R41" s="27">
        <f t="shared" si="12"/>
        <v>0</v>
      </c>
      <c r="S41" s="28">
        <f t="shared" si="13"/>
        <v>0</v>
      </c>
    </row>
    <row r="42" spans="2:19" hidden="1">
      <c r="B42" s="537" t="s">
        <v>1935</v>
      </c>
      <c r="C42" s="284"/>
      <c r="D42" s="284"/>
      <c r="E42" s="284"/>
      <c r="F42" s="285"/>
      <c r="G42" s="286"/>
      <c r="H42" s="281">
        <f t="shared" si="6"/>
        <v>0</v>
      </c>
      <c r="I42" s="533">
        <f t="shared" si="7"/>
        <v>4.8</v>
      </c>
      <c r="J42" s="282"/>
      <c r="K42" s="283"/>
      <c r="L42" s="530">
        <v>4.8</v>
      </c>
      <c r="M42" s="287" t="s">
        <v>2138</v>
      </c>
      <c r="N42" s="25">
        <f t="shared" si="8"/>
        <v>0</v>
      </c>
      <c r="O42" s="25">
        <f t="shared" si="9"/>
        <v>0</v>
      </c>
      <c r="P42" s="25">
        <f t="shared" si="10"/>
        <v>0</v>
      </c>
      <c r="Q42" s="26">
        <f t="shared" si="11"/>
        <v>0</v>
      </c>
      <c r="R42" s="27">
        <f t="shared" si="12"/>
        <v>0</v>
      </c>
      <c r="S42" s="28">
        <f t="shared" si="13"/>
        <v>0</v>
      </c>
    </row>
    <row r="43" spans="2:19" hidden="1">
      <c r="B43" s="537" t="s">
        <v>1936</v>
      </c>
      <c r="C43" s="284"/>
      <c r="D43" s="284"/>
      <c r="E43" s="284"/>
      <c r="F43" s="285"/>
      <c r="G43" s="286"/>
      <c r="H43" s="281">
        <f t="shared" si="6"/>
        <v>0</v>
      </c>
      <c r="I43" s="533">
        <f t="shared" si="7"/>
        <v>11.03</v>
      </c>
      <c r="J43" s="282"/>
      <c r="K43" s="283"/>
      <c r="L43" s="530">
        <v>11.03</v>
      </c>
      <c r="M43" s="287" t="s">
        <v>2147</v>
      </c>
      <c r="N43" s="25">
        <f t="shared" si="8"/>
        <v>0</v>
      </c>
      <c r="O43" s="25">
        <f t="shared" si="9"/>
        <v>0</v>
      </c>
      <c r="P43" s="25">
        <f t="shared" si="10"/>
        <v>0</v>
      </c>
      <c r="Q43" s="26">
        <f t="shared" si="11"/>
        <v>0</v>
      </c>
      <c r="R43" s="27">
        <f t="shared" si="12"/>
        <v>0</v>
      </c>
      <c r="S43" s="28">
        <f t="shared" si="13"/>
        <v>0</v>
      </c>
    </row>
    <row r="44" spans="2:19" hidden="1">
      <c r="B44" s="537" t="s">
        <v>1937</v>
      </c>
      <c r="C44" s="284"/>
      <c r="D44" s="284"/>
      <c r="E44" s="284"/>
      <c r="F44" s="285"/>
      <c r="G44" s="286"/>
      <c r="H44" s="281">
        <f t="shared" si="6"/>
        <v>0</v>
      </c>
      <c r="I44" s="533">
        <f t="shared" si="7"/>
        <v>5.25</v>
      </c>
      <c r="J44" s="282"/>
      <c r="K44" s="283"/>
      <c r="L44" s="530">
        <v>5.25</v>
      </c>
      <c r="M44" s="287" t="s">
        <v>2147</v>
      </c>
      <c r="N44" s="25">
        <f t="shared" si="8"/>
        <v>0</v>
      </c>
      <c r="O44" s="25">
        <f t="shared" si="9"/>
        <v>0</v>
      </c>
      <c r="P44" s="25">
        <f t="shared" si="10"/>
        <v>0</v>
      </c>
      <c r="Q44" s="26">
        <f t="shared" si="11"/>
        <v>0</v>
      </c>
      <c r="R44" s="27">
        <f t="shared" si="12"/>
        <v>0</v>
      </c>
      <c r="S44" s="28">
        <f t="shared" si="13"/>
        <v>0</v>
      </c>
    </row>
    <row r="45" spans="2:19" hidden="1">
      <c r="B45" s="537" t="s">
        <v>1938</v>
      </c>
      <c r="C45" s="284"/>
      <c r="D45" s="284"/>
      <c r="E45" s="284"/>
      <c r="F45" s="285"/>
      <c r="G45" s="286"/>
      <c r="H45" s="281">
        <f t="shared" si="6"/>
        <v>0</v>
      </c>
      <c r="I45" s="533">
        <f t="shared" si="7"/>
        <v>7.13</v>
      </c>
      <c r="J45" s="282"/>
      <c r="K45" s="283"/>
      <c r="L45" s="530">
        <v>7.13</v>
      </c>
      <c r="M45" s="287" t="s">
        <v>2148</v>
      </c>
      <c r="N45" s="25">
        <f t="shared" si="8"/>
        <v>0</v>
      </c>
      <c r="O45" s="25">
        <f t="shared" si="9"/>
        <v>0</v>
      </c>
      <c r="P45" s="25">
        <f t="shared" si="10"/>
        <v>0</v>
      </c>
      <c r="Q45" s="26">
        <f t="shared" si="11"/>
        <v>0</v>
      </c>
      <c r="R45" s="27">
        <f t="shared" si="12"/>
        <v>0</v>
      </c>
      <c r="S45" s="28">
        <f t="shared" si="13"/>
        <v>0</v>
      </c>
    </row>
    <row r="46" spans="2:19" hidden="1">
      <c r="B46" s="537" t="s">
        <v>1939</v>
      </c>
      <c r="C46" s="284"/>
      <c r="D46" s="284"/>
      <c r="E46" s="284"/>
      <c r="F46" s="285"/>
      <c r="G46" s="286"/>
      <c r="H46" s="281">
        <f t="shared" si="6"/>
        <v>0</v>
      </c>
      <c r="I46" s="533">
        <f t="shared" si="7"/>
        <v>22.35</v>
      </c>
      <c r="J46" s="282"/>
      <c r="K46" s="283"/>
      <c r="L46" s="530">
        <v>22.35</v>
      </c>
      <c r="M46" s="287" t="s">
        <v>2149</v>
      </c>
      <c r="N46" s="25">
        <f t="shared" si="8"/>
        <v>0</v>
      </c>
      <c r="O46" s="25">
        <f t="shared" si="9"/>
        <v>0</v>
      </c>
      <c r="P46" s="25">
        <f t="shared" si="10"/>
        <v>0</v>
      </c>
      <c r="Q46" s="26">
        <f t="shared" si="11"/>
        <v>0</v>
      </c>
      <c r="R46" s="27">
        <f t="shared" si="12"/>
        <v>0</v>
      </c>
      <c r="S46" s="28">
        <f t="shared" si="13"/>
        <v>0</v>
      </c>
    </row>
    <row r="47" spans="2:19" hidden="1">
      <c r="B47" s="537" t="s">
        <v>1940</v>
      </c>
      <c r="C47" s="284"/>
      <c r="D47" s="284"/>
      <c r="E47" s="284"/>
      <c r="F47" s="285"/>
      <c r="G47" s="286"/>
      <c r="H47" s="281">
        <f t="shared" si="6"/>
        <v>0</v>
      </c>
      <c r="I47" s="533">
        <f t="shared" si="7"/>
        <v>24.8</v>
      </c>
      <c r="J47" s="282"/>
      <c r="K47" s="283"/>
      <c r="L47" s="530">
        <v>24.8</v>
      </c>
      <c r="M47" s="287" t="s">
        <v>2150</v>
      </c>
      <c r="N47" s="25">
        <f t="shared" si="8"/>
        <v>0</v>
      </c>
      <c r="O47" s="25">
        <f t="shared" si="9"/>
        <v>0</v>
      </c>
      <c r="P47" s="25">
        <f t="shared" si="10"/>
        <v>0</v>
      </c>
      <c r="Q47" s="26">
        <f t="shared" si="11"/>
        <v>0</v>
      </c>
      <c r="R47" s="27">
        <f t="shared" si="12"/>
        <v>0</v>
      </c>
      <c r="S47" s="28">
        <f t="shared" si="13"/>
        <v>0</v>
      </c>
    </row>
    <row r="48" spans="2:19" hidden="1">
      <c r="B48" s="529" t="s">
        <v>1941</v>
      </c>
      <c r="C48" s="284"/>
      <c r="D48" s="284"/>
      <c r="E48" s="284"/>
      <c r="F48" s="285"/>
      <c r="G48" s="286"/>
      <c r="H48" s="281">
        <f t="shared" si="6"/>
        <v>0</v>
      </c>
      <c r="I48" s="533">
        <f t="shared" si="7"/>
        <v>44.79</v>
      </c>
      <c r="J48" s="282"/>
      <c r="K48" s="283"/>
      <c r="L48" s="531">
        <v>44.79</v>
      </c>
      <c r="M48" s="287" t="s">
        <v>2139</v>
      </c>
      <c r="N48" s="25">
        <f t="shared" si="8"/>
        <v>0</v>
      </c>
      <c r="O48" s="25">
        <f t="shared" si="9"/>
        <v>0</v>
      </c>
      <c r="P48" s="25">
        <f t="shared" si="10"/>
        <v>0</v>
      </c>
      <c r="Q48" s="26">
        <f t="shared" si="11"/>
        <v>0</v>
      </c>
      <c r="R48" s="27">
        <f t="shared" si="12"/>
        <v>0</v>
      </c>
      <c r="S48" s="28">
        <f t="shared" si="13"/>
        <v>0</v>
      </c>
    </row>
    <row r="49" spans="2:19" hidden="1">
      <c r="B49" s="529" t="s">
        <v>1942</v>
      </c>
      <c r="C49" s="284"/>
      <c r="D49" s="284"/>
      <c r="E49" s="284"/>
      <c r="F49" s="285"/>
      <c r="G49" s="286"/>
      <c r="H49" s="281">
        <f t="shared" si="6"/>
        <v>0</v>
      </c>
      <c r="I49" s="533">
        <f t="shared" si="7"/>
        <v>10.88</v>
      </c>
      <c r="J49" s="282"/>
      <c r="K49" s="283"/>
      <c r="L49" s="531">
        <v>10.88</v>
      </c>
      <c r="M49" s="287" t="s">
        <v>2132</v>
      </c>
      <c r="N49" s="25">
        <f t="shared" si="8"/>
        <v>0</v>
      </c>
      <c r="O49" s="25">
        <f t="shared" si="9"/>
        <v>0</v>
      </c>
      <c r="P49" s="25">
        <f t="shared" si="10"/>
        <v>0</v>
      </c>
      <c r="Q49" s="26">
        <f t="shared" si="11"/>
        <v>0</v>
      </c>
      <c r="R49" s="27">
        <f t="shared" si="12"/>
        <v>0</v>
      </c>
      <c r="S49" s="28">
        <f t="shared" si="13"/>
        <v>0</v>
      </c>
    </row>
    <row r="50" spans="2:19" hidden="1">
      <c r="B50" s="537" t="s">
        <v>1943</v>
      </c>
      <c r="C50" s="284"/>
      <c r="D50" s="284"/>
      <c r="E50" s="284"/>
      <c r="F50" s="285"/>
      <c r="G50" s="286"/>
      <c r="H50" s="281">
        <f t="shared" si="6"/>
        <v>0</v>
      </c>
      <c r="I50" s="533">
        <f t="shared" si="7"/>
        <v>208</v>
      </c>
      <c r="J50" s="282"/>
      <c r="K50" s="283"/>
      <c r="L50" s="530">
        <v>208</v>
      </c>
      <c r="M50" s="287" t="s">
        <v>2151</v>
      </c>
      <c r="N50" s="25">
        <f t="shared" si="8"/>
        <v>0</v>
      </c>
      <c r="O50" s="25">
        <f t="shared" si="9"/>
        <v>0</v>
      </c>
      <c r="P50" s="25">
        <f t="shared" si="10"/>
        <v>0</v>
      </c>
      <c r="Q50" s="26">
        <f t="shared" si="11"/>
        <v>0</v>
      </c>
      <c r="R50" s="27">
        <f t="shared" si="12"/>
        <v>0</v>
      </c>
      <c r="S50" s="28">
        <f t="shared" si="13"/>
        <v>0</v>
      </c>
    </row>
    <row r="51" spans="2:19" hidden="1">
      <c r="B51" s="537" t="s">
        <v>1944</v>
      </c>
      <c r="C51" s="284"/>
      <c r="D51" s="284"/>
      <c r="E51" s="284"/>
      <c r="F51" s="285"/>
      <c r="G51" s="286"/>
      <c r="H51" s="281">
        <f t="shared" si="6"/>
        <v>0</v>
      </c>
      <c r="I51" s="533">
        <f t="shared" si="7"/>
        <v>170.1</v>
      </c>
      <c r="J51" s="282"/>
      <c r="K51" s="283"/>
      <c r="L51" s="530">
        <v>170.1</v>
      </c>
      <c r="M51" s="287" t="s">
        <v>2152</v>
      </c>
      <c r="N51" s="25">
        <f t="shared" si="8"/>
        <v>0</v>
      </c>
      <c r="O51" s="25">
        <f t="shared" si="9"/>
        <v>0</v>
      </c>
      <c r="P51" s="25">
        <f t="shared" si="10"/>
        <v>0</v>
      </c>
      <c r="Q51" s="26">
        <f t="shared" si="11"/>
        <v>0</v>
      </c>
      <c r="R51" s="27">
        <f t="shared" si="12"/>
        <v>0</v>
      </c>
      <c r="S51" s="28">
        <f t="shared" si="13"/>
        <v>0</v>
      </c>
    </row>
    <row r="52" spans="2:19" hidden="1">
      <c r="B52" s="537" t="s">
        <v>1945</v>
      </c>
      <c r="C52" s="284"/>
      <c r="D52" s="284"/>
      <c r="E52" s="284"/>
      <c r="F52" s="285"/>
      <c r="G52" s="286"/>
      <c r="H52" s="281">
        <f t="shared" si="6"/>
        <v>0</v>
      </c>
      <c r="I52" s="533">
        <f t="shared" si="7"/>
        <v>289.8</v>
      </c>
      <c r="J52" s="282"/>
      <c r="K52" s="283"/>
      <c r="L52" s="530">
        <v>289.8</v>
      </c>
      <c r="M52" s="287" t="s">
        <v>2153</v>
      </c>
      <c r="N52" s="25">
        <f t="shared" si="8"/>
        <v>0</v>
      </c>
      <c r="O52" s="25">
        <f t="shared" si="9"/>
        <v>0</v>
      </c>
      <c r="P52" s="25">
        <f t="shared" si="10"/>
        <v>0</v>
      </c>
      <c r="Q52" s="26">
        <f t="shared" si="11"/>
        <v>0</v>
      </c>
      <c r="R52" s="27">
        <f t="shared" si="12"/>
        <v>0</v>
      </c>
      <c r="S52" s="28">
        <f t="shared" si="13"/>
        <v>0</v>
      </c>
    </row>
    <row r="53" spans="2:19" hidden="1">
      <c r="B53" s="537" t="s">
        <v>1946</v>
      </c>
      <c r="C53" s="284"/>
      <c r="D53" s="284"/>
      <c r="E53" s="284"/>
      <c r="F53" s="285"/>
      <c r="G53" s="286"/>
      <c r="H53" s="281">
        <f t="shared" si="6"/>
        <v>0</v>
      </c>
      <c r="I53" s="533">
        <f t="shared" si="7"/>
        <v>9.1999999999999993</v>
      </c>
      <c r="J53" s="282"/>
      <c r="K53" s="283"/>
      <c r="L53" s="530">
        <v>9.1999999999999993</v>
      </c>
      <c r="M53" s="287" t="s">
        <v>2154</v>
      </c>
      <c r="N53" s="25">
        <f t="shared" si="8"/>
        <v>0</v>
      </c>
      <c r="O53" s="25">
        <f t="shared" si="9"/>
        <v>0</v>
      </c>
      <c r="P53" s="25">
        <f t="shared" si="10"/>
        <v>0</v>
      </c>
      <c r="Q53" s="26">
        <f t="shared" si="11"/>
        <v>0</v>
      </c>
      <c r="R53" s="27">
        <f t="shared" si="12"/>
        <v>0</v>
      </c>
      <c r="S53" s="28">
        <f t="shared" si="13"/>
        <v>0</v>
      </c>
    </row>
    <row r="54" spans="2:19" hidden="1">
      <c r="B54" s="537" t="s">
        <v>1947</v>
      </c>
      <c r="C54" s="284"/>
      <c r="D54" s="284"/>
      <c r="E54" s="284"/>
      <c r="F54" s="285"/>
      <c r="G54" s="286"/>
      <c r="H54" s="281">
        <f t="shared" si="6"/>
        <v>0</v>
      </c>
      <c r="I54" s="533">
        <f t="shared" si="7"/>
        <v>37.24</v>
      </c>
      <c r="J54" s="282"/>
      <c r="K54" s="283"/>
      <c r="L54" s="530">
        <v>37.24</v>
      </c>
      <c r="M54" s="287" t="s">
        <v>2139</v>
      </c>
      <c r="N54" s="25">
        <f t="shared" si="8"/>
        <v>0</v>
      </c>
      <c r="O54" s="25">
        <f t="shared" si="9"/>
        <v>0</v>
      </c>
      <c r="P54" s="25">
        <f t="shared" si="10"/>
        <v>0</v>
      </c>
      <c r="Q54" s="26">
        <f t="shared" si="11"/>
        <v>0</v>
      </c>
      <c r="R54" s="27">
        <f t="shared" si="12"/>
        <v>0</v>
      </c>
      <c r="S54" s="28">
        <f t="shared" si="13"/>
        <v>0</v>
      </c>
    </row>
    <row r="55" spans="2:19" hidden="1">
      <c r="B55" s="537" t="s">
        <v>1948</v>
      </c>
      <c r="C55" s="284"/>
      <c r="D55" s="284"/>
      <c r="E55" s="284"/>
      <c r="F55" s="285"/>
      <c r="G55" s="286"/>
      <c r="H55" s="281">
        <f t="shared" si="6"/>
        <v>0</v>
      </c>
      <c r="I55" s="533">
        <f t="shared" si="7"/>
        <v>9.25</v>
      </c>
      <c r="J55" s="282"/>
      <c r="K55" s="283"/>
      <c r="L55" s="530">
        <v>9.25</v>
      </c>
      <c r="M55" s="287" t="s">
        <v>2155</v>
      </c>
      <c r="N55" s="25">
        <f t="shared" si="8"/>
        <v>0</v>
      </c>
      <c r="O55" s="25">
        <f t="shared" si="9"/>
        <v>0</v>
      </c>
      <c r="P55" s="25">
        <f t="shared" si="10"/>
        <v>0</v>
      </c>
      <c r="Q55" s="26">
        <f t="shared" si="11"/>
        <v>0</v>
      </c>
      <c r="R55" s="27">
        <f t="shared" si="12"/>
        <v>0</v>
      </c>
      <c r="S55" s="28">
        <f t="shared" si="13"/>
        <v>0</v>
      </c>
    </row>
    <row r="56" spans="2:19">
      <c r="B56" s="529" t="s">
        <v>1949</v>
      </c>
      <c r="C56" s="284">
        <v>1500</v>
      </c>
      <c r="D56" s="284">
        <v>520</v>
      </c>
      <c r="E56" s="284">
        <v>240</v>
      </c>
      <c r="F56" s="285">
        <v>600</v>
      </c>
      <c r="G56" s="286"/>
      <c r="H56" s="281">
        <f t="shared" si="6"/>
        <v>2860</v>
      </c>
      <c r="I56" s="533"/>
      <c r="J56" s="282"/>
      <c r="K56" s="283" t="s">
        <v>2515</v>
      </c>
      <c r="L56" s="531">
        <v>7.98</v>
      </c>
      <c r="M56" s="287" t="s">
        <v>2141</v>
      </c>
      <c r="N56" s="25">
        <f t="shared" si="8"/>
        <v>0</v>
      </c>
      <c r="O56" s="25">
        <f t="shared" si="9"/>
        <v>0</v>
      </c>
      <c r="P56" s="25">
        <f t="shared" si="10"/>
        <v>0</v>
      </c>
      <c r="Q56" s="26">
        <f t="shared" si="11"/>
        <v>0</v>
      </c>
      <c r="R56" s="27">
        <f t="shared" si="12"/>
        <v>0</v>
      </c>
      <c r="S56" s="28">
        <f t="shared" si="13"/>
        <v>0</v>
      </c>
    </row>
    <row r="57" spans="2:19">
      <c r="B57" s="529" t="s">
        <v>1950</v>
      </c>
      <c r="C57" s="284">
        <v>360</v>
      </c>
      <c r="D57" s="284"/>
      <c r="E57" s="284">
        <v>24</v>
      </c>
      <c r="F57" s="285"/>
      <c r="G57" s="286"/>
      <c r="H57" s="281">
        <f t="shared" si="6"/>
        <v>384</v>
      </c>
      <c r="I57" s="533"/>
      <c r="J57" s="282"/>
      <c r="K57" s="283" t="s">
        <v>2515</v>
      </c>
      <c r="L57" s="531">
        <v>16.739999999999998</v>
      </c>
      <c r="M57" s="287" t="s">
        <v>2141</v>
      </c>
      <c r="N57" s="25">
        <f t="shared" si="8"/>
        <v>0</v>
      </c>
      <c r="O57" s="25">
        <f t="shared" si="9"/>
        <v>0</v>
      </c>
      <c r="P57" s="25">
        <f t="shared" si="10"/>
        <v>0</v>
      </c>
      <c r="Q57" s="26">
        <f t="shared" si="11"/>
        <v>0</v>
      </c>
      <c r="R57" s="27">
        <f t="shared" si="12"/>
        <v>0</v>
      </c>
      <c r="S57" s="28">
        <f t="shared" si="13"/>
        <v>0</v>
      </c>
    </row>
    <row r="58" spans="2:19" hidden="1">
      <c r="B58" s="537" t="s">
        <v>1951</v>
      </c>
      <c r="C58" s="284"/>
      <c r="D58" s="284"/>
      <c r="E58" s="284"/>
      <c r="F58" s="285"/>
      <c r="G58" s="286"/>
      <c r="H58" s="281">
        <f t="shared" si="6"/>
        <v>0</v>
      </c>
      <c r="I58" s="533">
        <f t="shared" si="7"/>
        <v>257.37</v>
      </c>
      <c r="J58" s="282"/>
      <c r="K58" s="283"/>
      <c r="L58" s="530">
        <v>257.37</v>
      </c>
      <c r="M58" s="287" t="s">
        <v>2152</v>
      </c>
      <c r="N58" s="25">
        <f t="shared" si="8"/>
        <v>0</v>
      </c>
      <c r="O58" s="25">
        <f t="shared" si="9"/>
        <v>0</v>
      </c>
      <c r="P58" s="25">
        <f t="shared" si="10"/>
        <v>0</v>
      </c>
      <c r="Q58" s="26">
        <f t="shared" si="11"/>
        <v>0</v>
      </c>
      <c r="R58" s="27">
        <f t="shared" si="12"/>
        <v>0</v>
      </c>
      <c r="S58" s="28">
        <f t="shared" si="13"/>
        <v>0</v>
      </c>
    </row>
    <row r="59" spans="2:19" hidden="1">
      <c r="B59" s="537" t="s">
        <v>1952</v>
      </c>
      <c r="C59" s="284"/>
      <c r="D59" s="284"/>
      <c r="E59" s="284"/>
      <c r="F59" s="285"/>
      <c r="G59" s="286"/>
      <c r="H59" s="281">
        <f t="shared" si="6"/>
        <v>0</v>
      </c>
      <c r="I59" s="533">
        <f t="shared" si="7"/>
        <v>38.24</v>
      </c>
      <c r="J59" s="282"/>
      <c r="K59" s="283"/>
      <c r="L59" s="530">
        <v>38.24</v>
      </c>
      <c r="M59" s="287" t="s">
        <v>2156</v>
      </c>
      <c r="N59" s="25">
        <f t="shared" si="8"/>
        <v>0</v>
      </c>
      <c r="O59" s="25">
        <f t="shared" si="9"/>
        <v>0</v>
      </c>
      <c r="P59" s="25">
        <f t="shared" si="10"/>
        <v>0</v>
      </c>
      <c r="Q59" s="26">
        <f t="shared" si="11"/>
        <v>0</v>
      </c>
      <c r="R59" s="27">
        <f t="shared" si="12"/>
        <v>0</v>
      </c>
      <c r="S59" s="28">
        <f t="shared" si="13"/>
        <v>0</v>
      </c>
    </row>
    <row r="60" spans="2:19" hidden="1">
      <c r="B60" s="537" t="s">
        <v>1953</v>
      </c>
      <c r="C60" s="284"/>
      <c r="D60" s="284"/>
      <c r="E60" s="284"/>
      <c r="F60" s="285"/>
      <c r="G60" s="286"/>
      <c r="H60" s="281">
        <f t="shared" si="6"/>
        <v>0</v>
      </c>
      <c r="I60" s="533">
        <f t="shared" si="7"/>
        <v>164.25</v>
      </c>
      <c r="J60" s="282"/>
      <c r="K60" s="283"/>
      <c r="L60" s="530">
        <v>164.25</v>
      </c>
      <c r="M60" s="287" t="s">
        <v>2151</v>
      </c>
      <c r="N60" s="25">
        <f t="shared" si="8"/>
        <v>0</v>
      </c>
      <c r="O60" s="25">
        <f t="shared" si="9"/>
        <v>0</v>
      </c>
      <c r="P60" s="25">
        <f t="shared" si="10"/>
        <v>0</v>
      </c>
      <c r="Q60" s="26">
        <f t="shared" si="11"/>
        <v>0</v>
      </c>
      <c r="R60" s="27">
        <f t="shared" si="12"/>
        <v>0</v>
      </c>
      <c r="S60" s="28">
        <f t="shared" si="13"/>
        <v>0</v>
      </c>
    </row>
    <row r="61" spans="2:19" hidden="1">
      <c r="B61" s="537" t="s">
        <v>1954</v>
      </c>
      <c r="C61" s="284"/>
      <c r="D61" s="284"/>
      <c r="E61" s="284"/>
      <c r="F61" s="285"/>
      <c r="G61" s="286"/>
      <c r="H61" s="281">
        <f t="shared" si="6"/>
        <v>0</v>
      </c>
      <c r="I61" s="533">
        <f t="shared" si="7"/>
        <v>80.25</v>
      </c>
      <c r="J61" s="282"/>
      <c r="K61" s="283"/>
      <c r="L61" s="530">
        <v>80.25</v>
      </c>
      <c r="M61" s="287" t="s">
        <v>2157</v>
      </c>
      <c r="N61" s="25">
        <f t="shared" si="8"/>
        <v>0</v>
      </c>
      <c r="O61" s="25">
        <f t="shared" si="9"/>
        <v>0</v>
      </c>
      <c r="P61" s="25">
        <f t="shared" si="10"/>
        <v>0</v>
      </c>
      <c r="Q61" s="26">
        <f t="shared" si="11"/>
        <v>0</v>
      </c>
      <c r="R61" s="27">
        <f t="shared" si="12"/>
        <v>0</v>
      </c>
      <c r="S61" s="28">
        <f t="shared" si="13"/>
        <v>0</v>
      </c>
    </row>
    <row r="62" spans="2:19" hidden="1">
      <c r="B62" s="537" t="s">
        <v>1955</v>
      </c>
      <c r="C62" s="284"/>
      <c r="D62" s="284"/>
      <c r="E62" s="284"/>
      <c r="F62" s="285"/>
      <c r="G62" s="286"/>
      <c r="H62" s="281">
        <f t="shared" si="6"/>
        <v>0</v>
      </c>
      <c r="I62" s="533">
        <f t="shared" si="7"/>
        <v>9.1300000000000008</v>
      </c>
      <c r="J62" s="282"/>
      <c r="K62" s="283"/>
      <c r="L62" s="530">
        <v>9.1300000000000008</v>
      </c>
      <c r="M62" s="287" t="s">
        <v>2134</v>
      </c>
      <c r="N62" s="25">
        <f t="shared" si="8"/>
        <v>0</v>
      </c>
      <c r="O62" s="25">
        <f t="shared" si="9"/>
        <v>0</v>
      </c>
      <c r="P62" s="25">
        <f t="shared" si="10"/>
        <v>0</v>
      </c>
      <c r="Q62" s="26">
        <f t="shared" si="11"/>
        <v>0</v>
      </c>
      <c r="R62" s="27">
        <f t="shared" si="12"/>
        <v>0</v>
      </c>
      <c r="S62" s="28">
        <f t="shared" si="13"/>
        <v>0</v>
      </c>
    </row>
    <row r="63" spans="2:19" hidden="1">
      <c r="B63" s="537" t="s">
        <v>1956</v>
      </c>
      <c r="C63" s="284"/>
      <c r="D63" s="284"/>
      <c r="E63" s="284"/>
      <c r="F63" s="285"/>
      <c r="G63" s="286"/>
      <c r="H63" s="281">
        <f t="shared" si="6"/>
        <v>0</v>
      </c>
      <c r="I63" s="533">
        <f t="shared" si="7"/>
        <v>95.2</v>
      </c>
      <c r="J63" s="282"/>
      <c r="K63" s="283"/>
      <c r="L63" s="530">
        <v>95.2</v>
      </c>
      <c r="M63" s="287" t="s">
        <v>2136</v>
      </c>
      <c r="N63" s="25">
        <f t="shared" si="8"/>
        <v>0</v>
      </c>
      <c r="O63" s="25">
        <f t="shared" si="9"/>
        <v>0</v>
      </c>
      <c r="P63" s="25">
        <f t="shared" si="10"/>
        <v>0</v>
      </c>
      <c r="Q63" s="26">
        <f t="shared" si="11"/>
        <v>0</v>
      </c>
      <c r="R63" s="27">
        <f t="shared" si="12"/>
        <v>0</v>
      </c>
      <c r="S63" s="28">
        <f t="shared" si="13"/>
        <v>0</v>
      </c>
    </row>
    <row r="64" spans="2:19" hidden="1">
      <c r="B64" s="529" t="s">
        <v>1957</v>
      </c>
      <c r="C64" s="284"/>
      <c r="D64" s="284"/>
      <c r="E64" s="284"/>
      <c r="F64" s="285"/>
      <c r="G64" s="286"/>
      <c r="H64" s="281">
        <f t="shared" si="6"/>
        <v>0</v>
      </c>
      <c r="I64" s="533">
        <f t="shared" si="7"/>
        <v>186.4</v>
      </c>
      <c r="J64" s="282"/>
      <c r="K64" s="283"/>
      <c r="L64" s="531">
        <v>186.4</v>
      </c>
      <c r="M64" s="287" t="s">
        <v>2136</v>
      </c>
      <c r="N64" s="25">
        <f t="shared" si="8"/>
        <v>0</v>
      </c>
      <c r="O64" s="25">
        <f t="shared" si="9"/>
        <v>0</v>
      </c>
      <c r="P64" s="25">
        <f t="shared" si="10"/>
        <v>0</v>
      </c>
      <c r="Q64" s="26">
        <f t="shared" si="11"/>
        <v>0</v>
      </c>
      <c r="R64" s="27">
        <f t="shared" si="12"/>
        <v>0</v>
      </c>
      <c r="S64" s="28">
        <f t="shared" si="13"/>
        <v>0</v>
      </c>
    </row>
    <row r="65" spans="2:19" hidden="1">
      <c r="B65" s="537" t="s">
        <v>1958</v>
      </c>
      <c r="C65" s="284"/>
      <c r="D65" s="284"/>
      <c r="E65" s="284"/>
      <c r="F65" s="285"/>
      <c r="G65" s="286"/>
      <c r="H65" s="281">
        <f t="shared" si="6"/>
        <v>0</v>
      </c>
      <c r="I65" s="533">
        <f t="shared" si="7"/>
        <v>30.23</v>
      </c>
      <c r="J65" s="282"/>
      <c r="K65" s="283"/>
      <c r="L65" s="530">
        <v>30.23</v>
      </c>
      <c r="M65" s="287" t="s">
        <v>2158</v>
      </c>
      <c r="N65" s="25">
        <f t="shared" si="8"/>
        <v>0</v>
      </c>
      <c r="O65" s="25">
        <f t="shared" si="9"/>
        <v>0</v>
      </c>
      <c r="P65" s="25">
        <f t="shared" si="10"/>
        <v>0</v>
      </c>
      <c r="Q65" s="26">
        <f t="shared" si="11"/>
        <v>0</v>
      </c>
      <c r="R65" s="27">
        <f t="shared" si="12"/>
        <v>0</v>
      </c>
      <c r="S65" s="28">
        <f t="shared" si="13"/>
        <v>0</v>
      </c>
    </row>
    <row r="66" spans="2:19" hidden="1">
      <c r="B66" s="537" t="s">
        <v>1959</v>
      </c>
      <c r="C66" s="284"/>
      <c r="D66" s="284"/>
      <c r="E66" s="284"/>
      <c r="F66" s="285"/>
      <c r="G66" s="286"/>
      <c r="H66" s="281">
        <f t="shared" si="6"/>
        <v>0</v>
      </c>
      <c r="I66" s="533">
        <f t="shared" si="7"/>
        <v>17.89</v>
      </c>
      <c r="J66" s="282"/>
      <c r="K66" s="283"/>
      <c r="L66" s="530">
        <v>17.89</v>
      </c>
      <c r="M66" s="287" t="s">
        <v>2144</v>
      </c>
      <c r="N66" s="25">
        <f t="shared" si="8"/>
        <v>0</v>
      </c>
      <c r="O66" s="25">
        <f t="shared" si="9"/>
        <v>0</v>
      </c>
      <c r="P66" s="25">
        <f t="shared" si="10"/>
        <v>0</v>
      </c>
      <c r="Q66" s="26">
        <f t="shared" si="11"/>
        <v>0</v>
      </c>
      <c r="R66" s="27">
        <f t="shared" si="12"/>
        <v>0</v>
      </c>
      <c r="S66" s="28">
        <f t="shared" si="13"/>
        <v>0</v>
      </c>
    </row>
    <row r="67" spans="2:19" hidden="1">
      <c r="B67" s="537" t="s">
        <v>1960</v>
      </c>
      <c r="C67" s="284"/>
      <c r="D67" s="284"/>
      <c r="E67" s="284"/>
      <c r="F67" s="285"/>
      <c r="G67" s="286"/>
      <c r="H67" s="281">
        <f t="shared" si="6"/>
        <v>0</v>
      </c>
      <c r="I67" s="533">
        <f t="shared" si="7"/>
        <v>8.09</v>
      </c>
      <c r="J67" s="282"/>
      <c r="K67" s="283"/>
      <c r="L67" s="530">
        <v>8.09</v>
      </c>
      <c r="M67" s="287" t="s">
        <v>2138</v>
      </c>
      <c r="N67" s="25">
        <f t="shared" si="8"/>
        <v>0</v>
      </c>
      <c r="O67" s="25">
        <f t="shared" si="9"/>
        <v>0</v>
      </c>
      <c r="P67" s="25">
        <f t="shared" si="10"/>
        <v>0</v>
      </c>
      <c r="Q67" s="26">
        <f t="shared" si="11"/>
        <v>0</v>
      </c>
      <c r="R67" s="27">
        <f t="shared" si="12"/>
        <v>0</v>
      </c>
      <c r="S67" s="28">
        <f t="shared" si="13"/>
        <v>0</v>
      </c>
    </row>
    <row r="68" spans="2:19" hidden="1">
      <c r="B68" s="537" t="s">
        <v>1961</v>
      </c>
      <c r="C68" s="284"/>
      <c r="D68" s="284"/>
      <c r="E68" s="284"/>
      <c r="F68" s="285"/>
      <c r="G68" s="286"/>
      <c r="H68" s="281">
        <f t="shared" si="6"/>
        <v>0</v>
      </c>
      <c r="I68" s="533">
        <f t="shared" si="7"/>
        <v>4.05</v>
      </c>
      <c r="J68" s="282"/>
      <c r="K68" s="283"/>
      <c r="L68" s="530">
        <v>4.05</v>
      </c>
      <c r="M68" s="287" t="s">
        <v>2159</v>
      </c>
      <c r="N68" s="25">
        <f t="shared" si="8"/>
        <v>0</v>
      </c>
      <c r="O68" s="25">
        <f t="shared" si="9"/>
        <v>0</v>
      </c>
      <c r="P68" s="25">
        <f t="shared" si="10"/>
        <v>0</v>
      </c>
      <c r="Q68" s="26">
        <f t="shared" si="11"/>
        <v>0</v>
      </c>
      <c r="R68" s="27">
        <f t="shared" si="12"/>
        <v>0</v>
      </c>
      <c r="S68" s="28">
        <f t="shared" si="13"/>
        <v>0</v>
      </c>
    </row>
    <row r="69" spans="2:19" hidden="1">
      <c r="B69" s="537" t="s">
        <v>1962</v>
      </c>
      <c r="C69" s="284"/>
      <c r="D69" s="284"/>
      <c r="E69" s="284"/>
      <c r="F69" s="285"/>
      <c r="G69" s="286"/>
      <c r="H69" s="281">
        <f t="shared" si="6"/>
        <v>0</v>
      </c>
      <c r="I69" s="533">
        <f t="shared" si="7"/>
        <v>102.93</v>
      </c>
      <c r="J69" s="282"/>
      <c r="K69" s="283"/>
      <c r="L69" s="530">
        <v>102.93</v>
      </c>
      <c r="M69" s="287" t="s">
        <v>2139</v>
      </c>
      <c r="N69" s="25">
        <f t="shared" si="8"/>
        <v>0</v>
      </c>
      <c r="O69" s="25">
        <f t="shared" si="9"/>
        <v>0</v>
      </c>
      <c r="P69" s="25">
        <f t="shared" si="10"/>
        <v>0</v>
      </c>
      <c r="Q69" s="26">
        <f t="shared" si="11"/>
        <v>0</v>
      </c>
      <c r="R69" s="27">
        <f t="shared" si="12"/>
        <v>0</v>
      </c>
      <c r="S69" s="28">
        <f t="shared" si="13"/>
        <v>0</v>
      </c>
    </row>
    <row r="70" spans="2:19" hidden="1">
      <c r="B70" s="537" t="s">
        <v>1963</v>
      </c>
      <c r="C70" s="284"/>
      <c r="D70" s="284"/>
      <c r="E70" s="284"/>
      <c r="F70" s="285"/>
      <c r="G70" s="286"/>
      <c r="H70" s="281">
        <f t="shared" si="6"/>
        <v>0</v>
      </c>
      <c r="I70" s="533">
        <f t="shared" si="7"/>
        <v>12.1</v>
      </c>
      <c r="J70" s="282"/>
      <c r="K70" s="283"/>
      <c r="L70" s="530">
        <v>12.1</v>
      </c>
      <c r="M70" s="287" t="s">
        <v>2144</v>
      </c>
      <c r="N70" s="25">
        <f t="shared" si="8"/>
        <v>0</v>
      </c>
      <c r="O70" s="25">
        <f t="shared" si="9"/>
        <v>0</v>
      </c>
      <c r="P70" s="25">
        <f t="shared" si="10"/>
        <v>0</v>
      </c>
      <c r="Q70" s="26">
        <f t="shared" si="11"/>
        <v>0</v>
      </c>
      <c r="R70" s="27">
        <f t="shared" si="12"/>
        <v>0</v>
      </c>
      <c r="S70" s="28">
        <f t="shared" si="13"/>
        <v>0</v>
      </c>
    </row>
    <row r="71" spans="2:19" hidden="1">
      <c r="B71" s="537" t="s">
        <v>1964</v>
      </c>
      <c r="C71" s="284"/>
      <c r="D71" s="284"/>
      <c r="E71" s="284"/>
      <c r="F71" s="285"/>
      <c r="G71" s="286"/>
      <c r="H71" s="281">
        <f t="shared" ref="H71:H134" si="14">SUM(C71:G71)</f>
        <v>0</v>
      </c>
      <c r="I71" s="533">
        <f t="shared" ref="I71:I134" si="15">L71-(L71*J71)</f>
        <v>22.31</v>
      </c>
      <c r="J71" s="282"/>
      <c r="K71" s="283"/>
      <c r="L71" s="530">
        <v>22.31</v>
      </c>
      <c r="M71" s="287" t="s">
        <v>2133</v>
      </c>
      <c r="N71" s="25">
        <f t="shared" ref="N71:N134" si="16">I71*C71</f>
        <v>0</v>
      </c>
      <c r="O71" s="25">
        <f t="shared" ref="O71:O134" si="17">I71*D71</f>
        <v>0</v>
      </c>
      <c r="P71" s="25">
        <f t="shared" ref="P71:P134" si="18">I71*E71</f>
        <v>0</v>
      </c>
      <c r="Q71" s="26">
        <f t="shared" ref="Q71:Q134" si="19">I71*F71</f>
        <v>0</v>
      </c>
      <c r="R71" s="27">
        <f t="shared" ref="R71:R134" si="20">I71*G71</f>
        <v>0</v>
      </c>
      <c r="S71" s="28">
        <f t="shared" ref="S71:S134" si="21">SUM(N71:R71)</f>
        <v>0</v>
      </c>
    </row>
    <row r="72" spans="2:19" hidden="1">
      <c r="B72" s="537" t="s">
        <v>1965</v>
      </c>
      <c r="C72" s="284"/>
      <c r="D72" s="284"/>
      <c r="E72" s="284"/>
      <c r="F72" s="285"/>
      <c r="G72" s="286"/>
      <c r="H72" s="281">
        <f t="shared" si="14"/>
        <v>0</v>
      </c>
      <c r="I72" s="533">
        <f t="shared" si="15"/>
        <v>9.4499999999999993</v>
      </c>
      <c r="J72" s="282"/>
      <c r="K72" s="283"/>
      <c r="L72" s="530">
        <v>9.4499999999999993</v>
      </c>
      <c r="M72" s="287" t="s">
        <v>2134</v>
      </c>
      <c r="N72" s="25">
        <f t="shared" si="16"/>
        <v>0</v>
      </c>
      <c r="O72" s="25">
        <f t="shared" si="17"/>
        <v>0</v>
      </c>
      <c r="P72" s="25">
        <f t="shared" si="18"/>
        <v>0</v>
      </c>
      <c r="Q72" s="26">
        <f t="shared" si="19"/>
        <v>0</v>
      </c>
      <c r="R72" s="27">
        <f t="shared" si="20"/>
        <v>0</v>
      </c>
      <c r="S72" s="28">
        <f t="shared" si="21"/>
        <v>0</v>
      </c>
    </row>
    <row r="73" spans="2:19" hidden="1">
      <c r="B73" s="537" t="s">
        <v>1966</v>
      </c>
      <c r="C73" s="284"/>
      <c r="D73" s="284"/>
      <c r="E73" s="284"/>
      <c r="F73" s="285"/>
      <c r="G73" s="286"/>
      <c r="H73" s="281">
        <f t="shared" si="14"/>
        <v>0</v>
      </c>
      <c r="I73" s="533">
        <f t="shared" si="15"/>
        <v>12.8</v>
      </c>
      <c r="J73" s="282"/>
      <c r="K73" s="283"/>
      <c r="L73" s="530">
        <v>12.8</v>
      </c>
      <c r="M73" s="287" t="s">
        <v>2133</v>
      </c>
      <c r="N73" s="25">
        <f t="shared" si="16"/>
        <v>0</v>
      </c>
      <c r="O73" s="25">
        <f t="shared" si="17"/>
        <v>0</v>
      </c>
      <c r="P73" s="25">
        <f t="shared" si="18"/>
        <v>0</v>
      </c>
      <c r="Q73" s="26">
        <f t="shared" si="19"/>
        <v>0</v>
      </c>
      <c r="R73" s="27">
        <f t="shared" si="20"/>
        <v>0</v>
      </c>
      <c r="S73" s="28">
        <f t="shared" si="21"/>
        <v>0</v>
      </c>
    </row>
    <row r="74" spans="2:19" hidden="1">
      <c r="B74" s="537" t="s">
        <v>1967</v>
      </c>
      <c r="C74" s="284"/>
      <c r="D74" s="284"/>
      <c r="E74" s="284"/>
      <c r="F74" s="285"/>
      <c r="G74" s="286"/>
      <c r="H74" s="281">
        <f t="shared" si="14"/>
        <v>0</v>
      </c>
      <c r="I74" s="533">
        <f t="shared" si="15"/>
        <v>40.17</v>
      </c>
      <c r="J74" s="282"/>
      <c r="K74" s="283"/>
      <c r="L74" s="530">
        <v>40.17</v>
      </c>
      <c r="M74" s="287" t="s">
        <v>2144</v>
      </c>
      <c r="N74" s="25">
        <f t="shared" si="16"/>
        <v>0</v>
      </c>
      <c r="O74" s="25">
        <f t="shared" si="17"/>
        <v>0</v>
      </c>
      <c r="P74" s="25">
        <f t="shared" si="18"/>
        <v>0</v>
      </c>
      <c r="Q74" s="26">
        <f t="shared" si="19"/>
        <v>0</v>
      </c>
      <c r="R74" s="27">
        <f t="shared" si="20"/>
        <v>0</v>
      </c>
      <c r="S74" s="28">
        <f t="shared" si="21"/>
        <v>0</v>
      </c>
    </row>
    <row r="75" spans="2:19" hidden="1">
      <c r="B75" s="537" t="s">
        <v>1968</v>
      </c>
      <c r="C75" s="284"/>
      <c r="D75" s="284"/>
      <c r="E75" s="284"/>
      <c r="F75" s="285"/>
      <c r="G75" s="286"/>
      <c r="H75" s="281">
        <f t="shared" si="14"/>
        <v>0</v>
      </c>
      <c r="I75" s="533">
        <f t="shared" si="15"/>
        <v>28.82</v>
      </c>
      <c r="J75" s="282"/>
      <c r="K75" s="283"/>
      <c r="L75" s="530">
        <v>28.82</v>
      </c>
      <c r="M75" s="287" t="s">
        <v>2144</v>
      </c>
      <c r="N75" s="25">
        <f t="shared" si="16"/>
        <v>0</v>
      </c>
      <c r="O75" s="25">
        <f t="shared" si="17"/>
        <v>0</v>
      </c>
      <c r="P75" s="25">
        <f t="shared" si="18"/>
        <v>0</v>
      </c>
      <c r="Q75" s="26">
        <f t="shared" si="19"/>
        <v>0</v>
      </c>
      <c r="R75" s="27">
        <f t="shared" si="20"/>
        <v>0</v>
      </c>
      <c r="S75" s="28">
        <f t="shared" si="21"/>
        <v>0</v>
      </c>
    </row>
    <row r="76" spans="2:19" hidden="1">
      <c r="B76" s="537" t="s">
        <v>1969</v>
      </c>
      <c r="C76" s="284"/>
      <c r="D76" s="284"/>
      <c r="E76" s="284"/>
      <c r="F76" s="285"/>
      <c r="G76" s="286"/>
      <c r="H76" s="281">
        <f t="shared" si="14"/>
        <v>0</v>
      </c>
      <c r="I76" s="533">
        <f t="shared" si="15"/>
        <v>31.5</v>
      </c>
      <c r="J76" s="282"/>
      <c r="K76" s="283"/>
      <c r="L76" s="530">
        <v>31.5</v>
      </c>
      <c r="M76" s="287" t="s">
        <v>2160</v>
      </c>
      <c r="N76" s="25">
        <f t="shared" si="16"/>
        <v>0</v>
      </c>
      <c r="O76" s="25">
        <f t="shared" si="17"/>
        <v>0</v>
      </c>
      <c r="P76" s="25">
        <f t="shared" si="18"/>
        <v>0</v>
      </c>
      <c r="Q76" s="26">
        <f t="shared" si="19"/>
        <v>0</v>
      </c>
      <c r="R76" s="27">
        <f t="shared" si="20"/>
        <v>0</v>
      </c>
      <c r="S76" s="28">
        <f t="shared" si="21"/>
        <v>0</v>
      </c>
    </row>
    <row r="77" spans="2:19" hidden="1">
      <c r="B77" s="537" t="s">
        <v>1970</v>
      </c>
      <c r="C77" s="284"/>
      <c r="D77" s="284"/>
      <c r="E77" s="284"/>
      <c r="F77" s="285"/>
      <c r="G77" s="286"/>
      <c r="H77" s="281">
        <f t="shared" si="14"/>
        <v>0</v>
      </c>
      <c r="I77" s="533">
        <f t="shared" si="15"/>
        <v>21.67</v>
      </c>
      <c r="J77" s="282"/>
      <c r="K77" s="283"/>
      <c r="L77" s="530">
        <v>21.67</v>
      </c>
      <c r="M77" s="287" t="s">
        <v>2160</v>
      </c>
      <c r="N77" s="25">
        <f t="shared" si="16"/>
        <v>0</v>
      </c>
      <c r="O77" s="25">
        <f t="shared" si="17"/>
        <v>0</v>
      </c>
      <c r="P77" s="25">
        <f t="shared" si="18"/>
        <v>0</v>
      </c>
      <c r="Q77" s="26">
        <f t="shared" si="19"/>
        <v>0</v>
      </c>
      <c r="R77" s="27">
        <f t="shared" si="20"/>
        <v>0</v>
      </c>
      <c r="S77" s="28">
        <f t="shared" si="21"/>
        <v>0</v>
      </c>
    </row>
    <row r="78" spans="2:19" hidden="1">
      <c r="B78" s="537" t="s">
        <v>1971</v>
      </c>
      <c r="C78" s="284"/>
      <c r="D78" s="284"/>
      <c r="E78" s="284"/>
      <c r="F78" s="285"/>
      <c r="G78" s="286"/>
      <c r="H78" s="281">
        <f t="shared" si="14"/>
        <v>0</v>
      </c>
      <c r="I78" s="533">
        <f t="shared" si="15"/>
        <v>7.06</v>
      </c>
      <c r="J78" s="282"/>
      <c r="K78" s="283"/>
      <c r="L78" s="530">
        <v>7.06</v>
      </c>
      <c r="M78" s="287" t="s">
        <v>2134</v>
      </c>
      <c r="N78" s="25">
        <f t="shared" si="16"/>
        <v>0</v>
      </c>
      <c r="O78" s="25">
        <f t="shared" si="17"/>
        <v>0</v>
      </c>
      <c r="P78" s="25">
        <f t="shared" si="18"/>
        <v>0</v>
      </c>
      <c r="Q78" s="26">
        <f t="shared" si="19"/>
        <v>0</v>
      </c>
      <c r="R78" s="27">
        <f t="shared" si="20"/>
        <v>0</v>
      </c>
      <c r="S78" s="28">
        <f t="shared" si="21"/>
        <v>0</v>
      </c>
    </row>
    <row r="79" spans="2:19" hidden="1">
      <c r="B79" s="537" t="s">
        <v>1972</v>
      </c>
      <c r="C79" s="284"/>
      <c r="D79" s="284"/>
      <c r="E79" s="284"/>
      <c r="F79" s="285"/>
      <c r="G79" s="286"/>
      <c r="H79" s="281">
        <f t="shared" si="14"/>
        <v>0</v>
      </c>
      <c r="I79" s="533">
        <f t="shared" si="15"/>
        <v>74.680000000000007</v>
      </c>
      <c r="J79" s="282"/>
      <c r="K79" s="283"/>
      <c r="L79" s="530">
        <v>74.680000000000007</v>
      </c>
      <c r="M79" s="287" t="s">
        <v>2136</v>
      </c>
      <c r="N79" s="25">
        <f t="shared" si="16"/>
        <v>0</v>
      </c>
      <c r="O79" s="25">
        <f t="shared" si="17"/>
        <v>0</v>
      </c>
      <c r="P79" s="25">
        <f t="shared" si="18"/>
        <v>0</v>
      </c>
      <c r="Q79" s="26">
        <f t="shared" si="19"/>
        <v>0</v>
      </c>
      <c r="R79" s="27">
        <f t="shared" si="20"/>
        <v>0</v>
      </c>
      <c r="S79" s="28">
        <f t="shared" si="21"/>
        <v>0</v>
      </c>
    </row>
    <row r="80" spans="2:19" hidden="1">
      <c r="B80" s="537" t="s">
        <v>1973</v>
      </c>
      <c r="C80" s="284"/>
      <c r="D80" s="284"/>
      <c r="E80" s="284"/>
      <c r="F80" s="285"/>
      <c r="G80" s="286"/>
      <c r="H80" s="281">
        <f t="shared" si="14"/>
        <v>0</v>
      </c>
      <c r="I80" s="533">
        <f t="shared" si="15"/>
        <v>144.80000000000001</v>
      </c>
      <c r="J80" s="282"/>
      <c r="K80" s="283"/>
      <c r="L80" s="530">
        <v>144.80000000000001</v>
      </c>
      <c r="M80" s="287" t="s">
        <v>2136</v>
      </c>
      <c r="N80" s="25">
        <f t="shared" si="16"/>
        <v>0</v>
      </c>
      <c r="O80" s="25">
        <f t="shared" si="17"/>
        <v>0</v>
      </c>
      <c r="P80" s="25">
        <f t="shared" si="18"/>
        <v>0</v>
      </c>
      <c r="Q80" s="26">
        <f t="shared" si="19"/>
        <v>0</v>
      </c>
      <c r="R80" s="27">
        <f t="shared" si="20"/>
        <v>0</v>
      </c>
      <c r="S80" s="28">
        <f t="shared" si="21"/>
        <v>0</v>
      </c>
    </row>
    <row r="81" spans="2:19" hidden="1">
      <c r="B81" s="537" t="s">
        <v>1974</v>
      </c>
      <c r="C81" s="284"/>
      <c r="D81" s="284"/>
      <c r="E81" s="284"/>
      <c r="F81" s="285"/>
      <c r="G81" s="286"/>
      <c r="H81" s="281">
        <f t="shared" si="14"/>
        <v>0</v>
      </c>
      <c r="I81" s="533">
        <f t="shared" si="15"/>
        <v>30.87</v>
      </c>
      <c r="J81" s="282"/>
      <c r="K81" s="283"/>
      <c r="L81" s="530">
        <v>30.87</v>
      </c>
      <c r="M81" s="287" t="s">
        <v>2141</v>
      </c>
      <c r="N81" s="25">
        <f t="shared" si="16"/>
        <v>0</v>
      </c>
      <c r="O81" s="25">
        <f t="shared" si="17"/>
        <v>0</v>
      </c>
      <c r="P81" s="25">
        <f t="shared" si="18"/>
        <v>0</v>
      </c>
      <c r="Q81" s="26">
        <f t="shared" si="19"/>
        <v>0</v>
      </c>
      <c r="R81" s="27">
        <f t="shared" si="20"/>
        <v>0</v>
      </c>
      <c r="S81" s="28">
        <f t="shared" si="21"/>
        <v>0</v>
      </c>
    </row>
    <row r="82" spans="2:19" hidden="1">
      <c r="B82" s="537" t="s">
        <v>1975</v>
      </c>
      <c r="C82" s="284"/>
      <c r="D82" s="284"/>
      <c r="E82" s="284"/>
      <c r="F82" s="285"/>
      <c r="G82" s="286"/>
      <c r="H82" s="281">
        <f t="shared" si="14"/>
        <v>0</v>
      </c>
      <c r="I82" s="533">
        <f t="shared" si="15"/>
        <v>253.5</v>
      </c>
      <c r="J82" s="282"/>
      <c r="K82" s="283"/>
      <c r="L82" s="530">
        <v>253.5</v>
      </c>
      <c r="M82" s="287" t="s">
        <v>2161</v>
      </c>
      <c r="N82" s="25">
        <f t="shared" si="16"/>
        <v>0</v>
      </c>
      <c r="O82" s="25">
        <f t="shared" si="17"/>
        <v>0</v>
      </c>
      <c r="P82" s="25">
        <f t="shared" si="18"/>
        <v>0</v>
      </c>
      <c r="Q82" s="26">
        <f t="shared" si="19"/>
        <v>0</v>
      </c>
      <c r="R82" s="27">
        <f t="shared" si="20"/>
        <v>0</v>
      </c>
      <c r="S82" s="28">
        <f t="shared" si="21"/>
        <v>0</v>
      </c>
    </row>
    <row r="83" spans="2:19" hidden="1">
      <c r="B83" s="537" t="s">
        <v>1976</v>
      </c>
      <c r="C83" s="284"/>
      <c r="D83" s="284"/>
      <c r="E83" s="284"/>
      <c r="F83" s="285"/>
      <c r="G83" s="286"/>
      <c r="H83" s="281">
        <f t="shared" si="14"/>
        <v>0</v>
      </c>
      <c r="I83" s="533">
        <f t="shared" si="15"/>
        <v>36.35</v>
      </c>
      <c r="J83" s="282"/>
      <c r="K83" s="283"/>
      <c r="L83" s="530">
        <v>36.35</v>
      </c>
      <c r="M83" s="287" t="s">
        <v>2162</v>
      </c>
      <c r="N83" s="25">
        <f t="shared" si="16"/>
        <v>0</v>
      </c>
      <c r="O83" s="25">
        <f t="shared" si="17"/>
        <v>0</v>
      </c>
      <c r="P83" s="25">
        <f t="shared" si="18"/>
        <v>0</v>
      </c>
      <c r="Q83" s="26">
        <f t="shared" si="19"/>
        <v>0</v>
      </c>
      <c r="R83" s="27">
        <f t="shared" si="20"/>
        <v>0</v>
      </c>
      <c r="S83" s="28">
        <f t="shared" si="21"/>
        <v>0</v>
      </c>
    </row>
    <row r="84" spans="2:19" hidden="1">
      <c r="B84" s="537" t="s">
        <v>1977</v>
      </c>
      <c r="C84" s="284"/>
      <c r="D84" s="284"/>
      <c r="E84" s="284"/>
      <c r="F84" s="285"/>
      <c r="G84" s="286"/>
      <c r="H84" s="281">
        <f t="shared" si="14"/>
        <v>0</v>
      </c>
      <c r="I84" s="533">
        <f t="shared" si="15"/>
        <v>70.17</v>
      </c>
      <c r="J84" s="282"/>
      <c r="K84" s="283"/>
      <c r="L84" s="530">
        <v>70.17</v>
      </c>
      <c r="M84" s="287" t="s">
        <v>2158</v>
      </c>
      <c r="N84" s="25">
        <f t="shared" si="16"/>
        <v>0</v>
      </c>
      <c r="O84" s="25">
        <f t="shared" si="17"/>
        <v>0</v>
      </c>
      <c r="P84" s="25">
        <f t="shared" si="18"/>
        <v>0</v>
      </c>
      <c r="Q84" s="26">
        <f t="shared" si="19"/>
        <v>0</v>
      </c>
      <c r="R84" s="27">
        <f t="shared" si="20"/>
        <v>0</v>
      </c>
      <c r="S84" s="28">
        <f t="shared" si="21"/>
        <v>0</v>
      </c>
    </row>
    <row r="85" spans="2:19" hidden="1">
      <c r="B85" s="537" t="s">
        <v>1978</v>
      </c>
      <c r="C85" s="284"/>
      <c r="D85" s="284"/>
      <c r="E85" s="284"/>
      <c r="F85" s="285"/>
      <c r="G85" s="286"/>
      <c r="H85" s="281">
        <f t="shared" si="14"/>
        <v>0</v>
      </c>
      <c r="I85" s="533">
        <f t="shared" si="15"/>
        <v>9.89</v>
      </c>
      <c r="J85" s="282"/>
      <c r="K85" s="283"/>
      <c r="L85" s="530">
        <v>9.89</v>
      </c>
      <c r="M85" s="287" t="s">
        <v>2154</v>
      </c>
      <c r="N85" s="25">
        <f t="shared" si="16"/>
        <v>0</v>
      </c>
      <c r="O85" s="25">
        <f t="shared" si="17"/>
        <v>0</v>
      </c>
      <c r="P85" s="25">
        <f t="shared" si="18"/>
        <v>0</v>
      </c>
      <c r="Q85" s="26">
        <f t="shared" si="19"/>
        <v>0</v>
      </c>
      <c r="R85" s="27">
        <f t="shared" si="20"/>
        <v>0</v>
      </c>
      <c r="S85" s="28">
        <f t="shared" si="21"/>
        <v>0</v>
      </c>
    </row>
    <row r="86" spans="2:19" hidden="1">
      <c r="B86" s="537" t="s">
        <v>1979</v>
      </c>
      <c r="C86" s="284"/>
      <c r="D86" s="284"/>
      <c r="E86" s="284"/>
      <c r="F86" s="285"/>
      <c r="G86" s="286"/>
      <c r="H86" s="281">
        <f t="shared" si="14"/>
        <v>0</v>
      </c>
      <c r="I86" s="533">
        <f t="shared" si="15"/>
        <v>40.799999999999997</v>
      </c>
      <c r="J86" s="282"/>
      <c r="K86" s="283"/>
      <c r="L86" s="530">
        <v>40.799999999999997</v>
      </c>
      <c r="M86" s="287" t="s">
        <v>2130</v>
      </c>
      <c r="N86" s="25">
        <f t="shared" si="16"/>
        <v>0</v>
      </c>
      <c r="O86" s="25">
        <f t="shared" si="17"/>
        <v>0</v>
      </c>
      <c r="P86" s="25">
        <f t="shared" si="18"/>
        <v>0</v>
      </c>
      <c r="Q86" s="26">
        <f t="shared" si="19"/>
        <v>0</v>
      </c>
      <c r="R86" s="27">
        <f t="shared" si="20"/>
        <v>0</v>
      </c>
      <c r="S86" s="28">
        <f t="shared" si="21"/>
        <v>0</v>
      </c>
    </row>
    <row r="87" spans="2:19" hidden="1">
      <c r="B87" s="537" t="s">
        <v>1980</v>
      </c>
      <c r="C87" s="284"/>
      <c r="D87" s="284"/>
      <c r="E87" s="284"/>
      <c r="F87" s="285"/>
      <c r="G87" s="286"/>
      <c r="H87" s="281">
        <f t="shared" si="14"/>
        <v>0</v>
      </c>
      <c r="I87" s="533">
        <f t="shared" si="15"/>
        <v>11.57</v>
      </c>
      <c r="J87" s="282"/>
      <c r="K87" s="283"/>
      <c r="L87" s="530">
        <v>11.57</v>
      </c>
      <c r="M87" s="287" t="s">
        <v>2141</v>
      </c>
      <c r="N87" s="25">
        <f t="shared" si="16"/>
        <v>0</v>
      </c>
      <c r="O87" s="25">
        <f t="shared" si="17"/>
        <v>0</v>
      </c>
      <c r="P87" s="25">
        <f t="shared" si="18"/>
        <v>0</v>
      </c>
      <c r="Q87" s="26">
        <f t="shared" si="19"/>
        <v>0</v>
      </c>
      <c r="R87" s="27">
        <f t="shared" si="20"/>
        <v>0</v>
      </c>
      <c r="S87" s="28">
        <f t="shared" si="21"/>
        <v>0</v>
      </c>
    </row>
    <row r="88" spans="2:19" hidden="1">
      <c r="B88" s="529" t="s">
        <v>1981</v>
      </c>
      <c r="C88" s="284"/>
      <c r="D88" s="284"/>
      <c r="E88" s="284"/>
      <c r="F88" s="285"/>
      <c r="G88" s="286"/>
      <c r="H88" s="281">
        <f t="shared" si="14"/>
        <v>0</v>
      </c>
      <c r="I88" s="533">
        <f t="shared" si="15"/>
        <v>4.8600000000000003</v>
      </c>
      <c r="J88" s="282"/>
      <c r="K88" s="283"/>
      <c r="L88" s="531">
        <v>4.8600000000000003</v>
      </c>
      <c r="M88" s="287" t="s">
        <v>2138</v>
      </c>
      <c r="N88" s="25">
        <f t="shared" si="16"/>
        <v>0</v>
      </c>
      <c r="O88" s="25">
        <f t="shared" si="17"/>
        <v>0</v>
      </c>
      <c r="P88" s="25">
        <f t="shared" si="18"/>
        <v>0</v>
      </c>
      <c r="Q88" s="26">
        <f t="shared" si="19"/>
        <v>0</v>
      </c>
      <c r="R88" s="27">
        <f t="shared" si="20"/>
        <v>0</v>
      </c>
      <c r="S88" s="28">
        <f t="shared" si="21"/>
        <v>0</v>
      </c>
    </row>
    <row r="89" spans="2:19" hidden="1">
      <c r="B89" s="537" t="s">
        <v>1982</v>
      </c>
      <c r="C89" s="284"/>
      <c r="D89" s="284"/>
      <c r="E89" s="284"/>
      <c r="F89" s="285"/>
      <c r="G89" s="286"/>
      <c r="H89" s="281">
        <f t="shared" si="14"/>
        <v>0</v>
      </c>
      <c r="I89" s="533">
        <f t="shared" si="15"/>
        <v>14.25</v>
      </c>
      <c r="J89" s="282"/>
      <c r="K89" s="283"/>
      <c r="L89" s="530">
        <v>14.25</v>
      </c>
      <c r="M89" s="287" t="s">
        <v>2144</v>
      </c>
      <c r="N89" s="25">
        <f t="shared" si="16"/>
        <v>0</v>
      </c>
      <c r="O89" s="25">
        <f t="shared" si="17"/>
        <v>0</v>
      </c>
      <c r="P89" s="25">
        <f t="shared" si="18"/>
        <v>0</v>
      </c>
      <c r="Q89" s="26">
        <f t="shared" si="19"/>
        <v>0</v>
      </c>
      <c r="R89" s="27">
        <f t="shared" si="20"/>
        <v>0</v>
      </c>
      <c r="S89" s="28">
        <f t="shared" si="21"/>
        <v>0</v>
      </c>
    </row>
    <row r="90" spans="2:19" hidden="1">
      <c r="B90" s="537" t="s">
        <v>1983</v>
      </c>
      <c r="C90" s="284"/>
      <c r="D90" s="284"/>
      <c r="E90" s="284"/>
      <c r="F90" s="285"/>
      <c r="G90" s="286"/>
      <c r="H90" s="281">
        <f t="shared" si="14"/>
        <v>0</v>
      </c>
      <c r="I90" s="533">
        <f t="shared" si="15"/>
        <v>21.73</v>
      </c>
      <c r="J90" s="282"/>
      <c r="K90" s="283"/>
      <c r="L90" s="530">
        <v>21.73</v>
      </c>
      <c r="M90" s="287" t="s">
        <v>2141</v>
      </c>
      <c r="N90" s="25">
        <f t="shared" si="16"/>
        <v>0</v>
      </c>
      <c r="O90" s="25">
        <f t="shared" si="17"/>
        <v>0</v>
      </c>
      <c r="P90" s="25">
        <f t="shared" si="18"/>
        <v>0</v>
      </c>
      <c r="Q90" s="26">
        <f t="shared" si="19"/>
        <v>0</v>
      </c>
      <c r="R90" s="27">
        <f t="shared" si="20"/>
        <v>0</v>
      </c>
      <c r="S90" s="28">
        <f t="shared" si="21"/>
        <v>0</v>
      </c>
    </row>
    <row r="91" spans="2:19" hidden="1">
      <c r="B91" s="529" t="s">
        <v>1984</v>
      </c>
      <c r="C91" s="284"/>
      <c r="D91" s="284"/>
      <c r="E91" s="284"/>
      <c r="F91" s="285"/>
      <c r="G91" s="286"/>
      <c r="H91" s="281">
        <f t="shared" si="14"/>
        <v>0</v>
      </c>
      <c r="I91" s="533">
        <f t="shared" si="15"/>
        <v>8.73</v>
      </c>
      <c r="J91" s="282"/>
      <c r="K91" s="283"/>
      <c r="L91" s="531">
        <v>8.73</v>
      </c>
      <c r="M91" s="287" t="s">
        <v>2163</v>
      </c>
      <c r="N91" s="25">
        <f t="shared" si="16"/>
        <v>0</v>
      </c>
      <c r="O91" s="25">
        <f t="shared" si="17"/>
        <v>0</v>
      </c>
      <c r="P91" s="25">
        <f t="shared" si="18"/>
        <v>0</v>
      </c>
      <c r="Q91" s="26">
        <f t="shared" si="19"/>
        <v>0</v>
      </c>
      <c r="R91" s="27">
        <f t="shared" si="20"/>
        <v>0</v>
      </c>
      <c r="S91" s="28">
        <f t="shared" si="21"/>
        <v>0</v>
      </c>
    </row>
    <row r="92" spans="2:19" hidden="1">
      <c r="B92" s="537" t="s">
        <v>1985</v>
      </c>
      <c r="C92" s="284"/>
      <c r="D92" s="284"/>
      <c r="E92" s="284"/>
      <c r="F92" s="285"/>
      <c r="G92" s="286"/>
      <c r="H92" s="281">
        <f t="shared" si="14"/>
        <v>0</v>
      </c>
      <c r="I92" s="533">
        <f t="shared" si="15"/>
        <v>6.23</v>
      </c>
      <c r="J92" s="282"/>
      <c r="K92" s="283"/>
      <c r="L92" s="530">
        <v>6.23</v>
      </c>
      <c r="M92" s="287" t="s">
        <v>2144</v>
      </c>
      <c r="N92" s="25">
        <f t="shared" si="16"/>
        <v>0</v>
      </c>
      <c r="O92" s="25">
        <f t="shared" si="17"/>
        <v>0</v>
      </c>
      <c r="P92" s="25">
        <f t="shared" si="18"/>
        <v>0</v>
      </c>
      <c r="Q92" s="26">
        <f t="shared" si="19"/>
        <v>0</v>
      </c>
      <c r="R92" s="27">
        <f t="shared" si="20"/>
        <v>0</v>
      </c>
      <c r="S92" s="28">
        <f t="shared" si="21"/>
        <v>0</v>
      </c>
    </row>
    <row r="93" spans="2:19" hidden="1">
      <c r="B93" s="537" t="s">
        <v>1986</v>
      </c>
      <c r="C93" s="284"/>
      <c r="D93" s="284"/>
      <c r="E93" s="284"/>
      <c r="F93" s="285"/>
      <c r="G93" s="286"/>
      <c r="H93" s="281">
        <f t="shared" si="14"/>
        <v>0</v>
      </c>
      <c r="I93" s="533">
        <f t="shared" si="15"/>
        <v>38.72</v>
      </c>
      <c r="J93" s="282"/>
      <c r="K93" s="283"/>
      <c r="L93" s="530">
        <v>38.72</v>
      </c>
      <c r="M93" s="287" t="s">
        <v>2144</v>
      </c>
      <c r="N93" s="25">
        <f t="shared" si="16"/>
        <v>0</v>
      </c>
      <c r="O93" s="25">
        <f t="shared" si="17"/>
        <v>0</v>
      </c>
      <c r="P93" s="25">
        <f t="shared" si="18"/>
        <v>0</v>
      </c>
      <c r="Q93" s="26">
        <f t="shared" si="19"/>
        <v>0</v>
      </c>
      <c r="R93" s="27">
        <f t="shared" si="20"/>
        <v>0</v>
      </c>
      <c r="S93" s="28">
        <f t="shared" si="21"/>
        <v>0</v>
      </c>
    </row>
    <row r="94" spans="2:19">
      <c r="B94" s="529" t="s">
        <v>1987</v>
      </c>
      <c r="C94" s="284"/>
      <c r="D94" s="284">
        <v>18</v>
      </c>
      <c r="E94" s="284"/>
      <c r="F94" s="285"/>
      <c r="G94" s="286"/>
      <c r="H94" s="281">
        <f t="shared" si="14"/>
        <v>18</v>
      </c>
      <c r="I94" s="533">
        <v>8.09</v>
      </c>
      <c r="J94" s="282"/>
      <c r="K94" s="283"/>
      <c r="L94" s="531">
        <v>7.88</v>
      </c>
      <c r="M94" s="287" t="s">
        <v>2144</v>
      </c>
      <c r="N94" s="25">
        <f t="shared" si="16"/>
        <v>0</v>
      </c>
      <c r="O94" s="25">
        <f t="shared" si="17"/>
        <v>145.62</v>
      </c>
      <c r="P94" s="25">
        <f t="shared" si="18"/>
        <v>0</v>
      </c>
      <c r="Q94" s="26">
        <f t="shared" si="19"/>
        <v>0</v>
      </c>
      <c r="R94" s="27">
        <f t="shared" si="20"/>
        <v>0</v>
      </c>
      <c r="S94" s="28">
        <f t="shared" si="21"/>
        <v>145.62</v>
      </c>
    </row>
    <row r="95" spans="2:19" hidden="1">
      <c r="B95" s="537" t="s">
        <v>1988</v>
      </c>
      <c r="C95" s="284"/>
      <c r="D95" s="284"/>
      <c r="E95" s="284"/>
      <c r="F95" s="285"/>
      <c r="G95" s="286"/>
      <c r="H95" s="281">
        <f t="shared" si="14"/>
        <v>0</v>
      </c>
      <c r="I95" s="533">
        <f t="shared" si="15"/>
        <v>13.44</v>
      </c>
      <c r="J95" s="282"/>
      <c r="K95" s="283"/>
      <c r="L95" s="530">
        <v>13.44</v>
      </c>
      <c r="M95" s="287" t="s">
        <v>2154</v>
      </c>
      <c r="N95" s="25">
        <f t="shared" si="16"/>
        <v>0</v>
      </c>
      <c r="O95" s="25">
        <f t="shared" si="17"/>
        <v>0</v>
      </c>
      <c r="P95" s="25">
        <f t="shared" si="18"/>
        <v>0</v>
      </c>
      <c r="Q95" s="26">
        <f t="shared" si="19"/>
        <v>0</v>
      </c>
      <c r="R95" s="27">
        <f t="shared" si="20"/>
        <v>0</v>
      </c>
      <c r="S95" s="28">
        <f t="shared" si="21"/>
        <v>0</v>
      </c>
    </row>
    <row r="96" spans="2:19">
      <c r="B96" s="529" t="s">
        <v>1989</v>
      </c>
      <c r="C96" s="284">
        <v>24</v>
      </c>
      <c r="D96" s="284"/>
      <c r="E96" s="284"/>
      <c r="F96" s="285"/>
      <c r="G96" s="286"/>
      <c r="H96" s="281">
        <f t="shared" si="14"/>
        <v>24</v>
      </c>
      <c r="I96" s="533">
        <v>20.9</v>
      </c>
      <c r="J96" s="282"/>
      <c r="K96" s="283"/>
      <c r="L96" s="531">
        <v>20.36</v>
      </c>
      <c r="M96" s="287" t="s">
        <v>2163</v>
      </c>
      <c r="N96" s="25">
        <f t="shared" si="16"/>
        <v>501.59999999999997</v>
      </c>
      <c r="O96" s="25">
        <f t="shared" si="17"/>
        <v>0</v>
      </c>
      <c r="P96" s="25">
        <f t="shared" si="18"/>
        <v>0</v>
      </c>
      <c r="Q96" s="26">
        <f t="shared" si="19"/>
        <v>0</v>
      </c>
      <c r="R96" s="27">
        <f t="shared" si="20"/>
        <v>0</v>
      </c>
      <c r="S96" s="28">
        <f t="shared" si="21"/>
        <v>501.59999999999997</v>
      </c>
    </row>
    <row r="97" spans="2:19" hidden="1">
      <c r="B97" s="537" t="s">
        <v>1990</v>
      </c>
      <c r="C97" s="284"/>
      <c r="D97" s="284"/>
      <c r="E97" s="284"/>
      <c r="F97" s="285"/>
      <c r="G97" s="286"/>
      <c r="H97" s="281">
        <f t="shared" si="14"/>
        <v>0</v>
      </c>
      <c r="I97" s="533">
        <f t="shared" si="15"/>
        <v>8.27</v>
      </c>
      <c r="J97" s="282"/>
      <c r="K97" s="283"/>
      <c r="L97" s="530">
        <v>8.27</v>
      </c>
      <c r="M97" s="287" t="s">
        <v>2164</v>
      </c>
      <c r="N97" s="25">
        <f t="shared" si="16"/>
        <v>0</v>
      </c>
      <c r="O97" s="25">
        <f t="shared" si="17"/>
        <v>0</v>
      </c>
      <c r="P97" s="25">
        <f t="shared" si="18"/>
        <v>0</v>
      </c>
      <c r="Q97" s="26">
        <f t="shared" si="19"/>
        <v>0</v>
      </c>
      <c r="R97" s="27">
        <f t="shared" si="20"/>
        <v>0</v>
      </c>
      <c r="S97" s="28">
        <f t="shared" si="21"/>
        <v>0</v>
      </c>
    </row>
    <row r="98" spans="2:19" hidden="1">
      <c r="B98" s="537" t="s">
        <v>1991</v>
      </c>
      <c r="C98" s="284"/>
      <c r="D98" s="284"/>
      <c r="E98" s="284"/>
      <c r="F98" s="285"/>
      <c r="G98" s="286"/>
      <c r="H98" s="281">
        <f t="shared" si="14"/>
        <v>0</v>
      </c>
      <c r="I98" s="533">
        <f t="shared" si="15"/>
        <v>15.38</v>
      </c>
      <c r="J98" s="282"/>
      <c r="K98" s="283"/>
      <c r="L98" s="530">
        <v>15.38</v>
      </c>
      <c r="M98" s="287" t="s">
        <v>2165</v>
      </c>
      <c r="N98" s="25">
        <f t="shared" si="16"/>
        <v>0</v>
      </c>
      <c r="O98" s="25">
        <f t="shared" si="17"/>
        <v>0</v>
      </c>
      <c r="P98" s="25">
        <f t="shared" si="18"/>
        <v>0</v>
      </c>
      <c r="Q98" s="26">
        <f t="shared" si="19"/>
        <v>0</v>
      </c>
      <c r="R98" s="27">
        <f t="shared" si="20"/>
        <v>0</v>
      </c>
      <c r="S98" s="28">
        <f t="shared" si="21"/>
        <v>0</v>
      </c>
    </row>
    <row r="99" spans="2:19" hidden="1">
      <c r="B99" s="537" t="s">
        <v>1992</v>
      </c>
      <c r="C99" s="284"/>
      <c r="D99" s="284"/>
      <c r="E99" s="284"/>
      <c r="F99" s="285"/>
      <c r="G99" s="286"/>
      <c r="H99" s="281">
        <f t="shared" si="14"/>
        <v>0</v>
      </c>
      <c r="I99" s="533">
        <f t="shared" si="15"/>
        <v>24.54</v>
      </c>
      <c r="J99" s="282"/>
      <c r="K99" s="283"/>
      <c r="L99" s="530">
        <v>24.54</v>
      </c>
      <c r="M99" s="287" t="s">
        <v>2130</v>
      </c>
      <c r="N99" s="25">
        <f t="shared" si="16"/>
        <v>0</v>
      </c>
      <c r="O99" s="25">
        <f t="shared" si="17"/>
        <v>0</v>
      </c>
      <c r="P99" s="25">
        <f t="shared" si="18"/>
        <v>0</v>
      </c>
      <c r="Q99" s="26">
        <f t="shared" si="19"/>
        <v>0</v>
      </c>
      <c r="R99" s="27">
        <f t="shared" si="20"/>
        <v>0</v>
      </c>
      <c r="S99" s="28">
        <f t="shared" si="21"/>
        <v>0</v>
      </c>
    </row>
    <row r="100" spans="2:19" hidden="1">
      <c r="B100" s="537" t="s">
        <v>1993</v>
      </c>
      <c r="C100" s="284"/>
      <c r="D100" s="284"/>
      <c r="E100" s="284"/>
      <c r="F100" s="285"/>
      <c r="G100" s="286"/>
      <c r="H100" s="281">
        <f t="shared" si="14"/>
        <v>0</v>
      </c>
      <c r="I100" s="533">
        <f t="shared" si="15"/>
        <v>11.1</v>
      </c>
      <c r="J100" s="282"/>
      <c r="K100" s="283"/>
      <c r="L100" s="530">
        <v>11.1</v>
      </c>
      <c r="M100" s="287" t="s">
        <v>2149</v>
      </c>
      <c r="N100" s="25">
        <f t="shared" si="16"/>
        <v>0</v>
      </c>
      <c r="O100" s="25">
        <f t="shared" si="17"/>
        <v>0</v>
      </c>
      <c r="P100" s="25">
        <f t="shared" si="18"/>
        <v>0</v>
      </c>
      <c r="Q100" s="26">
        <f t="shared" si="19"/>
        <v>0</v>
      </c>
      <c r="R100" s="27">
        <f t="shared" si="20"/>
        <v>0</v>
      </c>
      <c r="S100" s="28">
        <f t="shared" si="21"/>
        <v>0</v>
      </c>
    </row>
    <row r="101" spans="2:19" hidden="1">
      <c r="B101" s="537" t="s">
        <v>1994</v>
      </c>
      <c r="C101" s="284"/>
      <c r="D101" s="284"/>
      <c r="E101" s="284"/>
      <c r="F101" s="285"/>
      <c r="G101" s="286"/>
      <c r="H101" s="281">
        <f t="shared" si="14"/>
        <v>0</v>
      </c>
      <c r="I101" s="533">
        <f t="shared" si="15"/>
        <v>13.82</v>
      </c>
      <c r="J101" s="282"/>
      <c r="K101" s="283"/>
      <c r="L101" s="530">
        <v>13.82</v>
      </c>
      <c r="M101" s="287" t="s">
        <v>2164</v>
      </c>
      <c r="N101" s="25">
        <f t="shared" si="16"/>
        <v>0</v>
      </c>
      <c r="O101" s="25">
        <f t="shared" si="17"/>
        <v>0</v>
      </c>
      <c r="P101" s="25">
        <f t="shared" si="18"/>
        <v>0</v>
      </c>
      <c r="Q101" s="26">
        <f t="shared" si="19"/>
        <v>0</v>
      </c>
      <c r="R101" s="27">
        <f t="shared" si="20"/>
        <v>0</v>
      </c>
      <c r="S101" s="28">
        <f t="shared" si="21"/>
        <v>0</v>
      </c>
    </row>
    <row r="102" spans="2:19" hidden="1">
      <c r="B102" s="537" t="s">
        <v>1995</v>
      </c>
      <c r="C102" s="284"/>
      <c r="D102" s="284"/>
      <c r="E102" s="284"/>
      <c r="F102" s="285"/>
      <c r="G102" s="286"/>
      <c r="H102" s="281">
        <f t="shared" si="14"/>
        <v>0</v>
      </c>
      <c r="I102" s="533">
        <f t="shared" si="15"/>
        <v>7.3</v>
      </c>
      <c r="J102" s="282"/>
      <c r="K102" s="283"/>
      <c r="L102" s="530">
        <v>7.3</v>
      </c>
      <c r="M102" s="287" t="s">
        <v>2134</v>
      </c>
      <c r="N102" s="25">
        <f t="shared" si="16"/>
        <v>0</v>
      </c>
      <c r="O102" s="25">
        <f t="shared" si="17"/>
        <v>0</v>
      </c>
      <c r="P102" s="25">
        <f t="shared" si="18"/>
        <v>0</v>
      </c>
      <c r="Q102" s="26">
        <f t="shared" si="19"/>
        <v>0</v>
      </c>
      <c r="R102" s="27">
        <f t="shared" si="20"/>
        <v>0</v>
      </c>
      <c r="S102" s="28">
        <f t="shared" si="21"/>
        <v>0</v>
      </c>
    </row>
    <row r="103" spans="2:19" hidden="1">
      <c r="B103" s="537" t="s">
        <v>1996</v>
      </c>
      <c r="C103" s="284"/>
      <c r="D103" s="284"/>
      <c r="E103" s="284"/>
      <c r="F103" s="285"/>
      <c r="G103" s="286"/>
      <c r="H103" s="281">
        <f t="shared" si="14"/>
        <v>0</v>
      </c>
      <c r="I103" s="533">
        <f t="shared" si="15"/>
        <v>8.93</v>
      </c>
      <c r="J103" s="282"/>
      <c r="K103" s="283"/>
      <c r="L103" s="530">
        <v>8.93</v>
      </c>
      <c r="M103" s="287" t="s">
        <v>2134</v>
      </c>
      <c r="N103" s="25">
        <f t="shared" si="16"/>
        <v>0</v>
      </c>
      <c r="O103" s="25">
        <f t="shared" si="17"/>
        <v>0</v>
      </c>
      <c r="P103" s="25">
        <f t="shared" si="18"/>
        <v>0</v>
      </c>
      <c r="Q103" s="26">
        <f t="shared" si="19"/>
        <v>0</v>
      </c>
      <c r="R103" s="27">
        <f t="shared" si="20"/>
        <v>0</v>
      </c>
      <c r="S103" s="28">
        <f t="shared" si="21"/>
        <v>0</v>
      </c>
    </row>
    <row r="104" spans="2:19" hidden="1">
      <c r="B104" s="537" t="s">
        <v>1997</v>
      </c>
      <c r="C104" s="284"/>
      <c r="D104" s="284"/>
      <c r="E104" s="284"/>
      <c r="F104" s="285"/>
      <c r="G104" s="286"/>
      <c r="H104" s="281">
        <f t="shared" si="14"/>
        <v>0</v>
      </c>
      <c r="I104" s="533">
        <f t="shared" si="15"/>
        <v>94.35</v>
      </c>
      <c r="J104" s="282"/>
      <c r="K104" s="283"/>
      <c r="L104" s="530">
        <v>94.35</v>
      </c>
      <c r="M104" s="287" t="s">
        <v>2136</v>
      </c>
      <c r="N104" s="25">
        <f t="shared" si="16"/>
        <v>0</v>
      </c>
      <c r="O104" s="25">
        <f t="shared" si="17"/>
        <v>0</v>
      </c>
      <c r="P104" s="25">
        <f t="shared" si="18"/>
        <v>0</v>
      </c>
      <c r="Q104" s="26">
        <f t="shared" si="19"/>
        <v>0</v>
      </c>
      <c r="R104" s="27">
        <f t="shared" si="20"/>
        <v>0</v>
      </c>
      <c r="S104" s="28">
        <f t="shared" si="21"/>
        <v>0</v>
      </c>
    </row>
    <row r="105" spans="2:19" hidden="1">
      <c r="B105" s="537" t="s">
        <v>1998</v>
      </c>
      <c r="C105" s="284"/>
      <c r="D105" s="284"/>
      <c r="E105" s="284"/>
      <c r="F105" s="285"/>
      <c r="G105" s="286"/>
      <c r="H105" s="281">
        <f t="shared" si="14"/>
        <v>0</v>
      </c>
      <c r="I105" s="533">
        <f t="shared" si="15"/>
        <v>186.15</v>
      </c>
      <c r="J105" s="282"/>
      <c r="K105" s="283"/>
      <c r="L105" s="530">
        <v>186.15</v>
      </c>
      <c r="M105" s="287" t="s">
        <v>2136</v>
      </c>
      <c r="N105" s="25">
        <f t="shared" si="16"/>
        <v>0</v>
      </c>
      <c r="O105" s="25">
        <f t="shared" si="17"/>
        <v>0</v>
      </c>
      <c r="P105" s="25">
        <f t="shared" si="18"/>
        <v>0</v>
      </c>
      <c r="Q105" s="26">
        <f t="shared" si="19"/>
        <v>0</v>
      </c>
      <c r="R105" s="27">
        <f t="shared" si="20"/>
        <v>0</v>
      </c>
      <c r="S105" s="28">
        <f t="shared" si="21"/>
        <v>0</v>
      </c>
    </row>
    <row r="106" spans="2:19" hidden="1">
      <c r="B106" s="537" t="s">
        <v>1999</v>
      </c>
      <c r="C106" s="284"/>
      <c r="D106" s="284"/>
      <c r="E106" s="284"/>
      <c r="F106" s="285"/>
      <c r="G106" s="286"/>
      <c r="H106" s="281">
        <f t="shared" si="14"/>
        <v>0</v>
      </c>
      <c r="I106" s="533">
        <f t="shared" si="15"/>
        <v>33.909999999999997</v>
      </c>
      <c r="J106" s="282"/>
      <c r="K106" s="283"/>
      <c r="L106" s="530">
        <v>33.909999999999997</v>
      </c>
      <c r="M106" s="287" t="s">
        <v>2166</v>
      </c>
      <c r="N106" s="25">
        <f t="shared" si="16"/>
        <v>0</v>
      </c>
      <c r="O106" s="25">
        <f t="shared" si="17"/>
        <v>0</v>
      </c>
      <c r="P106" s="25">
        <f t="shared" si="18"/>
        <v>0</v>
      </c>
      <c r="Q106" s="26">
        <f t="shared" si="19"/>
        <v>0</v>
      </c>
      <c r="R106" s="27">
        <f t="shared" si="20"/>
        <v>0</v>
      </c>
      <c r="S106" s="28">
        <f t="shared" si="21"/>
        <v>0</v>
      </c>
    </row>
    <row r="107" spans="2:19">
      <c r="B107" s="529" t="s">
        <v>2000</v>
      </c>
      <c r="C107" s="284"/>
      <c r="D107" s="284"/>
      <c r="E107" s="284"/>
      <c r="F107" s="285">
        <v>60</v>
      </c>
      <c r="G107" s="286"/>
      <c r="H107" s="281">
        <f t="shared" si="14"/>
        <v>60</v>
      </c>
      <c r="I107" s="533">
        <v>3.19</v>
      </c>
      <c r="J107" s="282"/>
      <c r="K107" s="283"/>
      <c r="L107" s="531">
        <v>3.1</v>
      </c>
      <c r="M107" s="287" t="s">
        <v>2144</v>
      </c>
      <c r="N107" s="25">
        <f t="shared" si="16"/>
        <v>0</v>
      </c>
      <c r="O107" s="25">
        <f t="shared" si="17"/>
        <v>0</v>
      </c>
      <c r="P107" s="25">
        <f t="shared" si="18"/>
        <v>0</v>
      </c>
      <c r="Q107" s="26">
        <f t="shared" si="19"/>
        <v>191.4</v>
      </c>
      <c r="R107" s="27">
        <f t="shared" si="20"/>
        <v>0</v>
      </c>
      <c r="S107" s="28">
        <f t="shared" si="21"/>
        <v>191.4</v>
      </c>
    </row>
    <row r="108" spans="2:19">
      <c r="B108" s="529" t="s">
        <v>2001</v>
      </c>
      <c r="C108" s="284"/>
      <c r="D108" s="284">
        <v>820</v>
      </c>
      <c r="E108" s="284"/>
      <c r="F108" s="285"/>
      <c r="G108" s="286"/>
      <c r="H108" s="281">
        <f t="shared" si="14"/>
        <v>820</v>
      </c>
      <c r="I108" s="533">
        <v>11.21</v>
      </c>
      <c r="J108" s="282"/>
      <c r="K108" s="283"/>
      <c r="L108" s="531">
        <v>10.9</v>
      </c>
      <c r="M108" s="287" t="s">
        <v>2144</v>
      </c>
      <c r="N108" s="25">
        <f t="shared" si="16"/>
        <v>0</v>
      </c>
      <c r="O108" s="25">
        <f t="shared" si="17"/>
        <v>9192.2000000000007</v>
      </c>
      <c r="P108" s="25">
        <f t="shared" si="18"/>
        <v>0</v>
      </c>
      <c r="Q108" s="26">
        <f t="shared" si="19"/>
        <v>0</v>
      </c>
      <c r="R108" s="27">
        <f t="shared" si="20"/>
        <v>0</v>
      </c>
      <c r="S108" s="28">
        <f t="shared" si="21"/>
        <v>9192.2000000000007</v>
      </c>
    </row>
    <row r="109" spans="2:19">
      <c r="B109" s="529" t="s">
        <v>2002</v>
      </c>
      <c r="C109" s="284"/>
      <c r="D109" s="284">
        <v>200</v>
      </c>
      <c r="E109" s="284"/>
      <c r="F109" s="285"/>
      <c r="G109" s="286"/>
      <c r="H109" s="281">
        <f t="shared" si="14"/>
        <v>200</v>
      </c>
      <c r="I109" s="533">
        <v>7.09</v>
      </c>
      <c r="J109" s="282"/>
      <c r="K109" s="283"/>
      <c r="L109" s="531">
        <v>6.89</v>
      </c>
      <c r="M109" s="287" t="s">
        <v>2163</v>
      </c>
      <c r="N109" s="25">
        <f t="shared" si="16"/>
        <v>0</v>
      </c>
      <c r="O109" s="25">
        <f t="shared" si="17"/>
        <v>1418</v>
      </c>
      <c r="P109" s="25">
        <f t="shared" si="18"/>
        <v>0</v>
      </c>
      <c r="Q109" s="26">
        <f t="shared" si="19"/>
        <v>0</v>
      </c>
      <c r="R109" s="27">
        <f t="shared" si="20"/>
        <v>0</v>
      </c>
      <c r="S109" s="28">
        <f t="shared" si="21"/>
        <v>1418</v>
      </c>
    </row>
    <row r="110" spans="2:19" hidden="1">
      <c r="B110" s="537" t="s">
        <v>2003</v>
      </c>
      <c r="C110" s="284"/>
      <c r="D110" s="284"/>
      <c r="E110" s="284"/>
      <c r="F110" s="285"/>
      <c r="G110" s="286"/>
      <c r="H110" s="281">
        <f t="shared" si="14"/>
        <v>0</v>
      </c>
      <c r="I110" s="533">
        <f t="shared" si="15"/>
        <v>33.909999999999997</v>
      </c>
      <c r="J110" s="282"/>
      <c r="K110" s="283"/>
      <c r="L110" s="530">
        <v>33.909999999999997</v>
      </c>
      <c r="M110" s="287" t="s">
        <v>2166</v>
      </c>
      <c r="N110" s="25">
        <f t="shared" si="16"/>
        <v>0</v>
      </c>
      <c r="O110" s="25">
        <f t="shared" si="17"/>
        <v>0</v>
      </c>
      <c r="P110" s="25">
        <f t="shared" si="18"/>
        <v>0</v>
      </c>
      <c r="Q110" s="26">
        <f t="shared" si="19"/>
        <v>0</v>
      </c>
      <c r="R110" s="27">
        <f t="shared" si="20"/>
        <v>0</v>
      </c>
      <c r="S110" s="28">
        <f t="shared" si="21"/>
        <v>0</v>
      </c>
    </row>
    <row r="111" spans="2:19" hidden="1">
      <c r="B111" s="537" t="s">
        <v>2004</v>
      </c>
      <c r="C111" s="284"/>
      <c r="D111" s="284"/>
      <c r="E111" s="284"/>
      <c r="F111" s="285"/>
      <c r="G111" s="286"/>
      <c r="H111" s="281">
        <f t="shared" si="14"/>
        <v>0</v>
      </c>
      <c r="I111" s="533">
        <f t="shared" si="15"/>
        <v>14.02</v>
      </c>
      <c r="J111" s="282"/>
      <c r="K111" s="283"/>
      <c r="L111" s="530">
        <v>14.02</v>
      </c>
      <c r="M111" s="287" t="s">
        <v>2144</v>
      </c>
      <c r="N111" s="25">
        <f t="shared" si="16"/>
        <v>0</v>
      </c>
      <c r="O111" s="25">
        <f t="shared" si="17"/>
        <v>0</v>
      </c>
      <c r="P111" s="25">
        <f t="shared" si="18"/>
        <v>0</v>
      </c>
      <c r="Q111" s="26">
        <f t="shared" si="19"/>
        <v>0</v>
      </c>
      <c r="R111" s="27">
        <f t="shared" si="20"/>
        <v>0</v>
      </c>
      <c r="S111" s="28">
        <f t="shared" si="21"/>
        <v>0</v>
      </c>
    </row>
    <row r="112" spans="2:19" hidden="1">
      <c r="B112" s="537" t="s">
        <v>2005</v>
      </c>
      <c r="C112" s="284"/>
      <c r="D112" s="284"/>
      <c r="E112" s="284"/>
      <c r="F112" s="285"/>
      <c r="G112" s="286"/>
      <c r="H112" s="281">
        <f t="shared" si="14"/>
        <v>0</v>
      </c>
      <c r="I112" s="533">
        <f t="shared" si="15"/>
        <v>27.06</v>
      </c>
      <c r="J112" s="282"/>
      <c r="K112" s="283"/>
      <c r="L112" s="530">
        <v>27.06</v>
      </c>
      <c r="M112" s="287" t="s">
        <v>2141</v>
      </c>
      <c r="N112" s="25">
        <f t="shared" si="16"/>
        <v>0</v>
      </c>
      <c r="O112" s="25">
        <f t="shared" si="17"/>
        <v>0</v>
      </c>
      <c r="P112" s="25">
        <f t="shared" si="18"/>
        <v>0</v>
      </c>
      <c r="Q112" s="26">
        <f t="shared" si="19"/>
        <v>0</v>
      </c>
      <c r="R112" s="27">
        <f t="shared" si="20"/>
        <v>0</v>
      </c>
      <c r="S112" s="28">
        <f t="shared" si="21"/>
        <v>0</v>
      </c>
    </row>
    <row r="113" spans="2:19" hidden="1">
      <c r="B113" s="537" t="s">
        <v>2006</v>
      </c>
      <c r="C113" s="284"/>
      <c r="D113" s="284"/>
      <c r="E113" s="284"/>
      <c r="F113" s="285"/>
      <c r="G113" s="286"/>
      <c r="H113" s="281">
        <f t="shared" si="14"/>
        <v>0</v>
      </c>
      <c r="I113" s="533">
        <f t="shared" si="15"/>
        <v>31.68</v>
      </c>
      <c r="J113" s="282"/>
      <c r="K113" s="283"/>
      <c r="L113" s="530">
        <v>31.68</v>
      </c>
      <c r="M113" s="287" t="s">
        <v>2167</v>
      </c>
      <c r="N113" s="25">
        <f t="shared" si="16"/>
        <v>0</v>
      </c>
      <c r="O113" s="25">
        <f t="shared" si="17"/>
        <v>0</v>
      </c>
      <c r="P113" s="25">
        <f t="shared" si="18"/>
        <v>0</v>
      </c>
      <c r="Q113" s="26">
        <f t="shared" si="19"/>
        <v>0</v>
      </c>
      <c r="R113" s="27">
        <f t="shared" si="20"/>
        <v>0</v>
      </c>
      <c r="S113" s="28">
        <f t="shared" si="21"/>
        <v>0</v>
      </c>
    </row>
    <row r="114" spans="2:19" hidden="1">
      <c r="B114" s="537" t="s">
        <v>2007</v>
      </c>
      <c r="C114" s="284"/>
      <c r="D114" s="284"/>
      <c r="E114" s="284"/>
      <c r="F114" s="285"/>
      <c r="G114" s="286"/>
      <c r="H114" s="281">
        <f t="shared" si="14"/>
        <v>0</v>
      </c>
      <c r="I114" s="533">
        <f t="shared" si="15"/>
        <v>8.35</v>
      </c>
      <c r="J114" s="282"/>
      <c r="K114" s="283"/>
      <c r="L114" s="530">
        <v>8.35</v>
      </c>
      <c r="M114" s="287" t="s">
        <v>2163</v>
      </c>
      <c r="N114" s="25">
        <f t="shared" si="16"/>
        <v>0</v>
      </c>
      <c r="O114" s="25">
        <f t="shared" si="17"/>
        <v>0</v>
      </c>
      <c r="P114" s="25">
        <f t="shared" si="18"/>
        <v>0</v>
      </c>
      <c r="Q114" s="26">
        <f t="shared" si="19"/>
        <v>0</v>
      </c>
      <c r="R114" s="27">
        <f t="shared" si="20"/>
        <v>0</v>
      </c>
      <c r="S114" s="28">
        <f t="shared" si="21"/>
        <v>0</v>
      </c>
    </row>
    <row r="115" spans="2:19" hidden="1">
      <c r="B115" s="537" t="s">
        <v>2008</v>
      </c>
      <c r="C115" s="284"/>
      <c r="D115" s="284"/>
      <c r="E115" s="284"/>
      <c r="F115" s="285"/>
      <c r="G115" s="286"/>
      <c r="H115" s="281">
        <f t="shared" si="14"/>
        <v>0</v>
      </c>
      <c r="I115" s="533">
        <f t="shared" si="15"/>
        <v>375.12</v>
      </c>
      <c r="J115" s="282"/>
      <c r="K115" s="283"/>
      <c r="L115" s="530">
        <v>375.12</v>
      </c>
      <c r="M115" s="287" t="s">
        <v>2136</v>
      </c>
      <c r="N115" s="25">
        <f t="shared" si="16"/>
        <v>0</v>
      </c>
      <c r="O115" s="25">
        <f t="shared" si="17"/>
        <v>0</v>
      </c>
      <c r="P115" s="25">
        <f t="shared" si="18"/>
        <v>0</v>
      </c>
      <c r="Q115" s="26">
        <f t="shared" si="19"/>
        <v>0</v>
      </c>
      <c r="R115" s="27">
        <f t="shared" si="20"/>
        <v>0</v>
      </c>
      <c r="S115" s="28">
        <f t="shared" si="21"/>
        <v>0</v>
      </c>
    </row>
    <row r="116" spans="2:19" hidden="1">
      <c r="B116" s="537" t="s">
        <v>2009</v>
      </c>
      <c r="C116" s="284"/>
      <c r="D116" s="284"/>
      <c r="E116" s="284"/>
      <c r="F116" s="285"/>
      <c r="G116" s="286"/>
      <c r="H116" s="281">
        <f t="shared" si="14"/>
        <v>0</v>
      </c>
      <c r="I116" s="533">
        <f t="shared" si="15"/>
        <v>94.32</v>
      </c>
      <c r="J116" s="282"/>
      <c r="K116" s="283"/>
      <c r="L116" s="530">
        <v>94.32</v>
      </c>
      <c r="M116" s="287" t="s">
        <v>2161</v>
      </c>
      <c r="N116" s="25">
        <f t="shared" si="16"/>
        <v>0</v>
      </c>
      <c r="O116" s="25">
        <f t="shared" si="17"/>
        <v>0</v>
      </c>
      <c r="P116" s="25">
        <f t="shared" si="18"/>
        <v>0</v>
      </c>
      <c r="Q116" s="26">
        <f t="shared" si="19"/>
        <v>0</v>
      </c>
      <c r="R116" s="27">
        <f t="shared" si="20"/>
        <v>0</v>
      </c>
      <c r="S116" s="28">
        <f t="shared" si="21"/>
        <v>0</v>
      </c>
    </row>
    <row r="117" spans="2:19" hidden="1">
      <c r="B117" s="537" t="s">
        <v>2010</v>
      </c>
      <c r="C117" s="284"/>
      <c r="D117" s="284"/>
      <c r="E117" s="284"/>
      <c r="F117" s="285"/>
      <c r="G117" s="286"/>
      <c r="H117" s="281">
        <f t="shared" si="14"/>
        <v>0</v>
      </c>
      <c r="I117" s="533">
        <f t="shared" si="15"/>
        <v>20.149999999999999</v>
      </c>
      <c r="J117" s="282"/>
      <c r="K117" s="283"/>
      <c r="L117" s="530">
        <v>20.149999999999999</v>
      </c>
      <c r="M117" s="287" t="s">
        <v>2134</v>
      </c>
      <c r="N117" s="25">
        <f t="shared" si="16"/>
        <v>0</v>
      </c>
      <c r="O117" s="25">
        <f t="shared" si="17"/>
        <v>0</v>
      </c>
      <c r="P117" s="25">
        <f t="shared" si="18"/>
        <v>0</v>
      </c>
      <c r="Q117" s="26">
        <f t="shared" si="19"/>
        <v>0</v>
      </c>
      <c r="R117" s="27">
        <f t="shared" si="20"/>
        <v>0</v>
      </c>
      <c r="S117" s="28">
        <f t="shared" si="21"/>
        <v>0</v>
      </c>
    </row>
    <row r="118" spans="2:19" hidden="1">
      <c r="B118" s="537" t="s">
        <v>2011</v>
      </c>
      <c r="C118" s="284"/>
      <c r="D118" s="284"/>
      <c r="E118" s="284"/>
      <c r="F118" s="285"/>
      <c r="G118" s="286"/>
      <c r="H118" s="281">
        <f t="shared" si="14"/>
        <v>0</v>
      </c>
      <c r="I118" s="533">
        <f t="shared" si="15"/>
        <v>212.5</v>
      </c>
      <c r="J118" s="282"/>
      <c r="K118" s="283"/>
      <c r="L118" s="530">
        <v>212.5</v>
      </c>
      <c r="M118" s="287" t="s">
        <v>2136</v>
      </c>
      <c r="N118" s="25">
        <f t="shared" si="16"/>
        <v>0</v>
      </c>
      <c r="O118" s="25">
        <f t="shared" si="17"/>
        <v>0</v>
      </c>
      <c r="P118" s="25">
        <f t="shared" si="18"/>
        <v>0</v>
      </c>
      <c r="Q118" s="26">
        <f t="shared" si="19"/>
        <v>0</v>
      </c>
      <c r="R118" s="27">
        <f t="shared" si="20"/>
        <v>0</v>
      </c>
      <c r="S118" s="28">
        <f t="shared" si="21"/>
        <v>0</v>
      </c>
    </row>
    <row r="119" spans="2:19" hidden="1">
      <c r="B119" s="537" t="s">
        <v>2012</v>
      </c>
      <c r="C119" s="284"/>
      <c r="D119" s="284"/>
      <c r="E119" s="284"/>
      <c r="F119" s="285"/>
      <c r="G119" s="286"/>
      <c r="H119" s="281">
        <f t="shared" si="14"/>
        <v>0</v>
      </c>
      <c r="I119" s="533">
        <f t="shared" si="15"/>
        <v>421.6</v>
      </c>
      <c r="J119" s="282"/>
      <c r="K119" s="283"/>
      <c r="L119" s="530">
        <v>421.6</v>
      </c>
      <c r="M119" s="287" t="s">
        <v>2136</v>
      </c>
      <c r="N119" s="25">
        <f t="shared" si="16"/>
        <v>0</v>
      </c>
      <c r="O119" s="25">
        <f t="shared" si="17"/>
        <v>0</v>
      </c>
      <c r="P119" s="25">
        <f t="shared" si="18"/>
        <v>0</v>
      </c>
      <c r="Q119" s="26">
        <f t="shared" si="19"/>
        <v>0</v>
      </c>
      <c r="R119" s="27">
        <f t="shared" si="20"/>
        <v>0</v>
      </c>
      <c r="S119" s="28">
        <f t="shared" si="21"/>
        <v>0</v>
      </c>
    </row>
    <row r="120" spans="2:19" hidden="1">
      <c r="B120" s="529" t="s">
        <v>2013</v>
      </c>
      <c r="C120" s="284"/>
      <c r="D120" s="284"/>
      <c r="E120" s="284"/>
      <c r="F120" s="285"/>
      <c r="G120" s="286"/>
      <c r="H120" s="281">
        <f t="shared" si="14"/>
        <v>0</v>
      </c>
      <c r="I120" s="533">
        <f t="shared" si="15"/>
        <v>8.61</v>
      </c>
      <c r="J120" s="282"/>
      <c r="K120" s="283"/>
      <c r="L120" s="531">
        <v>8.61</v>
      </c>
      <c r="M120" s="287" t="s">
        <v>2141</v>
      </c>
      <c r="N120" s="25">
        <f t="shared" si="16"/>
        <v>0</v>
      </c>
      <c r="O120" s="25">
        <f t="shared" si="17"/>
        <v>0</v>
      </c>
      <c r="P120" s="25">
        <f t="shared" si="18"/>
        <v>0</v>
      </c>
      <c r="Q120" s="26">
        <f t="shared" si="19"/>
        <v>0</v>
      </c>
      <c r="R120" s="27">
        <f t="shared" si="20"/>
        <v>0</v>
      </c>
      <c r="S120" s="28">
        <f t="shared" si="21"/>
        <v>0</v>
      </c>
    </row>
    <row r="121" spans="2:19" hidden="1">
      <c r="B121" s="529" t="s">
        <v>2014</v>
      </c>
      <c r="C121" s="284"/>
      <c r="D121" s="284"/>
      <c r="E121" s="284"/>
      <c r="F121" s="285"/>
      <c r="G121" s="286"/>
      <c r="H121" s="281">
        <f t="shared" si="14"/>
        <v>0</v>
      </c>
      <c r="I121" s="533">
        <f t="shared" si="15"/>
        <v>16.96</v>
      </c>
      <c r="J121" s="282"/>
      <c r="K121" s="283"/>
      <c r="L121" s="531">
        <v>16.96</v>
      </c>
      <c r="M121" s="287" t="s">
        <v>2141</v>
      </c>
      <c r="N121" s="25">
        <f t="shared" si="16"/>
        <v>0</v>
      </c>
      <c r="O121" s="25">
        <f t="shared" si="17"/>
        <v>0</v>
      </c>
      <c r="P121" s="25">
        <f t="shared" si="18"/>
        <v>0</v>
      </c>
      <c r="Q121" s="26">
        <f t="shared" si="19"/>
        <v>0</v>
      </c>
      <c r="R121" s="27">
        <f t="shared" si="20"/>
        <v>0</v>
      </c>
      <c r="S121" s="28">
        <f t="shared" si="21"/>
        <v>0</v>
      </c>
    </row>
    <row r="122" spans="2:19" hidden="1">
      <c r="B122" s="537" t="s">
        <v>2015</v>
      </c>
      <c r="C122" s="284"/>
      <c r="D122" s="284"/>
      <c r="E122" s="284"/>
      <c r="F122" s="285"/>
      <c r="G122" s="286"/>
      <c r="H122" s="281">
        <f t="shared" si="14"/>
        <v>0</v>
      </c>
      <c r="I122" s="533">
        <f t="shared" si="15"/>
        <v>227.52</v>
      </c>
      <c r="J122" s="282"/>
      <c r="K122" s="283"/>
      <c r="L122" s="530">
        <v>227.52</v>
      </c>
      <c r="M122" s="287" t="s">
        <v>2152</v>
      </c>
      <c r="N122" s="25">
        <f t="shared" si="16"/>
        <v>0</v>
      </c>
      <c r="O122" s="25">
        <f t="shared" si="17"/>
        <v>0</v>
      </c>
      <c r="P122" s="25">
        <f t="shared" si="18"/>
        <v>0</v>
      </c>
      <c r="Q122" s="26">
        <f t="shared" si="19"/>
        <v>0</v>
      </c>
      <c r="R122" s="27">
        <f t="shared" si="20"/>
        <v>0</v>
      </c>
      <c r="S122" s="28">
        <f t="shared" si="21"/>
        <v>0</v>
      </c>
    </row>
    <row r="123" spans="2:19">
      <c r="B123" s="537" t="s">
        <v>2016</v>
      </c>
      <c r="C123" s="284"/>
      <c r="D123" s="284"/>
      <c r="E123" s="284">
        <v>6</v>
      </c>
      <c r="F123" s="285"/>
      <c r="G123" s="286"/>
      <c r="H123" s="281">
        <f t="shared" si="14"/>
        <v>6</v>
      </c>
      <c r="I123" s="533">
        <v>50.94</v>
      </c>
      <c r="J123" s="282"/>
      <c r="K123" s="283"/>
      <c r="L123" s="530">
        <v>49.61</v>
      </c>
      <c r="M123" s="287" t="s">
        <v>2156</v>
      </c>
      <c r="N123" s="25">
        <f t="shared" si="16"/>
        <v>0</v>
      </c>
      <c r="O123" s="25">
        <f t="shared" si="17"/>
        <v>0</v>
      </c>
      <c r="P123" s="25">
        <f t="shared" si="18"/>
        <v>305.64</v>
      </c>
      <c r="Q123" s="26">
        <f t="shared" si="19"/>
        <v>0</v>
      </c>
      <c r="R123" s="27">
        <f t="shared" si="20"/>
        <v>0</v>
      </c>
      <c r="S123" s="28">
        <f t="shared" si="21"/>
        <v>305.64</v>
      </c>
    </row>
    <row r="124" spans="2:19" hidden="1">
      <c r="B124" s="537" t="s">
        <v>2017</v>
      </c>
      <c r="C124" s="284"/>
      <c r="D124" s="284"/>
      <c r="E124" s="284"/>
      <c r="F124" s="285"/>
      <c r="G124" s="286"/>
      <c r="H124" s="281">
        <f t="shared" si="14"/>
        <v>0</v>
      </c>
      <c r="I124" s="533">
        <f t="shared" si="15"/>
        <v>14.6</v>
      </c>
      <c r="J124" s="282"/>
      <c r="K124" s="283"/>
      <c r="L124" s="530">
        <v>14.6</v>
      </c>
      <c r="M124" s="287" t="s">
        <v>2141</v>
      </c>
      <c r="N124" s="25">
        <f t="shared" si="16"/>
        <v>0</v>
      </c>
      <c r="O124" s="25">
        <f t="shared" si="17"/>
        <v>0</v>
      </c>
      <c r="P124" s="25">
        <f t="shared" si="18"/>
        <v>0</v>
      </c>
      <c r="Q124" s="26">
        <f t="shared" si="19"/>
        <v>0</v>
      </c>
      <c r="R124" s="27">
        <f t="shared" si="20"/>
        <v>0</v>
      </c>
      <c r="S124" s="28">
        <f t="shared" si="21"/>
        <v>0</v>
      </c>
    </row>
    <row r="125" spans="2:19" hidden="1">
      <c r="B125" s="537" t="s">
        <v>2018</v>
      </c>
      <c r="C125" s="284"/>
      <c r="D125" s="284"/>
      <c r="E125" s="284"/>
      <c r="F125" s="285"/>
      <c r="G125" s="286"/>
      <c r="H125" s="281">
        <f t="shared" si="14"/>
        <v>0</v>
      </c>
      <c r="I125" s="533">
        <f t="shared" si="15"/>
        <v>5.89</v>
      </c>
      <c r="J125" s="282"/>
      <c r="K125" s="283"/>
      <c r="L125" s="530">
        <v>5.89</v>
      </c>
      <c r="M125" s="287" t="s">
        <v>2138</v>
      </c>
      <c r="N125" s="25">
        <f t="shared" si="16"/>
        <v>0</v>
      </c>
      <c r="O125" s="25">
        <f t="shared" si="17"/>
        <v>0</v>
      </c>
      <c r="P125" s="25">
        <f t="shared" si="18"/>
        <v>0</v>
      </c>
      <c r="Q125" s="26">
        <f t="shared" si="19"/>
        <v>0</v>
      </c>
      <c r="R125" s="27">
        <f t="shared" si="20"/>
        <v>0</v>
      </c>
      <c r="S125" s="28">
        <f t="shared" si="21"/>
        <v>0</v>
      </c>
    </row>
    <row r="126" spans="2:19" hidden="1">
      <c r="B126" s="537" t="s">
        <v>2019</v>
      </c>
      <c r="C126" s="284"/>
      <c r="D126" s="284"/>
      <c r="E126" s="284"/>
      <c r="F126" s="285"/>
      <c r="G126" s="286"/>
      <c r="H126" s="281">
        <f t="shared" si="14"/>
        <v>0</v>
      </c>
      <c r="I126" s="533">
        <f t="shared" si="15"/>
        <v>204.75</v>
      </c>
      <c r="J126" s="282"/>
      <c r="K126" s="283"/>
      <c r="L126" s="530">
        <v>204.75</v>
      </c>
      <c r="M126" s="287" t="s">
        <v>2151</v>
      </c>
      <c r="N126" s="25">
        <f t="shared" si="16"/>
        <v>0</v>
      </c>
      <c r="O126" s="25">
        <f t="shared" si="17"/>
        <v>0</v>
      </c>
      <c r="P126" s="25">
        <f t="shared" si="18"/>
        <v>0</v>
      </c>
      <c r="Q126" s="26">
        <f t="shared" si="19"/>
        <v>0</v>
      </c>
      <c r="R126" s="27">
        <f t="shared" si="20"/>
        <v>0</v>
      </c>
      <c r="S126" s="28">
        <f t="shared" si="21"/>
        <v>0</v>
      </c>
    </row>
    <row r="127" spans="2:19" hidden="1">
      <c r="B127" s="537" t="s">
        <v>2020</v>
      </c>
      <c r="C127" s="284"/>
      <c r="D127" s="284"/>
      <c r="E127" s="284"/>
      <c r="F127" s="285"/>
      <c r="G127" s="286"/>
      <c r="H127" s="281">
        <f t="shared" si="14"/>
        <v>0</v>
      </c>
      <c r="I127" s="533">
        <f t="shared" si="15"/>
        <v>15.02</v>
      </c>
      <c r="J127" s="282"/>
      <c r="K127" s="283"/>
      <c r="L127" s="530">
        <v>15.02</v>
      </c>
      <c r="M127" s="287" t="s">
        <v>2144</v>
      </c>
      <c r="N127" s="25">
        <f t="shared" si="16"/>
        <v>0</v>
      </c>
      <c r="O127" s="25">
        <f t="shared" si="17"/>
        <v>0</v>
      </c>
      <c r="P127" s="25">
        <f t="shared" si="18"/>
        <v>0</v>
      </c>
      <c r="Q127" s="26">
        <f t="shared" si="19"/>
        <v>0</v>
      </c>
      <c r="R127" s="27">
        <f t="shared" si="20"/>
        <v>0</v>
      </c>
      <c r="S127" s="28">
        <f t="shared" si="21"/>
        <v>0</v>
      </c>
    </row>
    <row r="128" spans="2:19" hidden="1">
      <c r="B128" s="537" t="s">
        <v>2021</v>
      </c>
      <c r="C128" s="284"/>
      <c r="D128" s="284"/>
      <c r="E128" s="284"/>
      <c r="F128" s="285"/>
      <c r="G128" s="286"/>
      <c r="H128" s="281">
        <f t="shared" si="14"/>
        <v>0</v>
      </c>
      <c r="I128" s="533">
        <f t="shared" si="15"/>
        <v>7.28</v>
      </c>
      <c r="J128" s="282"/>
      <c r="K128" s="283"/>
      <c r="L128" s="530">
        <v>7.28</v>
      </c>
      <c r="M128" s="287" t="s">
        <v>2144</v>
      </c>
      <c r="N128" s="25">
        <f t="shared" si="16"/>
        <v>0</v>
      </c>
      <c r="O128" s="25">
        <f t="shared" si="17"/>
        <v>0</v>
      </c>
      <c r="P128" s="25">
        <f t="shared" si="18"/>
        <v>0</v>
      </c>
      <c r="Q128" s="26">
        <f t="shared" si="19"/>
        <v>0</v>
      </c>
      <c r="R128" s="27">
        <f t="shared" si="20"/>
        <v>0</v>
      </c>
      <c r="S128" s="28">
        <f t="shared" si="21"/>
        <v>0</v>
      </c>
    </row>
    <row r="129" spans="2:19">
      <c r="B129" s="537" t="s">
        <v>2022</v>
      </c>
      <c r="C129" s="284"/>
      <c r="D129" s="284"/>
      <c r="E129" s="284">
        <v>6</v>
      </c>
      <c r="F129" s="285"/>
      <c r="G129" s="286"/>
      <c r="H129" s="281">
        <f t="shared" si="14"/>
        <v>6</v>
      </c>
      <c r="I129" s="533">
        <v>53.63</v>
      </c>
      <c r="J129" s="282"/>
      <c r="K129" s="283"/>
      <c r="L129" s="530">
        <v>52.24</v>
      </c>
      <c r="M129" s="287" t="s">
        <v>2156</v>
      </c>
      <c r="N129" s="25">
        <f t="shared" si="16"/>
        <v>0</v>
      </c>
      <c r="O129" s="25">
        <f t="shared" si="17"/>
        <v>0</v>
      </c>
      <c r="P129" s="25">
        <f t="shared" si="18"/>
        <v>321.78000000000003</v>
      </c>
      <c r="Q129" s="26">
        <f t="shared" si="19"/>
        <v>0</v>
      </c>
      <c r="R129" s="27">
        <f t="shared" si="20"/>
        <v>0</v>
      </c>
      <c r="S129" s="28">
        <f t="shared" si="21"/>
        <v>321.78000000000003</v>
      </c>
    </row>
    <row r="130" spans="2:19" hidden="1">
      <c r="B130" s="537" t="s">
        <v>2023</v>
      </c>
      <c r="C130" s="284"/>
      <c r="D130" s="284"/>
      <c r="E130" s="284"/>
      <c r="F130" s="285"/>
      <c r="G130" s="286"/>
      <c r="H130" s="281">
        <f t="shared" si="14"/>
        <v>0</v>
      </c>
      <c r="I130" s="533">
        <f t="shared" si="15"/>
        <v>207</v>
      </c>
      <c r="J130" s="282"/>
      <c r="K130" s="283"/>
      <c r="L130" s="530">
        <v>207</v>
      </c>
      <c r="M130" s="287" t="s">
        <v>2151</v>
      </c>
      <c r="N130" s="25">
        <f t="shared" si="16"/>
        <v>0</v>
      </c>
      <c r="O130" s="25">
        <f t="shared" si="17"/>
        <v>0</v>
      </c>
      <c r="P130" s="25">
        <f t="shared" si="18"/>
        <v>0</v>
      </c>
      <c r="Q130" s="26">
        <f t="shared" si="19"/>
        <v>0</v>
      </c>
      <c r="R130" s="27">
        <f t="shared" si="20"/>
        <v>0</v>
      </c>
      <c r="S130" s="28">
        <f t="shared" si="21"/>
        <v>0</v>
      </c>
    </row>
    <row r="131" spans="2:19" hidden="1">
      <c r="B131" s="537" t="s">
        <v>2024</v>
      </c>
      <c r="C131" s="284"/>
      <c r="D131" s="284"/>
      <c r="E131" s="284"/>
      <c r="F131" s="285"/>
      <c r="G131" s="286"/>
      <c r="H131" s="281">
        <f t="shared" si="14"/>
        <v>0</v>
      </c>
      <c r="I131" s="533">
        <f t="shared" si="15"/>
        <v>36.47</v>
      </c>
      <c r="J131" s="282"/>
      <c r="K131" s="283"/>
      <c r="L131" s="530">
        <v>36.47</v>
      </c>
      <c r="M131" s="287" t="s">
        <v>2139</v>
      </c>
      <c r="N131" s="25">
        <f t="shared" si="16"/>
        <v>0</v>
      </c>
      <c r="O131" s="25">
        <f t="shared" si="17"/>
        <v>0</v>
      </c>
      <c r="P131" s="25">
        <f t="shared" si="18"/>
        <v>0</v>
      </c>
      <c r="Q131" s="26">
        <f t="shared" si="19"/>
        <v>0</v>
      </c>
      <c r="R131" s="27">
        <f t="shared" si="20"/>
        <v>0</v>
      </c>
      <c r="S131" s="28">
        <f t="shared" si="21"/>
        <v>0</v>
      </c>
    </row>
    <row r="132" spans="2:19" hidden="1">
      <c r="B132" s="537" t="s">
        <v>2025</v>
      </c>
      <c r="C132" s="284"/>
      <c r="D132" s="284"/>
      <c r="E132" s="284"/>
      <c r="F132" s="285"/>
      <c r="G132" s="286"/>
      <c r="H132" s="281">
        <f t="shared" si="14"/>
        <v>0</v>
      </c>
      <c r="I132" s="533">
        <f t="shared" si="15"/>
        <v>12.03</v>
      </c>
      <c r="J132" s="282"/>
      <c r="K132" s="283"/>
      <c r="L132" s="530">
        <v>12.03</v>
      </c>
      <c r="M132" s="287" t="s">
        <v>2144</v>
      </c>
      <c r="N132" s="25">
        <f t="shared" si="16"/>
        <v>0</v>
      </c>
      <c r="O132" s="25">
        <f t="shared" si="17"/>
        <v>0</v>
      </c>
      <c r="P132" s="25">
        <f t="shared" si="18"/>
        <v>0</v>
      </c>
      <c r="Q132" s="26">
        <f t="shared" si="19"/>
        <v>0</v>
      </c>
      <c r="R132" s="27">
        <f t="shared" si="20"/>
        <v>0</v>
      </c>
      <c r="S132" s="28">
        <f t="shared" si="21"/>
        <v>0</v>
      </c>
    </row>
    <row r="133" spans="2:19" hidden="1">
      <c r="B133" s="537" t="s">
        <v>2026</v>
      </c>
      <c r="C133" s="284"/>
      <c r="D133" s="284"/>
      <c r="E133" s="284"/>
      <c r="F133" s="285"/>
      <c r="G133" s="286"/>
      <c r="H133" s="281">
        <f t="shared" si="14"/>
        <v>0</v>
      </c>
      <c r="I133" s="533">
        <f t="shared" si="15"/>
        <v>7.93</v>
      </c>
      <c r="J133" s="282"/>
      <c r="K133" s="283"/>
      <c r="L133" s="530">
        <v>7.93</v>
      </c>
      <c r="M133" s="287" t="s">
        <v>2138</v>
      </c>
      <c r="N133" s="25">
        <f t="shared" si="16"/>
        <v>0</v>
      </c>
      <c r="O133" s="25">
        <f t="shared" si="17"/>
        <v>0</v>
      </c>
      <c r="P133" s="25">
        <f t="shared" si="18"/>
        <v>0</v>
      </c>
      <c r="Q133" s="26">
        <f t="shared" si="19"/>
        <v>0</v>
      </c>
      <c r="R133" s="27">
        <f t="shared" si="20"/>
        <v>0</v>
      </c>
      <c r="S133" s="28">
        <f t="shared" si="21"/>
        <v>0</v>
      </c>
    </row>
    <row r="134" spans="2:19" hidden="1">
      <c r="B134" s="537" t="s">
        <v>2027</v>
      </c>
      <c r="C134" s="284"/>
      <c r="D134" s="284"/>
      <c r="E134" s="284"/>
      <c r="F134" s="285"/>
      <c r="G134" s="286"/>
      <c r="H134" s="281">
        <f t="shared" si="14"/>
        <v>0</v>
      </c>
      <c r="I134" s="533">
        <f t="shared" si="15"/>
        <v>3.8</v>
      </c>
      <c r="J134" s="282"/>
      <c r="K134" s="283"/>
      <c r="L134" s="530">
        <v>3.8</v>
      </c>
      <c r="M134" s="287" t="s">
        <v>2138</v>
      </c>
      <c r="N134" s="25">
        <f t="shared" si="16"/>
        <v>0</v>
      </c>
      <c r="O134" s="25">
        <f t="shared" si="17"/>
        <v>0</v>
      </c>
      <c r="P134" s="25">
        <f t="shared" si="18"/>
        <v>0</v>
      </c>
      <c r="Q134" s="26">
        <f t="shared" si="19"/>
        <v>0</v>
      </c>
      <c r="R134" s="27">
        <f t="shared" si="20"/>
        <v>0</v>
      </c>
      <c r="S134" s="28">
        <f t="shared" si="21"/>
        <v>0</v>
      </c>
    </row>
    <row r="135" spans="2:19">
      <c r="B135" s="529" t="s">
        <v>2028</v>
      </c>
      <c r="C135" s="284"/>
      <c r="D135" s="284">
        <v>1200</v>
      </c>
      <c r="E135" s="284"/>
      <c r="F135" s="285"/>
      <c r="G135" s="286"/>
      <c r="H135" s="281">
        <f t="shared" ref="H135:H180" si="22">SUM(C135:G135)</f>
        <v>1200</v>
      </c>
      <c r="I135" s="533">
        <v>6.85</v>
      </c>
      <c r="J135" s="282"/>
      <c r="K135" s="283"/>
      <c r="L135" s="531">
        <v>6.64</v>
      </c>
      <c r="M135" s="287" t="s">
        <v>2164</v>
      </c>
      <c r="N135" s="25">
        <f t="shared" ref="N135:N198" si="23">I135*C135</f>
        <v>0</v>
      </c>
      <c r="O135" s="25">
        <f t="shared" ref="O135:O198" si="24">I135*D135</f>
        <v>8220</v>
      </c>
      <c r="P135" s="25">
        <f t="shared" ref="P135:P198" si="25">I135*E135</f>
        <v>0</v>
      </c>
      <c r="Q135" s="26">
        <f t="shared" ref="Q135:Q198" si="26">I135*F135</f>
        <v>0</v>
      </c>
      <c r="R135" s="27">
        <f t="shared" ref="R135:R198" si="27">I135*G135</f>
        <v>0</v>
      </c>
      <c r="S135" s="28">
        <f t="shared" ref="S135:S198" si="28">SUM(N135:R135)</f>
        <v>8220</v>
      </c>
    </row>
    <row r="136" spans="2:19" hidden="1">
      <c r="B136" s="537" t="s">
        <v>2029</v>
      </c>
      <c r="C136" s="284"/>
      <c r="D136" s="284"/>
      <c r="E136" s="284"/>
      <c r="F136" s="285"/>
      <c r="G136" s="286"/>
      <c r="H136" s="281">
        <f t="shared" si="22"/>
        <v>0</v>
      </c>
      <c r="I136" s="533">
        <f t="shared" ref="I135:I180" si="29">L136-(L136*J136)</f>
        <v>25.04</v>
      </c>
      <c r="J136" s="282"/>
      <c r="K136" s="283"/>
      <c r="L136" s="530">
        <v>25.04</v>
      </c>
      <c r="M136" s="287" t="s">
        <v>2168</v>
      </c>
      <c r="N136" s="25">
        <f t="shared" si="23"/>
        <v>0</v>
      </c>
      <c r="O136" s="25">
        <f t="shared" si="24"/>
        <v>0</v>
      </c>
      <c r="P136" s="25">
        <f t="shared" si="25"/>
        <v>0</v>
      </c>
      <c r="Q136" s="26">
        <f t="shared" si="26"/>
        <v>0</v>
      </c>
      <c r="R136" s="27">
        <f t="shared" si="27"/>
        <v>0</v>
      </c>
      <c r="S136" s="28">
        <f t="shared" si="28"/>
        <v>0</v>
      </c>
    </row>
    <row r="137" spans="2:19" hidden="1">
      <c r="B137" s="537" t="s">
        <v>2030</v>
      </c>
      <c r="C137" s="284"/>
      <c r="D137" s="284"/>
      <c r="E137" s="284"/>
      <c r="F137" s="285"/>
      <c r="G137" s="286"/>
      <c r="H137" s="281">
        <f t="shared" si="22"/>
        <v>0</v>
      </c>
      <c r="I137" s="533">
        <f t="shared" si="29"/>
        <v>216.75</v>
      </c>
      <c r="J137" s="282"/>
      <c r="K137" s="283"/>
      <c r="L137" s="530">
        <v>216.75</v>
      </c>
      <c r="M137" s="287" t="s">
        <v>2136</v>
      </c>
      <c r="N137" s="25">
        <f t="shared" si="23"/>
        <v>0</v>
      </c>
      <c r="O137" s="25">
        <f t="shared" si="24"/>
        <v>0</v>
      </c>
      <c r="P137" s="25">
        <f t="shared" si="25"/>
        <v>0</v>
      </c>
      <c r="Q137" s="26">
        <f t="shared" si="26"/>
        <v>0</v>
      </c>
      <c r="R137" s="27">
        <f t="shared" si="27"/>
        <v>0</v>
      </c>
      <c r="S137" s="28">
        <f t="shared" si="28"/>
        <v>0</v>
      </c>
    </row>
    <row r="138" spans="2:19" hidden="1">
      <c r="B138" s="537" t="s">
        <v>2031</v>
      </c>
      <c r="C138" s="284"/>
      <c r="D138" s="284"/>
      <c r="E138" s="284"/>
      <c r="F138" s="285"/>
      <c r="G138" s="286"/>
      <c r="H138" s="281">
        <f t="shared" si="22"/>
        <v>0</v>
      </c>
      <c r="I138" s="533">
        <f t="shared" si="29"/>
        <v>51.89</v>
      </c>
      <c r="J138" s="282"/>
      <c r="K138" s="283"/>
      <c r="L138" s="530">
        <v>51.89</v>
      </c>
      <c r="M138" s="287" t="s">
        <v>2169</v>
      </c>
      <c r="N138" s="25">
        <f t="shared" si="23"/>
        <v>0</v>
      </c>
      <c r="O138" s="25">
        <f t="shared" si="24"/>
        <v>0</v>
      </c>
      <c r="P138" s="25">
        <f t="shared" si="25"/>
        <v>0</v>
      </c>
      <c r="Q138" s="26">
        <f t="shared" si="26"/>
        <v>0</v>
      </c>
      <c r="R138" s="27">
        <f t="shared" si="27"/>
        <v>0</v>
      </c>
      <c r="S138" s="28">
        <f t="shared" si="28"/>
        <v>0</v>
      </c>
    </row>
    <row r="139" spans="2:19">
      <c r="B139" s="529" t="s">
        <v>2032</v>
      </c>
      <c r="C139" s="284"/>
      <c r="D139" s="284">
        <v>32</v>
      </c>
      <c r="E139" s="284"/>
      <c r="F139" s="285"/>
      <c r="G139" s="286"/>
      <c r="H139" s="281">
        <f t="shared" si="22"/>
        <v>32</v>
      </c>
      <c r="I139" s="533">
        <v>2.93</v>
      </c>
      <c r="J139" s="282"/>
      <c r="K139" s="283"/>
      <c r="L139" s="531">
        <v>2.84</v>
      </c>
      <c r="M139" s="287" t="s">
        <v>2144</v>
      </c>
      <c r="N139" s="25">
        <f t="shared" si="23"/>
        <v>0</v>
      </c>
      <c r="O139" s="25">
        <f t="shared" si="24"/>
        <v>93.76</v>
      </c>
      <c r="P139" s="25">
        <f t="shared" si="25"/>
        <v>0</v>
      </c>
      <c r="Q139" s="26">
        <f t="shared" si="26"/>
        <v>0</v>
      </c>
      <c r="R139" s="27">
        <f t="shared" si="27"/>
        <v>0</v>
      </c>
      <c r="S139" s="28">
        <f t="shared" si="28"/>
        <v>93.76</v>
      </c>
    </row>
    <row r="140" spans="2:19" hidden="1">
      <c r="B140" s="529" t="s">
        <v>2033</v>
      </c>
      <c r="C140" s="284"/>
      <c r="D140" s="284"/>
      <c r="E140" s="284"/>
      <c r="F140" s="285"/>
      <c r="G140" s="286"/>
      <c r="H140" s="281">
        <f t="shared" si="22"/>
        <v>0</v>
      </c>
      <c r="I140" s="533">
        <f t="shared" si="29"/>
        <v>16.71</v>
      </c>
      <c r="J140" s="282"/>
      <c r="K140" s="283"/>
      <c r="L140" s="531">
        <v>16.71</v>
      </c>
      <c r="M140" s="287" t="s">
        <v>2141</v>
      </c>
      <c r="N140" s="25">
        <f t="shared" si="23"/>
        <v>0</v>
      </c>
      <c r="O140" s="25">
        <f t="shared" si="24"/>
        <v>0</v>
      </c>
      <c r="P140" s="25">
        <f t="shared" si="25"/>
        <v>0</v>
      </c>
      <c r="Q140" s="26">
        <f t="shared" si="26"/>
        <v>0</v>
      </c>
      <c r="R140" s="27">
        <f t="shared" si="27"/>
        <v>0</v>
      </c>
      <c r="S140" s="28">
        <f t="shared" si="28"/>
        <v>0</v>
      </c>
    </row>
    <row r="141" spans="2:19">
      <c r="B141" s="529" t="s">
        <v>2034</v>
      </c>
      <c r="C141" s="284"/>
      <c r="D141" s="284"/>
      <c r="E141" s="284">
        <v>72</v>
      </c>
      <c r="F141" s="285"/>
      <c r="G141" s="286"/>
      <c r="H141" s="281">
        <f t="shared" si="22"/>
        <v>72</v>
      </c>
      <c r="I141" s="533">
        <v>6.59</v>
      </c>
      <c r="J141" s="282"/>
      <c r="K141" s="283"/>
      <c r="L141" s="531">
        <v>6.39</v>
      </c>
      <c r="M141" s="287" t="s">
        <v>2163</v>
      </c>
      <c r="N141" s="25">
        <f t="shared" si="23"/>
        <v>0</v>
      </c>
      <c r="O141" s="25">
        <f t="shared" si="24"/>
        <v>0</v>
      </c>
      <c r="P141" s="25">
        <f t="shared" si="25"/>
        <v>474.48</v>
      </c>
      <c r="Q141" s="26">
        <f t="shared" si="26"/>
        <v>0</v>
      </c>
      <c r="R141" s="27">
        <f t="shared" si="27"/>
        <v>0</v>
      </c>
      <c r="S141" s="28">
        <f t="shared" si="28"/>
        <v>474.48</v>
      </c>
    </row>
    <row r="142" spans="2:19" hidden="1">
      <c r="B142" s="529" t="s">
        <v>2035</v>
      </c>
      <c r="C142" s="284"/>
      <c r="D142" s="284"/>
      <c r="E142" s="284"/>
      <c r="F142" s="285"/>
      <c r="G142" s="286"/>
      <c r="H142" s="281">
        <f t="shared" si="22"/>
        <v>0</v>
      </c>
      <c r="I142" s="533">
        <f t="shared" si="29"/>
        <v>37.6</v>
      </c>
      <c r="J142" s="282"/>
      <c r="K142" s="283"/>
      <c r="L142" s="531">
        <v>37.6</v>
      </c>
      <c r="M142" s="287" t="s">
        <v>2131</v>
      </c>
      <c r="N142" s="25">
        <f t="shared" si="23"/>
        <v>0</v>
      </c>
      <c r="O142" s="25">
        <f t="shared" si="24"/>
        <v>0</v>
      </c>
      <c r="P142" s="25">
        <f t="shared" si="25"/>
        <v>0</v>
      </c>
      <c r="Q142" s="26">
        <f t="shared" si="26"/>
        <v>0</v>
      </c>
      <c r="R142" s="27">
        <f t="shared" si="27"/>
        <v>0</v>
      </c>
      <c r="S142" s="28">
        <f t="shared" si="28"/>
        <v>0</v>
      </c>
    </row>
    <row r="143" spans="2:19" hidden="1">
      <c r="B143" s="529" t="s">
        <v>2036</v>
      </c>
      <c r="C143" s="284"/>
      <c r="D143" s="284"/>
      <c r="E143" s="284"/>
      <c r="F143" s="285"/>
      <c r="G143" s="286"/>
      <c r="H143" s="281">
        <f t="shared" si="22"/>
        <v>0</v>
      </c>
      <c r="I143" s="533">
        <f t="shared" si="29"/>
        <v>63.5</v>
      </c>
      <c r="J143" s="282"/>
      <c r="K143" s="283"/>
      <c r="L143" s="531">
        <v>63.5</v>
      </c>
      <c r="M143" s="287" t="s">
        <v>2170</v>
      </c>
      <c r="N143" s="25">
        <f t="shared" si="23"/>
        <v>0</v>
      </c>
      <c r="O143" s="25">
        <f t="shared" si="24"/>
        <v>0</v>
      </c>
      <c r="P143" s="25">
        <f t="shared" si="25"/>
        <v>0</v>
      </c>
      <c r="Q143" s="26">
        <f t="shared" si="26"/>
        <v>0</v>
      </c>
      <c r="R143" s="27">
        <f t="shared" si="27"/>
        <v>0</v>
      </c>
      <c r="S143" s="28">
        <f t="shared" si="28"/>
        <v>0</v>
      </c>
    </row>
    <row r="144" spans="2:19">
      <c r="B144" s="529" t="s">
        <v>2037</v>
      </c>
      <c r="C144" s="284"/>
      <c r="D144" s="284">
        <v>220</v>
      </c>
      <c r="E144" s="284"/>
      <c r="F144" s="285">
        <v>144</v>
      </c>
      <c r="G144" s="286"/>
      <c r="H144" s="281">
        <f t="shared" si="22"/>
        <v>364</v>
      </c>
      <c r="I144" s="533">
        <v>6.33</v>
      </c>
      <c r="J144" s="282"/>
      <c r="K144" s="283"/>
      <c r="L144" s="531">
        <v>6.17</v>
      </c>
      <c r="M144" s="287" t="s">
        <v>2164</v>
      </c>
      <c r="N144" s="25">
        <f t="shared" si="23"/>
        <v>0</v>
      </c>
      <c r="O144" s="25">
        <f t="shared" si="24"/>
        <v>1392.6</v>
      </c>
      <c r="P144" s="25">
        <f t="shared" si="25"/>
        <v>0</v>
      </c>
      <c r="Q144" s="26">
        <f t="shared" si="26"/>
        <v>911.52</v>
      </c>
      <c r="R144" s="27">
        <f t="shared" si="27"/>
        <v>0</v>
      </c>
      <c r="S144" s="28">
        <f t="shared" si="28"/>
        <v>2304.12</v>
      </c>
    </row>
    <row r="145" spans="2:19" hidden="1">
      <c r="B145" s="537" t="s">
        <v>2038</v>
      </c>
      <c r="C145" s="284"/>
      <c r="D145" s="284"/>
      <c r="E145" s="284"/>
      <c r="F145" s="285"/>
      <c r="G145" s="286"/>
      <c r="H145" s="281">
        <f t="shared" si="22"/>
        <v>0</v>
      </c>
      <c r="I145" s="533">
        <f t="shared" si="29"/>
        <v>52.29</v>
      </c>
      <c r="J145" s="282"/>
      <c r="K145" s="283"/>
      <c r="L145" s="530">
        <v>52.29</v>
      </c>
      <c r="M145" s="287" t="s">
        <v>2171</v>
      </c>
      <c r="N145" s="25">
        <f t="shared" si="23"/>
        <v>0</v>
      </c>
      <c r="O145" s="25">
        <f t="shared" si="24"/>
        <v>0</v>
      </c>
      <c r="P145" s="25">
        <f t="shared" si="25"/>
        <v>0</v>
      </c>
      <c r="Q145" s="26">
        <f t="shared" si="26"/>
        <v>0</v>
      </c>
      <c r="R145" s="27">
        <f t="shared" si="27"/>
        <v>0</v>
      </c>
      <c r="S145" s="28">
        <f t="shared" si="28"/>
        <v>0</v>
      </c>
    </row>
    <row r="146" spans="2:19" hidden="1">
      <c r="B146" s="537" t="s">
        <v>2039</v>
      </c>
      <c r="C146" s="284"/>
      <c r="D146" s="284"/>
      <c r="E146" s="284"/>
      <c r="F146" s="285"/>
      <c r="G146" s="286"/>
      <c r="H146" s="281">
        <f t="shared" si="22"/>
        <v>0</v>
      </c>
      <c r="I146" s="533">
        <f t="shared" si="29"/>
        <v>10.87</v>
      </c>
      <c r="J146" s="282"/>
      <c r="K146" s="283"/>
      <c r="L146" s="530">
        <v>10.87</v>
      </c>
      <c r="M146" s="287" t="s">
        <v>2172</v>
      </c>
      <c r="N146" s="25">
        <f t="shared" si="23"/>
        <v>0</v>
      </c>
      <c r="O146" s="25">
        <f t="shared" si="24"/>
        <v>0</v>
      </c>
      <c r="P146" s="25">
        <f t="shared" si="25"/>
        <v>0</v>
      </c>
      <c r="Q146" s="26">
        <f t="shared" si="26"/>
        <v>0</v>
      </c>
      <c r="R146" s="27">
        <f t="shared" si="27"/>
        <v>0</v>
      </c>
      <c r="S146" s="28">
        <f t="shared" si="28"/>
        <v>0</v>
      </c>
    </row>
    <row r="147" spans="2:19" hidden="1">
      <c r="B147" s="537" t="s">
        <v>2040</v>
      </c>
      <c r="C147" s="284"/>
      <c r="D147" s="284"/>
      <c r="E147" s="284"/>
      <c r="F147" s="285"/>
      <c r="G147" s="286"/>
      <c r="H147" s="281">
        <f t="shared" si="22"/>
        <v>0</v>
      </c>
      <c r="I147" s="533">
        <f t="shared" si="29"/>
        <v>16.809999999999999</v>
      </c>
      <c r="J147" s="282"/>
      <c r="K147" s="283"/>
      <c r="L147" s="530">
        <v>16.809999999999999</v>
      </c>
      <c r="M147" s="287" t="s">
        <v>2173</v>
      </c>
      <c r="N147" s="25">
        <f t="shared" si="23"/>
        <v>0</v>
      </c>
      <c r="O147" s="25">
        <f t="shared" si="24"/>
        <v>0</v>
      </c>
      <c r="P147" s="25">
        <f t="shared" si="25"/>
        <v>0</v>
      </c>
      <c r="Q147" s="26">
        <f t="shared" si="26"/>
        <v>0</v>
      </c>
      <c r="R147" s="27">
        <f t="shared" si="27"/>
        <v>0</v>
      </c>
      <c r="S147" s="28">
        <f t="shared" si="28"/>
        <v>0</v>
      </c>
    </row>
    <row r="148" spans="2:19" hidden="1">
      <c r="B148" s="537" t="s">
        <v>2041</v>
      </c>
      <c r="C148" s="284"/>
      <c r="D148" s="284"/>
      <c r="E148" s="284"/>
      <c r="F148" s="285"/>
      <c r="G148" s="286"/>
      <c r="H148" s="281">
        <f t="shared" si="22"/>
        <v>0</v>
      </c>
      <c r="I148" s="533">
        <f t="shared" si="29"/>
        <v>158.25</v>
      </c>
      <c r="J148" s="282"/>
      <c r="K148" s="283"/>
      <c r="L148" s="530">
        <v>158.25</v>
      </c>
      <c r="M148" s="287" t="s">
        <v>2174</v>
      </c>
      <c r="N148" s="25">
        <f t="shared" si="23"/>
        <v>0</v>
      </c>
      <c r="O148" s="25">
        <f t="shared" si="24"/>
        <v>0</v>
      </c>
      <c r="P148" s="25">
        <f t="shared" si="25"/>
        <v>0</v>
      </c>
      <c r="Q148" s="26">
        <f t="shared" si="26"/>
        <v>0</v>
      </c>
      <c r="R148" s="27">
        <f t="shared" si="27"/>
        <v>0</v>
      </c>
      <c r="S148" s="28">
        <f t="shared" si="28"/>
        <v>0</v>
      </c>
    </row>
    <row r="149" spans="2:19" hidden="1">
      <c r="B149" s="537" t="s">
        <v>2042</v>
      </c>
      <c r="C149" s="284"/>
      <c r="D149" s="284"/>
      <c r="E149" s="284"/>
      <c r="F149" s="285"/>
      <c r="G149" s="286"/>
      <c r="H149" s="281">
        <f t="shared" si="22"/>
        <v>0</v>
      </c>
      <c r="I149" s="533">
        <f t="shared" si="29"/>
        <v>24.23</v>
      </c>
      <c r="J149" s="282"/>
      <c r="K149" s="283"/>
      <c r="L149" s="530">
        <v>24.23</v>
      </c>
      <c r="M149" s="287" t="s">
        <v>2175</v>
      </c>
      <c r="N149" s="25">
        <f t="shared" si="23"/>
        <v>0</v>
      </c>
      <c r="O149" s="25">
        <f t="shared" si="24"/>
        <v>0</v>
      </c>
      <c r="P149" s="25">
        <f t="shared" si="25"/>
        <v>0</v>
      </c>
      <c r="Q149" s="26">
        <f t="shared" si="26"/>
        <v>0</v>
      </c>
      <c r="R149" s="27">
        <f t="shared" si="27"/>
        <v>0</v>
      </c>
      <c r="S149" s="28">
        <f t="shared" si="28"/>
        <v>0</v>
      </c>
    </row>
    <row r="150" spans="2:19" hidden="1">
      <c r="B150" s="537" t="s">
        <v>2043</v>
      </c>
      <c r="C150" s="284"/>
      <c r="D150" s="284"/>
      <c r="E150" s="284"/>
      <c r="F150" s="285"/>
      <c r="G150" s="286"/>
      <c r="H150" s="281">
        <f t="shared" si="22"/>
        <v>0</v>
      </c>
      <c r="I150" s="533">
        <f t="shared" si="29"/>
        <v>176.25</v>
      </c>
      <c r="J150" s="282"/>
      <c r="K150" s="283"/>
      <c r="L150" s="530">
        <v>176.25</v>
      </c>
      <c r="M150" s="287" t="s">
        <v>2161</v>
      </c>
      <c r="N150" s="25">
        <f t="shared" si="23"/>
        <v>0</v>
      </c>
      <c r="O150" s="25">
        <f t="shared" si="24"/>
        <v>0</v>
      </c>
      <c r="P150" s="25">
        <f t="shared" si="25"/>
        <v>0</v>
      </c>
      <c r="Q150" s="26">
        <f t="shared" si="26"/>
        <v>0</v>
      </c>
      <c r="R150" s="27">
        <f t="shared" si="27"/>
        <v>0</v>
      </c>
      <c r="S150" s="28">
        <f t="shared" si="28"/>
        <v>0</v>
      </c>
    </row>
    <row r="151" spans="2:19" hidden="1">
      <c r="B151" s="537" t="s">
        <v>2044</v>
      </c>
      <c r="C151" s="284"/>
      <c r="D151" s="284"/>
      <c r="E151" s="284"/>
      <c r="F151" s="285"/>
      <c r="G151" s="286"/>
      <c r="H151" s="281">
        <f t="shared" si="22"/>
        <v>0</v>
      </c>
      <c r="I151" s="533">
        <f t="shared" si="29"/>
        <v>27.26</v>
      </c>
      <c r="J151" s="282"/>
      <c r="K151" s="283"/>
      <c r="L151" s="530">
        <v>27.26</v>
      </c>
      <c r="M151" s="287" t="s">
        <v>2150</v>
      </c>
      <c r="N151" s="25">
        <f t="shared" si="23"/>
        <v>0</v>
      </c>
      <c r="O151" s="25">
        <f t="shared" si="24"/>
        <v>0</v>
      </c>
      <c r="P151" s="25">
        <f t="shared" si="25"/>
        <v>0</v>
      </c>
      <c r="Q151" s="26">
        <f t="shared" si="26"/>
        <v>0</v>
      </c>
      <c r="R151" s="27">
        <f t="shared" si="27"/>
        <v>0</v>
      </c>
      <c r="S151" s="28">
        <f t="shared" si="28"/>
        <v>0</v>
      </c>
    </row>
    <row r="152" spans="2:19">
      <c r="B152" s="529" t="s">
        <v>2045</v>
      </c>
      <c r="C152" s="284"/>
      <c r="D152" s="284"/>
      <c r="E152" s="284"/>
      <c r="F152" s="285">
        <v>12</v>
      </c>
      <c r="G152" s="286"/>
      <c r="H152" s="281">
        <f t="shared" si="22"/>
        <v>12</v>
      </c>
      <c r="I152" s="533">
        <v>63.65</v>
      </c>
      <c r="J152" s="282"/>
      <c r="K152" s="283"/>
      <c r="L152" s="531">
        <v>62.1</v>
      </c>
      <c r="M152" s="287" t="s">
        <v>2139</v>
      </c>
      <c r="N152" s="25">
        <f t="shared" si="23"/>
        <v>0</v>
      </c>
      <c r="O152" s="25">
        <f t="shared" si="24"/>
        <v>0</v>
      </c>
      <c r="P152" s="25">
        <f t="shared" si="25"/>
        <v>0</v>
      </c>
      <c r="Q152" s="26">
        <f t="shared" si="26"/>
        <v>763.8</v>
      </c>
      <c r="R152" s="27">
        <f t="shared" si="27"/>
        <v>0</v>
      </c>
      <c r="S152" s="28">
        <f t="shared" si="28"/>
        <v>763.8</v>
      </c>
    </row>
    <row r="153" spans="2:19" hidden="1">
      <c r="B153" s="537" t="s">
        <v>2046</v>
      </c>
      <c r="C153" s="284"/>
      <c r="D153" s="284"/>
      <c r="E153" s="284"/>
      <c r="F153" s="285"/>
      <c r="G153" s="286"/>
      <c r="H153" s="281">
        <f t="shared" si="22"/>
        <v>0</v>
      </c>
      <c r="I153" s="533">
        <f t="shared" si="29"/>
        <v>12.13</v>
      </c>
      <c r="J153" s="282"/>
      <c r="K153" s="283"/>
      <c r="L153" s="530">
        <v>12.13</v>
      </c>
      <c r="M153" s="287" t="s">
        <v>2176</v>
      </c>
      <c r="N153" s="25">
        <f t="shared" si="23"/>
        <v>0</v>
      </c>
      <c r="O153" s="25">
        <f t="shared" si="24"/>
        <v>0</v>
      </c>
      <c r="P153" s="25">
        <f t="shared" si="25"/>
        <v>0</v>
      </c>
      <c r="Q153" s="26">
        <f t="shared" si="26"/>
        <v>0</v>
      </c>
      <c r="R153" s="27">
        <f t="shared" si="27"/>
        <v>0</v>
      </c>
      <c r="S153" s="28">
        <f t="shared" si="28"/>
        <v>0</v>
      </c>
    </row>
    <row r="154" spans="2:19">
      <c r="B154" s="537" t="s">
        <v>2047</v>
      </c>
      <c r="C154" s="284"/>
      <c r="D154" s="284"/>
      <c r="E154" s="284">
        <v>180</v>
      </c>
      <c r="F154" s="285"/>
      <c r="G154" s="286"/>
      <c r="H154" s="281">
        <f t="shared" si="22"/>
        <v>180</v>
      </c>
      <c r="I154" s="533">
        <v>8.06</v>
      </c>
      <c r="J154" s="282"/>
      <c r="K154" s="283"/>
      <c r="L154" s="530">
        <v>7.66</v>
      </c>
      <c r="M154" s="287" t="s">
        <v>2134</v>
      </c>
      <c r="N154" s="25">
        <f t="shared" si="23"/>
        <v>0</v>
      </c>
      <c r="O154" s="25">
        <f t="shared" si="24"/>
        <v>0</v>
      </c>
      <c r="P154" s="25">
        <f t="shared" si="25"/>
        <v>1450.8000000000002</v>
      </c>
      <c r="Q154" s="26">
        <f t="shared" si="26"/>
        <v>0</v>
      </c>
      <c r="R154" s="27">
        <f t="shared" si="27"/>
        <v>0</v>
      </c>
      <c r="S154" s="28">
        <f t="shared" si="28"/>
        <v>1450.8000000000002</v>
      </c>
    </row>
    <row r="155" spans="2:19" hidden="1">
      <c r="B155" s="537" t="s">
        <v>2048</v>
      </c>
      <c r="C155" s="284"/>
      <c r="D155" s="284"/>
      <c r="E155" s="284"/>
      <c r="F155" s="285"/>
      <c r="G155" s="286"/>
      <c r="H155" s="281">
        <f t="shared" si="22"/>
        <v>0</v>
      </c>
      <c r="I155" s="533">
        <f t="shared" si="29"/>
        <v>88.48</v>
      </c>
      <c r="J155" s="282"/>
      <c r="K155" s="283"/>
      <c r="L155" s="530">
        <v>88.48</v>
      </c>
      <c r="M155" s="287" t="s">
        <v>2136</v>
      </c>
      <c r="N155" s="25">
        <f t="shared" si="23"/>
        <v>0</v>
      </c>
      <c r="O155" s="25">
        <f t="shared" si="24"/>
        <v>0</v>
      </c>
      <c r="P155" s="25">
        <f t="shared" si="25"/>
        <v>0</v>
      </c>
      <c r="Q155" s="26">
        <f t="shared" si="26"/>
        <v>0</v>
      </c>
      <c r="R155" s="27">
        <f t="shared" si="27"/>
        <v>0</v>
      </c>
      <c r="S155" s="28">
        <f t="shared" si="28"/>
        <v>0</v>
      </c>
    </row>
    <row r="156" spans="2:19">
      <c r="B156" s="529" t="s">
        <v>2049</v>
      </c>
      <c r="C156" s="284"/>
      <c r="D156" s="284">
        <v>1400</v>
      </c>
      <c r="E156" s="284"/>
      <c r="F156" s="285"/>
      <c r="G156" s="286"/>
      <c r="H156" s="281">
        <f t="shared" si="22"/>
        <v>1400</v>
      </c>
      <c r="I156" s="533">
        <v>8.06</v>
      </c>
      <c r="J156" s="282"/>
      <c r="K156" s="283"/>
      <c r="L156" s="531">
        <v>158.79</v>
      </c>
      <c r="M156" s="287" t="s">
        <v>2136</v>
      </c>
      <c r="N156" s="25">
        <f t="shared" si="23"/>
        <v>0</v>
      </c>
      <c r="O156" s="25">
        <f t="shared" si="24"/>
        <v>11284</v>
      </c>
      <c r="P156" s="25">
        <f t="shared" si="25"/>
        <v>0</v>
      </c>
      <c r="Q156" s="26">
        <f t="shared" si="26"/>
        <v>0</v>
      </c>
      <c r="R156" s="27">
        <f t="shared" si="27"/>
        <v>0</v>
      </c>
      <c r="S156" s="28">
        <f t="shared" si="28"/>
        <v>11284</v>
      </c>
    </row>
    <row r="157" spans="2:19" hidden="1">
      <c r="B157" s="537" t="s">
        <v>2050</v>
      </c>
      <c r="C157" s="284"/>
      <c r="D157" s="284"/>
      <c r="E157" s="284"/>
      <c r="F157" s="285"/>
      <c r="G157" s="286"/>
      <c r="H157" s="281">
        <f t="shared" si="22"/>
        <v>0</v>
      </c>
      <c r="I157" s="533">
        <f t="shared" si="29"/>
        <v>6.47</v>
      </c>
      <c r="J157" s="282"/>
      <c r="K157" s="283"/>
      <c r="L157" s="530">
        <v>6.47</v>
      </c>
      <c r="M157" s="287" t="s">
        <v>2138</v>
      </c>
      <c r="N157" s="25">
        <f t="shared" si="23"/>
        <v>0</v>
      </c>
      <c r="O157" s="25">
        <f t="shared" si="24"/>
        <v>0</v>
      </c>
      <c r="P157" s="25">
        <f t="shared" si="25"/>
        <v>0</v>
      </c>
      <c r="Q157" s="26">
        <f t="shared" si="26"/>
        <v>0</v>
      </c>
      <c r="R157" s="27">
        <f t="shared" si="27"/>
        <v>0</v>
      </c>
      <c r="S157" s="28">
        <f t="shared" si="28"/>
        <v>0</v>
      </c>
    </row>
    <row r="158" spans="2:19">
      <c r="B158" s="529" t="s">
        <v>2051</v>
      </c>
      <c r="C158" s="284">
        <v>30</v>
      </c>
      <c r="D158" s="284"/>
      <c r="E158" s="284"/>
      <c r="F158" s="285"/>
      <c r="G158" s="286"/>
      <c r="H158" s="281">
        <f t="shared" si="22"/>
        <v>30</v>
      </c>
      <c r="I158" s="533">
        <v>34.83</v>
      </c>
      <c r="J158" s="282"/>
      <c r="K158" s="283"/>
      <c r="L158" s="531">
        <v>33.92</v>
      </c>
      <c r="M158" s="287" t="s">
        <v>2144</v>
      </c>
      <c r="N158" s="25">
        <f t="shared" si="23"/>
        <v>1044.8999999999999</v>
      </c>
      <c r="O158" s="25">
        <f t="shared" si="24"/>
        <v>0</v>
      </c>
      <c r="P158" s="25">
        <f t="shared" si="25"/>
        <v>0</v>
      </c>
      <c r="Q158" s="26">
        <f t="shared" si="26"/>
        <v>0</v>
      </c>
      <c r="R158" s="27">
        <f t="shared" si="27"/>
        <v>0</v>
      </c>
      <c r="S158" s="28">
        <f t="shared" si="28"/>
        <v>1044.8999999999999</v>
      </c>
    </row>
    <row r="159" spans="2:19">
      <c r="B159" s="529" t="s">
        <v>2052</v>
      </c>
      <c r="C159" s="284">
        <v>20</v>
      </c>
      <c r="D159" s="284"/>
      <c r="E159" s="284"/>
      <c r="F159" s="285"/>
      <c r="G159" s="286"/>
      <c r="H159" s="281">
        <f t="shared" si="22"/>
        <v>20</v>
      </c>
      <c r="I159" s="533">
        <v>11.64</v>
      </c>
      <c r="J159" s="282"/>
      <c r="K159" s="283"/>
      <c r="L159" s="531">
        <v>11.33</v>
      </c>
      <c r="M159" s="287" t="s">
        <v>2154</v>
      </c>
      <c r="N159" s="25">
        <f t="shared" si="23"/>
        <v>232.8</v>
      </c>
      <c r="O159" s="25">
        <f t="shared" si="24"/>
        <v>0</v>
      </c>
      <c r="P159" s="25">
        <f t="shared" si="25"/>
        <v>0</v>
      </c>
      <c r="Q159" s="26">
        <f t="shared" si="26"/>
        <v>0</v>
      </c>
      <c r="R159" s="27">
        <f t="shared" si="27"/>
        <v>0</v>
      </c>
      <c r="S159" s="28">
        <f t="shared" si="28"/>
        <v>232.8</v>
      </c>
    </row>
    <row r="160" spans="2:19">
      <c r="B160" s="529" t="s">
        <v>2053</v>
      </c>
      <c r="C160" s="284">
        <v>148</v>
      </c>
      <c r="D160" s="284">
        <v>72</v>
      </c>
      <c r="E160" s="284"/>
      <c r="F160" s="285"/>
      <c r="G160" s="286"/>
      <c r="H160" s="281">
        <f t="shared" si="22"/>
        <v>220</v>
      </c>
      <c r="I160" s="533">
        <v>19.59</v>
      </c>
      <c r="J160" s="282"/>
      <c r="K160" s="283"/>
      <c r="L160" s="531">
        <v>19.079999999999998</v>
      </c>
      <c r="M160" s="287" t="s">
        <v>2163</v>
      </c>
      <c r="N160" s="25">
        <f t="shared" si="23"/>
        <v>2899.32</v>
      </c>
      <c r="O160" s="25">
        <f t="shared" si="24"/>
        <v>1410.48</v>
      </c>
      <c r="P160" s="25">
        <f t="shared" si="25"/>
        <v>0</v>
      </c>
      <c r="Q160" s="26">
        <f t="shared" si="26"/>
        <v>0</v>
      </c>
      <c r="R160" s="27">
        <f t="shared" si="27"/>
        <v>0</v>
      </c>
      <c r="S160" s="28">
        <f t="shared" si="28"/>
        <v>4309.8</v>
      </c>
    </row>
    <row r="161" spans="2:19" hidden="1">
      <c r="B161" s="529" t="s">
        <v>2054</v>
      </c>
      <c r="C161" s="284"/>
      <c r="D161" s="284"/>
      <c r="E161" s="284"/>
      <c r="F161" s="285"/>
      <c r="G161" s="286"/>
      <c r="H161" s="281">
        <f t="shared" si="22"/>
        <v>0</v>
      </c>
      <c r="I161" s="533">
        <f t="shared" si="29"/>
        <v>66.33</v>
      </c>
      <c r="J161" s="282"/>
      <c r="K161" s="283"/>
      <c r="L161" s="531">
        <v>66.33</v>
      </c>
      <c r="M161" s="287" t="s">
        <v>2133</v>
      </c>
      <c r="N161" s="25">
        <f t="shared" si="23"/>
        <v>0</v>
      </c>
      <c r="O161" s="25">
        <f t="shared" si="24"/>
        <v>0</v>
      </c>
      <c r="P161" s="25">
        <f t="shared" si="25"/>
        <v>0</v>
      </c>
      <c r="Q161" s="26">
        <f t="shared" si="26"/>
        <v>0</v>
      </c>
      <c r="R161" s="27">
        <f t="shared" si="27"/>
        <v>0</v>
      </c>
      <c r="S161" s="28">
        <f t="shared" si="28"/>
        <v>0</v>
      </c>
    </row>
    <row r="162" spans="2:19">
      <c r="B162" s="537" t="s">
        <v>2055</v>
      </c>
      <c r="C162" s="284"/>
      <c r="D162" s="284">
        <v>600</v>
      </c>
      <c r="E162" s="284">
        <v>20</v>
      </c>
      <c r="F162" s="285">
        <v>24</v>
      </c>
      <c r="G162" s="286"/>
      <c r="H162" s="281">
        <f t="shared" si="22"/>
        <v>644</v>
      </c>
      <c r="I162" s="533">
        <v>14.23</v>
      </c>
      <c r="J162" s="282"/>
      <c r="K162" s="283"/>
      <c r="L162" s="530">
        <v>13.85</v>
      </c>
      <c r="M162" s="287" t="s">
        <v>2154</v>
      </c>
      <c r="N162" s="25">
        <f t="shared" si="23"/>
        <v>0</v>
      </c>
      <c r="O162" s="25">
        <f t="shared" si="24"/>
        <v>8538</v>
      </c>
      <c r="P162" s="25">
        <f t="shared" si="25"/>
        <v>284.60000000000002</v>
      </c>
      <c r="Q162" s="26">
        <f t="shared" si="26"/>
        <v>341.52</v>
      </c>
      <c r="R162" s="27">
        <f t="shared" si="27"/>
        <v>0</v>
      </c>
      <c r="S162" s="28">
        <f t="shared" si="28"/>
        <v>9164.1200000000008</v>
      </c>
    </row>
    <row r="163" spans="2:19" hidden="1">
      <c r="B163" s="537" t="s">
        <v>2056</v>
      </c>
      <c r="C163" s="284"/>
      <c r="D163" s="284"/>
      <c r="E163" s="284"/>
      <c r="F163" s="285"/>
      <c r="G163" s="286"/>
      <c r="H163" s="281">
        <f t="shared" si="22"/>
        <v>0</v>
      </c>
      <c r="I163" s="533">
        <f t="shared" si="29"/>
        <v>3.17</v>
      </c>
      <c r="J163" s="282"/>
      <c r="K163" s="283"/>
      <c r="L163" s="530">
        <v>3.17</v>
      </c>
      <c r="M163" s="287" t="s">
        <v>2138</v>
      </c>
      <c r="N163" s="25">
        <f t="shared" si="23"/>
        <v>0</v>
      </c>
      <c r="O163" s="25">
        <f t="shared" si="24"/>
        <v>0</v>
      </c>
      <c r="P163" s="25">
        <f t="shared" si="25"/>
        <v>0</v>
      </c>
      <c r="Q163" s="26">
        <f t="shared" si="26"/>
        <v>0</v>
      </c>
      <c r="R163" s="27">
        <f t="shared" si="27"/>
        <v>0</v>
      </c>
      <c r="S163" s="28">
        <f t="shared" si="28"/>
        <v>0</v>
      </c>
    </row>
    <row r="164" spans="2:19">
      <c r="B164" s="529" t="s">
        <v>2057</v>
      </c>
      <c r="C164" s="284">
        <v>390</v>
      </c>
      <c r="D164" s="284"/>
      <c r="E164" s="284"/>
      <c r="F164" s="285">
        <v>120</v>
      </c>
      <c r="G164" s="286"/>
      <c r="H164" s="281">
        <f t="shared" si="22"/>
        <v>510</v>
      </c>
      <c r="I164" s="533">
        <v>5.96</v>
      </c>
      <c r="J164" s="282"/>
      <c r="K164" s="283"/>
      <c r="L164" s="531">
        <v>5.8</v>
      </c>
      <c r="M164" s="287" t="s">
        <v>2144</v>
      </c>
      <c r="N164" s="25">
        <f t="shared" si="23"/>
        <v>2324.4</v>
      </c>
      <c r="O164" s="25">
        <f t="shared" si="24"/>
        <v>0</v>
      </c>
      <c r="P164" s="25">
        <f t="shared" si="25"/>
        <v>0</v>
      </c>
      <c r="Q164" s="26">
        <f t="shared" si="26"/>
        <v>715.2</v>
      </c>
      <c r="R164" s="27">
        <f t="shared" si="27"/>
        <v>0</v>
      </c>
      <c r="S164" s="28">
        <f t="shared" si="28"/>
        <v>3039.6000000000004</v>
      </c>
    </row>
    <row r="165" spans="2:19">
      <c r="B165" s="529" t="s">
        <v>2058</v>
      </c>
      <c r="C165" s="284">
        <v>2400</v>
      </c>
      <c r="D165" s="284">
        <v>1200</v>
      </c>
      <c r="E165" s="284">
        <v>60</v>
      </c>
      <c r="F165" s="285">
        <v>240</v>
      </c>
      <c r="G165" s="286"/>
      <c r="H165" s="281">
        <f t="shared" si="22"/>
        <v>3900</v>
      </c>
      <c r="I165" s="533">
        <v>10.89</v>
      </c>
      <c r="J165" s="282"/>
      <c r="K165" s="283"/>
      <c r="L165" s="531">
        <v>10.59</v>
      </c>
      <c r="M165" s="287" t="s">
        <v>2141</v>
      </c>
      <c r="N165" s="25">
        <f t="shared" si="23"/>
        <v>26136</v>
      </c>
      <c r="O165" s="25">
        <f t="shared" si="24"/>
        <v>13068</v>
      </c>
      <c r="P165" s="25">
        <f t="shared" si="25"/>
        <v>653.40000000000009</v>
      </c>
      <c r="Q165" s="26">
        <f t="shared" si="26"/>
        <v>2613.6000000000004</v>
      </c>
      <c r="R165" s="27">
        <f t="shared" si="27"/>
        <v>0</v>
      </c>
      <c r="S165" s="28">
        <f t="shared" si="28"/>
        <v>42471</v>
      </c>
    </row>
    <row r="166" spans="2:19" hidden="1">
      <c r="B166" s="537" t="s">
        <v>2059</v>
      </c>
      <c r="C166" s="284"/>
      <c r="D166" s="284"/>
      <c r="E166" s="284"/>
      <c r="F166" s="285"/>
      <c r="G166" s="286"/>
      <c r="H166" s="281">
        <f t="shared" si="22"/>
        <v>0</v>
      </c>
      <c r="I166" s="533">
        <f t="shared" si="29"/>
        <v>4.87</v>
      </c>
      <c r="J166" s="282"/>
      <c r="K166" s="283"/>
      <c r="L166" s="530">
        <v>4.87</v>
      </c>
      <c r="M166" s="287" t="s">
        <v>2163</v>
      </c>
      <c r="N166" s="25">
        <f t="shared" si="23"/>
        <v>0</v>
      </c>
      <c r="O166" s="25">
        <f t="shared" si="24"/>
        <v>0</v>
      </c>
      <c r="P166" s="25">
        <f t="shared" si="25"/>
        <v>0</v>
      </c>
      <c r="Q166" s="26">
        <f t="shared" si="26"/>
        <v>0</v>
      </c>
      <c r="R166" s="27">
        <f t="shared" si="27"/>
        <v>0</v>
      </c>
      <c r="S166" s="28">
        <f t="shared" si="28"/>
        <v>0</v>
      </c>
    </row>
    <row r="167" spans="2:19" hidden="1">
      <c r="B167" s="537" t="s">
        <v>2060</v>
      </c>
      <c r="C167" s="284"/>
      <c r="D167" s="284"/>
      <c r="E167" s="284"/>
      <c r="F167" s="285"/>
      <c r="G167" s="286"/>
      <c r="H167" s="281">
        <f t="shared" si="22"/>
        <v>0</v>
      </c>
      <c r="I167" s="533">
        <f t="shared" si="29"/>
        <v>6.79</v>
      </c>
      <c r="J167" s="282"/>
      <c r="K167" s="283"/>
      <c r="L167" s="530">
        <v>6.79</v>
      </c>
      <c r="M167" s="287" t="s">
        <v>2148</v>
      </c>
      <c r="N167" s="25">
        <f t="shared" si="23"/>
        <v>0</v>
      </c>
      <c r="O167" s="25">
        <f t="shared" si="24"/>
        <v>0</v>
      </c>
      <c r="P167" s="25">
        <f t="shared" si="25"/>
        <v>0</v>
      </c>
      <c r="Q167" s="26">
        <f t="shared" si="26"/>
        <v>0</v>
      </c>
      <c r="R167" s="27">
        <f t="shared" si="27"/>
        <v>0</v>
      </c>
      <c r="S167" s="28">
        <f t="shared" si="28"/>
        <v>0</v>
      </c>
    </row>
    <row r="168" spans="2:19" hidden="1">
      <c r="B168" s="537" t="s">
        <v>2061</v>
      </c>
      <c r="C168" s="284"/>
      <c r="D168" s="284"/>
      <c r="E168" s="284"/>
      <c r="F168" s="285"/>
      <c r="G168" s="286"/>
      <c r="H168" s="281">
        <f t="shared" si="22"/>
        <v>0</v>
      </c>
      <c r="I168" s="533">
        <f t="shared" si="29"/>
        <v>14.28</v>
      </c>
      <c r="J168" s="282"/>
      <c r="K168" s="283"/>
      <c r="L168" s="530">
        <v>14.28</v>
      </c>
      <c r="M168" s="287" t="s">
        <v>2146</v>
      </c>
      <c r="N168" s="25">
        <f t="shared" si="23"/>
        <v>0</v>
      </c>
      <c r="O168" s="25">
        <f t="shared" si="24"/>
        <v>0</v>
      </c>
      <c r="P168" s="25">
        <f t="shared" si="25"/>
        <v>0</v>
      </c>
      <c r="Q168" s="26">
        <f t="shared" si="26"/>
        <v>0</v>
      </c>
      <c r="R168" s="27">
        <f t="shared" si="27"/>
        <v>0</v>
      </c>
      <c r="S168" s="28">
        <f t="shared" si="28"/>
        <v>0</v>
      </c>
    </row>
    <row r="169" spans="2:19" hidden="1">
      <c r="B169" s="537" t="s">
        <v>2062</v>
      </c>
      <c r="C169" s="284"/>
      <c r="D169" s="284"/>
      <c r="E169" s="284"/>
      <c r="F169" s="285"/>
      <c r="G169" s="286"/>
      <c r="H169" s="281">
        <f t="shared" si="22"/>
        <v>0</v>
      </c>
      <c r="I169" s="533">
        <f t="shared" si="29"/>
        <v>58.61</v>
      </c>
      <c r="J169" s="282"/>
      <c r="K169" s="283"/>
      <c r="L169" s="530">
        <v>58.61</v>
      </c>
      <c r="M169" s="287" t="s">
        <v>2156</v>
      </c>
      <c r="N169" s="25">
        <f t="shared" si="23"/>
        <v>0</v>
      </c>
      <c r="O169" s="25">
        <f t="shared" si="24"/>
        <v>0</v>
      </c>
      <c r="P169" s="25">
        <f t="shared" si="25"/>
        <v>0</v>
      </c>
      <c r="Q169" s="26">
        <f t="shared" si="26"/>
        <v>0</v>
      </c>
      <c r="R169" s="27">
        <f t="shared" si="27"/>
        <v>0</v>
      </c>
      <c r="S169" s="28">
        <f t="shared" si="28"/>
        <v>0</v>
      </c>
    </row>
    <row r="170" spans="2:19" hidden="1">
      <c r="B170" s="537" t="s">
        <v>2063</v>
      </c>
      <c r="C170" s="284"/>
      <c r="D170" s="284"/>
      <c r="E170" s="284"/>
      <c r="F170" s="285"/>
      <c r="G170" s="286"/>
      <c r="H170" s="281">
        <f t="shared" si="22"/>
        <v>0</v>
      </c>
      <c r="I170" s="533">
        <f t="shared" si="29"/>
        <v>219</v>
      </c>
      <c r="J170" s="282"/>
      <c r="K170" s="283"/>
      <c r="L170" s="530">
        <v>219</v>
      </c>
      <c r="M170" s="287" t="s">
        <v>2151</v>
      </c>
      <c r="N170" s="25">
        <f t="shared" si="23"/>
        <v>0</v>
      </c>
      <c r="O170" s="25">
        <f t="shared" si="24"/>
        <v>0</v>
      </c>
      <c r="P170" s="25">
        <f t="shared" si="25"/>
        <v>0</v>
      </c>
      <c r="Q170" s="26">
        <f t="shared" si="26"/>
        <v>0</v>
      </c>
      <c r="R170" s="27">
        <f t="shared" si="27"/>
        <v>0</v>
      </c>
      <c r="S170" s="28">
        <f t="shared" si="28"/>
        <v>0</v>
      </c>
    </row>
    <row r="171" spans="2:19" hidden="1">
      <c r="B171" s="537" t="s">
        <v>2064</v>
      </c>
      <c r="C171" s="284"/>
      <c r="D171" s="284"/>
      <c r="E171" s="284"/>
      <c r="F171" s="285"/>
      <c r="G171" s="286"/>
      <c r="H171" s="281">
        <f t="shared" si="22"/>
        <v>0</v>
      </c>
      <c r="I171" s="533">
        <f t="shared" si="29"/>
        <v>13.85</v>
      </c>
      <c r="J171" s="282"/>
      <c r="K171" s="283"/>
      <c r="L171" s="530">
        <v>13.85</v>
      </c>
      <c r="M171" s="287" t="s">
        <v>2177</v>
      </c>
      <c r="N171" s="25">
        <f t="shared" si="23"/>
        <v>0</v>
      </c>
      <c r="O171" s="25">
        <f t="shared" si="24"/>
        <v>0</v>
      </c>
      <c r="P171" s="25">
        <f t="shared" si="25"/>
        <v>0</v>
      </c>
      <c r="Q171" s="26">
        <f t="shared" si="26"/>
        <v>0</v>
      </c>
      <c r="R171" s="27">
        <f t="shared" si="27"/>
        <v>0</v>
      </c>
      <c r="S171" s="28">
        <f t="shared" si="28"/>
        <v>0</v>
      </c>
    </row>
    <row r="172" spans="2:19" hidden="1">
      <c r="B172" s="537" t="s">
        <v>2065</v>
      </c>
      <c r="C172" s="284"/>
      <c r="D172" s="284"/>
      <c r="E172" s="284"/>
      <c r="F172" s="285"/>
      <c r="G172" s="286"/>
      <c r="H172" s="281">
        <f t="shared" si="22"/>
        <v>0</v>
      </c>
      <c r="I172" s="533">
        <f t="shared" si="29"/>
        <v>14.08</v>
      </c>
      <c r="J172" s="282"/>
      <c r="K172" s="283"/>
      <c r="L172" s="530">
        <v>14.08</v>
      </c>
      <c r="M172" s="287" t="s">
        <v>2177</v>
      </c>
      <c r="N172" s="25">
        <f t="shared" si="23"/>
        <v>0</v>
      </c>
      <c r="O172" s="25">
        <f t="shared" si="24"/>
        <v>0</v>
      </c>
      <c r="P172" s="25">
        <f t="shared" si="25"/>
        <v>0</v>
      </c>
      <c r="Q172" s="26">
        <f t="shared" si="26"/>
        <v>0</v>
      </c>
      <c r="R172" s="27">
        <f t="shared" si="27"/>
        <v>0</v>
      </c>
      <c r="S172" s="28">
        <f t="shared" si="28"/>
        <v>0</v>
      </c>
    </row>
    <row r="173" spans="2:19" hidden="1">
      <c r="B173" s="537" t="s">
        <v>2066</v>
      </c>
      <c r="C173" s="284"/>
      <c r="D173" s="284"/>
      <c r="E173" s="284"/>
      <c r="F173" s="285"/>
      <c r="G173" s="286"/>
      <c r="H173" s="281">
        <f t="shared" si="22"/>
        <v>0</v>
      </c>
      <c r="I173" s="533">
        <f t="shared" si="29"/>
        <v>10.02</v>
      </c>
      <c r="J173" s="282"/>
      <c r="K173" s="283"/>
      <c r="L173" s="530">
        <v>10.02</v>
      </c>
      <c r="M173" s="287" t="s">
        <v>2178</v>
      </c>
      <c r="N173" s="25">
        <f t="shared" si="23"/>
        <v>0</v>
      </c>
      <c r="O173" s="25">
        <f t="shared" si="24"/>
        <v>0</v>
      </c>
      <c r="P173" s="25">
        <f t="shared" si="25"/>
        <v>0</v>
      </c>
      <c r="Q173" s="26">
        <f t="shared" si="26"/>
        <v>0</v>
      </c>
      <c r="R173" s="27">
        <f t="shared" si="27"/>
        <v>0</v>
      </c>
      <c r="S173" s="28">
        <f t="shared" si="28"/>
        <v>0</v>
      </c>
    </row>
    <row r="174" spans="2:19" hidden="1">
      <c r="B174" s="537" t="s">
        <v>2067</v>
      </c>
      <c r="C174" s="284"/>
      <c r="D174" s="284"/>
      <c r="E174" s="284"/>
      <c r="F174" s="285"/>
      <c r="G174" s="286"/>
      <c r="H174" s="281">
        <f t="shared" si="22"/>
        <v>0</v>
      </c>
      <c r="I174" s="533">
        <f t="shared" si="29"/>
        <v>23.1</v>
      </c>
      <c r="J174" s="282"/>
      <c r="K174" s="283"/>
      <c r="L174" s="530">
        <v>23.1</v>
      </c>
      <c r="M174" s="287" t="s">
        <v>2160</v>
      </c>
      <c r="N174" s="25">
        <f t="shared" si="23"/>
        <v>0</v>
      </c>
      <c r="O174" s="25">
        <f t="shared" si="24"/>
        <v>0</v>
      </c>
      <c r="P174" s="25">
        <f t="shared" si="25"/>
        <v>0</v>
      </c>
      <c r="Q174" s="26">
        <f t="shared" si="26"/>
        <v>0</v>
      </c>
      <c r="R174" s="27">
        <f t="shared" si="27"/>
        <v>0</v>
      </c>
      <c r="S174" s="28">
        <f t="shared" si="28"/>
        <v>0</v>
      </c>
    </row>
    <row r="175" spans="2:19" hidden="1">
      <c r="B175" s="537" t="s">
        <v>2068</v>
      </c>
      <c r="C175" s="284"/>
      <c r="D175" s="284"/>
      <c r="E175" s="284"/>
      <c r="F175" s="285"/>
      <c r="G175" s="286"/>
      <c r="H175" s="281">
        <f t="shared" si="22"/>
        <v>0</v>
      </c>
      <c r="I175" s="533">
        <f t="shared" si="29"/>
        <v>10.32</v>
      </c>
      <c r="J175" s="282"/>
      <c r="K175" s="283"/>
      <c r="L175" s="530">
        <v>10.32</v>
      </c>
      <c r="M175" s="287" t="s">
        <v>2132</v>
      </c>
      <c r="N175" s="25">
        <f t="shared" si="23"/>
        <v>0</v>
      </c>
      <c r="O175" s="25">
        <f t="shared" si="24"/>
        <v>0</v>
      </c>
      <c r="P175" s="25">
        <f t="shared" si="25"/>
        <v>0</v>
      </c>
      <c r="Q175" s="26">
        <f t="shared" si="26"/>
        <v>0</v>
      </c>
      <c r="R175" s="27">
        <f t="shared" si="27"/>
        <v>0</v>
      </c>
      <c r="S175" s="28">
        <f t="shared" si="28"/>
        <v>0</v>
      </c>
    </row>
    <row r="176" spans="2:19">
      <c r="B176" s="529" t="s">
        <v>2069</v>
      </c>
      <c r="C176" s="284"/>
      <c r="D176" s="284">
        <v>100</v>
      </c>
      <c r="E176" s="284"/>
      <c r="F176" s="285">
        <v>36</v>
      </c>
      <c r="G176" s="286"/>
      <c r="H176" s="281">
        <f t="shared" si="22"/>
        <v>136</v>
      </c>
      <c r="I176" s="533">
        <v>8.51</v>
      </c>
      <c r="J176" s="282"/>
      <c r="K176" s="283"/>
      <c r="L176" s="531">
        <v>8.2799999999999994</v>
      </c>
      <c r="M176" s="287" t="s">
        <v>2154</v>
      </c>
      <c r="N176" s="25">
        <f t="shared" si="23"/>
        <v>0</v>
      </c>
      <c r="O176" s="25">
        <f t="shared" si="24"/>
        <v>851</v>
      </c>
      <c r="P176" s="25">
        <f t="shared" si="25"/>
        <v>0</v>
      </c>
      <c r="Q176" s="26">
        <f t="shared" si="26"/>
        <v>306.36</v>
      </c>
      <c r="R176" s="27">
        <f t="shared" si="27"/>
        <v>0</v>
      </c>
      <c r="S176" s="28">
        <f t="shared" si="28"/>
        <v>1157.3600000000001</v>
      </c>
    </row>
    <row r="177" spans="2:19">
      <c r="B177" s="529" t="s">
        <v>2070</v>
      </c>
      <c r="C177" s="284"/>
      <c r="D177" s="284">
        <v>80</v>
      </c>
      <c r="E177" s="284"/>
      <c r="F177" s="285"/>
      <c r="G177" s="286"/>
      <c r="H177" s="281">
        <f t="shared" si="22"/>
        <v>80</v>
      </c>
      <c r="I177" s="533">
        <f t="shared" si="29"/>
        <v>33.99</v>
      </c>
      <c r="J177" s="282"/>
      <c r="K177" s="283"/>
      <c r="L177" s="531">
        <v>33.99</v>
      </c>
      <c r="M177" s="287" t="s">
        <v>2141</v>
      </c>
      <c r="N177" s="25">
        <f t="shared" si="23"/>
        <v>0</v>
      </c>
      <c r="O177" s="25">
        <f t="shared" si="24"/>
        <v>2719.2000000000003</v>
      </c>
      <c r="P177" s="25">
        <f t="shared" si="25"/>
        <v>0</v>
      </c>
      <c r="Q177" s="26">
        <f t="shared" si="26"/>
        <v>0</v>
      </c>
      <c r="R177" s="27">
        <f t="shared" si="27"/>
        <v>0</v>
      </c>
      <c r="S177" s="28">
        <f t="shared" si="28"/>
        <v>2719.2000000000003</v>
      </c>
    </row>
    <row r="178" spans="2:19">
      <c r="B178" s="529" t="s">
        <v>2071</v>
      </c>
      <c r="C178" s="284"/>
      <c r="D178" s="284">
        <v>80</v>
      </c>
      <c r="E178" s="284"/>
      <c r="F178" s="285"/>
      <c r="G178" s="286"/>
      <c r="H178" s="281">
        <f t="shared" si="22"/>
        <v>80</v>
      </c>
      <c r="I178" s="533">
        <v>60.29</v>
      </c>
      <c r="J178" s="282"/>
      <c r="K178" s="283"/>
      <c r="L178" s="531">
        <v>58.73</v>
      </c>
      <c r="M178" s="287" t="s">
        <v>2179</v>
      </c>
      <c r="N178" s="25">
        <f t="shared" si="23"/>
        <v>0</v>
      </c>
      <c r="O178" s="25">
        <f t="shared" si="24"/>
        <v>4823.2</v>
      </c>
      <c r="P178" s="25">
        <f t="shared" si="25"/>
        <v>0</v>
      </c>
      <c r="Q178" s="26">
        <f t="shared" si="26"/>
        <v>0</v>
      </c>
      <c r="R178" s="27">
        <f t="shared" si="27"/>
        <v>0</v>
      </c>
      <c r="S178" s="28">
        <f t="shared" si="28"/>
        <v>4823.2</v>
      </c>
    </row>
    <row r="179" spans="2:19">
      <c r="B179" s="529" t="s">
        <v>2072</v>
      </c>
      <c r="C179" s="284"/>
      <c r="D179" s="284">
        <v>120</v>
      </c>
      <c r="E179" s="284"/>
      <c r="F179" s="285"/>
      <c r="G179" s="286"/>
      <c r="H179" s="281">
        <f t="shared" si="22"/>
        <v>120</v>
      </c>
      <c r="I179" s="533">
        <v>20.86</v>
      </c>
      <c r="J179" s="282"/>
      <c r="K179" s="283"/>
      <c r="L179" s="531">
        <v>20.32</v>
      </c>
      <c r="M179" s="287" t="s">
        <v>2149</v>
      </c>
      <c r="N179" s="25">
        <f t="shared" si="23"/>
        <v>0</v>
      </c>
      <c r="O179" s="25">
        <f t="shared" si="24"/>
        <v>2503.1999999999998</v>
      </c>
      <c r="P179" s="25">
        <f t="shared" si="25"/>
        <v>0</v>
      </c>
      <c r="Q179" s="26">
        <f t="shared" si="26"/>
        <v>0</v>
      </c>
      <c r="R179" s="27">
        <f t="shared" si="27"/>
        <v>0</v>
      </c>
      <c r="S179" s="28">
        <f t="shared" si="28"/>
        <v>2503.1999999999998</v>
      </c>
    </row>
    <row r="180" spans="2:19" hidden="1">
      <c r="B180" s="537" t="s">
        <v>2073</v>
      </c>
      <c r="C180" s="284"/>
      <c r="D180" s="284"/>
      <c r="E180" s="284"/>
      <c r="F180" s="285"/>
      <c r="G180" s="286"/>
      <c r="H180" s="281">
        <f t="shared" si="22"/>
        <v>0</v>
      </c>
      <c r="I180" s="533">
        <f t="shared" si="29"/>
        <v>22.13</v>
      </c>
      <c r="J180" s="282"/>
      <c r="K180" s="283"/>
      <c r="L180" s="530">
        <v>22.13</v>
      </c>
      <c r="M180" s="287" t="s">
        <v>2173</v>
      </c>
      <c r="N180" s="25">
        <f t="shared" si="23"/>
        <v>0</v>
      </c>
      <c r="O180" s="25">
        <f t="shared" si="24"/>
        <v>0</v>
      </c>
      <c r="P180" s="25">
        <f t="shared" si="25"/>
        <v>0</v>
      </c>
      <c r="Q180" s="26">
        <f t="shared" si="26"/>
        <v>0</v>
      </c>
      <c r="R180" s="27">
        <f t="shared" si="27"/>
        <v>0</v>
      </c>
      <c r="S180" s="28">
        <f t="shared" si="28"/>
        <v>0</v>
      </c>
    </row>
    <row r="181" spans="2:19" hidden="1">
      <c r="B181" s="537" t="s">
        <v>2074</v>
      </c>
      <c r="C181" s="284"/>
      <c r="D181" s="284"/>
      <c r="E181" s="284"/>
      <c r="F181" s="285"/>
      <c r="G181" s="286"/>
      <c r="H181" s="281">
        <f t="shared" ref="H181:H236" si="30">SUM(C181:G181)</f>
        <v>0</v>
      </c>
      <c r="I181" s="533">
        <f t="shared" ref="I181:I236" si="31">L181-(L181*J181)</f>
        <v>22.89</v>
      </c>
      <c r="J181" s="282"/>
      <c r="K181" s="283"/>
      <c r="L181" s="530">
        <v>22.89</v>
      </c>
      <c r="M181" s="287" t="s">
        <v>2162</v>
      </c>
      <c r="N181" s="25">
        <f t="shared" si="23"/>
        <v>0</v>
      </c>
      <c r="O181" s="25">
        <f t="shared" si="24"/>
        <v>0</v>
      </c>
      <c r="P181" s="25">
        <f t="shared" si="25"/>
        <v>0</v>
      </c>
      <c r="Q181" s="26">
        <f t="shared" si="26"/>
        <v>0</v>
      </c>
      <c r="R181" s="27">
        <f t="shared" si="27"/>
        <v>0</v>
      </c>
      <c r="S181" s="28">
        <f t="shared" si="28"/>
        <v>0</v>
      </c>
    </row>
    <row r="182" spans="2:19" hidden="1">
      <c r="B182" s="537" t="s">
        <v>2075</v>
      </c>
      <c r="C182" s="284"/>
      <c r="D182" s="284"/>
      <c r="E182" s="284"/>
      <c r="F182" s="285"/>
      <c r="G182" s="286"/>
      <c r="H182" s="281">
        <f t="shared" si="30"/>
        <v>0</v>
      </c>
      <c r="I182" s="533">
        <f t="shared" si="31"/>
        <v>5.62</v>
      </c>
      <c r="J182" s="282"/>
      <c r="K182" s="283"/>
      <c r="L182" s="530">
        <v>5.62</v>
      </c>
      <c r="M182" s="287" t="s">
        <v>2138</v>
      </c>
      <c r="N182" s="25">
        <f t="shared" si="23"/>
        <v>0</v>
      </c>
      <c r="O182" s="25">
        <f t="shared" si="24"/>
        <v>0</v>
      </c>
      <c r="P182" s="25">
        <f t="shared" si="25"/>
        <v>0</v>
      </c>
      <c r="Q182" s="26">
        <f t="shared" si="26"/>
        <v>0</v>
      </c>
      <c r="R182" s="27">
        <f t="shared" si="27"/>
        <v>0</v>
      </c>
      <c r="S182" s="28">
        <f t="shared" si="28"/>
        <v>0</v>
      </c>
    </row>
    <row r="183" spans="2:19" hidden="1">
      <c r="B183" s="537" t="s">
        <v>2076</v>
      </c>
      <c r="C183" s="284"/>
      <c r="D183" s="284"/>
      <c r="E183" s="284"/>
      <c r="F183" s="285"/>
      <c r="G183" s="286"/>
      <c r="H183" s="281">
        <f t="shared" si="30"/>
        <v>0</v>
      </c>
      <c r="I183" s="533">
        <f t="shared" si="31"/>
        <v>10.050000000000001</v>
      </c>
      <c r="J183" s="282"/>
      <c r="K183" s="283"/>
      <c r="L183" s="534">
        <v>10.050000000000001</v>
      </c>
      <c r="M183" s="287" t="s">
        <v>2144</v>
      </c>
      <c r="N183" s="25">
        <f t="shared" si="23"/>
        <v>0</v>
      </c>
      <c r="O183" s="25">
        <f t="shared" si="24"/>
        <v>0</v>
      </c>
      <c r="P183" s="25">
        <f t="shared" si="25"/>
        <v>0</v>
      </c>
      <c r="Q183" s="26">
        <f t="shared" si="26"/>
        <v>0</v>
      </c>
      <c r="R183" s="27">
        <f t="shared" si="27"/>
        <v>0</v>
      </c>
      <c r="S183" s="28">
        <f t="shared" si="28"/>
        <v>0</v>
      </c>
    </row>
    <row r="184" spans="2:19">
      <c r="B184" s="529" t="s">
        <v>2077</v>
      </c>
      <c r="C184" s="284"/>
      <c r="D184" s="284"/>
      <c r="E184" s="284"/>
      <c r="F184" s="285">
        <v>60</v>
      </c>
      <c r="G184" s="286"/>
      <c r="H184" s="281">
        <f t="shared" si="30"/>
        <v>60</v>
      </c>
      <c r="I184" s="533">
        <v>17.57</v>
      </c>
      <c r="J184" s="282"/>
      <c r="K184" s="283"/>
      <c r="L184" s="535">
        <v>17.14</v>
      </c>
      <c r="M184" s="536" t="s">
        <v>2144</v>
      </c>
      <c r="N184" s="25">
        <f t="shared" si="23"/>
        <v>0</v>
      </c>
      <c r="O184" s="25">
        <f t="shared" si="24"/>
        <v>0</v>
      </c>
      <c r="P184" s="25">
        <f t="shared" si="25"/>
        <v>0</v>
      </c>
      <c r="Q184" s="26">
        <f t="shared" si="26"/>
        <v>1054.2</v>
      </c>
      <c r="R184" s="27">
        <f t="shared" si="27"/>
        <v>0</v>
      </c>
      <c r="S184" s="28">
        <f t="shared" si="28"/>
        <v>1054.2</v>
      </c>
    </row>
    <row r="185" spans="2:19">
      <c r="B185" s="529" t="s">
        <v>2078</v>
      </c>
      <c r="C185" s="284"/>
      <c r="D185" s="284"/>
      <c r="E185" s="284">
        <v>36</v>
      </c>
      <c r="F185" s="285"/>
      <c r="G185" s="286"/>
      <c r="H185" s="281">
        <f t="shared" si="30"/>
        <v>36</v>
      </c>
      <c r="I185" s="533">
        <v>31.62</v>
      </c>
      <c r="J185" s="282"/>
      <c r="K185" s="283"/>
      <c r="L185" s="535">
        <v>30.85</v>
      </c>
      <c r="M185" s="536" t="s">
        <v>2141</v>
      </c>
      <c r="N185" s="25">
        <f t="shared" si="23"/>
        <v>0</v>
      </c>
      <c r="O185" s="25">
        <f t="shared" si="24"/>
        <v>0</v>
      </c>
      <c r="P185" s="25">
        <f t="shared" si="25"/>
        <v>1138.32</v>
      </c>
      <c r="Q185" s="26">
        <f t="shared" si="26"/>
        <v>0</v>
      </c>
      <c r="R185" s="27">
        <f t="shared" si="27"/>
        <v>0</v>
      </c>
      <c r="S185" s="28">
        <f t="shared" si="28"/>
        <v>1138.32</v>
      </c>
    </row>
    <row r="186" spans="2:19" hidden="1">
      <c r="B186" s="537" t="s">
        <v>2079</v>
      </c>
      <c r="C186" s="284"/>
      <c r="D186" s="284"/>
      <c r="E186" s="284"/>
      <c r="F186" s="285"/>
      <c r="G186" s="286"/>
      <c r="H186" s="281">
        <f t="shared" si="30"/>
        <v>0</v>
      </c>
      <c r="I186" s="533">
        <f t="shared" si="31"/>
        <v>10.5</v>
      </c>
      <c r="J186" s="282"/>
      <c r="K186" s="283"/>
      <c r="L186" s="534">
        <v>10.5</v>
      </c>
      <c r="M186" s="536" t="s">
        <v>2177</v>
      </c>
      <c r="N186" s="25">
        <f t="shared" si="23"/>
        <v>0</v>
      </c>
      <c r="O186" s="25">
        <f t="shared" si="24"/>
        <v>0</v>
      </c>
      <c r="P186" s="25">
        <f t="shared" si="25"/>
        <v>0</v>
      </c>
      <c r="Q186" s="26">
        <f t="shared" si="26"/>
        <v>0</v>
      </c>
      <c r="R186" s="27">
        <f t="shared" si="27"/>
        <v>0</v>
      </c>
      <c r="S186" s="28">
        <f t="shared" si="28"/>
        <v>0</v>
      </c>
    </row>
    <row r="187" spans="2:19" hidden="1">
      <c r="B187" s="537" t="s">
        <v>2080</v>
      </c>
      <c r="C187" s="284"/>
      <c r="D187" s="284"/>
      <c r="E187" s="284"/>
      <c r="F187" s="285"/>
      <c r="G187" s="286"/>
      <c r="H187" s="281">
        <f t="shared" si="30"/>
        <v>0</v>
      </c>
      <c r="I187" s="533">
        <f t="shared" si="31"/>
        <v>8.5</v>
      </c>
      <c r="J187" s="282"/>
      <c r="K187" s="283"/>
      <c r="L187" s="534">
        <v>8.5</v>
      </c>
      <c r="M187" s="536" t="s">
        <v>2180</v>
      </c>
      <c r="N187" s="25">
        <f t="shared" si="23"/>
        <v>0</v>
      </c>
      <c r="O187" s="25">
        <f t="shared" si="24"/>
        <v>0</v>
      </c>
      <c r="P187" s="25">
        <f t="shared" si="25"/>
        <v>0</v>
      </c>
      <c r="Q187" s="26">
        <f t="shared" si="26"/>
        <v>0</v>
      </c>
      <c r="R187" s="27">
        <f t="shared" si="27"/>
        <v>0</v>
      </c>
      <c r="S187" s="28">
        <f t="shared" si="28"/>
        <v>0</v>
      </c>
    </row>
    <row r="188" spans="2:19" hidden="1">
      <c r="B188" s="537" t="s">
        <v>2081</v>
      </c>
      <c r="C188" s="284"/>
      <c r="D188" s="284"/>
      <c r="E188" s="284"/>
      <c r="F188" s="285"/>
      <c r="G188" s="286"/>
      <c r="H188" s="281">
        <f t="shared" si="30"/>
        <v>0</v>
      </c>
      <c r="I188" s="533">
        <f t="shared" si="31"/>
        <v>23.74</v>
      </c>
      <c r="J188" s="282"/>
      <c r="K188" s="283"/>
      <c r="L188" s="534">
        <v>23.74</v>
      </c>
      <c r="M188" s="536" t="s">
        <v>2181</v>
      </c>
      <c r="N188" s="25">
        <f t="shared" si="23"/>
        <v>0</v>
      </c>
      <c r="O188" s="25">
        <f t="shared" si="24"/>
        <v>0</v>
      </c>
      <c r="P188" s="25">
        <f t="shared" si="25"/>
        <v>0</v>
      </c>
      <c r="Q188" s="26">
        <f t="shared" si="26"/>
        <v>0</v>
      </c>
      <c r="R188" s="27">
        <f t="shared" si="27"/>
        <v>0</v>
      </c>
      <c r="S188" s="28">
        <f t="shared" si="28"/>
        <v>0</v>
      </c>
    </row>
    <row r="189" spans="2:19" hidden="1">
      <c r="B189" s="537" t="s">
        <v>2082</v>
      </c>
      <c r="C189" s="284"/>
      <c r="D189" s="284"/>
      <c r="E189" s="284"/>
      <c r="F189" s="285"/>
      <c r="G189" s="286"/>
      <c r="H189" s="281">
        <f t="shared" si="30"/>
        <v>0</v>
      </c>
      <c r="I189" s="533">
        <f t="shared" si="31"/>
        <v>13.98</v>
      </c>
      <c r="J189" s="282"/>
      <c r="K189" s="283"/>
      <c r="L189" s="534">
        <v>13.98</v>
      </c>
      <c r="M189" s="536" t="s">
        <v>2182</v>
      </c>
      <c r="N189" s="25">
        <f t="shared" si="23"/>
        <v>0</v>
      </c>
      <c r="O189" s="25">
        <f t="shared" si="24"/>
        <v>0</v>
      </c>
      <c r="P189" s="25">
        <f t="shared" si="25"/>
        <v>0</v>
      </c>
      <c r="Q189" s="26">
        <f t="shared" si="26"/>
        <v>0</v>
      </c>
      <c r="R189" s="27">
        <f t="shared" si="27"/>
        <v>0</v>
      </c>
      <c r="S189" s="28">
        <f t="shared" si="28"/>
        <v>0</v>
      </c>
    </row>
    <row r="190" spans="2:19" hidden="1">
      <c r="B190" s="537" t="s">
        <v>2083</v>
      </c>
      <c r="C190" s="284"/>
      <c r="D190" s="284"/>
      <c r="E190" s="284"/>
      <c r="F190" s="285"/>
      <c r="G190" s="286"/>
      <c r="H190" s="281">
        <f t="shared" si="30"/>
        <v>0</v>
      </c>
      <c r="I190" s="533">
        <f t="shared" si="31"/>
        <v>270.72000000000003</v>
      </c>
      <c r="J190" s="282"/>
      <c r="K190" s="283"/>
      <c r="L190" s="534">
        <v>270.72000000000003</v>
      </c>
      <c r="M190" s="536" t="s">
        <v>2169</v>
      </c>
      <c r="N190" s="25">
        <f t="shared" si="23"/>
        <v>0</v>
      </c>
      <c r="O190" s="25">
        <f t="shared" si="24"/>
        <v>0</v>
      </c>
      <c r="P190" s="25">
        <f t="shared" si="25"/>
        <v>0</v>
      </c>
      <c r="Q190" s="26">
        <f t="shared" si="26"/>
        <v>0</v>
      </c>
      <c r="R190" s="27">
        <f t="shared" si="27"/>
        <v>0</v>
      </c>
      <c r="S190" s="28">
        <f t="shared" si="28"/>
        <v>0</v>
      </c>
    </row>
    <row r="191" spans="2:19" hidden="1">
      <c r="B191" s="537" t="s">
        <v>2084</v>
      </c>
      <c r="C191" s="284"/>
      <c r="D191" s="284"/>
      <c r="E191" s="284"/>
      <c r="F191" s="285"/>
      <c r="G191" s="286"/>
      <c r="H191" s="281">
        <f t="shared" si="30"/>
        <v>0</v>
      </c>
      <c r="I191" s="533">
        <f t="shared" si="31"/>
        <v>30.41</v>
      </c>
      <c r="J191" s="282"/>
      <c r="K191" s="283"/>
      <c r="L191" s="534">
        <v>30.41</v>
      </c>
      <c r="M191" s="536" t="s">
        <v>2130</v>
      </c>
      <c r="N191" s="25">
        <f t="shared" si="23"/>
        <v>0</v>
      </c>
      <c r="O191" s="25">
        <f t="shared" si="24"/>
        <v>0</v>
      </c>
      <c r="P191" s="25">
        <f t="shared" si="25"/>
        <v>0</v>
      </c>
      <c r="Q191" s="26">
        <f t="shared" si="26"/>
        <v>0</v>
      </c>
      <c r="R191" s="27">
        <f t="shared" si="27"/>
        <v>0</v>
      </c>
      <c r="S191" s="28">
        <f t="shared" si="28"/>
        <v>0</v>
      </c>
    </row>
    <row r="192" spans="2:19" hidden="1">
      <c r="B192" s="537" t="s">
        <v>2085</v>
      </c>
      <c r="C192" s="284"/>
      <c r="D192" s="284"/>
      <c r="E192" s="284"/>
      <c r="F192" s="285"/>
      <c r="G192" s="286"/>
      <c r="H192" s="281">
        <f t="shared" si="30"/>
        <v>0</v>
      </c>
      <c r="I192" s="533">
        <f t="shared" si="31"/>
        <v>9.9700000000000006</v>
      </c>
      <c r="J192" s="282"/>
      <c r="K192" s="283"/>
      <c r="L192" s="534">
        <v>9.9700000000000006</v>
      </c>
      <c r="M192" s="536" t="s">
        <v>2172</v>
      </c>
      <c r="N192" s="25">
        <f t="shared" si="23"/>
        <v>0</v>
      </c>
      <c r="O192" s="25">
        <f t="shared" si="24"/>
        <v>0</v>
      </c>
      <c r="P192" s="25">
        <f t="shared" si="25"/>
        <v>0</v>
      </c>
      <c r="Q192" s="26">
        <f t="shared" si="26"/>
        <v>0</v>
      </c>
      <c r="R192" s="27">
        <f t="shared" si="27"/>
        <v>0</v>
      </c>
      <c r="S192" s="28">
        <f t="shared" si="28"/>
        <v>0</v>
      </c>
    </row>
    <row r="193" spans="2:19" hidden="1">
      <c r="B193" s="537" t="s">
        <v>2086</v>
      </c>
      <c r="C193" s="284"/>
      <c r="D193" s="284"/>
      <c r="E193" s="284"/>
      <c r="F193" s="285"/>
      <c r="G193" s="286"/>
      <c r="H193" s="281">
        <f t="shared" si="30"/>
        <v>0</v>
      </c>
      <c r="I193" s="533">
        <f t="shared" si="31"/>
        <v>25.62</v>
      </c>
      <c r="J193" s="282"/>
      <c r="K193" s="283"/>
      <c r="L193" s="534">
        <v>25.62</v>
      </c>
      <c r="M193" s="536" t="s">
        <v>2133</v>
      </c>
      <c r="N193" s="25">
        <f t="shared" si="23"/>
        <v>0</v>
      </c>
      <c r="O193" s="25">
        <f t="shared" si="24"/>
        <v>0</v>
      </c>
      <c r="P193" s="25">
        <f t="shared" si="25"/>
        <v>0</v>
      </c>
      <c r="Q193" s="26">
        <f t="shared" si="26"/>
        <v>0</v>
      </c>
      <c r="R193" s="27">
        <f t="shared" si="27"/>
        <v>0</v>
      </c>
      <c r="S193" s="28">
        <f t="shared" si="28"/>
        <v>0</v>
      </c>
    </row>
    <row r="194" spans="2:19" hidden="1">
      <c r="B194" s="537" t="s">
        <v>2087</v>
      </c>
      <c r="C194" s="284"/>
      <c r="D194" s="284"/>
      <c r="E194" s="284"/>
      <c r="F194" s="285"/>
      <c r="G194" s="286"/>
      <c r="H194" s="281">
        <f t="shared" si="30"/>
        <v>0</v>
      </c>
      <c r="I194" s="533">
        <f t="shared" si="31"/>
        <v>8.69</v>
      </c>
      <c r="J194" s="282"/>
      <c r="K194" s="283"/>
      <c r="L194" s="534">
        <v>8.69</v>
      </c>
      <c r="M194" s="536" t="s">
        <v>2154</v>
      </c>
      <c r="N194" s="25">
        <f t="shared" si="23"/>
        <v>0</v>
      </c>
      <c r="O194" s="25">
        <f t="shared" si="24"/>
        <v>0</v>
      </c>
      <c r="P194" s="25">
        <f t="shared" si="25"/>
        <v>0</v>
      </c>
      <c r="Q194" s="26">
        <f t="shared" si="26"/>
        <v>0</v>
      </c>
      <c r="R194" s="27">
        <f t="shared" si="27"/>
        <v>0</v>
      </c>
      <c r="S194" s="28">
        <f t="shared" si="28"/>
        <v>0</v>
      </c>
    </row>
    <row r="195" spans="2:19" hidden="1">
      <c r="B195" s="537" t="s">
        <v>2088</v>
      </c>
      <c r="C195" s="284"/>
      <c r="D195" s="284"/>
      <c r="E195" s="284"/>
      <c r="F195" s="285"/>
      <c r="G195" s="286"/>
      <c r="H195" s="281">
        <f t="shared" si="30"/>
        <v>0</v>
      </c>
      <c r="I195" s="533">
        <f t="shared" si="31"/>
        <v>34.119999999999997</v>
      </c>
      <c r="J195" s="282"/>
      <c r="K195" s="283"/>
      <c r="L195" s="534">
        <v>34.119999999999997</v>
      </c>
      <c r="M195" s="536" t="s">
        <v>2166</v>
      </c>
      <c r="N195" s="25">
        <f t="shared" si="23"/>
        <v>0</v>
      </c>
      <c r="O195" s="25">
        <f t="shared" si="24"/>
        <v>0</v>
      </c>
      <c r="P195" s="25">
        <f t="shared" si="25"/>
        <v>0</v>
      </c>
      <c r="Q195" s="26">
        <f t="shared" si="26"/>
        <v>0</v>
      </c>
      <c r="R195" s="27">
        <f t="shared" si="27"/>
        <v>0</v>
      </c>
      <c r="S195" s="28">
        <f t="shared" si="28"/>
        <v>0</v>
      </c>
    </row>
    <row r="196" spans="2:19">
      <c r="B196" s="529" t="s">
        <v>2089</v>
      </c>
      <c r="C196" s="284"/>
      <c r="D196" s="284"/>
      <c r="E196" s="284">
        <v>12</v>
      </c>
      <c r="F196" s="285"/>
      <c r="G196" s="286"/>
      <c r="H196" s="281">
        <f t="shared" si="30"/>
        <v>12</v>
      </c>
      <c r="I196" s="533">
        <v>16.809999999999999</v>
      </c>
      <c r="J196" s="282"/>
      <c r="K196" s="283"/>
      <c r="L196" s="535">
        <v>16.37</v>
      </c>
      <c r="M196" s="536" t="s">
        <v>2183</v>
      </c>
      <c r="N196" s="25">
        <f t="shared" si="23"/>
        <v>0</v>
      </c>
      <c r="O196" s="25">
        <f t="shared" si="24"/>
        <v>0</v>
      </c>
      <c r="P196" s="25">
        <f t="shared" si="25"/>
        <v>201.71999999999997</v>
      </c>
      <c r="Q196" s="26">
        <f t="shared" si="26"/>
        <v>0</v>
      </c>
      <c r="R196" s="27">
        <f t="shared" si="27"/>
        <v>0</v>
      </c>
      <c r="S196" s="28">
        <f t="shared" si="28"/>
        <v>201.71999999999997</v>
      </c>
    </row>
    <row r="197" spans="2:19" hidden="1">
      <c r="B197" s="537" t="s">
        <v>2090</v>
      </c>
      <c r="C197" s="284"/>
      <c r="D197" s="284"/>
      <c r="E197" s="284"/>
      <c r="F197" s="285"/>
      <c r="G197" s="286"/>
      <c r="H197" s="281">
        <f t="shared" si="30"/>
        <v>0</v>
      </c>
      <c r="I197" s="533">
        <f t="shared" si="31"/>
        <v>119.7</v>
      </c>
      <c r="J197" s="282"/>
      <c r="K197" s="283"/>
      <c r="L197" s="534">
        <v>119.7</v>
      </c>
      <c r="M197" s="536" t="s">
        <v>2139</v>
      </c>
      <c r="N197" s="25">
        <f t="shared" si="23"/>
        <v>0</v>
      </c>
      <c r="O197" s="25">
        <f t="shared" si="24"/>
        <v>0</v>
      </c>
      <c r="P197" s="25">
        <f t="shared" si="25"/>
        <v>0</v>
      </c>
      <c r="Q197" s="26">
        <f t="shared" si="26"/>
        <v>0</v>
      </c>
      <c r="R197" s="27">
        <f t="shared" si="27"/>
        <v>0</v>
      </c>
      <c r="S197" s="28">
        <f t="shared" si="28"/>
        <v>0</v>
      </c>
    </row>
    <row r="198" spans="2:19" hidden="1">
      <c r="B198" s="529" t="s">
        <v>2091</v>
      </c>
      <c r="C198" s="284"/>
      <c r="D198" s="284"/>
      <c r="E198" s="284"/>
      <c r="F198" s="285"/>
      <c r="G198" s="286"/>
      <c r="H198" s="281">
        <f t="shared" si="30"/>
        <v>0</v>
      </c>
      <c r="I198" s="533">
        <f t="shared" si="31"/>
        <v>29.67</v>
      </c>
      <c r="J198" s="282"/>
      <c r="K198" s="283"/>
      <c r="L198" s="535">
        <v>29.67</v>
      </c>
      <c r="M198" s="536" t="s">
        <v>2141</v>
      </c>
      <c r="N198" s="25">
        <f t="shared" si="23"/>
        <v>0</v>
      </c>
      <c r="O198" s="25">
        <f t="shared" si="24"/>
        <v>0</v>
      </c>
      <c r="P198" s="25">
        <f t="shared" si="25"/>
        <v>0</v>
      </c>
      <c r="Q198" s="26">
        <f t="shared" si="26"/>
        <v>0</v>
      </c>
      <c r="R198" s="27">
        <f t="shared" si="27"/>
        <v>0</v>
      </c>
      <c r="S198" s="28">
        <f t="shared" si="28"/>
        <v>0</v>
      </c>
    </row>
    <row r="199" spans="2:19" hidden="1">
      <c r="B199" s="537" t="s">
        <v>2092</v>
      </c>
      <c r="C199" s="284"/>
      <c r="D199" s="284"/>
      <c r="E199" s="284"/>
      <c r="F199" s="285"/>
      <c r="G199" s="286"/>
      <c r="H199" s="281">
        <f t="shared" si="30"/>
        <v>0</v>
      </c>
      <c r="I199" s="533">
        <f t="shared" si="31"/>
        <v>88.84</v>
      </c>
      <c r="J199" s="282"/>
      <c r="K199" s="283"/>
      <c r="L199" s="534">
        <v>88.84</v>
      </c>
      <c r="M199" s="536" t="s">
        <v>2151</v>
      </c>
      <c r="N199" s="25">
        <f t="shared" ref="N199:N236" si="32">I199*C199</f>
        <v>0</v>
      </c>
      <c r="O199" s="25">
        <f t="shared" ref="O199:O236" si="33">I199*D199</f>
        <v>0</v>
      </c>
      <c r="P199" s="25">
        <f t="shared" ref="P199:P236" si="34">I199*E199</f>
        <v>0</v>
      </c>
      <c r="Q199" s="26">
        <f t="shared" ref="Q199:Q236" si="35">I199*F199</f>
        <v>0</v>
      </c>
      <c r="R199" s="27">
        <f t="shared" ref="R199:R236" si="36">I199*G199</f>
        <v>0</v>
      </c>
      <c r="S199" s="28">
        <f t="shared" ref="S199:S236" si="37">SUM(N199:R199)</f>
        <v>0</v>
      </c>
    </row>
    <row r="200" spans="2:19" hidden="1">
      <c r="B200" s="537" t="s">
        <v>2093</v>
      </c>
      <c r="C200" s="284"/>
      <c r="D200" s="284"/>
      <c r="E200" s="284"/>
      <c r="F200" s="285"/>
      <c r="G200" s="286"/>
      <c r="H200" s="281">
        <f t="shared" si="30"/>
        <v>0</v>
      </c>
      <c r="I200" s="533">
        <f t="shared" si="31"/>
        <v>11.56</v>
      </c>
      <c r="J200" s="282"/>
      <c r="K200" s="283"/>
      <c r="L200" s="534">
        <v>11.56</v>
      </c>
      <c r="M200" s="536" t="s">
        <v>2130</v>
      </c>
      <c r="N200" s="25">
        <f t="shared" si="32"/>
        <v>0</v>
      </c>
      <c r="O200" s="25">
        <f t="shared" si="33"/>
        <v>0</v>
      </c>
      <c r="P200" s="25">
        <f t="shared" si="34"/>
        <v>0</v>
      </c>
      <c r="Q200" s="26">
        <f t="shared" si="35"/>
        <v>0</v>
      </c>
      <c r="R200" s="27">
        <f t="shared" si="36"/>
        <v>0</v>
      </c>
      <c r="S200" s="28">
        <f t="shared" si="37"/>
        <v>0</v>
      </c>
    </row>
    <row r="201" spans="2:19" hidden="1">
      <c r="B201" s="537" t="s">
        <v>2094</v>
      </c>
      <c r="C201" s="284"/>
      <c r="D201" s="284"/>
      <c r="E201" s="284"/>
      <c r="F201" s="285"/>
      <c r="G201" s="286"/>
      <c r="H201" s="281">
        <f t="shared" si="30"/>
        <v>0</v>
      </c>
      <c r="I201" s="533">
        <f t="shared" si="31"/>
        <v>71.400000000000006</v>
      </c>
      <c r="J201" s="282"/>
      <c r="K201" s="283"/>
      <c r="L201" s="534">
        <v>71.400000000000006</v>
      </c>
      <c r="M201" s="536" t="s">
        <v>2169</v>
      </c>
      <c r="N201" s="25">
        <f t="shared" si="32"/>
        <v>0</v>
      </c>
      <c r="O201" s="25">
        <f t="shared" si="33"/>
        <v>0</v>
      </c>
      <c r="P201" s="25">
        <f t="shared" si="34"/>
        <v>0</v>
      </c>
      <c r="Q201" s="26">
        <f t="shared" si="35"/>
        <v>0</v>
      </c>
      <c r="R201" s="27">
        <f t="shared" si="36"/>
        <v>0</v>
      </c>
      <c r="S201" s="28">
        <f t="shared" si="37"/>
        <v>0</v>
      </c>
    </row>
    <row r="202" spans="2:19" hidden="1">
      <c r="B202" s="537" t="s">
        <v>2095</v>
      </c>
      <c r="C202" s="284"/>
      <c r="D202" s="284"/>
      <c r="E202" s="284"/>
      <c r="F202" s="285"/>
      <c r="G202" s="286"/>
      <c r="H202" s="281">
        <f t="shared" si="30"/>
        <v>0</v>
      </c>
      <c r="I202" s="533">
        <f t="shared" si="31"/>
        <v>10.08</v>
      </c>
      <c r="J202" s="282"/>
      <c r="K202" s="283"/>
      <c r="L202" s="534">
        <v>10.08</v>
      </c>
      <c r="M202" s="536" t="s">
        <v>2133</v>
      </c>
      <c r="N202" s="25">
        <f t="shared" si="32"/>
        <v>0</v>
      </c>
      <c r="O202" s="25">
        <f t="shared" si="33"/>
        <v>0</v>
      </c>
      <c r="P202" s="25">
        <f t="shared" si="34"/>
        <v>0</v>
      </c>
      <c r="Q202" s="26">
        <f t="shared" si="35"/>
        <v>0</v>
      </c>
      <c r="R202" s="27">
        <f t="shared" si="36"/>
        <v>0</v>
      </c>
      <c r="S202" s="28">
        <f t="shared" si="37"/>
        <v>0</v>
      </c>
    </row>
    <row r="203" spans="2:19" hidden="1">
      <c r="B203" s="537" t="s">
        <v>2096</v>
      </c>
      <c r="C203" s="284"/>
      <c r="D203" s="284"/>
      <c r="E203" s="284"/>
      <c r="F203" s="285"/>
      <c r="G203" s="286"/>
      <c r="H203" s="281">
        <f t="shared" si="30"/>
        <v>0</v>
      </c>
      <c r="I203" s="533">
        <f t="shared" si="31"/>
        <v>71.400000000000006</v>
      </c>
      <c r="J203" s="282"/>
      <c r="K203" s="283"/>
      <c r="L203" s="534">
        <v>71.400000000000006</v>
      </c>
      <c r="M203" s="536" t="s">
        <v>2169</v>
      </c>
      <c r="N203" s="25">
        <f t="shared" si="32"/>
        <v>0</v>
      </c>
      <c r="O203" s="25">
        <f t="shared" si="33"/>
        <v>0</v>
      </c>
      <c r="P203" s="25">
        <f t="shared" si="34"/>
        <v>0</v>
      </c>
      <c r="Q203" s="26">
        <f t="shared" si="35"/>
        <v>0</v>
      </c>
      <c r="R203" s="27">
        <f t="shared" si="36"/>
        <v>0</v>
      </c>
      <c r="S203" s="28">
        <f t="shared" si="37"/>
        <v>0</v>
      </c>
    </row>
    <row r="204" spans="2:19" hidden="1">
      <c r="B204" s="537" t="s">
        <v>2097</v>
      </c>
      <c r="C204" s="284"/>
      <c r="D204" s="284"/>
      <c r="E204" s="284"/>
      <c r="F204" s="285"/>
      <c r="G204" s="286"/>
      <c r="H204" s="281">
        <f t="shared" si="30"/>
        <v>0</v>
      </c>
      <c r="I204" s="533">
        <f t="shared" si="31"/>
        <v>11.09</v>
      </c>
      <c r="J204" s="282"/>
      <c r="K204" s="283"/>
      <c r="L204" s="534">
        <v>11.09</v>
      </c>
      <c r="M204" s="536" t="s">
        <v>2133</v>
      </c>
      <c r="N204" s="25">
        <f t="shared" si="32"/>
        <v>0</v>
      </c>
      <c r="O204" s="25">
        <f t="shared" si="33"/>
        <v>0</v>
      </c>
      <c r="P204" s="25">
        <f t="shared" si="34"/>
        <v>0</v>
      </c>
      <c r="Q204" s="26">
        <f t="shared" si="35"/>
        <v>0</v>
      </c>
      <c r="R204" s="27">
        <f t="shared" si="36"/>
        <v>0</v>
      </c>
      <c r="S204" s="28">
        <f t="shared" si="37"/>
        <v>0</v>
      </c>
    </row>
    <row r="205" spans="2:19" hidden="1">
      <c r="B205" s="537" t="s">
        <v>2098</v>
      </c>
      <c r="C205" s="284"/>
      <c r="D205" s="284"/>
      <c r="E205" s="284"/>
      <c r="F205" s="285"/>
      <c r="G205" s="286"/>
      <c r="H205" s="281">
        <f t="shared" si="30"/>
        <v>0</v>
      </c>
      <c r="I205" s="533">
        <f t="shared" si="31"/>
        <v>17.88</v>
      </c>
      <c r="J205" s="282"/>
      <c r="K205" s="283"/>
      <c r="L205" s="534">
        <v>17.88</v>
      </c>
      <c r="M205" s="536" t="s">
        <v>2184</v>
      </c>
      <c r="N205" s="25">
        <f t="shared" si="32"/>
        <v>0</v>
      </c>
      <c r="O205" s="25">
        <f t="shared" si="33"/>
        <v>0</v>
      </c>
      <c r="P205" s="25">
        <f t="shared" si="34"/>
        <v>0</v>
      </c>
      <c r="Q205" s="26">
        <f t="shared" si="35"/>
        <v>0</v>
      </c>
      <c r="R205" s="27">
        <f t="shared" si="36"/>
        <v>0</v>
      </c>
      <c r="S205" s="28">
        <f t="shared" si="37"/>
        <v>0</v>
      </c>
    </row>
    <row r="206" spans="2:19" hidden="1">
      <c r="B206" s="529" t="s">
        <v>2099</v>
      </c>
      <c r="C206" s="284"/>
      <c r="D206" s="284"/>
      <c r="E206" s="284"/>
      <c r="F206" s="285"/>
      <c r="G206" s="286"/>
      <c r="H206" s="281">
        <f t="shared" si="30"/>
        <v>0</v>
      </c>
      <c r="I206" s="533">
        <f t="shared" si="31"/>
        <v>16.34</v>
      </c>
      <c r="J206" s="282"/>
      <c r="K206" s="283"/>
      <c r="L206" s="535">
        <v>16.34</v>
      </c>
      <c r="M206" s="536" t="s">
        <v>2184</v>
      </c>
      <c r="N206" s="25">
        <f t="shared" si="32"/>
        <v>0</v>
      </c>
      <c r="O206" s="25">
        <f t="shared" si="33"/>
        <v>0</v>
      </c>
      <c r="P206" s="25">
        <f t="shared" si="34"/>
        <v>0</v>
      </c>
      <c r="Q206" s="26">
        <f t="shared" si="35"/>
        <v>0</v>
      </c>
      <c r="R206" s="27">
        <f t="shared" si="36"/>
        <v>0</v>
      </c>
      <c r="S206" s="28">
        <f t="shared" si="37"/>
        <v>0</v>
      </c>
    </row>
    <row r="207" spans="2:19" hidden="1">
      <c r="B207" s="537" t="s">
        <v>2100</v>
      </c>
      <c r="C207" s="284"/>
      <c r="D207" s="284"/>
      <c r="E207" s="284"/>
      <c r="F207" s="285"/>
      <c r="G207" s="286"/>
      <c r="H207" s="281">
        <f t="shared" si="30"/>
        <v>0</v>
      </c>
      <c r="I207" s="533">
        <f t="shared" si="31"/>
        <v>65.36</v>
      </c>
      <c r="J207" s="282"/>
      <c r="K207" s="283"/>
      <c r="L207" s="534">
        <v>65.36</v>
      </c>
      <c r="M207" s="536" t="s">
        <v>2169</v>
      </c>
      <c r="N207" s="25">
        <f t="shared" si="32"/>
        <v>0</v>
      </c>
      <c r="O207" s="25">
        <f t="shared" si="33"/>
        <v>0</v>
      </c>
      <c r="P207" s="25">
        <f t="shared" si="34"/>
        <v>0</v>
      </c>
      <c r="Q207" s="26">
        <f t="shared" si="35"/>
        <v>0</v>
      </c>
      <c r="R207" s="27">
        <f t="shared" si="36"/>
        <v>0</v>
      </c>
      <c r="S207" s="28">
        <f t="shared" si="37"/>
        <v>0</v>
      </c>
    </row>
    <row r="208" spans="2:19" hidden="1">
      <c r="B208" s="537" t="s">
        <v>2101</v>
      </c>
      <c r="C208" s="284"/>
      <c r="D208" s="284"/>
      <c r="E208" s="284"/>
      <c r="F208" s="285"/>
      <c r="G208" s="286"/>
      <c r="H208" s="281">
        <f t="shared" si="30"/>
        <v>0</v>
      </c>
      <c r="I208" s="533">
        <f t="shared" si="31"/>
        <v>17.84</v>
      </c>
      <c r="J208" s="282"/>
      <c r="K208" s="283"/>
      <c r="L208" s="534">
        <v>17.84</v>
      </c>
      <c r="M208" s="536" t="s">
        <v>2185</v>
      </c>
      <c r="N208" s="25">
        <f t="shared" si="32"/>
        <v>0</v>
      </c>
      <c r="O208" s="25">
        <f t="shared" si="33"/>
        <v>0</v>
      </c>
      <c r="P208" s="25">
        <f t="shared" si="34"/>
        <v>0</v>
      </c>
      <c r="Q208" s="26">
        <f t="shared" si="35"/>
        <v>0</v>
      </c>
      <c r="R208" s="27">
        <f t="shared" si="36"/>
        <v>0</v>
      </c>
      <c r="S208" s="28">
        <f t="shared" si="37"/>
        <v>0</v>
      </c>
    </row>
    <row r="209" spans="2:19" hidden="1">
      <c r="B209" s="537" t="s">
        <v>2102</v>
      </c>
      <c r="C209" s="284"/>
      <c r="D209" s="284"/>
      <c r="E209" s="284"/>
      <c r="F209" s="285"/>
      <c r="G209" s="286"/>
      <c r="H209" s="281">
        <f t="shared" si="30"/>
        <v>0</v>
      </c>
      <c r="I209" s="533">
        <f t="shared" si="31"/>
        <v>10.11</v>
      </c>
      <c r="J209" s="282"/>
      <c r="K209" s="283"/>
      <c r="L209" s="534">
        <v>10.11</v>
      </c>
      <c r="M209" s="536" t="s">
        <v>2130</v>
      </c>
      <c r="N209" s="25">
        <f t="shared" si="32"/>
        <v>0</v>
      </c>
      <c r="O209" s="25">
        <f t="shared" si="33"/>
        <v>0</v>
      </c>
      <c r="P209" s="25">
        <f t="shared" si="34"/>
        <v>0</v>
      </c>
      <c r="Q209" s="26">
        <f t="shared" si="35"/>
        <v>0</v>
      </c>
      <c r="R209" s="27">
        <f t="shared" si="36"/>
        <v>0</v>
      </c>
      <c r="S209" s="28">
        <f t="shared" si="37"/>
        <v>0</v>
      </c>
    </row>
    <row r="210" spans="2:19" hidden="1">
      <c r="B210" s="537" t="s">
        <v>2103</v>
      </c>
      <c r="C210" s="284"/>
      <c r="D210" s="284"/>
      <c r="E210" s="284"/>
      <c r="F210" s="285"/>
      <c r="G210" s="286"/>
      <c r="H210" s="281">
        <f t="shared" si="30"/>
        <v>0</v>
      </c>
      <c r="I210" s="533">
        <f t="shared" si="31"/>
        <v>17.21</v>
      </c>
      <c r="J210" s="282"/>
      <c r="K210" s="283"/>
      <c r="L210" s="534">
        <v>17.21</v>
      </c>
      <c r="M210" s="536" t="s">
        <v>2185</v>
      </c>
      <c r="N210" s="25">
        <f t="shared" si="32"/>
        <v>0</v>
      </c>
      <c r="O210" s="25">
        <f t="shared" si="33"/>
        <v>0</v>
      </c>
      <c r="P210" s="25">
        <f t="shared" si="34"/>
        <v>0</v>
      </c>
      <c r="Q210" s="26">
        <f t="shared" si="35"/>
        <v>0</v>
      </c>
      <c r="R210" s="27">
        <f t="shared" si="36"/>
        <v>0</v>
      </c>
      <c r="S210" s="28">
        <f t="shared" si="37"/>
        <v>0</v>
      </c>
    </row>
    <row r="211" spans="2:19" hidden="1">
      <c r="B211" s="537" t="s">
        <v>2104</v>
      </c>
      <c r="C211" s="284"/>
      <c r="D211" s="284"/>
      <c r="E211" s="284"/>
      <c r="F211" s="285"/>
      <c r="G211" s="286"/>
      <c r="H211" s="281">
        <f t="shared" si="30"/>
        <v>0</v>
      </c>
      <c r="I211" s="533">
        <f t="shared" si="31"/>
        <v>24.67</v>
      </c>
      <c r="J211" s="282"/>
      <c r="K211" s="283"/>
      <c r="L211" s="534">
        <v>24.67</v>
      </c>
      <c r="M211" s="536" t="s">
        <v>2149</v>
      </c>
      <c r="N211" s="25">
        <f t="shared" si="32"/>
        <v>0</v>
      </c>
      <c r="O211" s="25">
        <f t="shared" si="33"/>
        <v>0</v>
      </c>
      <c r="P211" s="25">
        <f t="shared" si="34"/>
        <v>0</v>
      </c>
      <c r="Q211" s="26">
        <f t="shared" si="35"/>
        <v>0</v>
      </c>
      <c r="R211" s="27">
        <f t="shared" si="36"/>
        <v>0</v>
      </c>
      <c r="S211" s="28">
        <f t="shared" si="37"/>
        <v>0</v>
      </c>
    </row>
    <row r="212" spans="2:19" hidden="1">
      <c r="B212" s="537" t="s">
        <v>2105</v>
      </c>
      <c r="C212" s="284"/>
      <c r="D212" s="284"/>
      <c r="E212" s="284"/>
      <c r="F212" s="285"/>
      <c r="G212" s="286"/>
      <c r="H212" s="281">
        <f t="shared" si="30"/>
        <v>0</v>
      </c>
      <c r="I212" s="533">
        <f t="shared" si="31"/>
        <v>24.67</v>
      </c>
      <c r="J212" s="282"/>
      <c r="K212" s="283"/>
      <c r="L212" s="534">
        <v>24.67</v>
      </c>
      <c r="M212" s="536" t="s">
        <v>2149</v>
      </c>
      <c r="N212" s="25">
        <f t="shared" si="32"/>
        <v>0</v>
      </c>
      <c r="O212" s="25">
        <f t="shared" si="33"/>
        <v>0</v>
      </c>
      <c r="P212" s="25">
        <f t="shared" si="34"/>
        <v>0</v>
      </c>
      <c r="Q212" s="26">
        <f t="shared" si="35"/>
        <v>0</v>
      </c>
      <c r="R212" s="27">
        <f t="shared" si="36"/>
        <v>0</v>
      </c>
      <c r="S212" s="28">
        <f t="shared" si="37"/>
        <v>0</v>
      </c>
    </row>
    <row r="213" spans="2:19" hidden="1">
      <c r="B213" s="529" t="s">
        <v>2106</v>
      </c>
      <c r="C213" s="284"/>
      <c r="D213" s="284"/>
      <c r="E213" s="284"/>
      <c r="F213" s="285"/>
      <c r="G213" s="286"/>
      <c r="H213" s="281">
        <f t="shared" si="30"/>
        <v>0</v>
      </c>
      <c r="I213" s="533">
        <f t="shared" si="31"/>
        <v>17.21</v>
      </c>
      <c r="J213" s="282"/>
      <c r="K213" s="283"/>
      <c r="L213" s="535">
        <v>17.21</v>
      </c>
      <c r="M213" s="536" t="s">
        <v>2184</v>
      </c>
      <c r="N213" s="25">
        <f t="shared" si="32"/>
        <v>0</v>
      </c>
      <c r="O213" s="25">
        <f t="shared" si="33"/>
        <v>0</v>
      </c>
      <c r="P213" s="25">
        <f t="shared" si="34"/>
        <v>0</v>
      </c>
      <c r="Q213" s="26">
        <f t="shared" si="35"/>
        <v>0</v>
      </c>
      <c r="R213" s="27">
        <f t="shared" si="36"/>
        <v>0</v>
      </c>
      <c r="S213" s="28">
        <f t="shared" si="37"/>
        <v>0</v>
      </c>
    </row>
    <row r="214" spans="2:19" hidden="1">
      <c r="B214" s="537" t="s">
        <v>2107</v>
      </c>
      <c r="C214" s="284"/>
      <c r="D214" s="284"/>
      <c r="E214" s="284"/>
      <c r="F214" s="285"/>
      <c r="G214" s="286"/>
      <c r="H214" s="281">
        <f t="shared" si="30"/>
        <v>0</v>
      </c>
      <c r="I214" s="533">
        <f t="shared" si="31"/>
        <v>58.44</v>
      </c>
      <c r="J214" s="282"/>
      <c r="K214" s="283"/>
      <c r="L214" s="534">
        <v>58.44</v>
      </c>
      <c r="M214" s="536" t="s">
        <v>2151</v>
      </c>
      <c r="N214" s="25">
        <f t="shared" si="32"/>
        <v>0</v>
      </c>
      <c r="O214" s="25">
        <f t="shared" si="33"/>
        <v>0</v>
      </c>
      <c r="P214" s="25">
        <f t="shared" si="34"/>
        <v>0</v>
      </c>
      <c r="Q214" s="26">
        <f t="shared" si="35"/>
        <v>0</v>
      </c>
      <c r="R214" s="27">
        <f t="shared" si="36"/>
        <v>0</v>
      </c>
      <c r="S214" s="28">
        <f t="shared" si="37"/>
        <v>0</v>
      </c>
    </row>
    <row r="215" spans="2:19" hidden="1">
      <c r="B215" s="537" t="s">
        <v>2108</v>
      </c>
      <c r="C215" s="284"/>
      <c r="D215" s="284"/>
      <c r="E215" s="284"/>
      <c r="F215" s="285"/>
      <c r="G215" s="286"/>
      <c r="H215" s="281">
        <f t="shared" si="30"/>
        <v>0</v>
      </c>
      <c r="I215" s="533">
        <f t="shared" si="31"/>
        <v>78.400000000000006</v>
      </c>
      <c r="J215" s="282"/>
      <c r="K215" s="283"/>
      <c r="L215" s="534">
        <v>78.400000000000006</v>
      </c>
      <c r="M215" s="536" t="s">
        <v>2169</v>
      </c>
      <c r="N215" s="25">
        <f t="shared" si="32"/>
        <v>0</v>
      </c>
      <c r="O215" s="25">
        <f t="shared" si="33"/>
        <v>0</v>
      </c>
      <c r="P215" s="25">
        <f t="shared" si="34"/>
        <v>0</v>
      </c>
      <c r="Q215" s="26">
        <f t="shared" si="35"/>
        <v>0</v>
      </c>
      <c r="R215" s="27">
        <f t="shared" si="36"/>
        <v>0</v>
      </c>
      <c r="S215" s="28">
        <f t="shared" si="37"/>
        <v>0</v>
      </c>
    </row>
    <row r="216" spans="2:19" hidden="1">
      <c r="B216" s="537" t="s">
        <v>2109</v>
      </c>
      <c r="C216" s="284"/>
      <c r="D216" s="284"/>
      <c r="E216" s="284"/>
      <c r="F216" s="285"/>
      <c r="G216" s="286"/>
      <c r="H216" s="281">
        <f t="shared" si="30"/>
        <v>0</v>
      </c>
      <c r="I216" s="533">
        <f t="shared" si="31"/>
        <v>11.09</v>
      </c>
      <c r="J216" s="282"/>
      <c r="K216" s="283"/>
      <c r="L216" s="534">
        <v>11.09</v>
      </c>
      <c r="M216" s="536" t="s">
        <v>2133</v>
      </c>
      <c r="N216" s="25">
        <f t="shared" si="32"/>
        <v>0</v>
      </c>
      <c r="O216" s="25">
        <f t="shared" si="33"/>
        <v>0</v>
      </c>
      <c r="P216" s="25">
        <f t="shared" si="34"/>
        <v>0</v>
      </c>
      <c r="Q216" s="26">
        <f t="shared" si="35"/>
        <v>0</v>
      </c>
      <c r="R216" s="27">
        <f t="shared" si="36"/>
        <v>0</v>
      </c>
      <c r="S216" s="28">
        <f t="shared" si="37"/>
        <v>0</v>
      </c>
    </row>
    <row r="217" spans="2:19" hidden="1">
      <c r="B217" s="537" t="s">
        <v>2110</v>
      </c>
      <c r="C217" s="284"/>
      <c r="D217" s="284"/>
      <c r="E217" s="284"/>
      <c r="F217" s="285"/>
      <c r="G217" s="286"/>
      <c r="H217" s="281">
        <f t="shared" si="30"/>
        <v>0</v>
      </c>
      <c r="I217" s="533">
        <f t="shared" si="31"/>
        <v>10.08</v>
      </c>
      <c r="J217" s="282"/>
      <c r="K217" s="283"/>
      <c r="L217" s="534">
        <v>10.08</v>
      </c>
      <c r="M217" s="536" t="s">
        <v>2130</v>
      </c>
      <c r="N217" s="25">
        <f t="shared" si="32"/>
        <v>0</v>
      </c>
      <c r="O217" s="25">
        <f t="shared" si="33"/>
        <v>0</v>
      </c>
      <c r="P217" s="25">
        <f t="shared" si="34"/>
        <v>0</v>
      </c>
      <c r="Q217" s="26">
        <f t="shared" si="35"/>
        <v>0</v>
      </c>
      <c r="R217" s="27">
        <f t="shared" si="36"/>
        <v>0</v>
      </c>
      <c r="S217" s="28">
        <f t="shared" si="37"/>
        <v>0</v>
      </c>
    </row>
    <row r="218" spans="2:19" hidden="1">
      <c r="B218" s="537" t="s">
        <v>2111</v>
      </c>
      <c r="C218" s="284"/>
      <c r="D218" s="284"/>
      <c r="E218" s="284"/>
      <c r="F218" s="285"/>
      <c r="G218" s="286"/>
      <c r="H218" s="281">
        <f t="shared" si="30"/>
        <v>0</v>
      </c>
      <c r="I218" s="533">
        <f t="shared" si="31"/>
        <v>71.400000000000006</v>
      </c>
      <c r="J218" s="282"/>
      <c r="K218" s="283"/>
      <c r="L218" s="534">
        <v>71.400000000000006</v>
      </c>
      <c r="M218" s="536" t="s">
        <v>2169</v>
      </c>
      <c r="N218" s="25">
        <f t="shared" si="32"/>
        <v>0</v>
      </c>
      <c r="O218" s="25">
        <f t="shared" si="33"/>
        <v>0</v>
      </c>
      <c r="P218" s="25">
        <f t="shared" si="34"/>
        <v>0</v>
      </c>
      <c r="Q218" s="26">
        <f t="shared" si="35"/>
        <v>0</v>
      </c>
      <c r="R218" s="27">
        <f t="shared" si="36"/>
        <v>0</v>
      </c>
      <c r="S218" s="28">
        <f t="shared" si="37"/>
        <v>0</v>
      </c>
    </row>
    <row r="219" spans="2:19" hidden="1">
      <c r="B219" s="537" t="s">
        <v>2112</v>
      </c>
      <c r="C219" s="284"/>
      <c r="D219" s="284"/>
      <c r="E219" s="284"/>
      <c r="F219" s="285"/>
      <c r="G219" s="286"/>
      <c r="H219" s="281">
        <f t="shared" si="30"/>
        <v>0</v>
      </c>
      <c r="I219" s="533">
        <f t="shared" si="31"/>
        <v>10.08</v>
      </c>
      <c r="J219" s="282"/>
      <c r="K219" s="283"/>
      <c r="L219" s="534">
        <v>10.08</v>
      </c>
      <c r="M219" s="536" t="s">
        <v>2133</v>
      </c>
      <c r="N219" s="25">
        <f t="shared" si="32"/>
        <v>0</v>
      </c>
      <c r="O219" s="25">
        <f t="shared" si="33"/>
        <v>0</v>
      </c>
      <c r="P219" s="25">
        <f t="shared" si="34"/>
        <v>0</v>
      </c>
      <c r="Q219" s="26">
        <f t="shared" si="35"/>
        <v>0</v>
      </c>
      <c r="R219" s="27">
        <f t="shared" si="36"/>
        <v>0</v>
      </c>
      <c r="S219" s="28">
        <f t="shared" si="37"/>
        <v>0</v>
      </c>
    </row>
    <row r="220" spans="2:19" hidden="1">
      <c r="B220" s="537" t="s">
        <v>2113</v>
      </c>
      <c r="C220" s="284"/>
      <c r="D220" s="284"/>
      <c r="E220" s="284"/>
      <c r="F220" s="285"/>
      <c r="G220" s="286"/>
      <c r="H220" s="281">
        <f t="shared" si="30"/>
        <v>0</v>
      </c>
      <c r="I220" s="533">
        <f t="shared" si="31"/>
        <v>120.24</v>
      </c>
      <c r="J220" s="282"/>
      <c r="K220" s="283"/>
      <c r="L220" s="534">
        <v>120.24</v>
      </c>
      <c r="M220" s="536" t="s">
        <v>2137</v>
      </c>
      <c r="N220" s="25">
        <f t="shared" si="32"/>
        <v>0</v>
      </c>
      <c r="O220" s="25">
        <f t="shared" si="33"/>
        <v>0</v>
      </c>
      <c r="P220" s="25">
        <f t="shared" si="34"/>
        <v>0</v>
      </c>
      <c r="Q220" s="26">
        <f t="shared" si="35"/>
        <v>0</v>
      </c>
      <c r="R220" s="27">
        <f t="shared" si="36"/>
        <v>0</v>
      </c>
      <c r="S220" s="28">
        <f t="shared" si="37"/>
        <v>0</v>
      </c>
    </row>
    <row r="221" spans="2:19" hidden="1">
      <c r="B221" s="537" t="s">
        <v>2114</v>
      </c>
      <c r="C221" s="284"/>
      <c r="D221" s="284"/>
      <c r="E221" s="284"/>
      <c r="F221" s="285"/>
      <c r="G221" s="286"/>
      <c r="H221" s="281">
        <f t="shared" si="30"/>
        <v>0</v>
      </c>
      <c r="I221" s="533">
        <f t="shared" si="31"/>
        <v>22.69</v>
      </c>
      <c r="J221" s="282"/>
      <c r="K221" s="283"/>
      <c r="L221" s="534">
        <v>22.69</v>
      </c>
      <c r="M221" s="536" t="s">
        <v>2183</v>
      </c>
      <c r="N221" s="25">
        <f t="shared" si="32"/>
        <v>0</v>
      </c>
      <c r="O221" s="25">
        <f t="shared" si="33"/>
        <v>0</v>
      </c>
      <c r="P221" s="25">
        <f t="shared" si="34"/>
        <v>0</v>
      </c>
      <c r="Q221" s="26">
        <f t="shared" si="35"/>
        <v>0</v>
      </c>
      <c r="R221" s="27">
        <f t="shared" si="36"/>
        <v>0</v>
      </c>
      <c r="S221" s="28">
        <f t="shared" si="37"/>
        <v>0</v>
      </c>
    </row>
    <row r="222" spans="2:19" hidden="1">
      <c r="B222" s="537" t="s">
        <v>2115</v>
      </c>
      <c r="C222" s="284"/>
      <c r="D222" s="284"/>
      <c r="E222" s="284"/>
      <c r="F222" s="285"/>
      <c r="G222" s="286"/>
      <c r="H222" s="281">
        <f t="shared" si="30"/>
        <v>0</v>
      </c>
      <c r="I222" s="533">
        <f t="shared" si="31"/>
        <v>6.94</v>
      </c>
      <c r="J222" s="282"/>
      <c r="K222" s="283"/>
      <c r="L222" s="534">
        <v>6.94</v>
      </c>
      <c r="M222" s="536" t="s">
        <v>2186</v>
      </c>
      <c r="N222" s="25">
        <f t="shared" si="32"/>
        <v>0</v>
      </c>
      <c r="O222" s="25">
        <f t="shared" si="33"/>
        <v>0</v>
      </c>
      <c r="P222" s="25">
        <f t="shared" si="34"/>
        <v>0</v>
      </c>
      <c r="Q222" s="26">
        <f t="shared" si="35"/>
        <v>0</v>
      </c>
      <c r="R222" s="27">
        <f t="shared" si="36"/>
        <v>0</v>
      </c>
      <c r="S222" s="28">
        <f t="shared" si="37"/>
        <v>0</v>
      </c>
    </row>
    <row r="223" spans="2:19" hidden="1">
      <c r="B223" s="537" t="s">
        <v>2116</v>
      </c>
      <c r="C223" s="284"/>
      <c r="D223" s="284"/>
      <c r="E223" s="284"/>
      <c r="F223" s="285"/>
      <c r="G223" s="286"/>
      <c r="H223" s="281">
        <f t="shared" si="30"/>
        <v>0</v>
      </c>
      <c r="I223" s="533">
        <f t="shared" si="31"/>
        <v>6.66</v>
      </c>
      <c r="J223" s="282"/>
      <c r="K223" s="283"/>
      <c r="L223" s="534">
        <v>6.66</v>
      </c>
      <c r="M223" s="536" t="s">
        <v>2187</v>
      </c>
      <c r="N223" s="25">
        <f t="shared" si="32"/>
        <v>0</v>
      </c>
      <c r="O223" s="25">
        <f t="shared" si="33"/>
        <v>0</v>
      </c>
      <c r="P223" s="25">
        <f t="shared" si="34"/>
        <v>0</v>
      </c>
      <c r="Q223" s="26">
        <f t="shared" si="35"/>
        <v>0</v>
      </c>
      <c r="R223" s="27">
        <f t="shared" si="36"/>
        <v>0</v>
      </c>
      <c r="S223" s="28">
        <f t="shared" si="37"/>
        <v>0</v>
      </c>
    </row>
    <row r="224" spans="2:19">
      <c r="B224" s="529" t="s">
        <v>2117</v>
      </c>
      <c r="C224" s="284"/>
      <c r="D224" s="284">
        <v>70</v>
      </c>
      <c r="E224" s="284"/>
      <c r="F224" s="285">
        <v>30</v>
      </c>
      <c r="G224" s="286"/>
      <c r="H224" s="281">
        <f t="shared" si="30"/>
        <v>100</v>
      </c>
      <c r="I224" s="533">
        <v>3.77</v>
      </c>
      <c r="J224" s="282"/>
      <c r="K224" s="283"/>
      <c r="L224" s="535">
        <v>3.67</v>
      </c>
      <c r="M224" s="536" t="s">
        <v>2144</v>
      </c>
      <c r="N224" s="25">
        <f t="shared" si="32"/>
        <v>0</v>
      </c>
      <c r="O224" s="25">
        <f t="shared" si="33"/>
        <v>263.89999999999998</v>
      </c>
      <c r="P224" s="25">
        <f t="shared" si="34"/>
        <v>0</v>
      </c>
      <c r="Q224" s="26">
        <f t="shared" si="35"/>
        <v>113.1</v>
      </c>
      <c r="R224" s="27">
        <f t="shared" si="36"/>
        <v>0</v>
      </c>
      <c r="S224" s="28">
        <f t="shared" si="37"/>
        <v>377</v>
      </c>
    </row>
    <row r="225" spans="2:19">
      <c r="B225" s="529" t="s">
        <v>2118</v>
      </c>
      <c r="C225" s="284"/>
      <c r="D225" s="284">
        <v>24</v>
      </c>
      <c r="E225" s="284"/>
      <c r="F225" s="285"/>
      <c r="G225" s="286"/>
      <c r="H225" s="281">
        <f t="shared" si="30"/>
        <v>24</v>
      </c>
      <c r="I225" s="533">
        <v>16.02</v>
      </c>
      <c r="J225" s="282"/>
      <c r="K225" s="283"/>
      <c r="L225" s="535">
        <v>15.6</v>
      </c>
      <c r="M225" s="536" t="s">
        <v>2144</v>
      </c>
      <c r="N225" s="25">
        <f t="shared" si="32"/>
        <v>0</v>
      </c>
      <c r="O225" s="25">
        <f t="shared" si="33"/>
        <v>384.48</v>
      </c>
      <c r="P225" s="25">
        <f t="shared" si="34"/>
        <v>0</v>
      </c>
      <c r="Q225" s="26">
        <f t="shared" si="35"/>
        <v>0</v>
      </c>
      <c r="R225" s="27">
        <f t="shared" si="36"/>
        <v>0</v>
      </c>
      <c r="S225" s="28">
        <f t="shared" si="37"/>
        <v>384.48</v>
      </c>
    </row>
    <row r="226" spans="2:19" hidden="1">
      <c r="B226" s="529" t="s">
        <v>2119</v>
      </c>
      <c r="C226" s="284"/>
      <c r="D226" s="284"/>
      <c r="E226" s="284"/>
      <c r="F226" s="285"/>
      <c r="G226" s="286"/>
      <c r="H226" s="281">
        <f t="shared" si="30"/>
        <v>0</v>
      </c>
      <c r="I226" s="533">
        <f t="shared" si="31"/>
        <v>25.78</v>
      </c>
      <c r="J226" s="282"/>
      <c r="K226" s="283"/>
      <c r="L226" s="535">
        <v>25.78</v>
      </c>
      <c r="M226" s="536" t="s">
        <v>2141</v>
      </c>
      <c r="N226" s="25">
        <f t="shared" si="32"/>
        <v>0</v>
      </c>
      <c r="O226" s="25">
        <f t="shared" si="33"/>
        <v>0</v>
      </c>
      <c r="P226" s="25">
        <f t="shared" si="34"/>
        <v>0</v>
      </c>
      <c r="Q226" s="26">
        <f t="shared" si="35"/>
        <v>0</v>
      </c>
      <c r="R226" s="27">
        <f t="shared" si="36"/>
        <v>0</v>
      </c>
      <c r="S226" s="28">
        <f t="shared" si="37"/>
        <v>0</v>
      </c>
    </row>
    <row r="227" spans="2:19">
      <c r="B227" s="529" t="s">
        <v>2120</v>
      </c>
      <c r="C227" s="284"/>
      <c r="D227" s="284">
        <v>100</v>
      </c>
      <c r="E227" s="284"/>
      <c r="F227" s="285">
        <v>60</v>
      </c>
      <c r="G227" s="286"/>
      <c r="H227" s="281">
        <f t="shared" si="30"/>
        <v>160</v>
      </c>
      <c r="I227" s="533">
        <v>9.89</v>
      </c>
      <c r="J227" s="282"/>
      <c r="K227" s="283"/>
      <c r="L227" s="535">
        <v>9.6300000000000008</v>
      </c>
      <c r="M227" s="536" t="s">
        <v>2163</v>
      </c>
      <c r="N227" s="25">
        <f t="shared" si="32"/>
        <v>0</v>
      </c>
      <c r="O227" s="25">
        <f t="shared" si="33"/>
        <v>989</v>
      </c>
      <c r="P227" s="25">
        <f t="shared" si="34"/>
        <v>0</v>
      </c>
      <c r="Q227" s="26">
        <f t="shared" si="35"/>
        <v>593.40000000000009</v>
      </c>
      <c r="R227" s="27">
        <f t="shared" si="36"/>
        <v>0</v>
      </c>
      <c r="S227" s="28">
        <f t="shared" si="37"/>
        <v>1582.4</v>
      </c>
    </row>
    <row r="228" spans="2:19">
      <c r="B228" s="537" t="s">
        <v>2121</v>
      </c>
      <c r="C228" s="284">
        <v>2000</v>
      </c>
      <c r="D228" s="284"/>
      <c r="E228" s="284"/>
      <c r="F228" s="285"/>
      <c r="G228" s="286"/>
      <c r="H228" s="281">
        <f t="shared" si="30"/>
        <v>2000</v>
      </c>
      <c r="I228" s="533">
        <f t="shared" si="31"/>
        <v>11.01</v>
      </c>
      <c r="J228" s="282"/>
      <c r="K228" s="283"/>
      <c r="L228" s="534">
        <v>11.01</v>
      </c>
      <c r="M228" s="536" t="s">
        <v>2134</v>
      </c>
      <c r="N228" s="25">
        <f t="shared" si="32"/>
        <v>22020</v>
      </c>
      <c r="O228" s="25">
        <f t="shared" si="33"/>
        <v>0</v>
      </c>
      <c r="P228" s="25">
        <f t="shared" si="34"/>
        <v>0</v>
      </c>
      <c r="Q228" s="26">
        <f t="shared" si="35"/>
        <v>0</v>
      </c>
      <c r="R228" s="27">
        <f t="shared" si="36"/>
        <v>0</v>
      </c>
      <c r="S228" s="28">
        <f t="shared" si="37"/>
        <v>22020</v>
      </c>
    </row>
    <row r="229" spans="2:19" hidden="1">
      <c r="B229" s="537" t="s">
        <v>2122</v>
      </c>
      <c r="C229" s="284"/>
      <c r="D229" s="284"/>
      <c r="E229" s="284"/>
      <c r="F229" s="285"/>
      <c r="G229" s="286"/>
      <c r="H229" s="281">
        <f t="shared" si="30"/>
        <v>0</v>
      </c>
      <c r="I229" s="533">
        <f t="shared" si="31"/>
        <v>122.18</v>
      </c>
      <c r="J229" s="282"/>
      <c r="K229" s="283"/>
      <c r="L229" s="534">
        <v>122.18</v>
      </c>
      <c r="M229" s="536" t="s">
        <v>2136</v>
      </c>
      <c r="N229" s="25">
        <f t="shared" si="32"/>
        <v>0</v>
      </c>
      <c r="O229" s="25">
        <f t="shared" si="33"/>
        <v>0</v>
      </c>
      <c r="P229" s="25">
        <f t="shared" si="34"/>
        <v>0</v>
      </c>
      <c r="Q229" s="26">
        <f t="shared" si="35"/>
        <v>0</v>
      </c>
      <c r="R229" s="27">
        <f t="shared" si="36"/>
        <v>0</v>
      </c>
      <c r="S229" s="28">
        <f t="shared" si="37"/>
        <v>0</v>
      </c>
    </row>
    <row r="230" spans="2:19" hidden="1">
      <c r="B230" s="537" t="s">
        <v>2123</v>
      </c>
      <c r="C230" s="284"/>
      <c r="D230" s="284"/>
      <c r="E230" s="284"/>
      <c r="F230" s="285"/>
      <c r="G230" s="286"/>
      <c r="H230" s="281">
        <f t="shared" si="30"/>
        <v>0</v>
      </c>
      <c r="I230" s="533">
        <f t="shared" si="31"/>
        <v>24.73</v>
      </c>
      <c r="J230" s="282"/>
      <c r="K230" s="283"/>
      <c r="L230" s="534">
        <v>24.73</v>
      </c>
      <c r="M230" s="536" t="s">
        <v>2137</v>
      </c>
      <c r="N230" s="25">
        <f t="shared" si="32"/>
        <v>0</v>
      </c>
      <c r="O230" s="25">
        <f t="shared" si="33"/>
        <v>0</v>
      </c>
      <c r="P230" s="25">
        <f t="shared" si="34"/>
        <v>0</v>
      </c>
      <c r="Q230" s="26">
        <f t="shared" si="35"/>
        <v>0</v>
      </c>
      <c r="R230" s="27">
        <f t="shared" si="36"/>
        <v>0</v>
      </c>
      <c r="S230" s="28">
        <f t="shared" si="37"/>
        <v>0</v>
      </c>
    </row>
    <row r="231" spans="2:19" hidden="1">
      <c r="B231" s="529" t="s">
        <v>2124</v>
      </c>
      <c r="C231" s="284"/>
      <c r="D231" s="284"/>
      <c r="E231" s="284"/>
      <c r="F231" s="285"/>
      <c r="G231" s="286"/>
      <c r="H231" s="281">
        <f t="shared" si="30"/>
        <v>0</v>
      </c>
      <c r="I231" s="533">
        <f t="shared" si="31"/>
        <v>236.98</v>
      </c>
      <c r="J231" s="282"/>
      <c r="K231" s="283"/>
      <c r="L231" s="535">
        <v>236.98</v>
      </c>
      <c r="M231" s="536" t="s">
        <v>2136</v>
      </c>
      <c r="N231" s="25">
        <f t="shared" si="32"/>
        <v>0</v>
      </c>
      <c r="O231" s="25">
        <f t="shared" si="33"/>
        <v>0</v>
      </c>
      <c r="P231" s="25">
        <f t="shared" si="34"/>
        <v>0</v>
      </c>
      <c r="Q231" s="26">
        <f t="shared" si="35"/>
        <v>0</v>
      </c>
      <c r="R231" s="27">
        <f t="shared" si="36"/>
        <v>0</v>
      </c>
      <c r="S231" s="28">
        <f t="shared" si="37"/>
        <v>0</v>
      </c>
    </row>
    <row r="232" spans="2:19" hidden="1">
      <c r="B232" s="537" t="s">
        <v>2125</v>
      </c>
      <c r="C232" s="284"/>
      <c r="D232" s="284"/>
      <c r="E232" s="284"/>
      <c r="F232" s="285"/>
      <c r="G232" s="286"/>
      <c r="H232" s="281">
        <f t="shared" si="30"/>
        <v>0</v>
      </c>
      <c r="I232" s="533">
        <f t="shared" si="31"/>
        <v>65.23</v>
      </c>
      <c r="J232" s="282"/>
      <c r="K232" s="283"/>
      <c r="L232" s="534">
        <v>65.23</v>
      </c>
      <c r="M232" s="536" t="s">
        <v>2139</v>
      </c>
      <c r="N232" s="25">
        <f t="shared" si="32"/>
        <v>0</v>
      </c>
      <c r="O232" s="25">
        <f t="shared" si="33"/>
        <v>0</v>
      </c>
      <c r="P232" s="25">
        <f t="shared" si="34"/>
        <v>0</v>
      </c>
      <c r="Q232" s="26">
        <f t="shared" si="35"/>
        <v>0</v>
      </c>
      <c r="R232" s="27">
        <f t="shared" si="36"/>
        <v>0</v>
      </c>
      <c r="S232" s="28">
        <f t="shared" si="37"/>
        <v>0</v>
      </c>
    </row>
    <row r="233" spans="2:19" hidden="1">
      <c r="B233" s="537" t="s">
        <v>2126</v>
      </c>
      <c r="C233" s="284"/>
      <c r="D233" s="284"/>
      <c r="E233" s="284"/>
      <c r="F233" s="285"/>
      <c r="G233" s="286"/>
      <c r="H233" s="281">
        <f t="shared" si="30"/>
        <v>0</v>
      </c>
      <c r="I233" s="533">
        <f t="shared" si="31"/>
        <v>4.58</v>
      </c>
      <c r="J233" s="282"/>
      <c r="K233" s="283"/>
      <c r="L233" s="534">
        <v>4.58</v>
      </c>
      <c r="M233" s="536" t="s">
        <v>2138</v>
      </c>
      <c r="N233" s="25">
        <f t="shared" si="32"/>
        <v>0</v>
      </c>
      <c r="O233" s="25">
        <f t="shared" si="33"/>
        <v>0</v>
      </c>
      <c r="P233" s="25">
        <f t="shared" si="34"/>
        <v>0</v>
      </c>
      <c r="Q233" s="26">
        <f t="shared" si="35"/>
        <v>0</v>
      </c>
      <c r="R233" s="27">
        <f t="shared" si="36"/>
        <v>0</v>
      </c>
      <c r="S233" s="28">
        <f t="shared" si="37"/>
        <v>0</v>
      </c>
    </row>
    <row r="234" spans="2:19" hidden="1">
      <c r="B234" s="537" t="s">
        <v>2127</v>
      </c>
      <c r="C234" s="284"/>
      <c r="D234" s="284"/>
      <c r="E234" s="284"/>
      <c r="F234" s="285"/>
      <c r="G234" s="286"/>
      <c r="H234" s="281">
        <f t="shared" si="30"/>
        <v>0</v>
      </c>
      <c r="I234" s="533">
        <f t="shared" si="31"/>
        <v>18.760000000000002</v>
      </c>
      <c r="J234" s="282"/>
      <c r="K234" s="283"/>
      <c r="L234" s="534">
        <v>18.760000000000002</v>
      </c>
      <c r="M234" s="536" t="s">
        <v>2141</v>
      </c>
      <c r="N234" s="25">
        <f t="shared" si="32"/>
        <v>0</v>
      </c>
      <c r="O234" s="25">
        <f t="shared" si="33"/>
        <v>0</v>
      </c>
      <c r="P234" s="25">
        <f t="shared" si="34"/>
        <v>0</v>
      </c>
      <c r="Q234" s="26">
        <f t="shared" si="35"/>
        <v>0</v>
      </c>
      <c r="R234" s="27">
        <f t="shared" si="36"/>
        <v>0</v>
      </c>
      <c r="S234" s="28">
        <f t="shared" si="37"/>
        <v>0</v>
      </c>
    </row>
    <row r="235" spans="2:19" hidden="1">
      <c r="B235" s="537" t="s">
        <v>2128</v>
      </c>
      <c r="C235" s="284"/>
      <c r="D235" s="284"/>
      <c r="E235" s="284"/>
      <c r="F235" s="285"/>
      <c r="G235" s="286"/>
      <c r="H235" s="281">
        <f t="shared" si="30"/>
        <v>0</v>
      </c>
      <c r="I235" s="533">
        <f t="shared" si="31"/>
        <v>6.65</v>
      </c>
      <c r="J235" s="282"/>
      <c r="K235" s="283"/>
      <c r="L235" s="534">
        <v>6.65</v>
      </c>
      <c r="M235" s="536" t="s">
        <v>2163</v>
      </c>
      <c r="N235" s="25">
        <f t="shared" si="32"/>
        <v>0</v>
      </c>
      <c r="O235" s="25">
        <f t="shared" si="33"/>
        <v>0</v>
      </c>
      <c r="P235" s="25">
        <f t="shared" si="34"/>
        <v>0</v>
      </c>
      <c r="Q235" s="26">
        <f t="shared" si="35"/>
        <v>0</v>
      </c>
      <c r="R235" s="27">
        <f t="shared" si="36"/>
        <v>0</v>
      </c>
      <c r="S235" s="28">
        <f t="shared" si="37"/>
        <v>0</v>
      </c>
    </row>
    <row r="236" spans="2:19" hidden="1">
      <c r="B236" s="537" t="s">
        <v>2129</v>
      </c>
      <c r="C236" s="284"/>
      <c r="D236" s="284"/>
      <c r="E236" s="284"/>
      <c r="F236" s="285"/>
      <c r="G236" s="286"/>
      <c r="H236" s="281">
        <f t="shared" si="30"/>
        <v>0</v>
      </c>
      <c r="I236" s="533">
        <f t="shared" si="31"/>
        <v>5.41</v>
      </c>
      <c r="J236" s="282"/>
      <c r="K236" s="283"/>
      <c r="L236" s="534">
        <v>5.41</v>
      </c>
      <c r="M236" s="536" t="s">
        <v>2138</v>
      </c>
      <c r="N236" s="25">
        <f t="shared" si="32"/>
        <v>0</v>
      </c>
      <c r="O236" s="25">
        <f t="shared" si="33"/>
        <v>0</v>
      </c>
      <c r="P236" s="25">
        <f t="shared" si="34"/>
        <v>0</v>
      </c>
      <c r="Q236" s="26">
        <f t="shared" si="35"/>
        <v>0</v>
      </c>
      <c r="R236" s="27">
        <f t="shared" si="36"/>
        <v>0</v>
      </c>
      <c r="S236" s="28">
        <f t="shared" si="37"/>
        <v>0</v>
      </c>
    </row>
    <row r="237" spans="2:19">
      <c r="C237" s="532">
        <f t="shared" ref="C237:G237" si="38">SUM(N6:N236)</f>
        <v>62030.7</v>
      </c>
      <c r="D237" s="532">
        <f t="shared" si="38"/>
        <v>67507.239999999976</v>
      </c>
      <c r="E237" s="532">
        <f t="shared" si="38"/>
        <v>6228.7400000000007</v>
      </c>
      <c r="F237" s="532">
        <f t="shared" si="38"/>
        <v>7604.1</v>
      </c>
      <c r="G237" s="532">
        <f t="shared" si="38"/>
        <v>0</v>
      </c>
      <c r="H237" s="532">
        <f>SUM(S6:S236)</f>
        <v>143370.78</v>
      </c>
    </row>
    <row r="238" spans="2:19">
      <c r="G238" s="5" t="str">
        <f t="shared" ref="G238:G286" si="39">IF(B238&lt;&gt;"",SUM(C238:F238),"")</f>
        <v/>
      </c>
    </row>
    <row r="239" spans="2:19">
      <c r="G239" s="5" t="str">
        <f t="shared" si="39"/>
        <v/>
      </c>
    </row>
    <row r="240" spans="2:19">
      <c r="G240" s="5" t="str">
        <f t="shared" si="39"/>
        <v/>
      </c>
    </row>
    <row r="241" spans="7:7">
      <c r="G241" s="5" t="str">
        <f t="shared" si="39"/>
        <v/>
      </c>
    </row>
    <row r="242" spans="7:7">
      <c r="G242" s="5" t="str">
        <f t="shared" si="39"/>
        <v/>
      </c>
    </row>
    <row r="243" spans="7:7">
      <c r="G243" s="5" t="str">
        <f t="shared" si="39"/>
        <v/>
      </c>
    </row>
    <row r="244" spans="7:7">
      <c r="G244" s="5" t="str">
        <f t="shared" si="39"/>
        <v/>
      </c>
    </row>
    <row r="245" spans="7:7">
      <c r="G245" s="5" t="str">
        <f t="shared" si="39"/>
        <v/>
      </c>
    </row>
    <row r="246" spans="7:7">
      <c r="G246" s="5" t="str">
        <f t="shared" si="39"/>
        <v/>
      </c>
    </row>
    <row r="247" spans="7:7">
      <c r="G247" s="5" t="str">
        <f t="shared" si="39"/>
        <v/>
      </c>
    </row>
    <row r="248" spans="7:7">
      <c r="G248" s="5" t="str">
        <f t="shared" si="39"/>
        <v/>
      </c>
    </row>
    <row r="249" spans="7:7">
      <c r="G249" s="5" t="str">
        <f t="shared" si="39"/>
        <v/>
      </c>
    </row>
    <row r="250" spans="7:7">
      <c r="G250" s="5" t="str">
        <f t="shared" si="39"/>
        <v/>
      </c>
    </row>
    <row r="251" spans="7:7">
      <c r="G251" s="5" t="str">
        <f t="shared" si="39"/>
        <v/>
      </c>
    </row>
    <row r="252" spans="7:7">
      <c r="G252" s="5" t="str">
        <f t="shared" si="39"/>
        <v/>
      </c>
    </row>
    <row r="253" spans="7:7">
      <c r="G253" s="5" t="str">
        <f t="shared" si="39"/>
        <v/>
      </c>
    </row>
    <row r="254" spans="7:7">
      <c r="G254" s="5" t="str">
        <f t="shared" si="39"/>
        <v/>
      </c>
    </row>
    <row r="255" spans="7:7">
      <c r="G255" s="5" t="str">
        <f t="shared" si="39"/>
        <v/>
      </c>
    </row>
    <row r="256" spans="7:7">
      <c r="G256" s="5" t="str">
        <f t="shared" si="39"/>
        <v/>
      </c>
    </row>
    <row r="257" spans="7:7">
      <c r="G257" s="5" t="str">
        <f t="shared" si="39"/>
        <v/>
      </c>
    </row>
    <row r="258" spans="7:7">
      <c r="G258" s="5" t="str">
        <f t="shared" si="39"/>
        <v/>
      </c>
    </row>
    <row r="259" spans="7:7">
      <c r="G259" s="5" t="str">
        <f t="shared" si="39"/>
        <v/>
      </c>
    </row>
    <row r="260" spans="7:7">
      <c r="G260" s="5" t="str">
        <f t="shared" si="39"/>
        <v/>
      </c>
    </row>
    <row r="261" spans="7:7">
      <c r="G261" s="5" t="str">
        <f t="shared" si="39"/>
        <v/>
      </c>
    </row>
    <row r="262" spans="7:7">
      <c r="G262" s="5" t="str">
        <f t="shared" si="39"/>
        <v/>
      </c>
    </row>
    <row r="263" spans="7:7">
      <c r="G263" s="5" t="str">
        <f t="shared" si="39"/>
        <v/>
      </c>
    </row>
    <row r="264" spans="7:7">
      <c r="G264" s="5" t="str">
        <f t="shared" si="39"/>
        <v/>
      </c>
    </row>
    <row r="265" spans="7:7">
      <c r="G265" s="5" t="str">
        <f t="shared" si="39"/>
        <v/>
      </c>
    </row>
    <row r="266" spans="7:7">
      <c r="G266" s="5" t="str">
        <f t="shared" si="39"/>
        <v/>
      </c>
    </row>
    <row r="267" spans="7:7">
      <c r="G267" s="5" t="str">
        <f t="shared" si="39"/>
        <v/>
      </c>
    </row>
    <row r="268" spans="7:7">
      <c r="G268" s="5" t="str">
        <f t="shared" si="39"/>
        <v/>
      </c>
    </row>
    <row r="269" spans="7:7">
      <c r="G269" s="5" t="str">
        <f t="shared" si="39"/>
        <v/>
      </c>
    </row>
    <row r="270" spans="7:7">
      <c r="G270" s="5" t="str">
        <f t="shared" si="39"/>
        <v/>
      </c>
    </row>
    <row r="271" spans="7:7">
      <c r="G271" s="5" t="str">
        <f t="shared" si="39"/>
        <v/>
      </c>
    </row>
    <row r="272" spans="7:7">
      <c r="G272" s="5" t="str">
        <f t="shared" si="39"/>
        <v/>
      </c>
    </row>
    <row r="273" spans="7:7">
      <c r="G273" s="5" t="str">
        <f t="shared" si="39"/>
        <v/>
      </c>
    </row>
    <row r="274" spans="7:7">
      <c r="G274" s="5" t="str">
        <f t="shared" si="39"/>
        <v/>
      </c>
    </row>
    <row r="275" spans="7:7">
      <c r="G275" s="5" t="str">
        <f t="shared" si="39"/>
        <v/>
      </c>
    </row>
    <row r="276" spans="7:7">
      <c r="G276" s="5" t="str">
        <f t="shared" si="39"/>
        <v/>
      </c>
    </row>
    <row r="277" spans="7:7">
      <c r="G277" s="5" t="str">
        <f t="shared" si="39"/>
        <v/>
      </c>
    </row>
    <row r="278" spans="7:7">
      <c r="G278" s="5" t="str">
        <f t="shared" si="39"/>
        <v/>
      </c>
    </row>
    <row r="279" spans="7:7">
      <c r="G279" s="5" t="str">
        <f t="shared" si="39"/>
        <v/>
      </c>
    </row>
    <row r="280" spans="7:7">
      <c r="G280" s="5" t="str">
        <f t="shared" si="39"/>
        <v/>
      </c>
    </row>
    <row r="281" spans="7:7">
      <c r="G281" s="5" t="str">
        <f t="shared" si="39"/>
        <v/>
      </c>
    </row>
    <row r="282" spans="7:7">
      <c r="G282" s="5" t="str">
        <f t="shared" si="39"/>
        <v/>
      </c>
    </row>
    <row r="283" spans="7:7">
      <c r="G283" s="5" t="str">
        <f t="shared" si="39"/>
        <v/>
      </c>
    </row>
    <row r="284" spans="7:7">
      <c r="G284" s="5" t="str">
        <f t="shared" si="39"/>
        <v/>
      </c>
    </row>
    <row r="285" spans="7:7">
      <c r="G285" s="5" t="str">
        <f t="shared" si="39"/>
        <v/>
      </c>
    </row>
    <row r="286" spans="7:7">
      <c r="G286" s="5" t="str">
        <f t="shared" si="39"/>
        <v/>
      </c>
    </row>
    <row r="287" spans="7:7">
      <c r="G287" s="5" t="str">
        <f t="shared" ref="G287:G350" si="40">IF(B287&lt;&gt;"",SUM(C287:F287),"")</f>
        <v/>
      </c>
    </row>
    <row r="288" spans="7:7">
      <c r="G288" s="5" t="str">
        <f t="shared" si="40"/>
        <v/>
      </c>
    </row>
    <row r="289" spans="7:7">
      <c r="G289" s="5" t="str">
        <f t="shared" si="40"/>
        <v/>
      </c>
    </row>
    <row r="290" spans="7:7">
      <c r="G290" s="5" t="str">
        <f t="shared" si="40"/>
        <v/>
      </c>
    </row>
    <row r="291" spans="7:7">
      <c r="G291" s="5" t="str">
        <f t="shared" si="40"/>
        <v/>
      </c>
    </row>
    <row r="292" spans="7:7">
      <c r="G292" s="5" t="str">
        <f t="shared" si="40"/>
        <v/>
      </c>
    </row>
    <row r="293" spans="7:7">
      <c r="G293" s="5" t="str">
        <f t="shared" si="40"/>
        <v/>
      </c>
    </row>
    <row r="294" spans="7:7">
      <c r="G294" s="5" t="str">
        <f t="shared" si="40"/>
        <v/>
      </c>
    </row>
    <row r="295" spans="7:7">
      <c r="G295" s="5" t="str">
        <f t="shared" si="40"/>
        <v/>
      </c>
    </row>
    <row r="296" spans="7:7">
      <c r="G296" s="5" t="str">
        <f t="shared" si="40"/>
        <v/>
      </c>
    </row>
    <row r="297" spans="7:7">
      <c r="G297" s="5" t="str">
        <f t="shared" si="40"/>
        <v/>
      </c>
    </row>
    <row r="298" spans="7:7">
      <c r="G298" s="5" t="str">
        <f t="shared" si="40"/>
        <v/>
      </c>
    </row>
    <row r="299" spans="7:7">
      <c r="G299" s="5" t="str">
        <f t="shared" si="40"/>
        <v/>
      </c>
    </row>
    <row r="300" spans="7:7">
      <c r="G300" s="5" t="str">
        <f t="shared" si="40"/>
        <v/>
      </c>
    </row>
    <row r="301" spans="7:7">
      <c r="G301" s="5" t="str">
        <f t="shared" si="40"/>
        <v/>
      </c>
    </row>
    <row r="302" spans="7:7">
      <c r="G302" s="5" t="str">
        <f t="shared" si="40"/>
        <v/>
      </c>
    </row>
    <row r="303" spans="7:7">
      <c r="G303" s="5" t="str">
        <f t="shared" si="40"/>
        <v/>
      </c>
    </row>
    <row r="304" spans="7:7">
      <c r="G304" s="5" t="str">
        <f t="shared" si="40"/>
        <v/>
      </c>
    </row>
    <row r="305" spans="7:7">
      <c r="G305" s="5" t="str">
        <f t="shared" si="40"/>
        <v/>
      </c>
    </row>
    <row r="306" spans="7:7">
      <c r="G306" s="5" t="str">
        <f t="shared" si="40"/>
        <v/>
      </c>
    </row>
    <row r="307" spans="7:7">
      <c r="G307" s="5" t="str">
        <f t="shared" si="40"/>
        <v/>
      </c>
    </row>
    <row r="308" spans="7:7">
      <c r="G308" s="5" t="str">
        <f t="shared" si="40"/>
        <v/>
      </c>
    </row>
    <row r="309" spans="7:7">
      <c r="G309" s="5" t="str">
        <f t="shared" si="40"/>
        <v/>
      </c>
    </row>
    <row r="310" spans="7:7">
      <c r="G310" s="5" t="str">
        <f t="shared" si="40"/>
        <v/>
      </c>
    </row>
    <row r="311" spans="7:7">
      <c r="G311" s="5" t="str">
        <f t="shared" si="40"/>
        <v/>
      </c>
    </row>
    <row r="312" spans="7:7">
      <c r="G312" s="5" t="str">
        <f t="shared" si="40"/>
        <v/>
      </c>
    </row>
    <row r="313" spans="7:7">
      <c r="G313" s="5" t="str">
        <f t="shared" si="40"/>
        <v/>
      </c>
    </row>
    <row r="314" spans="7:7">
      <c r="G314" s="5" t="str">
        <f t="shared" si="40"/>
        <v/>
      </c>
    </row>
    <row r="315" spans="7:7">
      <c r="G315" s="5" t="str">
        <f t="shared" si="40"/>
        <v/>
      </c>
    </row>
    <row r="316" spans="7:7">
      <c r="G316" s="5" t="str">
        <f t="shared" si="40"/>
        <v/>
      </c>
    </row>
    <row r="317" spans="7:7">
      <c r="G317" s="5" t="str">
        <f t="shared" si="40"/>
        <v/>
      </c>
    </row>
    <row r="318" spans="7:7">
      <c r="G318" s="5" t="str">
        <f t="shared" si="40"/>
        <v/>
      </c>
    </row>
    <row r="319" spans="7:7">
      <c r="G319" s="5" t="str">
        <f t="shared" si="40"/>
        <v/>
      </c>
    </row>
    <row r="320" spans="7:7">
      <c r="G320" s="5" t="str">
        <f t="shared" si="40"/>
        <v/>
      </c>
    </row>
    <row r="321" spans="7:7">
      <c r="G321" s="5" t="str">
        <f t="shared" si="40"/>
        <v/>
      </c>
    </row>
    <row r="322" spans="7:7">
      <c r="G322" s="5" t="str">
        <f t="shared" si="40"/>
        <v/>
      </c>
    </row>
    <row r="323" spans="7:7">
      <c r="G323" s="5" t="str">
        <f t="shared" si="40"/>
        <v/>
      </c>
    </row>
    <row r="324" spans="7:7">
      <c r="G324" s="5" t="str">
        <f t="shared" si="40"/>
        <v/>
      </c>
    </row>
    <row r="325" spans="7:7">
      <c r="G325" s="5" t="str">
        <f t="shared" si="40"/>
        <v/>
      </c>
    </row>
    <row r="326" spans="7:7">
      <c r="G326" s="5" t="str">
        <f t="shared" si="40"/>
        <v/>
      </c>
    </row>
    <row r="327" spans="7:7">
      <c r="G327" s="5" t="str">
        <f t="shared" si="40"/>
        <v/>
      </c>
    </row>
    <row r="328" spans="7:7">
      <c r="G328" s="5" t="str">
        <f t="shared" si="40"/>
        <v/>
      </c>
    </row>
    <row r="329" spans="7:7">
      <c r="G329" s="5" t="str">
        <f t="shared" si="40"/>
        <v/>
      </c>
    </row>
    <row r="330" spans="7:7">
      <c r="G330" s="5" t="str">
        <f t="shared" si="40"/>
        <v/>
      </c>
    </row>
    <row r="331" spans="7:7">
      <c r="G331" s="5" t="str">
        <f t="shared" si="40"/>
        <v/>
      </c>
    </row>
    <row r="332" spans="7:7">
      <c r="G332" s="5" t="str">
        <f t="shared" si="40"/>
        <v/>
      </c>
    </row>
    <row r="333" spans="7:7">
      <c r="G333" s="5" t="str">
        <f t="shared" si="40"/>
        <v/>
      </c>
    </row>
    <row r="334" spans="7:7">
      <c r="G334" s="5" t="str">
        <f t="shared" si="40"/>
        <v/>
      </c>
    </row>
    <row r="335" spans="7:7">
      <c r="G335" s="5" t="str">
        <f t="shared" si="40"/>
        <v/>
      </c>
    </row>
    <row r="336" spans="7:7">
      <c r="G336" s="5" t="str">
        <f t="shared" si="40"/>
        <v/>
      </c>
    </row>
    <row r="337" spans="7:7">
      <c r="G337" s="5" t="str">
        <f t="shared" si="40"/>
        <v/>
      </c>
    </row>
    <row r="338" spans="7:7">
      <c r="G338" s="5" t="str">
        <f t="shared" si="40"/>
        <v/>
      </c>
    </row>
    <row r="339" spans="7:7">
      <c r="G339" s="5" t="str">
        <f t="shared" si="40"/>
        <v/>
      </c>
    </row>
    <row r="340" spans="7:7">
      <c r="G340" s="5" t="str">
        <f t="shared" si="40"/>
        <v/>
      </c>
    </row>
    <row r="341" spans="7:7">
      <c r="G341" s="5" t="str">
        <f t="shared" si="40"/>
        <v/>
      </c>
    </row>
    <row r="342" spans="7:7">
      <c r="G342" s="5" t="str">
        <f t="shared" si="40"/>
        <v/>
      </c>
    </row>
    <row r="343" spans="7:7">
      <c r="G343" s="5" t="str">
        <f t="shared" si="40"/>
        <v/>
      </c>
    </row>
    <row r="344" spans="7:7">
      <c r="G344" s="5" t="str">
        <f t="shared" si="40"/>
        <v/>
      </c>
    </row>
    <row r="345" spans="7:7">
      <c r="G345" s="5" t="str">
        <f t="shared" si="40"/>
        <v/>
      </c>
    </row>
    <row r="346" spans="7:7">
      <c r="G346" s="5" t="str">
        <f t="shared" si="40"/>
        <v/>
      </c>
    </row>
    <row r="347" spans="7:7">
      <c r="G347" s="5" t="str">
        <f t="shared" si="40"/>
        <v/>
      </c>
    </row>
    <row r="348" spans="7:7">
      <c r="G348" s="5" t="str">
        <f t="shared" si="40"/>
        <v/>
      </c>
    </row>
    <row r="349" spans="7:7">
      <c r="G349" s="5" t="str">
        <f t="shared" si="40"/>
        <v/>
      </c>
    </row>
    <row r="350" spans="7:7">
      <c r="G350" s="5" t="str">
        <f t="shared" si="40"/>
        <v/>
      </c>
    </row>
    <row r="351" spans="7:7">
      <c r="G351" s="5" t="str">
        <f t="shared" ref="G351:G414" si="41">IF(B351&lt;&gt;"",SUM(C351:F351),"")</f>
        <v/>
      </c>
    </row>
    <row r="352" spans="7:7">
      <c r="G352" s="5" t="str">
        <f t="shared" si="41"/>
        <v/>
      </c>
    </row>
    <row r="353" spans="7:7">
      <c r="G353" s="5" t="str">
        <f t="shared" si="41"/>
        <v/>
      </c>
    </row>
    <row r="354" spans="7:7">
      <c r="G354" s="5" t="str">
        <f t="shared" si="41"/>
        <v/>
      </c>
    </row>
    <row r="355" spans="7:7">
      <c r="G355" s="5" t="str">
        <f t="shared" si="41"/>
        <v/>
      </c>
    </row>
    <row r="356" spans="7:7">
      <c r="G356" s="5" t="str">
        <f t="shared" si="41"/>
        <v/>
      </c>
    </row>
    <row r="357" spans="7:7">
      <c r="G357" s="5" t="str">
        <f t="shared" si="41"/>
        <v/>
      </c>
    </row>
    <row r="358" spans="7:7">
      <c r="G358" s="5" t="str">
        <f t="shared" si="41"/>
        <v/>
      </c>
    </row>
    <row r="359" spans="7:7">
      <c r="G359" s="5" t="str">
        <f t="shared" si="41"/>
        <v/>
      </c>
    </row>
    <row r="360" spans="7:7">
      <c r="G360" s="5" t="str">
        <f t="shared" si="41"/>
        <v/>
      </c>
    </row>
    <row r="361" spans="7:7">
      <c r="G361" s="5" t="str">
        <f t="shared" si="41"/>
        <v/>
      </c>
    </row>
    <row r="362" spans="7:7">
      <c r="G362" s="5" t="str">
        <f t="shared" si="41"/>
        <v/>
      </c>
    </row>
    <row r="363" spans="7:7">
      <c r="G363" s="5" t="str">
        <f t="shared" si="41"/>
        <v/>
      </c>
    </row>
    <row r="364" spans="7:7">
      <c r="G364" s="5" t="str">
        <f t="shared" si="41"/>
        <v/>
      </c>
    </row>
    <row r="365" spans="7:7">
      <c r="G365" s="5" t="str">
        <f t="shared" si="41"/>
        <v/>
      </c>
    </row>
    <row r="366" spans="7:7">
      <c r="G366" s="5" t="str">
        <f t="shared" si="41"/>
        <v/>
      </c>
    </row>
    <row r="367" spans="7:7">
      <c r="G367" s="5" t="str">
        <f t="shared" si="41"/>
        <v/>
      </c>
    </row>
    <row r="368" spans="7:7">
      <c r="G368" s="5" t="str">
        <f t="shared" si="41"/>
        <v/>
      </c>
    </row>
    <row r="369" spans="7:7">
      <c r="G369" s="5" t="str">
        <f t="shared" si="41"/>
        <v/>
      </c>
    </row>
    <row r="370" spans="7:7">
      <c r="G370" s="5" t="str">
        <f t="shared" si="41"/>
        <v/>
      </c>
    </row>
    <row r="371" spans="7:7">
      <c r="G371" s="5" t="str">
        <f t="shared" si="41"/>
        <v/>
      </c>
    </row>
    <row r="372" spans="7:7">
      <c r="G372" s="5" t="str">
        <f t="shared" si="41"/>
        <v/>
      </c>
    </row>
    <row r="373" spans="7:7">
      <c r="G373" s="5" t="str">
        <f t="shared" si="41"/>
        <v/>
      </c>
    </row>
    <row r="374" spans="7:7">
      <c r="G374" s="5" t="str">
        <f t="shared" si="41"/>
        <v/>
      </c>
    </row>
    <row r="375" spans="7:7">
      <c r="G375" s="5" t="str">
        <f t="shared" si="41"/>
        <v/>
      </c>
    </row>
    <row r="376" spans="7:7">
      <c r="G376" s="5" t="str">
        <f t="shared" si="41"/>
        <v/>
      </c>
    </row>
    <row r="377" spans="7:7">
      <c r="G377" s="5" t="str">
        <f t="shared" si="41"/>
        <v/>
      </c>
    </row>
    <row r="378" spans="7:7">
      <c r="G378" s="5" t="str">
        <f t="shared" si="41"/>
        <v/>
      </c>
    </row>
    <row r="379" spans="7:7">
      <c r="G379" s="5" t="str">
        <f t="shared" si="41"/>
        <v/>
      </c>
    </row>
    <row r="380" spans="7:7">
      <c r="G380" s="5" t="str">
        <f t="shared" si="41"/>
        <v/>
      </c>
    </row>
    <row r="381" spans="7:7">
      <c r="G381" s="5" t="str">
        <f t="shared" si="41"/>
        <v/>
      </c>
    </row>
    <row r="382" spans="7:7">
      <c r="G382" s="5" t="str">
        <f t="shared" si="41"/>
        <v/>
      </c>
    </row>
    <row r="383" spans="7:7">
      <c r="G383" s="5" t="str">
        <f t="shared" si="41"/>
        <v/>
      </c>
    </row>
    <row r="384" spans="7:7">
      <c r="G384" s="5" t="str">
        <f t="shared" si="41"/>
        <v/>
      </c>
    </row>
    <row r="385" spans="7:7">
      <c r="G385" s="5" t="str">
        <f t="shared" si="41"/>
        <v/>
      </c>
    </row>
    <row r="386" spans="7:7">
      <c r="G386" s="5" t="str">
        <f t="shared" si="41"/>
        <v/>
      </c>
    </row>
    <row r="387" spans="7:7">
      <c r="G387" s="5" t="str">
        <f t="shared" si="41"/>
        <v/>
      </c>
    </row>
    <row r="388" spans="7:7">
      <c r="G388" s="5" t="str">
        <f t="shared" si="41"/>
        <v/>
      </c>
    </row>
    <row r="389" spans="7:7">
      <c r="G389" s="5" t="str">
        <f t="shared" si="41"/>
        <v/>
      </c>
    </row>
    <row r="390" spans="7:7">
      <c r="G390" s="5" t="str">
        <f t="shared" si="41"/>
        <v/>
      </c>
    </row>
    <row r="391" spans="7:7">
      <c r="G391" s="5" t="str">
        <f t="shared" si="41"/>
        <v/>
      </c>
    </row>
    <row r="392" spans="7:7">
      <c r="G392" s="5" t="str">
        <f t="shared" si="41"/>
        <v/>
      </c>
    </row>
    <row r="393" spans="7:7">
      <c r="G393" s="5" t="str">
        <f t="shared" si="41"/>
        <v/>
      </c>
    </row>
    <row r="394" spans="7:7">
      <c r="G394" s="5" t="str">
        <f t="shared" si="41"/>
        <v/>
      </c>
    </row>
    <row r="395" spans="7:7">
      <c r="G395" s="5" t="str">
        <f t="shared" si="41"/>
        <v/>
      </c>
    </row>
    <row r="396" spans="7:7">
      <c r="G396" s="5" t="str">
        <f t="shared" si="41"/>
        <v/>
      </c>
    </row>
    <row r="397" spans="7:7">
      <c r="G397" s="5" t="str">
        <f t="shared" si="41"/>
        <v/>
      </c>
    </row>
    <row r="398" spans="7:7">
      <c r="G398" s="5" t="str">
        <f t="shared" si="41"/>
        <v/>
      </c>
    </row>
    <row r="399" spans="7:7">
      <c r="G399" s="5" t="str">
        <f t="shared" si="41"/>
        <v/>
      </c>
    </row>
    <row r="400" spans="7:7">
      <c r="G400" s="5" t="str">
        <f t="shared" si="41"/>
        <v/>
      </c>
    </row>
    <row r="401" spans="7:7">
      <c r="G401" s="5" t="str">
        <f t="shared" si="41"/>
        <v/>
      </c>
    </row>
    <row r="402" spans="7:7">
      <c r="G402" s="5" t="str">
        <f t="shared" si="41"/>
        <v/>
      </c>
    </row>
    <row r="403" spans="7:7">
      <c r="G403" s="5" t="str">
        <f t="shared" si="41"/>
        <v/>
      </c>
    </row>
    <row r="404" spans="7:7">
      <c r="G404" s="5" t="str">
        <f t="shared" si="41"/>
        <v/>
      </c>
    </row>
    <row r="405" spans="7:7">
      <c r="G405" s="5" t="str">
        <f t="shared" si="41"/>
        <v/>
      </c>
    </row>
    <row r="406" spans="7:7">
      <c r="G406" s="5" t="str">
        <f t="shared" si="41"/>
        <v/>
      </c>
    </row>
    <row r="407" spans="7:7">
      <c r="G407" s="5" t="str">
        <f t="shared" si="41"/>
        <v/>
      </c>
    </row>
    <row r="408" spans="7:7">
      <c r="G408" s="5" t="str">
        <f t="shared" si="41"/>
        <v/>
      </c>
    </row>
    <row r="409" spans="7:7">
      <c r="G409" s="5" t="str">
        <f t="shared" si="41"/>
        <v/>
      </c>
    </row>
    <row r="410" spans="7:7">
      <c r="G410" s="5" t="str">
        <f t="shared" si="41"/>
        <v/>
      </c>
    </row>
    <row r="411" spans="7:7">
      <c r="G411" s="5" t="str">
        <f t="shared" si="41"/>
        <v/>
      </c>
    </row>
    <row r="412" spans="7:7">
      <c r="G412" s="5" t="str">
        <f t="shared" si="41"/>
        <v/>
      </c>
    </row>
    <row r="413" spans="7:7">
      <c r="G413" s="5" t="str">
        <f t="shared" si="41"/>
        <v/>
      </c>
    </row>
    <row r="414" spans="7:7">
      <c r="G414" s="5" t="str">
        <f t="shared" si="41"/>
        <v/>
      </c>
    </row>
    <row r="415" spans="7:7">
      <c r="G415" s="5" t="str">
        <f t="shared" ref="G415:G478" si="42">IF(B415&lt;&gt;"",SUM(C415:F415),"")</f>
        <v/>
      </c>
    </row>
    <row r="416" spans="7:7">
      <c r="G416" s="5" t="str">
        <f t="shared" si="42"/>
        <v/>
      </c>
    </row>
    <row r="417" spans="7:7">
      <c r="G417" s="5" t="str">
        <f t="shared" si="42"/>
        <v/>
      </c>
    </row>
    <row r="418" spans="7:7">
      <c r="G418" s="5" t="str">
        <f t="shared" si="42"/>
        <v/>
      </c>
    </row>
    <row r="419" spans="7:7">
      <c r="G419" s="5" t="str">
        <f t="shared" si="42"/>
        <v/>
      </c>
    </row>
    <row r="420" spans="7:7">
      <c r="G420" s="5" t="str">
        <f t="shared" si="42"/>
        <v/>
      </c>
    </row>
    <row r="421" spans="7:7">
      <c r="G421" s="5" t="str">
        <f t="shared" si="42"/>
        <v/>
      </c>
    </row>
    <row r="422" spans="7:7">
      <c r="G422" s="5" t="str">
        <f t="shared" si="42"/>
        <v/>
      </c>
    </row>
    <row r="423" spans="7:7">
      <c r="G423" s="5" t="str">
        <f t="shared" si="42"/>
        <v/>
      </c>
    </row>
    <row r="424" spans="7:7">
      <c r="G424" s="5" t="str">
        <f t="shared" si="42"/>
        <v/>
      </c>
    </row>
    <row r="425" spans="7:7">
      <c r="G425" s="5" t="str">
        <f t="shared" si="42"/>
        <v/>
      </c>
    </row>
    <row r="426" spans="7:7">
      <c r="G426" s="5" t="str">
        <f t="shared" si="42"/>
        <v/>
      </c>
    </row>
    <row r="427" spans="7:7">
      <c r="G427" s="5" t="str">
        <f t="shared" si="42"/>
        <v/>
      </c>
    </row>
    <row r="428" spans="7:7">
      <c r="G428" s="5" t="str">
        <f t="shared" si="42"/>
        <v/>
      </c>
    </row>
    <row r="429" spans="7:7">
      <c r="G429" s="5" t="str">
        <f t="shared" si="42"/>
        <v/>
      </c>
    </row>
    <row r="430" spans="7:7">
      <c r="G430" s="5" t="str">
        <f t="shared" si="42"/>
        <v/>
      </c>
    </row>
    <row r="431" spans="7:7">
      <c r="G431" s="5" t="str">
        <f t="shared" si="42"/>
        <v/>
      </c>
    </row>
    <row r="432" spans="7:7">
      <c r="G432" s="5" t="str">
        <f t="shared" si="42"/>
        <v/>
      </c>
    </row>
    <row r="433" spans="7:7">
      <c r="G433" s="5" t="str">
        <f t="shared" si="42"/>
        <v/>
      </c>
    </row>
    <row r="434" spans="7:7">
      <c r="G434" s="5" t="str">
        <f t="shared" si="42"/>
        <v/>
      </c>
    </row>
    <row r="435" spans="7:7">
      <c r="G435" s="5" t="str">
        <f t="shared" si="42"/>
        <v/>
      </c>
    </row>
    <row r="436" spans="7:7">
      <c r="G436" s="5" t="str">
        <f t="shared" si="42"/>
        <v/>
      </c>
    </row>
    <row r="437" spans="7:7">
      <c r="G437" s="5" t="str">
        <f t="shared" si="42"/>
        <v/>
      </c>
    </row>
    <row r="438" spans="7:7">
      <c r="G438" s="5" t="str">
        <f t="shared" si="42"/>
        <v/>
      </c>
    </row>
    <row r="439" spans="7:7">
      <c r="G439" s="5" t="str">
        <f t="shared" si="42"/>
        <v/>
      </c>
    </row>
    <row r="440" spans="7:7">
      <c r="G440" s="5" t="str">
        <f t="shared" si="42"/>
        <v/>
      </c>
    </row>
    <row r="441" spans="7:7">
      <c r="G441" s="5" t="str">
        <f t="shared" si="42"/>
        <v/>
      </c>
    </row>
    <row r="442" spans="7:7">
      <c r="G442" s="5" t="str">
        <f t="shared" si="42"/>
        <v/>
      </c>
    </row>
    <row r="443" spans="7:7">
      <c r="G443" s="5" t="str">
        <f t="shared" si="42"/>
        <v/>
      </c>
    </row>
    <row r="444" spans="7:7">
      <c r="G444" s="5" t="str">
        <f t="shared" si="42"/>
        <v/>
      </c>
    </row>
    <row r="445" spans="7:7">
      <c r="G445" s="5" t="str">
        <f t="shared" si="42"/>
        <v/>
      </c>
    </row>
    <row r="446" spans="7:7">
      <c r="G446" s="5" t="str">
        <f t="shared" si="42"/>
        <v/>
      </c>
    </row>
    <row r="447" spans="7:7">
      <c r="G447" s="5" t="str">
        <f t="shared" si="42"/>
        <v/>
      </c>
    </row>
    <row r="448" spans="7:7">
      <c r="G448" s="5" t="str">
        <f t="shared" si="42"/>
        <v/>
      </c>
    </row>
    <row r="449" spans="7:7">
      <c r="G449" s="5" t="str">
        <f t="shared" si="42"/>
        <v/>
      </c>
    </row>
    <row r="450" spans="7:7">
      <c r="G450" s="5" t="str">
        <f t="shared" si="42"/>
        <v/>
      </c>
    </row>
    <row r="451" spans="7:7">
      <c r="G451" s="5" t="str">
        <f t="shared" si="42"/>
        <v/>
      </c>
    </row>
    <row r="452" spans="7:7">
      <c r="G452" s="5" t="str">
        <f t="shared" si="42"/>
        <v/>
      </c>
    </row>
    <row r="453" spans="7:7">
      <c r="G453" s="5" t="str">
        <f t="shared" si="42"/>
        <v/>
      </c>
    </row>
    <row r="454" spans="7:7">
      <c r="G454" s="5" t="str">
        <f t="shared" si="42"/>
        <v/>
      </c>
    </row>
    <row r="455" spans="7:7">
      <c r="G455" s="5" t="str">
        <f t="shared" si="42"/>
        <v/>
      </c>
    </row>
    <row r="456" spans="7:7">
      <c r="G456" s="5" t="str">
        <f t="shared" si="42"/>
        <v/>
      </c>
    </row>
    <row r="457" spans="7:7">
      <c r="G457" s="5" t="str">
        <f t="shared" si="42"/>
        <v/>
      </c>
    </row>
    <row r="458" spans="7:7">
      <c r="G458" s="5" t="str">
        <f t="shared" si="42"/>
        <v/>
      </c>
    </row>
    <row r="459" spans="7:7">
      <c r="G459" s="5" t="str">
        <f t="shared" si="42"/>
        <v/>
      </c>
    </row>
    <row r="460" spans="7:7">
      <c r="G460" s="5" t="str">
        <f t="shared" si="42"/>
        <v/>
      </c>
    </row>
    <row r="461" spans="7:7">
      <c r="G461" s="5" t="str">
        <f t="shared" si="42"/>
        <v/>
      </c>
    </row>
    <row r="462" spans="7:7">
      <c r="G462" s="5" t="str">
        <f t="shared" si="42"/>
        <v/>
      </c>
    </row>
    <row r="463" spans="7:7">
      <c r="G463" s="5" t="str">
        <f t="shared" si="42"/>
        <v/>
      </c>
    </row>
    <row r="464" spans="7:7">
      <c r="G464" s="5" t="str">
        <f t="shared" si="42"/>
        <v/>
      </c>
    </row>
    <row r="465" spans="7:7">
      <c r="G465" s="5" t="str">
        <f t="shared" si="42"/>
        <v/>
      </c>
    </row>
    <row r="466" spans="7:7">
      <c r="G466" s="5" t="str">
        <f t="shared" si="42"/>
        <v/>
      </c>
    </row>
    <row r="467" spans="7:7">
      <c r="G467" s="5" t="str">
        <f t="shared" si="42"/>
        <v/>
      </c>
    </row>
    <row r="468" spans="7:7">
      <c r="G468" s="5" t="str">
        <f t="shared" si="42"/>
        <v/>
      </c>
    </row>
    <row r="469" spans="7:7">
      <c r="G469" s="5" t="str">
        <f t="shared" si="42"/>
        <v/>
      </c>
    </row>
    <row r="470" spans="7:7">
      <c r="G470" s="5" t="str">
        <f t="shared" si="42"/>
        <v/>
      </c>
    </row>
    <row r="471" spans="7:7">
      <c r="G471" s="5" t="str">
        <f t="shared" si="42"/>
        <v/>
      </c>
    </row>
    <row r="472" spans="7:7">
      <c r="G472" s="5" t="str">
        <f t="shared" si="42"/>
        <v/>
      </c>
    </row>
    <row r="473" spans="7:7">
      <c r="G473" s="5" t="str">
        <f t="shared" si="42"/>
        <v/>
      </c>
    </row>
    <row r="474" spans="7:7">
      <c r="G474" s="5" t="str">
        <f t="shared" si="42"/>
        <v/>
      </c>
    </row>
    <row r="475" spans="7:7">
      <c r="G475" s="5" t="str">
        <f t="shared" si="42"/>
        <v/>
      </c>
    </row>
    <row r="476" spans="7:7">
      <c r="G476" s="5" t="str">
        <f t="shared" si="42"/>
        <v/>
      </c>
    </row>
    <row r="477" spans="7:7">
      <c r="G477" s="5" t="str">
        <f t="shared" si="42"/>
        <v/>
      </c>
    </row>
    <row r="478" spans="7:7">
      <c r="G478" s="5" t="str">
        <f t="shared" si="42"/>
        <v/>
      </c>
    </row>
    <row r="479" spans="7:7">
      <c r="G479" s="5" t="str">
        <f t="shared" ref="G479:G510" si="43">IF(B479&lt;&gt;"",SUM(C479:F479),"")</f>
        <v/>
      </c>
    </row>
    <row r="480" spans="7:7">
      <c r="G480" s="5" t="str">
        <f t="shared" si="43"/>
        <v/>
      </c>
    </row>
    <row r="481" spans="7:7">
      <c r="G481" s="5" t="str">
        <f t="shared" si="43"/>
        <v/>
      </c>
    </row>
    <row r="482" spans="7:7">
      <c r="G482" s="5" t="str">
        <f t="shared" si="43"/>
        <v/>
      </c>
    </row>
    <row r="483" spans="7:7">
      <c r="G483" s="5" t="str">
        <f t="shared" si="43"/>
        <v/>
      </c>
    </row>
    <row r="484" spans="7:7">
      <c r="G484" s="5" t="str">
        <f t="shared" si="43"/>
        <v/>
      </c>
    </row>
    <row r="485" spans="7:7">
      <c r="G485" s="5" t="str">
        <f t="shared" si="43"/>
        <v/>
      </c>
    </row>
    <row r="486" spans="7:7">
      <c r="G486" s="5" t="str">
        <f t="shared" si="43"/>
        <v/>
      </c>
    </row>
    <row r="487" spans="7:7">
      <c r="G487" s="5" t="str">
        <f t="shared" si="43"/>
        <v/>
      </c>
    </row>
    <row r="488" spans="7:7">
      <c r="G488" s="5" t="str">
        <f t="shared" si="43"/>
        <v/>
      </c>
    </row>
    <row r="489" spans="7:7">
      <c r="G489" s="5" t="str">
        <f t="shared" si="43"/>
        <v/>
      </c>
    </row>
    <row r="490" spans="7:7">
      <c r="G490" s="5" t="str">
        <f t="shared" si="43"/>
        <v/>
      </c>
    </row>
    <row r="491" spans="7:7">
      <c r="G491" s="5" t="str">
        <f t="shared" si="43"/>
        <v/>
      </c>
    </row>
    <row r="492" spans="7:7">
      <c r="G492" s="5" t="str">
        <f t="shared" si="43"/>
        <v/>
      </c>
    </row>
    <row r="493" spans="7:7">
      <c r="G493" s="5" t="str">
        <f t="shared" si="43"/>
        <v/>
      </c>
    </row>
    <row r="494" spans="7:7">
      <c r="G494" s="5" t="str">
        <f t="shared" si="43"/>
        <v/>
      </c>
    </row>
    <row r="495" spans="7:7">
      <c r="G495" s="5" t="str">
        <f t="shared" si="43"/>
        <v/>
      </c>
    </row>
    <row r="496" spans="7:7">
      <c r="G496" s="5" t="str">
        <f t="shared" si="43"/>
        <v/>
      </c>
    </row>
    <row r="497" spans="7:7">
      <c r="G497" s="5" t="str">
        <f t="shared" si="43"/>
        <v/>
      </c>
    </row>
    <row r="498" spans="7:7">
      <c r="G498" s="5" t="str">
        <f t="shared" si="43"/>
        <v/>
      </c>
    </row>
    <row r="499" spans="7:7">
      <c r="G499" s="5" t="str">
        <f t="shared" si="43"/>
        <v/>
      </c>
    </row>
    <row r="500" spans="7:7">
      <c r="G500" s="5" t="str">
        <f t="shared" si="43"/>
        <v/>
      </c>
    </row>
    <row r="501" spans="7:7">
      <c r="G501" s="5" t="str">
        <f t="shared" si="43"/>
        <v/>
      </c>
    </row>
    <row r="502" spans="7:7">
      <c r="G502" s="5" t="str">
        <f t="shared" si="43"/>
        <v/>
      </c>
    </row>
    <row r="503" spans="7:7">
      <c r="G503" s="5" t="str">
        <f t="shared" si="43"/>
        <v/>
      </c>
    </row>
    <row r="504" spans="7:7">
      <c r="G504" s="5" t="str">
        <f t="shared" si="43"/>
        <v/>
      </c>
    </row>
    <row r="505" spans="7:7">
      <c r="G505" s="5" t="str">
        <f t="shared" si="43"/>
        <v/>
      </c>
    </row>
    <row r="506" spans="7:7">
      <c r="G506" s="5" t="str">
        <f t="shared" si="43"/>
        <v/>
      </c>
    </row>
    <row r="507" spans="7:7">
      <c r="G507" s="5" t="str">
        <f t="shared" si="43"/>
        <v/>
      </c>
    </row>
    <row r="508" spans="7:7">
      <c r="G508" s="5" t="str">
        <f t="shared" si="43"/>
        <v/>
      </c>
    </row>
    <row r="509" spans="7:7">
      <c r="G509" s="5" t="str">
        <f t="shared" si="43"/>
        <v/>
      </c>
    </row>
    <row r="510" spans="7:7">
      <c r="G510" s="5" t="str">
        <f t="shared" si="43"/>
        <v/>
      </c>
    </row>
  </sheetData>
  <sheetProtection sort="0" autoFilter="0" pivotTables="0"/>
  <autoFilter ref="B5:I510" xr:uid="{150A9952-6D23-4C1F-8876-7987F79483C9}">
    <filterColumn colId="6">
      <filters blank="1">
        <filter val="1.200"/>
        <filter val="1.400"/>
        <filter val="100"/>
        <filter val="12"/>
        <filter val="120"/>
        <filter val="136"/>
        <filter val="160"/>
        <filter val="18"/>
        <filter val="180"/>
        <filter val="2.000"/>
        <filter val="2.860"/>
        <filter val="20"/>
        <filter val="200"/>
        <filter val="220"/>
        <filter val="24"/>
        <filter val="25"/>
        <filter val="3.900"/>
        <filter val="30"/>
        <filter val="32"/>
        <filter val="35"/>
        <filter val="36"/>
        <filter val="364"/>
        <filter val="384"/>
        <filter val="510"/>
        <filter val="6"/>
        <filter val="60"/>
        <filter val="644"/>
        <filter val="72"/>
        <filter val="80"/>
        <filter val="820"/>
        <filter val="94"/>
        <filter val="R$ 143.370,78"/>
      </filters>
    </filterColumn>
  </autoFilter>
  <pageMargins left="0.78740157480314965" right="0.78740157480314965" top="0.78740157480314965" bottom="0.78740157480314965" header="0" footer="0"/>
  <pageSetup paperSize="9" scale="47" fitToHeight="0" orientation="portrait" horizontalDpi="4294967295" verticalDpi="4294967295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7018A-54AE-4B43-B4EA-451B71F1405E}">
  <sheetPr codeName="Planilha14" filterMode="1">
    <tabColor rgb="FFFFC000"/>
    <pageSetUpPr fitToPage="1"/>
  </sheetPr>
  <dimension ref="B1:T465"/>
  <sheetViews>
    <sheetView zoomScaleNormal="100" workbookViewId="0">
      <pane ySplit="5" topLeftCell="A6" activePane="bottomLeft" state="frozen"/>
      <selection pane="bottomLeft" activeCell="G62" sqref="G62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20" width="75.140625" style="1" customWidth="1"/>
    <col min="21" max="16384" width="9.140625" style="1"/>
  </cols>
  <sheetData>
    <row r="1" spans="2:20" ht="4.5" customHeight="1">
      <c r="B1" s="1"/>
      <c r="C1" s="4"/>
      <c r="D1" s="4"/>
      <c r="E1" s="4"/>
      <c r="F1" s="4"/>
      <c r="G1" s="4"/>
    </row>
    <row r="2" spans="2:20" ht="59.25" customHeight="1">
      <c r="B2" s="63" t="s">
        <v>50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20" ht="4.5" customHeight="1" thickBot="1">
      <c r="B3" s="1"/>
      <c r="C3" s="4"/>
      <c r="D3" s="4"/>
      <c r="E3" s="4"/>
      <c r="F3" s="4"/>
      <c r="G3" s="4"/>
    </row>
    <row r="4" spans="2:20">
      <c r="B4" s="495" t="s">
        <v>6</v>
      </c>
      <c r="C4" s="244"/>
      <c r="D4" s="244"/>
      <c r="E4" s="244"/>
      <c r="F4" s="245"/>
      <c r="G4" s="246"/>
      <c r="H4" s="483"/>
      <c r="I4" s="483" t="s">
        <v>48</v>
      </c>
      <c r="J4" s="486" t="s">
        <v>9</v>
      </c>
      <c r="K4" s="486" t="s">
        <v>9</v>
      </c>
      <c r="L4" s="487">
        <v>4.7619047619047616E-2</v>
      </c>
      <c r="M4" s="488" t="s">
        <v>15</v>
      </c>
      <c r="N4" s="247"/>
      <c r="O4" s="248"/>
      <c r="P4" s="248"/>
      <c r="Q4" s="248"/>
      <c r="R4" s="248"/>
      <c r="S4" s="248"/>
    </row>
    <row r="5" spans="2:20" ht="16.5" thickBot="1">
      <c r="B5" s="492" t="s">
        <v>5</v>
      </c>
      <c r="C5" s="493" t="s">
        <v>0</v>
      </c>
      <c r="D5" s="493" t="s">
        <v>12</v>
      </c>
      <c r="E5" s="493" t="s">
        <v>2</v>
      </c>
      <c r="F5" s="493" t="s">
        <v>3</v>
      </c>
      <c r="G5" s="494" t="s">
        <v>1</v>
      </c>
      <c r="H5" s="484" t="s">
        <v>4</v>
      </c>
      <c r="I5" s="484" t="s">
        <v>7</v>
      </c>
      <c r="J5" s="489" t="s">
        <v>8</v>
      </c>
      <c r="K5" s="489" t="s">
        <v>10</v>
      </c>
      <c r="L5" s="490" t="s">
        <v>11</v>
      </c>
      <c r="M5" s="491" t="s">
        <v>16</v>
      </c>
      <c r="N5" s="249" t="s">
        <v>0</v>
      </c>
      <c r="O5" s="250" t="s">
        <v>12</v>
      </c>
      <c r="P5" s="250" t="s">
        <v>2</v>
      </c>
      <c r="Q5" s="250" t="s">
        <v>3</v>
      </c>
      <c r="R5" s="251" t="s">
        <v>1</v>
      </c>
      <c r="S5" s="252" t="s">
        <v>4</v>
      </c>
    </row>
    <row r="6" spans="2:20" hidden="1">
      <c r="B6" s="391" t="s">
        <v>170</v>
      </c>
      <c r="C6" s="258"/>
      <c r="D6" s="259"/>
      <c r="E6" s="259"/>
      <c r="F6" s="139"/>
      <c r="G6" s="140"/>
      <c r="H6" s="130">
        <f t="shared" ref="H6" si="0">SUM(C6:G6)</f>
        <v>0</v>
      </c>
      <c r="I6" s="485">
        <f>L6-(L6*J6)</f>
        <v>33.450000000000003</v>
      </c>
      <c r="J6" s="131"/>
      <c r="K6" s="132"/>
      <c r="L6" s="260">
        <v>33.450000000000003</v>
      </c>
      <c r="M6" s="257"/>
      <c r="N6" s="261">
        <f t="shared" ref="N6" si="1">I6*C6</f>
        <v>0</v>
      </c>
      <c r="O6" s="262">
        <f t="shared" ref="O6" si="2">I6*D6</f>
        <v>0</v>
      </c>
      <c r="P6" s="262">
        <f t="shared" ref="P6" si="3">I6*E6</f>
        <v>0</v>
      </c>
      <c r="Q6" s="263">
        <f t="shared" ref="Q6" si="4">I6*F6</f>
        <v>0</v>
      </c>
      <c r="R6" s="264">
        <f t="shared" ref="R6" si="5">I6*G6</f>
        <v>0</v>
      </c>
      <c r="S6" s="256">
        <f t="shared" ref="S6" si="6">SUM(N6:R6)</f>
        <v>0</v>
      </c>
      <c r="T6" s="481"/>
    </row>
    <row r="7" spans="2:20" hidden="1">
      <c r="B7" s="391" t="s">
        <v>171</v>
      </c>
      <c r="C7" s="265"/>
      <c r="D7" s="143"/>
      <c r="E7" s="143"/>
      <c r="F7" s="141"/>
      <c r="G7" s="142"/>
      <c r="H7" s="130">
        <f t="shared" ref="H7:H41" si="7">SUM(C7:G7)</f>
        <v>0</v>
      </c>
      <c r="I7" s="485">
        <f t="shared" ref="I7:I41" si="8">L7-(L7*J7)</f>
        <v>55.02</v>
      </c>
      <c r="J7" s="136"/>
      <c r="K7" s="137"/>
      <c r="L7" s="260">
        <v>55.02</v>
      </c>
      <c r="M7" s="257"/>
      <c r="N7" s="261">
        <f t="shared" ref="N7:N41" si="9">I7*C7</f>
        <v>0</v>
      </c>
      <c r="O7" s="262">
        <f t="shared" ref="O7:O41" si="10">I7*D7</f>
        <v>0</v>
      </c>
      <c r="P7" s="262">
        <f t="shared" ref="P7:P41" si="11">I7*E7</f>
        <v>0</v>
      </c>
      <c r="Q7" s="263">
        <f t="shared" ref="Q7:Q41" si="12">I7*F7</f>
        <v>0</v>
      </c>
      <c r="R7" s="264">
        <f t="shared" ref="R7:R41" si="13">I7*G7</f>
        <v>0</v>
      </c>
      <c r="S7" s="256">
        <f t="shared" ref="S7:S41" si="14">SUM(N7:R7)</f>
        <v>0</v>
      </c>
      <c r="T7" s="481"/>
    </row>
    <row r="8" spans="2:20" hidden="1">
      <c r="B8" s="391" t="s">
        <v>1027</v>
      </c>
      <c r="C8" s="265"/>
      <c r="D8" s="143"/>
      <c r="E8" s="143"/>
      <c r="F8" s="141"/>
      <c r="G8" s="142"/>
      <c r="H8" s="130">
        <f t="shared" si="7"/>
        <v>0</v>
      </c>
      <c r="I8" s="485">
        <f t="shared" si="8"/>
        <v>56.426666666666669</v>
      </c>
      <c r="J8" s="136"/>
      <c r="K8" s="137"/>
      <c r="L8" s="267">
        <v>56.426666666666669</v>
      </c>
      <c r="M8" s="257"/>
      <c r="N8" s="261">
        <f t="shared" si="9"/>
        <v>0</v>
      </c>
      <c r="O8" s="262">
        <f t="shared" si="10"/>
        <v>0</v>
      </c>
      <c r="P8" s="262">
        <f t="shared" si="11"/>
        <v>0</v>
      </c>
      <c r="Q8" s="263">
        <f t="shared" si="12"/>
        <v>0</v>
      </c>
      <c r="R8" s="264">
        <f t="shared" si="13"/>
        <v>0</v>
      </c>
      <c r="S8" s="256">
        <f t="shared" si="14"/>
        <v>0</v>
      </c>
      <c r="T8" s="481"/>
    </row>
    <row r="9" spans="2:20">
      <c r="B9" s="391" t="s">
        <v>172</v>
      </c>
      <c r="C9" s="265"/>
      <c r="D9" s="143"/>
      <c r="E9" s="143">
        <v>120</v>
      </c>
      <c r="F9" s="141"/>
      <c r="G9" s="142"/>
      <c r="H9" s="130">
        <f t="shared" si="7"/>
        <v>120</v>
      </c>
      <c r="I9" s="485">
        <f t="shared" si="8"/>
        <v>9.0440000000000005</v>
      </c>
      <c r="J9" s="136"/>
      <c r="K9" s="137"/>
      <c r="L9" s="260">
        <v>9.0440000000000005</v>
      </c>
      <c r="M9" s="257"/>
      <c r="N9" s="261">
        <f t="shared" si="9"/>
        <v>0</v>
      </c>
      <c r="O9" s="262">
        <f t="shared" si="10"/>
        <v>0</v>
      </c>
      <c r="P9" s="262">
        <f t="shared" si="11"/>
        <v>1085.28</v>
      </c>
      <c r="Q9" s="263">
        <f t="shared" si="12"/>
        <v>0</v>
      </c>
      <c r="R9" s="264">
        <f t="shared" si="13"/>
        <v>0</v>
      </c>
      <c r="S9" s="256">
        <f t="shared" si="14"/>
        <v>1085.28</v>
      </c>
      <c r="T9" s="481"/>
    </row>
    <row r="10" spans="2:20" hidden="1">
      <c r="B10" s="391" t="s">
        <v>850</v>
      </c>
      <c r="C10" s="266"/>
      <c r="D10" s="141"/>
      <c r="E10" s="141"/>
      <c r="F10" s="141"/>
      <c r="G10" s="142"/>
      <c r="H10" s="130">
        <f t="shared" si="7"/>
        <v>0</v>
      </c>
      <c r="I10" s="485">
        <f t="shared" si="8"/>
        <v>25.59</v>
      </c>
      <c r="J10" s="136"/>
      <c r="K10" s="137"/>
      <c r="L10" s="260">
        <v>25.59</v>
      </c>
      <c r="M10" s="257"/>
      <c r="N10" s="261">
        <f t="shared" si="9"/>
        <v>0</v>
      </c>
      <c r="O10" s="262">
        <f t="shared" si="10"/>
        <v>0</v>
      </c>
      <c r="P10" s="262">
        <f t="shared" si="11"/>
        <v>0</v>
      </c>
      <c r="Q10" s="263">
        <f t="shared" si="12"/>
        <v>0</v>
      </c>
      <c r="R10" s="264">
        <f t="shared" si="13"/>
        <v>0</v>
      </c>
      <c r="S10" s="256">
        <f t="shared" si="14"/>
        <v>0</v>
      </c>
      <c r="T10" s="481"/>
    </row>
    <row r="11" spans="2:20" hidden="1">
      <c r="B11" s="391" t="s">
        <v>851</v>
      </c>
      <c r="C11" s="266"/>
      <c r="D11" s="141"/>
      <c r="E11" s="141"/>
      <c r="F11" s="141"/>
      <c r="G11" s="142"/>
      <c r="H11" s="130">
        <f t="shared" si="7"/>
        <v>0</v>
      </c>
      <c r="I11" s="485">
        <f t="shared" si="8"/>
        <v>62.67</v>
      </c>
      <c r="J11" s="136"/>
      <c r="K11" s="137"/>
      <c r="L11" s="260">
        <v>62.67</v>
      </c>
      <c r="M11" s="257"/>
      <c r="N11" s="261">
        <f t="shared" si="9"/>
        <v>0</v>
      </c>
      <c r="O11" s="262">
        <f t="shared" si="10"/>
        <v>0</v>
      </c>
      <c r="P11" s="262">
        <f t="shared" si="11"/>
        <v>0</v>
      </c>
      <c r="Q11" s="263">
        <f t="shared" si="12"/>
        <v>0</v>
      </c>
      <c r="R11" s="264">
        <f t="shared" si="13"/>
        <v>0</v>
      </c>
      <c r="S11" s="256">
        <f t="shared" si="14"/>
        <v>0</v>
      </c>
      <c r="T11" s="481"/>
    </row>
    <row r="12" spans="2:20" hidden="1">
      <c r="B12" s="391" t="s">
        <v>852</v>
      </c>
      <c r="C12" s="265"/>
      <c r="D12" s="143"/>
      <c r="E12" s="143"/>
      <c r="F12" s="141"/>
      <c r="G12" s="142"/>
      <c r="H12" s="130">
        <f t="shared" si="7"/>
        <v>0</v>
      </c>
      <c r="I12" s="485">
        <f t="shared" si="8"/>
        <v>14</v>
      </c>
      <c r="J12" s="136"/>
      <c r="K12" s="137"/>
      <c r="L12" s="267">
        <v>14</v>
      </c>
      <c r="M12" s="257"/>
      <c r="N12" s="261">
        <f t="shared" si="9"/>
        <v>0</v>
      </c>
      <c r="O12" s="262">
        <f t="shared" si="10"/>
        <v>0</v>
      </c>
      <c r="P12" s="262">
        <f t="shared" si="11"/>
        <v>0</v>
      </c>
      <c r="Q12" s="263">
        <f t="shared" si="12"/>
        <v>0</v>
      </c>
      <c r="R12" s="264">
        <f t="shared" si="13"/>
        <v>0</v>
      </c>
      <c r="S12" s="256">
        <f t="shared" si="14"/>
        <v>0</v>
      </c>
      <c r="T12" s="481"/>
    </row>
    <row r="13" spans="2:20">
      <c r="B13" s="391" t="s">
        <v>173</v>
      </c>
      <c r="C13" s="265"/>
      <c r="D13" s="143"/>
      <c r="E13" s="143">
        <v>100</v>
      </c>
      <c r="F13" s="141"/>
      <c r="G13" s="142"/>
      <c r="H13" s="130">
        <f t="shared" si="7"/>
        <v>100</v>
      </c>
      <c r="I13" s="485">
        <f t="shared" si="8"/>
        <v>30.256999999999998</v>
      </c>
      <c r="J13" s="136"/>
      <c r="K13" s="137"/>
      <c r="L13" s="260">
        <v>30.256999999999998</v>
      </c>
      <c r="M13" s="257"/>
      <c r="N13" s="261">
        <f t="shared" si="9"/>
        <v>0</v>
      </c>
      <c r="O13" s="262">
        <f t="shared" si="10"/>
        <v>0</v>
      </c>
      <c r="P13" s="262">
        <f t="shared" si="11"/>
        <v>3025.7</v>
      </c>
      <c r="Q13" s="263">
        <f t="shared" si="12"/>
        <v>0</v>
      </c>
      <c r="R13" s="264">
        <f t="shared" si="13"/>
        <v>0</v>
      </c>
      <c r="S13" s="256">
        <f t="shared" si="14"/>
        <v>3025.7</v>
      </c>
      <c r="T13" s="481"/>
    </row>
    <row r="14" spans="2:20" hidden="1">
      <c r="B14" s="391" t="s">
        <v>174</v>
      </c>
      <c r="C14" s="265"/>
      <c r="D14" s="143"/>
      <c r="E14" s="143"/>
      <c r="F14" s="141"/>
      <c r="G14" s="142"/>
      <c r="H14" s="130">
        <f t="shared" si="7"/>
        <v>0</v>
      </c>
      <c r="I14" s="485">
        <f t="shared" si="8"/>
        <v>644.67999999999995</v>
      </c>
      <c r="J14" s="136"/>
      <c r="K14" s="137"/>
      <c r="L14" s="260">
        <v>644.67999999999995</v>
      </c>
      <c r="M14" s="257"/>
      <c r="N14" s="261">
        <f t="shared" si="9"/>
        <v>0</v>
      </c>
      <c r="O14" s="262">
        <f t="shared" si="10"/>
        <v>0</v>
      </c>
      <c r="P14" s="262">
        <f t="shared" si="11"/>
        <v>0</v>
      </c>
      <c r="Q14" s="263">
        <f t="shared" si="12"/>
        <v>0</v>
      </c>
      <c r="R14" s="264">
        <f t="shared" si="13"/>
        <v>0</v>
      </c>
      <c r="S14" s="256">
        <f t="shared" si="14"/>
        <v>0</v>
      </c>
      <c r="T14" s="481"/>
    </row>
    <row r="15" spans="2:20" hidden="1">
      <c r="B15" s="391" t="s">
        <v>1511</v>
      </c>
      <c r="C15" s="265"/>
      <c r="D15" s="143"/>
      <c r="E15" s="143"/>
      <c r="F15" s="141"/>
      <c r="G15" s="142"/>
      <c r="H15" s="130">
        <f t="shared" si="7"/>
        <v>0</v>
      </c>
      <c r="I15" s="485">
        <f t="shared" si="8"/>
        <v>36.369</v>
      </c>
      <c r="J15" s="136"/>
      <c r="K15" s="137"/>
      <c r="L15" s="260">
        <v>36.369</v>
      </c>
      <c r="M15" s="257"/>
      <c r="N15" s="261">
        <f t="shared" si="9"/>
        <v>0</v>
      </c>
      <c r="O15" s="262">
        <f t="shared" si="10"/>
        <v>0</v>
      </c>
      <c r="P15" s="262">
        <f t="shared" si="11"/>
        <v>0</v>
      </c>
      <c r="Q15" s="263">
        <f t="shared" si="12"/>
        <v>0</v>
      </c>
      <c r="R15" s="264">
        <f t="shared" si="13"/>
        <v>0</v>
      </c>
      <c r="S15" s="256">
        <f t="shared" si="14"/>
        <v>0</v>
      </c>
      <c r="T15" s="481"/>
    </row>
    <row r="16" spans="2:20" hidden="1">
      <c r="B16" s="391" t="s">
        <v>175</v>
      </c>
      <c r="C16" s="265"/>
      <c r="D16" s="143"/>
      <c r="E16" s="143"/>
      <c r="F16" s="141"/>
      <c r="G16" s="142"/>
      <c r="H16" s="130">
        <f t="shared" si="7"/>
        <v>0</v>
      </c>
      <c r="I16" s="485">
        <f t="shared" si="8"/>
        <v>199.74</v>
      </c>
      <c r="J16" s="136"/>
      <c r="K16" s="137"/>
      <c r="L16" s="260">
        <v>199.74</v>
      </c>
      <c r="M16" s="257"/>
      <c r="N16" s="261">
        <f t="shared" si="9"/>
        <v>0</v>
      </c>
      <c r="O16" s="262">
        <f t="shared" si="10"/>
        <v>0</v>
      </c>
      <c r="P16" s="262">
        <f t="shared" si="11"/>
        <v>0</v>
      </c>
      <c r="Q16" s="263">
        <f t="shared" si="12"/>
        <v>0</v>
      </c>
      <c r="R16" s="264">
        <f t="shared" si="13"/>
        <v>0</v>
      </c>
      <c r="S16" s="256">
        <f t="shared" si="14"/>
        <v>0</v>
      </c>
      <c r="T16" s="481"/>
    </row>
    <row r="17" spans="2:20" hidden="1">
      <c r="B17" s="391" t="s">
        <v>570</v>
      </c>
      <c r="C17" s="266"/>
      <c r="D17" s="141"/>
      <c r="E17" s="141"/>
      <c r="F17" s="141"/>
      <c r="G17" s="142"/>
      <c r="H17" s="130">
        <f t="shared" si="7"/>
        <v>0</v>
      </c>
      <c r="I17" s="485">
        <f t="shared" si="8"/>
        <v>94.43</v>
      </c>
      <c r="J17" s="136"/>
      <c r="K17" s="137"/>
      <c r="L17" s="267">
        <v>94.43</v>
      </c>
      <c r="M17" s="257"/>
      <c r="N17" s="261">
        <f t="shared" si="9"/>
        <v>0</v>
      </c>
      <c r="O17" s="262">
        <f t="shared" si="10"/>
        <v>0</v>
      </c>
      <c r="P17" s="262">
        <f t="shared" si="11"/>
        <v>0</v>
      </c>
      <c r="Q17" s="263">
        <f t="shared" si="12"/>
        <v>0</v>
      </c>
      <c r="R17" s="264">
        <f t="shared" si="13"/>
        <v>0</v>
      </c>
      <c r="S17" s="256">
        <f t="shared" si="14"/>
        <v>0</v>
      </c>
      <c r="T17" s="481"/>
    </row>
    <row r="18" spans="2:20" hidden="1">
      <c r="B18" s="391" t="s">
        <v>176</v>
      </c>
      <c r="C18" s="265"/>
      <c r="D18" s="143"/>
      <c r="E18" s="143"/>
      <c r="F18" s="141"/>
      <c r="G18" s="142"/>
      <c r="H18" s="130">
        <f t="shared" si="7"/>
        <v>0</v>
      </c>
      <c r="I18" s="485">
        <f t="shared" si="8"/>
        <v>14.12</v>
      </c>
      <c r="J18" s="136"/>
      <c r="K18" s="137"/>
      <c r="L18" s="267">
        <v>14.12</v>
      </c>
      <c r="M18" s="257"/>
      <c r="N18" s="261">
        <f t="shared" si="9"/>
        <v>0</v>
      </c>
      <c r="O18" s="262">
        <f t="shared" si="10"/>
        <v>0</v>
      </c>
      <c r="P18" s="262">
        <f t="shared" si="11"/>
        <v>0</v>
      </c>
      <c r="Q18" s="263">
        <f t="shared" si="12"/>
        <v>0</v>
      </c>
      <c r="R18" s="264">
        <f t="shared" si="13"/>
        <v>0</v>
      </c>
      <c r="S18" s="256">
        <f t="shared" si="14"/>
        <v>0</v>
      </c>
      <c r="T18" s="481"/>
    </row>
    <row r="19" spans="2:20" hidden="1">
      <c r="B19" s="391" t="s">
        <v>177</v>
      </c>
      <c r="C19" s="266"/>
      <c r="D19" s="141"/>
      <c r="E19" s="141"/>
      <c r="F19" s="141"/>
      <c r="G19" s="142"/>
      <c r="H19" s="130">
        <f t="shared" si="7"/>
        <v>0</v>
      </c>
      <c r="I19" s="485">
        <f t="shared" si="8"/>
        <v>50.87</v>
      </c>
      <c r="J19" s="136"/>
      <c r="K19" s="137"/>
      <c r="L19" s="267">
        <v>50.87</v>
      </c>
      <c r="M19" s="257"/>
      <c r="N19" s="261">
        <f t="shared" si="9"/>
        <v>0</v>
      </c>
      <c r="O19" s="262">
        <f t="shared" si="10"/>
        <v>0</v>
      </c>
      <c r="P19" s="262">
        <f t="shared" si="11"/>
        <v>0</v>
      </c>
      <c r="Q19" s="263">
        <f t="shared" si="12"/>
        <v>0</v>
      </c>
      <c r="R19" s="264">
        <f t="shared" si="13"/>
        <v>0</v>
      </c>
      <c r="S19" s="256">
        <f t="shared" si="14"/>
        <v>0</v>
      </c>
      <c r="T19" s="481"/>
    </row>
    <row r="20" spans="2:20" hidden="1">
      <c r="B20" s="391" t="s">
        <v>178</v>
      </c>
      <c r="C20" s="265"/>
      <c r="D20" s="143"/>
      <c r="E20" s="143"/>
      <c r="F20" s="141"/>
      <c r="G20" s="142"/>
      <c r="H20" s="130">
        <f t="shared" si="7"/>
        <v>0</v>
      </c>
      <c r="I20" s="485">
        <f t="shared" si="8"/>
        <v>16.45</v>
      </c>
      <c r="J20" s="136"/>
      <c r="K20" s="137"/>
      <c r="L20" s="267">
        <v>16.45</v>
      </c>
      <c r="M20" s="257"/>
      <c r="N20" s="261">
        <f t="shared" si="9"/>
        <v>0</v>
      </c>
      <c r="O20" s="262">
        <f t="shared" si="10"/>
        <v>0</v>
      </c>
      <c r="P20" s="262">
        <f t="shared" si="11"/>
        <v>0</v>
      </c>
      <c r="Q20" s="263">
        <f t="shared" si="12"/>
        <v>0</v>
      </c>
      <c r="R20" s="264">
        <f t="shared" si="13"/>
        <v>0</v>
      </c>
      <c r="S20" s="256">
        <f t="shared" si="14"/>
        <v>0</v>
      </c>
      <c r="T20" s="481"/>
    </row>
    <row r="21" spans="2:20" hidden="1">
      <c r="B21" s="391" t="s">
        <v>179</v>
      </c>
      <c r="C21" s="265"/>
      <c r="D21" s="143"/>
      <c r="E21" s="143"/>
      <c r="F21" s="141"/>
      <c r="G21" s="142"/>
      <c r="H21" s="130">
        <f t="shared" si="7"/>
        <v>0</v>
      </c>
      <c r="I21" s="485">
        <f t="shared" si="8"/>
        <v>52.01</v>
      </c>
      <c r="J21" s="136"/>
      <c r="K21" s="137"/>
      <c r="L21" s="267">
        <v>52.01</v>
      </c>
      <c r="M21" s="257"/>
      <c r="N21" s="261">
        <f t="shared" si="9"/>
        <v>0</v>
      </c>
      <c r="O21" s="262">
        <f t="shared" si="10"/>
        <v>0</v>
      </c>
      <c r="P21" s="262">
        <f t="shared" si="11"/>
        <v>0</v>
      </c>
      <c r="Q21" s="263">
        <f t="shared" si="12"/>
        <v>0</v>
      </c>
      <c r="R21" s="264">
        <f t="shared" si="13"/>
        <v>0</v>
      </c>
      <c r="S21" s="256">
        <f t="shared" si="14"/>
        <v>0</v>
      </c>
      <c r="T21" s="481"/>
    </row>
    <row r="22" spans="2:20" hidden="1">
      <c r="B22" s="391" t="s">
        <v>180</v>
      </c>
      <c r="C22" s="266"/>
      <c r="D22" s="141"/>
      <c r="E22" s="141"/>
      <c r="F22" s="141"/>
      <c r="G22" s="142"/>
      <c r="H22" s="130">
        <f t="shared" si="7"/>
        <v>0</v>
      </c>
      <c r="I22" s="485">
        <f t="shared" si="8"/>
        <v>11.193000000000001</v>
      </c>
      <c r="J22" s="136"/>
      <c r="K22" s="137"/>
      <c r="L22" s="267">
        <v>11.193000000000001</v>
      </c>
      <c r="M22" s="257"/>
      <c r="N22" s="261">
        <f t="shared" si="9"/>
        <v>0</v>
      </c>
      <c r="O22" s="262">
        <f t="shared" si="10"/>
        <v>0</v>
      </c>
      <c r="P22" s="262">
        <f t="shared" si="11"/>
        <v>0</v>
      </c>
      <c r="Q22" s="263">
        <f t="shared" si="12"/>
        <v>0</v>
      </c>
      <c r="R22" s="264">
        <f t="shared" si="13"/>
        <v>0</v>
      </c>
      <c r="S22" s="256">
        <f t="shared" si="14"/>
        <v>0</v>
      </c>
      <c r="T22" s="481"/>
    </row>
    <row r="23" spans="2:20" hidden="1">
      <c r="B23" s="391" t="s">
        <v>181</v>
      </c>
      <c r="C23" s="265"/>
      <c r="D23" s="143"/>
      <c r="E23" s="143"/>
      <c r="F23" s="141"/>
      <c r="G23" s="142"/>
      <c r="H23" s="130">
        <f t="shared" si="7"/>
        <v>0</v>
      </c>
      <c r="I23" s="485">
        <f t="shared" si="8"/>
        <v>18.39</v>
      </c>
      <c r="J23" s="136"/>
      <c r="K23" s="137"/>
      <c r="L23" s="260">
        <v>18.39</v>
      </c>
      <c r="M23" s="257"/>
      <c r="N23" s="261">
        <f t="shared" si="9"/>
        <v>0</v>
      </c>
      <c r="O23" s="262">
        <f t="shared" si="10"/>
        <v>0</v>
      </c>
      <c r="P23" s="262">
        <f t="shared" si="11"/>
        <v>0</v>
      </c>
      <c r="Q23" s="263">
        <f t="shared" si="12"/>
        <v>0</v>
      </c>
      <c r="R23" s="264">
        <f t="shared" si="13"/>
        <v>0</v>
      </c>
      <c r="S23" s="256">
        <f t="shared" si="14"/>
        <v>0</v>
      </c>
      <c r="T23" s="481"/>
    </row>
    <row r="24" spans="2:20" hidden="1">
      <c r="B24" s="391" t="s">
        <v>854</v>
      </c>
      <c r="C24" s="266"/>
      <c r="D24" s="141"/>
      <c r="E24" s="141"/>
      <c r="F24" s="141"/>
      <c r="G24" s="142"/>
      <c r="H24" s="130">
        <f t="shared" si="7"/>
        <v>0</v>
      </c>
      <c r="I24" s="485">
        <f t="shared" si="8"/>
        <v>48.35</v>
      </c>
      <c r="J24" s="136"/>
      <c r="K24" s="137"/>
      <c r="L24" s="267">
        <v>48.35</v>
      </c>
      <c r="M24" s="257"/>
      <c r="N24" s="261">
        <f t="shared" si="9"/>
        <v>0</v>
      </c>
      <c r="O24" s="262">
        <f t="shared" si="10"/>
        <v>0</v>
      </c>
      <c r="P24" s="262">
        <f t="shared" si="11"/>
        <v>0</v>
      </c>
      <c r="Q24" s="263">
        <f t="shared" si="12"/>
        <v>0</v>
      </c>
      <c r="R24" s="264">
        <f t="shared" si="13"/>
        <v>0</v>
      </c>
      <c r="S24" s="256">
        <f t="shared" si="14"/>
        <v>0</v>
      </c>
      <c r="T24" s="482"/>
    </row>
    <row r="25" spans="2:20" hidden="1">
      <c r="B25" s="391" t="s">
        <v>182</v>
      </c>
      <c r="C25" s="265"/>
      <c r="D25" s="143"/>
      <c r="E25" s="143"/>
      <c r="F25" s="141"/>
      <c r="G25" s="142"/>
      <c r="H25" s="130">
        <f t="shared" si="7"/>
        <v>0</v>
      </c>
      <c r="I25" s="485">
        <f t="shared" si="8"/>
        <v>64.05</v>
      </c>
      <c r="J25" s="136"/>
      <c r="K25" s="137"/>
      <c r="L25" s="267">
        <v>64.05</v>
      </c>
      <c r="M25" s="257"/>
      <c r="N25" s="261">
        <f t="shared" si="9"/>
        <v>0</v>
      </c>
      <c r="O25" s="262">
        <f t="shared" si="10"/>
        <v>0</v>
      </c>
      <c r="P25" s="262">
        <f t="shared" si="11"/>
        <v>0</v>
      </c>
      <c r="Q25" s="263">
        <f t="shared" si="12"/>
        <v>0</v>
      </c>
      <c r="R25" s="264">
        <f t="shared" si="13"/>
        <v>0</v>
      </c>
      <c r="S25" s="256">
        <f t="shared" si="14"/>
        <v>0</v>
      </c>
      <c r="T25" s="481"/>
    </row>
    <row r="26" spans="2:20" hidden="1">
      <c r="B26" s="391" t="s">
        <v>571</v>
      </c>
      <c r="C26" s="266"/>
      <c r="D26" s="141"/>
      <c r="E26" s="141"/>
      <c r="F26" s="141"/>
      <c r="G26" s="142"/>
      <c r="H26" s="130">
        <f t="shared" si="7"/>
        <v>0</v>
      </c>
      <c r="I26" s="485">
        <f t="shared" si="8"/>
        <v>17.61</v>
      </c>
      <c r="J26" s="136"/>
      <c r="K26" s="137"/>
      <c r="L26" s="260">
        <v>17.61</v>
      </c>
      <c r="M26" s="257"/>
      <c r="N26" s="261">
        <f t="shared" si="9"/>
        <v>0</v>
      </c>
      <c r="O26" s="262">
        <f t="shared" si="10"/>
        <v>0</v>
      </c>
      <c r="P26" s="262">
        <f t="shared" si="11"/>
        <v>0</v>
      </c>
      <c r="Q26" s="263">
        <f t="shared" si="12"/>
        <v>0</v>
      </c>
      <c r="R26" s="264">
        <f t="shared" si="13"/>
        <v>0</v>
      </c>
      <c r="S26" s="256">
        <f t="shared" si="14"/>
        <v>0</v>
      </c>
      <c r="T26" s="481"/>
    </row>
    <row r="27" spans="2:20" hidden="1">
      <c r="B27" s="391" t="s">
        <v>572</v>
      </c>
      <c r="C27" s="266"/>
      <c r="D27" s="141"/>
      <c r="E27" s="141"/>
      <c r="F27" s="141"/>
      <c r="G27" s="142"/>
      <c r="H27" s="130">
        <f t="shared" si="7"/>
        <v>0</v>
      </c>
      <c r="I27" s="485">
        <f t="shared" si="8"/>
        <v>42.25</v>
      </c>
      <c r="J27" s="136"/>
      <c r="K27" s="137"/>
      <c r="L27" s="260">
        <v>42.25</v>
      </c>
      <c r="M27" s="257"/>
      <c r="N27" s="261">
        <f t="shared" si="9"/>
        <v>0</v>
      </c>
      <c r="O27" s="262">
        <f t="shared" si="10"/>
        <v>0</v>
      </c>
      <c r="P27" s="262">
        <f t="shared" si="11"/>
        <v>0</v>
      </c>
      <c r="Q27" s="263">
        <f t="shared" si="12"/>
        <v>0</v>
      </c>
      <c r="R27" s="264">
        <f t="shared" si="13"/>
        <v>0</v>
      </c>
      <c r="S27" s="256">
        <f t="shared" si="14"/>
        <v>0</v>
      </c>
      <c r="T27" s="481"/>
    </row>
    <row r="28" spans="2:20" hidden="1">
      <c r="B28" s="391" t="s">
        <v>183</v>
      </c>
      <c r="C28" s="266"/>
      <c r="D28" s="141"/>
      <c r="E28" s="141"/>
      <c r="F28" s="141"/>
      <c r="G28" s="142"/>
      <c r="H28" s="130">
        <f t="shared" si="7"/>
        <v>0</v>
      </c>
      <c r="I28" s="485">
        <f t="shared" si="8"/>
        <v>9.6999999999999993</v>
      </c>
      <c r="J28" s="136"/>
      <c r="K28" s="137"/>
      <c r="L28" s="260">
        <v>9.6999999999999993</v>
      </c>
      <c r="M28" s="257"/>
      <c r="N28" s="261">
        <f t="shared" si="9"/>
        <v>0</v>
      </c>
      <c r="O28" s="262">
        <f t="shared" si="10"/>
        <v>0</v>
      </c>
      <c r="P28" s="262">
        <f t="shared" si="11"/>
        <v>0</v>
      </c>
      <c r="Q28" s="263">
        <f t="shared" si="12"/>
        <v>0</v>
      </c>
      <c r="R28" s="264">
        <f t="shared" si="13"/>
        <v>0</v>
      </c>
      <c r="S28" s="256">
        <f t="shared" si="14"/>
        <v>0</v>
      </c>
      <c r="T28" s="481"/>
    </row>
    <row r="29" spans="2:20" hidden="1">
      <c r="B29" s="391" t="s">
        <v>853</v>
      </c>
      <c r="C29" s="266"/>
      <c r="D29" s="141"/>
      <c r="E29" s="141"/>
      <c r="F29" s="141"/>
      <c r="G29" s="142"/>
      <c r="H29" s="130">
        <f t="shared" si="7"/>
        <v>0</v>
      </c>
      <c r="I29" s="485">
        <f t="shared" si="8"/>
        <v>1601.19</v>
      </c>
      <c r="J29" s="136"/>
      <c r="K29" s="137"/>
      <c r="L29" s="268">
        <v>1601.19</v>
      </c>
      <c r="M29" s="257"/>
      <c r="N29" s="261">
        <f t="shared" si="9"/>
        <v>0</v>
      </c>
      <c r="O29" s="262">
        <f t="shared" si="10"/>
        <v>0</v>
      </c>
      <c r="P29" s="262">
        <f t="shared" si="11"/>
        <v>0</v>
      </c>
      <c r="Q29" s="263">
        <f t="shared" si="12"/>
        <v>0</v>
      </c>
      <c r="R29" s="264">
        <f t="shared" si="13"/>
        <v>0</v>
      </c>
      <c r="S29" s="256">
        <f t="shared" si="14"/>
        <v>0</v>
      </c>
      <c r="T29" s="481"/>
    </row>
    <row r="30" spans="2:20" hidden="1">
      <c r="B30" s="391" t="s">
        <v>184</v>
      </c>
      <c r="C30" s="265"/>
      <c r="D30" s="143"/>
      <c r="E30" s="143"/>
      <c r="F30" s="141"/>
      <c r="G30" s="142"/>
      <c r="H30" s="130">
        <f t="shared" si="7"/>
        <v>0</v>
      </c>
      <c r="I30" s="485">
        <f t="shared" si="8"/>
        <v>18.05</v>
      </c>
      <c r="J30" s="136"/>
      <c r="K30" s="137"/>
      <c r="L30" s="260">
        <v>18.05</v>
      </c>
      <c r="M30" s="257"/>
      <c r="N30" s="261">
        <f t="shared" si="9"/>
        <v>0</v>
      </c>
      <c r="O30" s="262">
        <f t="shared" si="10"/>
        <v>0</v>
      </c>
      <c r="P30" s="262">
        <f t="shared" si="11"/>
        <v>0</v>
      </c>
      <c r="Q30" s="263">
        <f t="shared" si="12"/>
        <v>0</v>
      </c>
      <c r="R30" s="264">
        <f t="shared" si="13"/>
        <v>0</v>
      </c>
      <c r="S30" s="256">
        <f t="shared" si="14"/>
        <v>0</v>
      </c>
      <c r="T30" s="481"/>
    </row>
    <row r="31" spans="2:20" hidden="1">
      <c r="B31" s="391" t="s">
        <v>573</v>
      </c>
      <c r="C31" s="266"/>
      <c r="D31" s="141"/>
      <c r="E31" s="141"/>
      <c r="F31" s="141"/>
      <c r="G31" s="142"/>
      <c r="H31" s="130">
        <f t="shared" si="7"/>
        <v>0</v>
      </c>
      <c r="I31" s="485">
        <f t="shared" si="8"/>
        <v>136.91</v>
      </c>
      <c r="J31" s="443"/>
      <c r="K31" s="137"/>
      <c r="L31" s="267">
        <v>136.91</v>
      </c>
      <c r="M31" s="257"/>
      <c r="N31" s="261">
        <f t="shared" si="9"/>
        <v>0</v>
      </c>
      <c r="O31" s="262">
        <f t="shared" si="10"/>
        <v>0</v>
      </c>
      <c r="P31" s="262">
        <f t="shared" si="11"/>
        <v>0</v>
      </c>
      <c r="Q31" s="263">
        <f t="shared" si="12"/>
        <v>0</v>
      </c>
      <c r="R31" s="264">
        <f t="shared" si="13"/>
        <v>0</v>
      </c>
      <c r="S31" s="256">
        <f t="shared" si="14"/>
        <v>0</v>
      </c>
      <c r="T31" s="481"/>
    </row>
    <row r="32" spans="2:20" hidden="1">
      <c r="B32" s="391" t="s">
        <v>185</v>
      </c>
      <c r="C32" s="266"/>
      <c r="D32" s="141"/>
      <c r="E32" s="141"/>
      <c r="F32" s="141"/>
      <c r="G32" s="142"/>
      <c r="H32" s="130">
        <f t="shared" si="7"/>
        <v>0</v>
      </c>
      <c r="I32" s="485">
        <f t="shared" si="8"/>
        <v>24.26</v>
      </c>
      <c r="J32" s="136"/>
      <c r="K32" s="137"/>
      <c r="L32" s="260">
        <v>24.26</v>
      </c>
      <c r="M32" s="257"/>
      <c r="N32" s="261">
        <f t="shared" si="9"/>
        <v>0</v>
      </c>
      <c r="O32" s="262">
        <f t="shared" si="10"/>
        <v>0</v>
      </c>
      <c r="P32" s="262">
        <f t="shared" si="11"/>
        <v>0</v>
      </c>
      <c r="Q32" s="263">
        <f t="shared" si="12"/>
        <v>0</v>
      </c>
      <c r="R32" s="264">
        <f t="shared" si="13"/>
        <v>0</v>
      </c>
      <c r="S32" s="256">
        <f t="shared" si="14"/>
        <v>0</v>
      </c>
      <c r="T32" s="481"/>
    </row>
    <row r="33" spans="2:20" hidden="1">
      <c r="B33" s="391" t="s">
        <v>186</v>
      </c>
      <c r="C33" s="265"/>
      <c r="D33" s="143"/>
      <c r="E33" s="143"/>
      <c r="F33" s="141"/>
      <c r="G33" s="142"/>
      <c r="H33" s="130">
        <f t="shared" si="7"/>
        <v>0</v>
      </c>
      <c r="I33" s="485">
        <f t="shared" si="8"/>
        <v>60.79</v>
      </c>
      <c r="J33" s="136"/>
      <c r="K33" s="137"/>
      <c r="L33" s="260">
        <v>60.79</v>
      </c>
      <c r="M33" s="257"/>
      <c r="N33" s="261">
        <f t="shared" si="9"/>
        <v>0</v>
      </c>
      <c r="O33" s="262">
        <f t="shared" si="10"/>
        <v>0</v>
      </c>
      <c r="P33" s="262">
        <f t="shared" si="11"/>
        <v>0</v>
      </c>
      <c r="Q33" s="263">
        <f t="shared" si="12"/>
        <v>0</v>
      </c>
      <c r="R33" s="264">
        <f t="shared" si="13"/>
        <v>0</v>
      </c>
      <c r="S33" s="256">
        <f t="shared" si="14"/>
        <v>0</v>
      </c>
      <c r="T33" s="481"/>
    </row>
    <row r="34" spans="2:20" hidden="1">
      <c r="B34" s="391" t="s">
        <v>187</v>
      </c>
      <c r="C34" s="265"/>
      <c r="D34" s="143"/>
      <c r="E34" s="143"/>
      <c r="F34" s="141"/>
      <c r="G34" s="142"/>
      <c r="H34" s="130">
        <f t="shared" si="7"/>
        <v>0</v>
      </c>
      <c r="I34" s="485">
        <f t="shared" si="8"/>
        <v>83.08</v>
      </c>
      <c r="J34" s="136"/>
      <c r="K34" s="137"/>
      <c r="L34" s="260">
        <v>83.08</v>
      </c>
      <c r="M34" s="257"/>
      <c r="N34" s="261">
        <f t="shared" si="9"/>
        <v>0</v>
      </c>
      <c r="O34" s="262">
        <f t="shared" si="10"/>
        <v>0</v>
      </c>
      <c r="P34" s="262">
        <f t="shared" si="11"/>
        <v>0</v>
      </c>
      <c r="Q34" s="263">
        <f t="shared" si="12"/>
        <v>0</v>
      </c>
      <c r="R34" s="264">
        <f t="shared" si="13"/>
        <v>0</v>
      </c>
      <c r="S34" s="256">
        <f t="shared" si="14"/>
        <v>0</v>
      </c>
      <c r="T34" s="481"/>
    </row>
    <row r="35" spans="2:20" hidden="1">
      <c r="B35" s="391" t="s">
        <v>188</v>
      </c>
      <c r="C35" s="265"/>
      <c r="D35" s="143"/>
      <c r="E35" s="143"/>
      <c r="F35" s="141"/>
      <c r="G35" s="142"/>
      <c r="H35" s="130">
        <f t="shared" si="7"/>
        <v>0</v>
      </c>
      <c r="I35" s="485">
        <f t="shared" si="8"/>
        <v>16.36</v>
      </c>
      <c r="J35" s="136"/>
      <c r="K35" s="137"/>
      <c r="L35" s="267">
        <v>16.36</v>
      </c>
      <c r="M35" s="257"/>
      <c r="N35" s="261">
        <f t="shared" si="9"/>
        <v>0</v>
      </c>
      <c r="O35" s="262">
        <f t="shared" si="10"/>
        <v>0</v>
      </c>
      <c r="P35" s="262">
        <f t="shared" si="11"/>
        <v>0</v>
      </c>
      <c r="Q35" s="263">
        <f t="shared" si="12"/>
        <v>0</v>
      </c>
      <c r="R35" s="264">
        <f t="shared" si="13"/>
        <v>0</v>
      </c>
      <c r="S35" s="256">
        <f t="shared" si="14"/>
        <v>0</v>
      </c>
      <c r="T35" s="481"/>
    </row>
    <row r="36" spans="2:20" hidden="1">
      <c r="B36" s="391" t="s">
        <v>189</v>
      </c>
      <c r="C36" s="265"/>
      <c r="D36" s="143"/>
      <c r="E36" s="143"/>
      <c r="F36" s="141"/>
      <c r="G36" s="142"/>
      <c r="H36" s="130">
        <f t="shared" si="7"/>
        <v>0</v>
      </c>
      <c r="I36" s="485">
        <f t="shared" si="8"/>
        <v>29.66</v>
      </c>
      <c r="J36" s="136"/>
      <c r="K36" s="137"/>
      <c r="L36" s="267">
        <v>29.66</v>
      </c>
      <c r="M36" s="257"/>
      <c r="N36" s="261">
        <f t="shared" si="9"/>
        <v>0</v>
      </c>
      <c r="O36" s="262">
        <f t="shared" si="10"/>
        <v>0</v>
      </c>
      <c r="P36" s="262">
        <f t="shared" si="11"/>
        <v>0</v>
      </c>
      <c r="Q36" s="263">
        <f t="shared" si="12"/>
        <v>0</v>
      </c>
      <c r="R36" s="264">
        <f t="shared" si="13"/>
        <v>0</v>
      </c>
      <c r="S36" s="256">
        <f t="shared" si="14"/>
        <v>0</v>
      </c>
      <c r="T36" s="481"/>
    </row>
    <row r="37" spans="2:20" hidden="1">
      <c r="B37" s="391" t="s">
        <v>190</v>
      </c>
      <c r="C37" s="265"/>
      <c r="D37" s="143"/>
      <c r="E37" s="143"/>
      <c r="F37" s="141"/>
      <c r="G37" s="142"/>
      <c r="H37" s="130">
        <f t="shared" si="7"/>
        <v>0</v>
      </c>
      <c r="I37" s="485">
        <f t="shared" si="8"/>
        <v>28.13</v>
      </c>
      <c r="J37" s="136"/>
      <c r="K37" s="137"/>
      <c r="L37" s="260">
        <v>28.13</v>
      </c>
      <c r="M37" s="257"/>
      <c r="N37" s="261">
        <f t="shared" si="9"/>
        <v>0</v>
      </c>
      <c r="O37" s="262">
        <f t="shared" si="10"/>
        <v>0</v>
      </c>
      <c r="P37" s="262">
        <f t="shared" si="11"/>
        <v>0</v>
      </c>
      <c r="Q37" s="263">
        <f t="shared" si="12"/>
        <v>0</v>
      </c>
      <c r="R37" s="264">
        <f t="shared" si="13"/>
        <v>0</v>
      </c>
      <c r="S37" s="256">
        <f t="shared" si="14"/>
        <v>0</v>
      </c>
      <c r="T37" s="481"/>
    </row>
    <row r="38" spans="2:20" hidden="1">
      <c r="B38" s="391" t="s">
        <v>191</v>
      </c>
      <c r="C38" s="266"/>
      <c r="D38" s="141"/>
      <c r="E38" s="141"/>
      <c r="F38" s="141"/>
      <c r="G38" s="142"/>
      <c r="H38" s="130">
        <f t="shared" si="7"/>
        <v>0</v>
      </c>
      <c r="I38" s="485">
        <f t="shared" si="8"/>
        <v>15.4</v>
      </c>
      <c r="J38" s="136"/>
      <c r="K38" s="137"/>
      <c r="L38" s="260">
        <v>15.4</v>
      </c>
      <c r="M38" s="257"/>
      <c r="N38" s="261">
        <f t="shared" si="9"/>
        <v>0</v>
      </c>
      <c r="O38" s="262">
        <f t="shared" si="10"/>
        <v>0</v>
      </c>
      <c r="P38" s="262">
        <f t="shared" si="11"/>
        <v>0</v>
      </c>
      <c r="Q38" s="263">
        <f t="shared" si="12"/>
        <v>0</v>
      </c>
      <c r="R38" s="264">
        <f t="shared" si="13"/>
        <v>0</v>
      </c>
      <c r="S38" s="256">
        <f t="shared" si="14"/>
        <v>0</v>
      </c>
      <c r="T38" s="481"/>
    </row>
    <row r="39" spans="2:20">
      <c r="B39" s="391" t="s">
        <v>192</v>
      </c>
      <c r="C39" s="265"/>
      <c r="D39" s="143"/>
      <c r="E39" s="143">
        <v>120</v>
      </c>
      <c r="F39" s="141"/>
      <c r="G39" s="142"/>
      <c r="H39" s="130">
        <f t="shared" si="7"/>
        <v>120</v>
      </c>
      <c r="I39" s="485">
        <f t="shared" si="8"/>
        <v>14.93</v>
      </c>
      <c r="J39" s="136"/>
      <c r="K39" s="137"/>
      <c r="L39" s="267">
        <v>14.93</v>
      </c>
      <c r="M39" s="257"/>
      <c r="N39" s="261">
        <f t="shared" si="9"/>
        <v>0</v>
      </c>
      <c r="O39" s="262">
        <f t="shared" si="10"/>
        <v>0</v>
      </c>
      <c r="P39" s="262">
        <f t="shared" si="11"/>
        <v>1791.6</v>
      </c>
      <c r="Q39" s="263">
        <f t="shared" si="12"/>
        <v>0</v>
      </c>
      <c r="R39" s="264">
        <f t="shared" si="13"/>
        <v>0</v>
      </c>
      <c r="S39" s="256">
        <f t="shared" si="14"/>
        <v>1791.6</v>
      </c>
      <c r="T39" s="481"/>
    </row>
    <row r="40" spans="2:20" hidden="1">
      <c r="B40" s="391" t="s">
        <v>193</v>
      </c>
      <c r="C40" s="266"/>
      <c r="D40" s="141"/>
      <c r="E40" s="141"/>
      <c r="F40" s="141"/>
      <c r="G40" s="142"/>
      <c r="H40" s="130">
        <f t="shared" si="7"/>
        <v>0</v>
      </c>
      <c r="I40" s="485">
        <f t="shared" si="8"/>
        <v>81.56</v>
      </c>
      <c r="J40" s="136"/>
      <c r="K40" s="137"/>
      <c r="L40" s="260">
        <v>81.56</v>
      </c>
      <c r="M40" s="257"/>
      <c r="N40" s="261">
        <f t="shared" si="9"/>
        <v>0</v>
      </c>
      <c r="O40" s="262">
        <f t="shared" si="10"/>
        <v>0</v>
      </c>
      <c r="P40" s="262">
        <f t="shared" si="11"/>
        <v>0</v>
      </c>
      <c r="Q40" s="263">
        <f t="shared" si="12"/>
        <v>0</v>
      </c>
      <c r="R40" s="264">
        <f t="shared" si="13"/>
        <v>0</v>
      </c>
      <c r="S40" s="256">
        <f t="shared" si="14"/>
        <v>0</v>
      </c>
      <c r="T40" s="481"/>
    </row>
    <row r="41" spans="2:20" hidden="1">
      <c r="B41" s="391" t="s">
        <v>194</v>
      </c>
      <c r="C41" s="266"/>
      <c r="D41" s="141"/>
      <c r="E41" s="141"/>
      <c r="F41" s="141"/>
      <c r="G41" s="142"/>
      <c r="H41" s="130">
        <f t="shared" si="7"/>
        <v>0</v>
      </c>
      <c r="I41" s="485">
        <f t="shared" si="8"/>
        <v>155.59</v>
      </c>
      <c r="J41" s="136"/>
      <c r="K41" s="137"/>
      <c r="L41" s="260">
        <v>155.59</v>
      </c>
      <c r="M41" s="257"/>
      <c r="N41" s="261">
        <f t="shared" si="9"/>
        <v>0</v>
      </c>
      <c r="O41" s="262">
        <f t="shared" si="10"/>
        <v>0</v>
      </c>
      <c r="P41" s="262">
        <f t="shared" si="11"/>
        <v>0</v>
      </c>
      <c r="Q41" s="263">
        <f t="shared" si="12"/>
        <v>0</v>
      </c>
      <c r="R41" s="264">
        <f t="shared" si="13"/>
        <v>0</v>
      </c>
      <c r="S41" s="256">
        <f t="shared" si="14"/>
        <v>0</v>
      </c>
      <c r="T41" s="481"/>
    </row>
    <row r="42" spans="2:20">
      <c r="B42" s="253" t="s">
        <v>13</v>
      </c>
      <c r="C42" s="394">
        <v>0</v>
      </c>
      <c r="D42" s="394">
        <v>0</v>
      </c>
      <c r="E42" s="394">
        <f t="shared" ref="E42:G42" si="15">SUM(P6:P41)</f>
        <v>5902.58</v>
      </c>
      <c r="F42" s="394"/>
      <c r="G42" s="394">
        <f t="shared" si="15"/>
        <v>0</v>
      </c>
      <c r="H42" s="394">
        <f>SUM(S6:S41)</f>
        <v>5902.58</v>
      </c>
      <c r="I42" s="269"/>
      <c r="J42" s="270"/>
      <c r="K42" s="270"/>
      <c r="L42" s="271"/>
      <c r="M42" s="271"/>
      <c r="N42" s="269"/>
      <c r="O42" s="269"/>
      <c r="P42" s="269"/>
      <c r="Q42" s="269"/>
      <c r="R42" s="269"/>
      <c r="S42" s="269"/>
    </row>
    <row r="43" spans="2:20">
      <c r="B43" s="254" t="s">
        <v>849</v>
      </c>
      <c r="C43" s="272"/>
      <c r="D43" s="272"/>
      <c r="E43" s="272"/>
      <c r="F43" s="272"/>
      <c r="G43" s="273"/>
      <c r="H43" s="269"/>
      <c r="I43" s="269"/>
      <c r="J43" s="270"/>
      <c r="K43" s="270"/>
      <c r="L43" s="271"/>
      <c r="M43" s="271"/>
      <c r="N43" s="269"/>
      <c r="O43" s="269"/>
      <c r="P43" s="269"/>
      <c r="Q43" s="269"/>
      <c r="R43" s="269"/>
      <c r="S43" s="269"/>
    </row>
    <row r="44" spans="2:20" ht="16.5" thickBot="1">
      <c r="B44" s="2"/>
    </row>
    <row r="45" spans="2:20">
      <c r="B45" s="60" t="s">
        <v>47</v>
      </c>
    </row>
    <row r="46" spans="2:20">
      <c r="B46" s="61" t="s">
        <v>565</v>
      </c>
    </row>
    <row r="47" spans="2:20">
      <c r="B47" s="61" t="s">
        <v>17</v>
      </c>
    </row>
    <row r="48" spans="2:20" ht="16.5" thickBot="1">
      <c r="B48" s="62" t="s">
        <v>18</v>
      </c>
    </row>
    <row r="49" spans="2:7">
      <c r="B49" s="2"/>
    </row>
    <row r="50" spans="2:7">
      <c r="B50" s="30" t="s">
        <v>20</v>
      </c>
    </row>
    <row r="51" spans="2:7">
      <c r="B51" s="35"/>
    </row>
    <row r="52" spans="2:7">
      <c r="B52" s="35"/>
    </row>
    <row r="53" spans="2:7">
      <c r="G53" s="5" t="str">
        <f t="shared" ref="G53:G56" si="16">IF(B53&lt;&gt;"",SUM(C53:F53),"")</f>
        <v/>
      </c>
    </row>
    <row r="54" spans="2:7">
      <c r="G54" s="5" t="str">
        <f t="shared" si="16"/>
        <v/>
      </c>
    </row>
    <row r="55" spans="2:7">
      <c r="G55" s="5" t="str">
        <f t="shared" si="16"/>
        <v/>
      </c>
    </row>
    <row r="56" spans="2:7">
      <c r="G56" s="5" t="str">
        <f t="shared" si="16"/>
        <v/>
      </c>
    </row>
    <row r="57" spans="2:7">
      <c r="G57" s="5" t="str">
        <f t="shared" ref="G57:G113" si="17">IF(B57&lt;&gt;"",SUM(C57:F57),"")</f>
        <v/>
      </c>
    </row>
    <row r="58" spans="2:7">
      <c r="G58" s="5" t="str">
        <f t="shared" si="17"/>
        <v/>
      </c>
    </row>
    <row r="59" spans="2:7">
      <c r="G59" s="5" t="str">
        <f t="shared" si="17"/>
        <v/>
      </c>
    </row>
    <row r="60" spans="2:7">
      <c r="G60" s="5" t="str">
        <f t="shared" si="17"/>
        <v/>
      </c>
    </row>
    <row r="61" spans="2:7">
      <c r="G61" s="5" t="str">
        <f t="shared" si="17"/>
        <v/>
      </c>
    </row>
    <row r="62" spans="2:7">
      <c r="G62" s="5" t="str">
        <f t="shared" si="17"/>
        <v/>
      </c>
    </row>
    <row r="63" spans="2:7">
      <c r="G63" s="5" t="str">
        <f t="shared" si="17"/>
        <v/>
      </c>
    </row>
    <row r="64" spans="2:7">
      <c r="G64" s="5" t="str">
        <f t="shared" si="17"/>
        <v/>
      </c>
    </row>
    <row r="65" spans="7:7">
      <c r="G65" s="5" t="str">
        <f t="shared" si="17"/>
        <v/>
      </c>
    </row>
    <row r="66" spans="7:7">
      <c r="G66" s="5" t="str">
        <f t="shared" si="17"/>
        <v/>
      </c>
    </row>
    <row r="67" spans="7:7">
      <c r="G67" s="5" t="str">
        <f t="shared" si="17"/>
        <v/>
      </c>
    </row>
    <row r="68" spans="7:7">
      <c r="G68" s="5" t="str">
        <f t="shared" si="17"/>
        <v/>
      </c>
    </row>
    <row r="69" spans="7:7">
      <c r="G69" s="5" t="str">
        <f t="shared" si="17"/>
        <v/>
      </c>
    </row>
    <row r="70" spans="7:7">
      <c r="G70" s="5" t="str">
        <f t="shared" si="17"/>
        <v/>
      </c>
    </row>
    <row r="71" spans="7:7">
      <c r="G71" s="5" t="str">
        <f t="shared" si="17"/>
        <v/>
      </c>
    </row>
    <row r="72" spans="7:7">
      <c r="G72" s="5" t="str">
        <f t="shared" si="17"/>
        <v/>
      </c>
    </row>
    <row r="73" spans="7:7">
      <c r="G73" s="5" t="str">
        <f t="shared" si="17"/>
        <v/>
      </c>
    </row>
    <row r="74" spans="7:7">
      <c r="G74" s="5" t="str">
        <f t="shared" si="17"/>
        <v/>
      </c>
    </row>
    <row r="75" spans="7:7">
      <c r="G75" s="5" t="str">
        <f t="shared" si="17"/>
        <v/>
      </c>
    </row>
    <row r="76" spans="7:7">
      <c r="G76" s="5" t="str">
        <f t="shared" si="17"/>
        <v/>
      </c>
    </row>
    <row r="77" spans="7:7">
      <c r="G77" s="5" t="str">
        <f t="shared" si="17"/>
        <v/>
      </c>
    </row>
    <row r="78" spans="7:7">
      <c r="G78" s="5" t="str">
        <f t="shared" si="17"/>
        <v/>
      </c>
    </row>
    <row r="79" spans="7:7">
      <c r="G79" s="5" t="str">
        <f t="shared" si="17"/>
        <v/>
      </c>
    </row>
    <row r="80" spans="7:7">
      <c r="G80" s="5" t="str">
        <f t="shared" si="17"/>
        <v/>
      </c>
    </row>
    <row r="81" spans="7:7">
      <c r="G81" s="5" t="str">
        <f t="shared" si="17"/>
        <v/>
      </c>
    </row>
    <row r="82" spans="7:7">
      <c r="G82" s="5" t="str">
        <f t="shared" si="17"/>
        <v/>
      </c>
    </row>
    <row r="83" spans="7:7">
      <c r="G83" s="5" t="str">
        <f t="shared" si="17"/>
        <v/>
      </c>
    </row>
    <row r="84" spans="7:7">
      <c r="G84" s="5" t="str">
        <f t="shared" si="17"/>
        <v/>
      </c>
    </row>
    <row r="85" spans="7:7">
      <c r="G85" s="5" t="str">
        <f t="shared" si="17"/>
        <v/>
      </c>
    </row>
    <row r="86" spans="7:7">
      <c r="G86" s="5" t="str">
        <f t="shared" si="17"/>
        <v/>
      </c>
    </row>
    <row r="87" spans="7:7">
      <c r="G87" s="5" t="str">
        <f t="shared" si="17"/>
        <v/>
      </c>
    </row>
    <row r="88" spans="7:7">
      <c r="G88" s="5" t="str">
        <f t="shared" si="17"/>
        <v/>
      </c>
    </row>
    <row r="89" spans="7:7">
      <c r="G89" s="5" t="str">
        <f t="shared" si="17"/>
        <v/>
      </c>
    </row>
    <row r="90" spans="7:7">
      <c r="G90" s="5" t="str">
        <f t="shared" si="17"/>
        <v/>
      </c>
    </row>
    <row r="91" spans="7:7">
      <c r="G91" s="5" t="str">
        <f t="shared" si="17"/>
        <v/>
      </c>
    </row>
    <row r="92" spans="7:7">
      <c r="G92" s="5" t="str">
        <f t="shared" si="17"/>
        <v/>
      </c>
    </row>
    <row r="93" spans="7:7">
      <c r="G93" s="5" t="str">
        <f t="shared" si="17"/>
        <v/>
      </c>
    </row>
    <row r="94" spans="7:7">
      <c r="G94" s="5" t="str">
        <f t="shared" si="17"/>
        <v/>
      </c>
    </row>
    <row r="95" spans="7:7">
      <c r="G95" s="5" t="str">
        <f t="shared" si="17"/>
        <v/>
      </c>
    </row>
    <row r="96" spans="7:7">
      <c r="G96" s="5" t="str">
        <f t="shared" si="17"/>
        <v/>
      </c>
    </row>
    <row r="97" spans="7:7">
      <c r="G97" s="5" t="str">
        <f t="shared" si="17"/>
        <v/>
      </c>
    </row>
    <row r="98" spans="7:7">
      <c r="G98" s="5" t="str">
        <f t="shared" si="17"/>
        <v/>
      </c>
    </row>
    <row r="99" spans="7:7">
      <c r="G99" s="5" t="str">
        <f t="shared" si="17"/>
        <v/>
      </c>
    </row>
    <row r="100" spans="7:7">
      <c r="G100" s="5" t="str">
        <f t="shared" si="17"/>
        <v/>
      </c>
    </row>
    <row r="101" spans="7:7">
      <c r="G101" s="5" t="str">
        <f t="shared" si="17"/>
        <v/>
      </c>
    </row>
    <row r="102" spans="7:7">
      <c r="G102" s="5" t="str">
        <f t="shared" si="17"/>
        <v/>
      </c>
    </row>
    <row r="103" spans="7:7">
      <c r="G103" s="5" t="str">
        <f t="shared" si="17"/>
        <v/>
      </c>
    </row>
    <row r="104" spans="7:7">
      <c r="G104" s="5" t="str">
        <f t="shared" si="17"/>
        <v/>
      </c>
    </row>
    <row r="105" spans="7:7">
      <c r="G105" s="5" t="str">
        <f t="shared" si="17"/>
        <v/>
      </c>
    </row>
    <row r="106" spans="7:7">
      <c r="G106" s="5" t="str">
        <f t="shared" si="17"/>
        <v/>
      </c>
    </row>
    <row r="107" spans="7:7">
      <c r="G107" s="5" t="str">
        <f t="shared" si="17"/>
        <v/>
      </c>
    </row>
    <row r="108" spans="7:7">
      <c r="G108" s="5" t="str">
        <f t="shared" si="17"/>
        <v/>
      </c>
    </row>
    <row r="109" spans="7:7">
      <c r="G109" s="5" t="str">
        <f t="shared" si="17"/>
        <v/>
      </c>
    </row>
    <row r="110" spans="7:7">
      <c r="G110" s="5" t="str">
        <f t="shared" si="17"/>
        <v/>
      </c>
    </row>
    <row r="111" spans="7:7">
      <c r="G111" s="5" t="str">
        <f t="shared" si="17"/>
        <v/>
      </c>
    </row>
    <row r="112" spans="7:7">
      <c r="G112" s="5" t="str">
        <f t="shared" si="17"/>
        <v/>
      </c>
    </row>
    <row r="113" spans="7:7">
      <c r="G113" s="5" t="str">
        <f t="shared" si="17"/>
        <v/>
      </c>
    </row>
    <row r="114" spans="7:7">
      <c r="G114" s="5" t="str">
        <f t="shared" ref="G114:G177" si="18">IF(B114&lt;&gt;"",SUM(C114:F114),"")</f>
        <v/>
      </c>
    </row>
    <row r="115" spans="7:7">
      <c r="G115" s="5" t="str">
        <f t="shared" si="18"/>
        <v/>
      </c>
    </row>
    <row r="116" spans="7:7">
      <c r="G116" s="5" t="str">
        <f t="shared" si="18"/>
        <v/>
      </c>
    </row>
    <row r="117" spans="7:7">
      <c r="G117" s="5" t="str">
        <f t="shared" si="18"/>
        <v/>
      </c>
    </row>
    <row r="118" spans="7:7">
      <c r="G118" s="5" t="str">
        <f t="shared" si="18"/>
        <v/>
      </c>
    </row>
    <row r="119" spans="7:7">
      <c r="G119" s="5" t="str">
        <f t="shared" si="18"/>
        <v/>
      </c>
    </row>
    <row r="120" spans="7:7">
      <c r="G120" s="5" t="str">
        <f t="shared" si="18"/>
        <v/>
      </c>
    </row>
    <row r="121" spans="7:7">
      <c r="G121" s="5" t="str">
        <f t="shared" si="18"/>
        <v/>
      </c>
    </row>
    <row r="122" spans="7:7">
      <c r="G122" s="5" t="str">
        <f t="shared" si="18"/>
        <v/>
      </c>
    </row>
    <row r="123" spans="7:7">
      <c r="G123" s="5" t="str">
        <f t="shared" si="18"/>
        <v/>
      </c>
    </row>
    <row r="124" spans="7:7">
      <c r="G124" s="5" t="str">
        <f t="shared" si="18"/>
        <v/>
      </c>
    </row>
    <row r="125" spans="7:7">
      <c r="G125" s="5" t="str">
        <f t="shared" si="18"/>
        <v/>
      </c>
    </row>
    <row r="126" spans="7:7">
      <c r="G126" s="5" t="str">
        <f t="shared" si="18"/>
        <v/>
      </c>
    </row>
    <row r="127" spans="7:7">
      <c r="G127" s="5" t="str">
        <f t="shared" si="18"/>
        <v/>
      </c>
    </row>
    <row r="128" spans="7:7">
      <c r="G128" s="5" t="str">
        <f t="shared" si="18"/>
        <v/>
      </c>
    </row>
    <row r="129" spans="7:7">
      <c r="G129" s="5" t="str">
        <f t="shared" si="18"/>
        <v/>
      </c>
    </row>
    <row r="130" spans="7:7">
      <c r="G130" s="5" t="str">
        <f t="shared" si="18"/>
        <v/>
      </c>
    </row>
    <row r="131" spans="7:7">
      <c r="G131" s="5" t="str">
        <f t="shared" si="18"/>
        <v/>
      </c>
    </row>
    <row r="132" spans="7:7">
      <c r="G132" s="5" t="str">
        <f t="shared" si="18"/>
        <v/>
      </c>
    </row>
    <row r="133" spans="7:7">
      <c r="G133" s="5" t="str">
        <f t="shared" si="18"/>
        <v/>
      </c>
    </row>
    <row r="134" spans="7:7">
      <c r="G134" s="5" t="str">
        <f t="shared" si="18"/>
        <v/>
      </c>
    </row>
    <row r="135" spans="7:7">
      <c r="G135" s="5" t="str">
        <f t="shared" si="18"/>
        <v/>
      </c>
    </row>
    <row r="136" spans="7:7">
      <c r="G136" s="5" t="str">
        <f t="shared" si="18"/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si="18"/>
        <v/>
      </c>
    </row>
    <row r="155" spans="7:7">
      <c r="G155" s="5" t="str">
        <f t="shared" si="18"/>
        <v/>
      </c>
    </row>
    <row r="156" spans="7:7">
      <c r="G156" s="5" t="str">
        <f t="shared" si="18"/>
        <v/>
      </c>
    </row>
    <row r="157" spans="7:7">
      <c r="G157" s="5" t="str">
        <f t="shared" si="18"/>
        <v/>
      </c>
    </row>
    <row r="158" spans="7:7">
      <c r="G158" s="5" t="str">
        <f t="shared" si="18"/>
        <v/>
      </c>
    </row>
    <row r="159" spans="7:7">
      <c r="G159" s="5" t="str">
        <f t="shared" si="18"/>
        <v/>
      </c>
    </row>
    <row r="160" spans="7:7">
      <c r="G160" s="5" t="str">
        <f t="shared" si="18"/>
        <v/>
      </c>
    </row>
    <row r="161" spans="7:7">
      <c r="G161" s="5" t="str">
        <f t="shared" si="18"/>
        <v/>
      </c>
    </row>
    <row r="162" spans="7:7">
      <c r="G162" s="5" t="str">
        <f t="shared" si="18"/>
        <v/>
      </c>
    </row>
    <row r="163" spans="7:7">
      <c r="G163" s="5" t="str">
        <f t="shared" si="18"/>
        <v/>
      </c>
    </row>
    <row r="164" spans="7:7">
      <c r="G164" s="5" t="str">
        <f t="shared" si="18"/>
        <v/>
      </c>
    </row>
    <row r="165" spans="7:7">
      <c r="G165" s="5" t="str">
        <f t="shared" si="18"/>
        <v/>
      </c>
    </row>
    <row r="166" spans="7:7">
      <c r="G166" s="5" t="str">
        <f t="shared" si="18"/>
        <v/>
      </c>
    </row>
    <row r="167" spans="7:7">
      <c r="G167" s="5" t="str">
        <f t="shared" si="18"/>
        <v/>
      </c>
    </row>
    <row r="168" spans="7:7">
      <c r="G168" s="5" t="str">
        <f t="shared" si="18"/>
        <v/>
      </c>
    </row>
    <row r="169" spans="7:7">
      <c r="G169" s="5" t="str">
        <f t="shared" si="18"/>
        <v/>
      </c>
    </row>
    <row r="170" spans="7:7">
      <c r="G170" s="5" t="str">
        <f t="shared" si="18"/>
        <v/>
      </c>
    </row>
    <row r="171" spans="7:7">
      <c r="G171" s="5" t="str">
        <f t="shared" si="18"/>
        <v/>
      </c>
    </row>
    <row r="172" spans="7:7">
      <c r="G172" s="5" t="str">
        <f t="shared" si="18"/>
        <v/>
      </c>
    </row>
    <row r="173" spans="7:7">
      <c r="G173" s="5" t="str">
        <f t="shared" si="18"/>
        <v/>
      </c>
    </row>
    <row r="174" spans="7:7">
      <c r="G174" s="5" t="str">
        <f t="shared" si="18"/>
        <v/>
      </c>
    </row>
    <row r="175" spans="7:7">
      <c r="G175" s="5" t="str">
        <f t="shared" si="18"/>
        <v/>
      </c>
    </row>
    <row r="176" spans="7:7">
      <c r="G176" s="5" t="str">
        <f t="shared" si="18"/>
        <v/>
      </c>
    </row>
    <row r="177" spans="7:7">
      <c r="G177" s="5" t="str">
        <f t="shared" si="18"/>
        <v/>
      </c>
    </row>
    <row r="178" spans="7:7">
      <c r="G178" s="5" t="str">
        <f t="shared" ref="G178:G241" si="19">IF(B178&lt;&gt;"",SUM(C178:F178),"")</f>
        <v/>
      </c>
    </row>
    <row r="179" spans="7:7">
      <c r="G179" s="5" t="str">
        <f t="shared" si="19"/>
        <v/>
      </c>
    </row>
    <row r="180" spans="7:7">
      <c r="G180" s="5" t="str">
        <f t="shared" si="19"/>
        <v/>
      </c>
    </row>
    <row r="181" spans="7:7">
      <c r="G181" s="5" t="str">
        <f t="shared" si="19"/>
        <v/>
      </c>
    </row>
    <row r="182" spans="7:7">
      <c r="G182" s="5" t="str">
        <f t="shared" si="19"/>
        <v/>
      </c>
    </row>
    <row r="183" spans="7:7">
      <c r="G183" s="5" t="str">
        <f t="shared" si="19"/>
        <v/>
      </c>
    </row>
    <row r="184" spans="7:7">
      <c r="G184" s="5" t="str">
        <f t="shared" si="19"/>
        <v/>
      </c>
    </row>
    <row r="185" spans="7:7">
      <c r="G185" s="5" t="str">
        <f t="shared" si="19"/>
        <v/>
      </c>
    </row>
    <row r="186" spans="7:7">
      <c r="G186" s="5" t="str">
        <f t="shared" si="19"/>
        <v/>
      </c>
    </row>
    <row r="187" spans="7:7">
      <c r="G187" s="5" t="str">
        <f t="shared" si="19"/>
        <v/>
      </c>
    </row>
    <row r="188" spans="7:7">
      <c r="G188" s="5" t="str">
        <f t="shared" si="19"/>
        <v/>
      </c>
    </row>
    <row r="189" spans="7:7">
      <c r="G189" s="5" t="str">
        <f t="shared" si="19"/>
        <v/>
      </c>
    </row>
    <row r="190" spans="7:7">
      <c r="G190" s="5" t="str">
        <f t="shared" si="19"/>
        <v/>
      </c>
    </row>
    <row r="191" spans="7:7">
      <c r="G191" s="5" t="str">
        <f t="shared" si="19"/>
        <v/>
      </c>
    </row>
    <row r="192" spans="7:7">
      <c r="G192" s="5" t="str">
        <f t="shared" si="19"/>
        <v/>
      </c>
    </row>
    <row r="193" spans="7:7">
      <c r="G193" s="5" t="str">
        <f t="shared" si="19"/>
        <v/>
      </c>
    </row>
    <row r="194" spans="7:7">
      <c r="G194" s="5" t="str">
        <f t="shared" si="19"/>
        <v/>
      </c>
    </row>
    <row r="195" spans="7:7">
      <c r="G195" s="5" t="str">
        <f t="shared" si="19"/>
        <v/>
      </c>
    </row>
    <row r="196" spans="7:7">
      <c r="G196" s="5" t="str">
        <f t="shared" si="19"/>
        <v/>
      </c>
    </row>
    <row r="197" spans="7:7">
      <c r="G197" s="5" t="str">
        <f t="shared" si="19"/>
        <v/>
      </c>
    </row>
    <row r="198" spans="7:7">
      <c r="G198" s="5" t="str">
        <f t="shared" si="19"/>
        <v/>
      </c>
    </row>
    <row r="199" spans="7:7">
      <c r="G199" s="5" t="str">
        <f t="shared" si="19"/>
        <v/>
      </c>
    </row>
    <row r="200" spans="7:7">
      <c r="G200" s="5" t="str">
        <f t="shared" si="19"/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si="19"/>
        <v/>
      </c>
    </row>
    <row r="219" spans="7:7">
      <c r="G219" s="5" t="str">
        <f t="shared" si="19"/>
        <v/>
      </c>
    </row>
    <row r="220" spans="7:7">
      <c r="G220" s="5" t="str">
        <f t="shared" si="19"/>
        <v/>
      </c>
    </row>
    <row r="221" spans="7:7">
      <c r="G221" s="5" t="str">
        <f t="shared" si="19"/>
        <v/>
      </c>
    </row>
    <row r="222" spans="7:7">
      <c r="G222" s="5" t="str">
        <f t="shared" si="19"/>
        <v/>
      </c>
    </row>
    <row r="223" spans="7:7">
      <c r="G223" s="5" t="str">
        <f t="shared" si="19"/>
        <v/>
      </c>
    </row>
    <row r="224" spans="7:7">
      <c r="G224" s="5" t="str">
        <f t="shared" si="19"/>
        <v/>
      </c>
    </row>
    <row r="225" spans="7:7">
      <c r="G225" s="5" t="str">
        <f t="shared" si="19"/>
        <v/>
      </c>
    </row>
    <row r="226" spans="7:7">
      <c r="G226" s="5" t="str">
        <f t="shared" si="19"/>
        <v/>
      </c>
    </row>
    <row r="227" spans="7:7">
      <c r="G227" s="5" t="str">
        <f t="shared" si="19"/>
        <v/>
      </c>
    </row>
    <row r="228" spans="7:7">
      <c r="G228" s="5" t="str">
        <f t="shared" si="19"/>
        <v/>
      </c>
    </row>
    <row r="229" spans="7:7">
      <c r="G229" s="5" t="str">
        <f t="shared" si="19"/>
        <v/>
      </c>
    </row>
    <row r="230" spans="7:7">
      <c r="G230" s="5" t="str">
        <f t="shared" si="19"/>
        <v/>
      </c>
    </row>
    <row r="231" spans="7:7">
      <c r="G231" s="5" t="str">
        <f t="shared" si="19"/>
        <v/>
      </c>
    </row>
    <row r="232" spans="7:7">
      <c r="G232" s="5" t="str">
        <f t="shared" si="19"/>
        <v/>
      </c>
    </row>
    <row r="233" spans="7:7">
      <c r="G233" s="5" t="str">
        <f t="shared" si="19"/>
        <v/>
      </c>
    </row>
    <row r="234" spans="7:7">
      <c r="G234" s="5" t="str">
        <f t="shared" si="19"/>
        <v/>
      </c>
    </row>
    <row r="235" spans="7:7">
      <c r="G235" s="5" t="str">
        <f t="shared" si="19"/>
        <v/>
      </c>
    </row>
    <row r="236" spans="7:7">
      <c r="G236" s="5" t="str">
        <f t="shared" si="19"/>
        <v/>
      </c>
    </row>
    <row r="237" spans="7:7">
      <c r="G237" s="5" t="str">
        <f t="shared" si="19"/>
        <v/>
      </c>
    </row>
    <row r="238" spans="7:7">
      <c r="G238" s="5" t="str">
        <f t="shared" si="19"/>
        <v/>
      </c>
    </row>
    <row r="239" spans="7:7">
      <c r="G239" s="5" t="str">
        <f t="shared" si="19"/>
        <v/>
      </c>
    </row>
    <row r="240" spans="7:7">
      <c r="G240" s="5" t="str">
        <f t="shared" si="19"/>
        <v/>
      </c>
    </row>
    <row r="241" spans="7:7">
      <c r="G241" s="5" t="str">
        <f t="shared" si="19"/>
        <v/>
      </c>
    </row>
    <row r="242" spans="7:7">
      <c r="G242" s="5" t="str">
        <f t="shared" ref="G242:G305" si="20">IF(B242&lt;&gt;"",SUM(C242:F242),"")</f>
        <v/>
      </c>
    </row>
    <row r="243" spans="7:7">
      <c r="G243" s="5" t="str">
        <f t="shared" si="20"/>
        <v/>
      </c>
    </row>
    <row r="244" spans="7:7">
      <c r="G244" s="5" t="str">
        <f t="shared" si="20"/>
        <v/>
      </c>
    </row>
    <row r="245" spans="7:7">
      <c r="G245" s="5" t="str">
        <f t="shared" si="20"/>
        <v/>
      </c>
    </row>
    <row r="246" spans="7:7">
      <c r="G246" s="5" t="str">
        <f t="shared" si="20"/>
        <v/>
      </c>
    </row>
    <row r="247" spans="7:7">
      <c r="G247" s="5" t="str">
        <f t="shared" si="20"/>
        <v/>
      </c>
    </row>
    <row r="248" spans="7:7">
      <c r="G248" s="5" t="str">
        <f t="shared" si="20"/>
        <v/>
      </c>
    </row>
    <row r="249" spans="7:7">
      <c r="G249" s="5" t="str">
        <f t="shared" si="20"/>
        <v/>
      </c>
    </row>
    <row r="250" spans="7:7">
      <c r="G250" s="5" t="str">
        <f t="shared" si="20"/>
        <v/>
      </c>
    </row>
    <row r="251" spans="7:7">
      <c r="G251" s="5" t="str">
        <f t="shared" si="20"/>
        <v/>
      </c>
    </row>
    <row r="252" spans="7:7">
      <c r="G252" s="5" t="str">
        <f t="shared" si="20"/>
        <v/>
      </c>
    </row>
    <row r="253" spans="7:7">
      <c r="G253" s="5" t="str">
        <f t="shared" si="20"/>
        <v/>
      </c>
    </row>
    <row r="254" spans="7:7">
      <c r="G254" s="5" t="str">
        <f t="shared" si="20"/>
        <v/>
      </c>
    </row>
    <row r="255" spans="7:7">
      <c r="G255" s="5" t="str">
        <f t="shared" si="20"/>
        <v/>
      </c>
    </row>
    <row r="256" spans="7:7">
      <c r="G256" s="5" t="str">
        <f t="shared" si="20"/>
        <v/>
      </c>
    </row>
    <row r="257" spans="7:7">
      <c r="G257" s="5" t="str">
        <f t="shared" si="20"/>
        <v/>
      </c>
    </row>
    <row r="258" spans="7:7">
      <c r="G258" s="5" t="str">
        <f t="shared" si="20"/>
        <v/>
      </c>
    </row>
    <row r="259" spans="7:7">
      <c r="G259" s="5" t="str">
        <f t="shared" si="20"/>
        <v/>
      </c>
    </row>
    <row r="260" spans="7:7">
      <c r="G260" s="5" t="str">
        <f t="shared" si="20"/>
        <v/>
      </c>
    </row>
    <row r="261" spans="7:7">
      <c r="G261" s="5" t="str">
        <f t="shared" si="20"/>
        <v/>
      </c>
    </row>
    <row r="262" spans="7:7">
      <c r="G262" s="5" t="str">
        <f t="shared" si="20"/>
        <v/>
      </c>
    </row>
    <row r="263" spans="7:7">
      <c r="G263" s="5" t="str">
        <f t="shared" si="20"/>
        <v/>
      </c>
    </row>
    <row r="264" spans="7:7">
      <c r="G264" s="5" t="str">
        <f t="shared" si="20"/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si="20"/>
        <v/>
      </c>
    </row>
    <row r="283" spans="7:7">
      <c r="G283" s="5" t="str">
        <f t="shared" si="20"/>
        <v/>
      </c>
    </row>
    <row r="284" spans="7:7">
      <c r="G284" s="5" t="str">
        <f t="shared" si="20"/>
        <v/>
      </c>
    </row>
    <row r="285" spans="7:7">
      <c r="G285" s="5" t="str">
        <f t="shared" si="20"/>
        <v/>
      </c>
    </row>
    <row r="286" spans="7:7">
      <c r="G286" s="5" t="str">
        <f t="shared" si="20"/>
        <v/>
      </c>
    </row>
    <row r="287" spans="7:7">
      <c r="G287" s="5" t="str">
        <f t="shared" si="20"/>
        <v/>
      </c>
    </row>
    <row r="288" spans="7:7">
      <c r="G288" s="5" t="str">
        <f t="shared" si="20"/>
        <v/>
      </c>
    </row>
    <row r="289" spans="7:7">
      <c r="G289" s="5" t="str">
        <f t="shared" si="20"/>
        <v/>
      </c>
    </row>
    <row r="290" spans="7:7">
      <c r="G290" s="5" t="str">
        <f t="shared" si="20"/>
        <v/>
      </c>
    </row>
    <row r="291" spans="7:7">
      <c r="G291" s="5" t="str">
        <f t="shared" si="20"/>
        <v/>
      </c>
    </row>
    <row r="292" spans="7:7">
      <c r="G292" s="5" t="str">
        <f t="shared" si="20"/>
        <v/>
      </c>
    </row>
    <row r="293" spans="7:7">
      <c r="G293" s="5" t="str">
        <f t="shared" si="20"/>
        <v/>
      </c>
    </row>
    <row r="294" spans="7:7">
      <c r="G294" s="5" t="str">
        <f t="shared" si="20"/>
        <v/>
      </c>
    </row>
    <row r="295" spans="7:7">
      <c r="G295" s="5" t="str">
        <f t="shared" si="20"/>
        <v/>
      </c>
    </row>
    <row r="296" spans="7:7">
      <c r="G296" s="5" t="str">
        <f t="shared" si="20"/>
        <v/>
      </c>
    </row>
    <row r="297" spans="7:7">
      <c r="G297" s="5" t="str">
        <f t="shared" si="20"/>
        <v/>
      </c>
    </row>
    <row r="298" spans="7:7">
      <c r="G298" s="5" t="str">
        <f t="shared" si="20"/>
        <v/>
      </c>
    </row>
    <row r="299" spans="7:7">
      <c r="G299" s="5" t="str">
        <f t="shared" si="20"/>
        <v/>
      </c>
    </row>
    <row r="300" spans="7:7">
      <c r="G300" s="5" t="str">
        <f t="shared" si="20"/>
        <v/>
      </c>
    </row>
    <row r="301" spans="7:7">
      <c r="G301" s="5" t="str">
        <f t="shared" si="20"/>
        <v/>
      </c>
    </row>
    <row r="302" spans="7:7">
      <c r="G302" s="5" t="str">
        <f t="shared" si="20"/>
        <v/>
      </c>
    </row>
    <row r="303" spans="7:7">
      <c r="G303" s="5" t="str">
        <f t="shared" si="20"/>
        <v/>
      </c>
    </row>
    <row r="304" spans="7:7">
      <c r="G304" s="5" t="str">
        <f t="shared" si="20"/>
        <v/>
      </c>
    </row>
    <row r="305" spans="7:7">
      <c r="G305" s="5" t="str">
        <f t="shared" si="20"/>
        <v/>
      </c>
    </row>
    <row r="306" spans="7:7">
      <c r="G306" s="5" t="str">
        <f t="shared" ref="G306:G369" si="21">IF(B306&lt;&gt;"",SUM(C306:F306),"")</f>
        <v/>
      </c>
    </row>
    <row r="307" spans="7:7">
      <c r="G307" s="5" t="str">
        <f t="shared" si="21"/>
        <v/>
      </c>
    </row>
    <row r="308" spans="7:7">
      <c r="G308" s="5" t="str">
        <f t="shared" si="21"/>
        <v/>
      </c>
    </row>
    <row r="309" spans="7:7">
      <c r="G309" s="5" t="str">
        <f t="shared" si="21"/>
        <v/>
      </c>
    </row>
    <row r="310" spans="7:7">
      <c r="G310" s="5" t="str">
        <f t="shared" si="21"/>
        <v/>
      </c>
    </row>
    <row r="311" spans="7:7">
      <c r="G311" s="5" t="str">
        <f t="shared" si="21"/>
        <v/>
      </c>
    </row>
    <row r="312" spans="7:7">
      <c r="G312" s="5" t="str">
        <f t="shared" si="21"/>
        <v/>
      </c>
    </row>
    <row r="313" spans="7:7">
      <c r="G313" s="5" t="str">
        <f t="shared" si="21"/>
        <v/>
      </c>
    </row>
    <row r="314" spans="7:7">
      <c r="G314" s="5" t="str">
        <f t="shared" si="21"/>
        <v/>
      </c>
    </row>
    <row r="315" spans="7:7">
      <c r="G315" s="5" t="str">
        <f t="shared" si="21"/>
        <v/>
      </c>
    </row>
    <row r="316" spans="7:7">
      <c r="G316" s="5" t="str">
        <f t="shared" si="21"/>
        <v/>
      </c>
    </row>
    <row r="317" spans="7:7">
      <c r="G317" s="5" t="str">
        <f t="shared" si="21"/>
        <v/>
      </c>
    </row>
    <row r="318" spans="7:7">
      <c r="G318" s="5" t="str">
        <f t="shared" si="21"/>
        <v/>
      </c>
    </row>
    <row r="319" spans="7:7">
      <c r="G319" s="5" t="str">
        <f t="shared" si="21"/>
        <v/>
      </c>
    </row>
    <row r="320" spans="7:7">
      <c r="G320" s="5" t="str">
        <f t="shared" si="21"/>
        <v/>
      </c>
    </row>
    <row r="321" spans="7:7">
      <c r="G321" s="5" t="str">
        <f t="shared" si="21"/>
        <v/>
      </c>
    </row>
    <row r="322" spans="7:7">
      <c r="G322" s="5" t="str">
        <f t="shared" si="21"/>
        <v/>
      </c>
    </row>
    <row r="323" spans="7:7">
      <c r="G323" s="5" t="str">
        <f t="shared" si="21"/>
        <v/>
      </c>
    </row>
    <row r="324" spans="7:7">
      <c r="G324" s="5" t="str">
        <f t="shared" si="21"/>
        <v/>
      </c>
    </row>
    <row r="325" spans="7:7">
      <c r="G325" s="5" t="str">
        <f t="shared" si="21"/>
        <v/>
      </c>
    </row>
    <row r="326" spans="7:7">
      <c r="G326" s="5" t="str">
        <f t="shared" si="21"/>
        <v/>
      </c>
    </row>
    <row r="327" spans="7:7">
      <c r="G327" s="5" t="str">
        <f t="shared" si="21"/>
        <v/>
      </c>
    </row>
    <row r="328" spans="7:7">
      <c r="G328" s="5" t="str">
        <f t="shared" si="21"/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si="21"/>
        <v/>
      </c>
    </row>
    <row r="347" spans="7:7">
      <c r="G347" s="5" t="str">
        <f t="shared" si="21"/>
        <v/>
      </c>
    </row>
    <row r="348" spans="7:7">
      <c r="G348" s="5" t="str">
        <f t="shared" si="21"/>
        <v/>
      </c>
    </row>
    <row r="349" spans="7:7">
      <c r="G349" s="5" t="str">
        <f t="shared" si="21"/>
        <v/>
      </c>
    </row>
    <row r="350" spans="7:7">
      <c r="G350" s="5" t="str">
        <f t="shared" si="21"/>
        <v/>
      </c>
    </row>
    <row r="351" spans="7:7">
      <c r="G351" s="5" t="str">
        <f t="shared" si="21"/>
        <v/>
      </c>
    </row>
    <row r="352" spans="7:7">
      <c r="G352" s="5" t="str">
        <f t="shared" si="21"/>
        <v/>
      </c>
    </row>
    <row r="353" spans="7:7">
      <c r="G353" s="5" t="str">
        <f t="shared" si="21"/>
        <v/>
      </c>
    </row>
    <row r="354" spans="7:7">
      <c r="G354" s="5" t="str">
        <f t="shared" si="21"/>
        <v/>
      </c>
    </row>
    <row r="355" spans="7:7">
      <c r="G355" s="5" t="str">
        <f t="shared" si="21"/>
        <v/>
      </c>
    </row>
    <row r="356" spans="7:7">
      <c r="G356" s="5" t="str">
        <f t="shared" si="21"/>
        <v/>
      </c>
    </row>
    <row r="357" spans="7:7">
      <c r="G357" s="5" t="str">
        <f t="shared" si="21"/>
        <v/>
      </c>
    </row>
    <row r="358" spans="7:7">
      <c r="G358" s="5" t="str">
        <f t="shared" si="21"/>
        <v/>
      </c>
    </row>
    <row r="359" spans="7:7">
      <c r="G359" s="5" t="str">
        <f t="shared" si="21"/>
        <v/>
      </c>
    </row>
    <row r="360" spans="7:7">
      <c r="G360" s="5" t="str">
        <f t="shared" si="21"/>
        <v/>
      </c>
    </row>
    <row r="361" spans="7:7">
      <c r="G361" s="5" t="str">
        <f t="shared" si="21"/>
        <v/>
      </c>
    </row>
    <row r="362" spans="7:7">
      <c r="G362" s="5" t="str">
        <f t="shared" si="21"/>
        <v/>
      </c>
    </row>
    <row r="363" spans="7:7">
      <c r="G363" s="5" t="str">
        <f t="shared" si="21"/>
        <v/>
      </c>
    </row>
    <row r="364" spans="7:7">
      <c r="G364" s="5" t="str">
        <f t="shared" si="21"/>
        <v/>
      </c>
    </row>
    <row r="365" spans="7:7">
      <c r="G365" s="5" t="str">
        <f t="shared" si="21"/>
        <v/>
      </c>
    </row>
    <row r="366" spans="7:7">
      <c r="G366" s="5" t="str">
        <f t="shared" si="21"/>
        <v/>
      </c>
    </row>
    <row r="367" spans="7:7">
      <c r="G367" s="5" t="str">
        <f t="shared" si="21"/>
        <v/>
      </c>
    </row>
    <row r="368" spans="7:7">
      <c r="G368" s="5" t="str">
        <f t="shared" si="21"/>
        <v/>
      </c>
    </row>
    <row r="369" spans="7:7">
      <c r="G369" s="5" t="str">
        <f t="shared" si="21"/>
        <v/>
      </c>
    </row>
    <row r="370" spans="7:7">
      <c r="G370" s="5" t="str">
        <f t="shared" ref="G370:G433" si="22">IF(B370&lt;&gt;"",SUM(C370:F370),"")</f>
        <v/>
      </c>
    </row>
    <row r="371" spans="7:7">
      <c r="G371" s="5" t="str">
        <f t="shared" si="22"/>
        <v/>
      </c>
    </row>
    <row r="372" spans="7:7">
      <c r="G372" s="5" t="str">
        <f t="shared" si="22"/>
        <v/>
      </c>
    </row>
    <row r="373" spans="7:7">
      <c r="G373" s="5" t="str">
        <f t="shared" si="22"/>
        <v/>
      </c>
    </row>
    <row r="374" spans="7:7">
      <c r="G374" s="5" t="str">
        <f t="shared" si="22"/>
        <v/>
      </c>
    </row>
    <row r="375" spans="7:7">
      <c r="G375" s="5" t="str">
        <f t="shared" si="22"/>
        <v/>
      </c>
    </row>
    <row r="376" spans="7:7">
      <c r="G376" s="5" t="str">
        <f t="shared" si="22"/>
        <v/>
      </c>
    </row>
    <row r="377" spans="7:7">
      <c r="G377" s="5" t="str">
        <f t="shared" si="22"/>
        <v/>
      </c>
    </row>
    <row r="378" spans="7:7">
      <c r="G378" s="5" t="str">
        <f t="shared" si="22"/>
        <v/>
      </c>
    </row>
    <row r="379" spans="7:7">
      <c r="G379" s="5" t="str">
        <f t="shared" si="22"/>
        <v/>
      </c>
    </row>
    <row r="380" spans="7:7">
      <c r="G380" s="5" t="str">
        <f t="shared" si="22"/>
        <v/>
      </c>
    </row>
    <row r="381" spans="7:7">
      <c r="G381" s="5" t="str">
        <f t="shared" si="22"/>
        <v/>
      </c>
    </row>
    <row r="382" spans="7:7">
      <c r="G382" s="5" t="str">
        <f t="shared" si="22"/>
        <v/>
      </c>
    </row>
    <row r="383" spans="7:7">
      <c r="G383" s="5" t="str">
        <f t="shared" si="22"/>
        <v/>
      </c>
    </row>
    <row r="384" spans="7:7">
      <c r="G384" s="5" t="str">
        <f t="shared" si="22"/>
        <v/>
      </c>
    </row>
    <row r="385" spans="7:7">
      <c r="G385" s="5" t="str">
        <f t="shared" si="22"/>
        <v/>
      </c>
    </row>
    <row r="386" spans="7:7">
      <c r="G386" s="5" t="str">
        <f t="shared" si="22"/>
        <v/>
      </c>
    </row>
    <row r="387" spans="7:7">
      <c r="G387" s="5" t="str">
        <f t="shared" si="22"/>
        <v/>
      </c>
    </row>
    <row r="388" spans="7:7">
      <c r="G388" s="5" t="str">
        <f t="shared" si="22"/>
        <v/>
      </c>
    </row>
    <row r="389" spans="7:7">
      <c r="G389" s="5" t="str">
        <f t="shared" si="22"/>
        <v/>
      </c>
    </row>
    <row r="390" spans="7:7">
      <c r="G390" s="5" t="str">
        <f t="shared" si="22"/>
        <v/>
      </c>
    </row>
    <row r="391" spans="7:7">
      <c r="G391" s="5" t="str">
        <f t="shared" si="22"/>
        <v/>
      </c>
    </row>
    <row r="392" spans="7:7">
      <c r="G392" s="5" t="str">
        <f t="shared" si="22"/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si="22"/>
        <v/>
      </c>
    </row>
    <row r="411" spans="7:7">
      <c r="G411" s="5" t="str">
        <f t="shared" si="22"/>
        <v/>
      </c>
    </row>
    <row r="412" spans="7:7">
      <c r="G412" s="5" t="str">
        <f t="shared" si="22"/>
        <v/>
      </c>
    </row>
    <row r="413" spans="7:7">
      <c r="G413" s="5" t="str">
        <f t="shared" si="22"/>
        <v/>
      </c>
    </row>
    <row r="414" spans="7:7">
      <c r="G414" s="5" t="str">
        <f t="shared" si="22"/>
        <v/>
      </c>
    </row>
    <row r="415" spans="7:7">
      <c r="G415" s="5" t="str">
        <f t="shared" si="22"/>
        <v/>
      </c>
    </row>
    <row r="416" spans="7:7">
      <c r="G416" s="5" t="str">
        <f t="shared" si="22"/>
        <v/>
      </c>
    </row>
    <row r="417" spans="7:7">
      <c r="G417" s="5" t="str">
        <f t="shared" si="22"/>
        <v/>
      </c>
    </row>
    <row r="418" spans="7:7">
      <c r="G418" s="5" t="str">
        <f t="shared" si="22"/>
        <v/>
      </c>
    </row>
    <row r="419" spans="7:7">
      <c r="G419" s="5" t="str">
        <f t="shared" si="22"/>
        <v/>
      </c>
    </row>
    <row r="420" spans="7:7">
      <c r="G420" s="5" t="str">
        <f t="shared" si="22"/>
        <v/>
      </c>
    </row>
    <row r="421" spans="7:7">
      <c r="G421" s="5" t="str">
        <f t="shared" si="22"/>
        <v/>
      </c>
    </row>
    <row r="422" spans="7:7">
      <c r="G422" s="5" t="str">
        <f t="shared" si="22"/>
        <v/>
      </c>
    </row>
    <row r="423" spans="7:7">
      <c r="G423" s="5" t="str">
        <f t="shared" si="22"/>
        <v/>
      </c>
    </row>
    <row r="424" spans="7:7">
      <c r="G424" s="5" t="str">
        <f t="shared" si="22"/>
        <v/>
      </c>
    </row>
    <row r="425" spans="7:7">
      <c r="G425" s="5" t="str">
        <f t="shared" si="22"/>
        <v/>
      </c>
    </row>
    <row r="426" spans="7:7">
      <c r="G426" s="5" t="str">
        <f t="shared" si="22"/>
        <v/>
      </c>
    </row>
    <row r="427" spans="7:7">
      <c r="G427" s="5" t="str">
        <f t="shared" si="22"/>
        <v/>
      </c>
    </row>
    <row r="428" spans="7:7">
      <c r="G428" s="5" t="str">
        <f t="shared" si="22"/>
        <v/>
      </c>
    </row>
    <row r="429" spans="7:7">
      <c r="G429" s="5" t="str">
        <f t="shared" si="22"/>
        <v/>
      </c>
    </row>
    <row r="430" spans="7:7">
      <c r="G430" s="5" t="str">
        <f t="shared" si="22"/>
        <v/>
      </c>
    </row>
    <row r="431" spans="7:7">
      <c r="G431" s="5" t="str">
        <f t="shared" si="22"/>
        <v/>
      </c>
    </row>
    <row r="432" spans="7:7">
      <c r="G432" s="5" t="str">
        <f t="shared" si="22"/>
        <v/>
      </c>
    </row>
    <row r="433" spans="7:7">
      <c r="G433" s="5" t="str">
        <f t="shared" si="22"/>
        <v/>
      </c>
    </row>
    <row r="434" spans="7:7">
      <c r="G434" s="5" t="str">
        <f t="shared" ref="G434:G465" si="23">IF(B434&lt;&gt;"",SUM(C434:F434),"")</f>
        <v/>
      </c>
    </row>
    <row r="435" spans="7:7">
      <c r="G435" s="5" t="str">
        <f t="shared" si="23"/>
        <v/>
      </c>
    </row>
    <row r="436" spans="7:7">
      <c r="G436" s="5" t="str">
        <f t="shared" si="23"/>
        <v/>
      </c>
    </row>
    <row r="437" spans="7:7">
      <c r="G437" s="5" t="str">
        <f t="shared" si="23"/>
        <v/>
      </c>
    </row>
    <row r="438" spans="7:7">
      <c r="G438" s="5" t="str">
        <f t="shared" si="23"/>
        <v/>
      </c>
    </row>
    <row r="439" spans="7:7">
      <c r="G439" s="5" t="str">
        <f t="shared" si="23"/>
        <v/>
      </c>
    </row>
    <row r="440" spans="7:7">
      <c r="G440" s="5" t="str">
        <f t="shared" si="23"/>
        <v/>
      </c>
    </row>
    <row r="441" spans="7:7">
      <c r="G441" s="5" t="str">
        <f t="shared" si="23"/>
        <v/>
      </c>
    </row>
    <row r="442" spans="7:7">
      <c r="G442" s="5" t="str">
        <f t="shared" si="23"/>
        <v/>
      </c>
    </row>
    <row r="443" spans="7:7">
      <c r="G443" s="5" t="str">
        <f t="shared" si="23"/>
        <v/>
      </c>
    </row>
    <row r="444" spans="7:7">
      <c r="G444" s="5" t="str">
        <f t="shared" si="23"/>
        <v/>
      </c>
    </row>
    <row r="445" spans="7:7">
      <c r="G445" s="5" t="str">
        <f t="shared" si="23"/>
        <v/>
      </c>
    </row>
    <row r="446" spans="7:7">
      <c r="G446" s="5" t="str">
        <f t="shared" si="23"/>
        <v/>
      </c>
    </row>
    <row r="447" spans="7:7">
      <c r="G447" s="5" t="str">
        <f t="shared" si="23"/>
        <v/>
      </c>
    </row>
    <row r="448" spans="7:7">
      <c r="G448" s="5" t="str">
        <f t="shared" si="23"/>
        <v/>
      </c>
    </row>
    <row r="449" spans="7:7">
      <c r="G449" s="5" t="str">
        <f t="shared" si="23"/>
        <v/>
      </c>
    </row>
    <row r="450" spans="7:7">
      <c r="G450" s="5" t="str">
        <f t="shared" si="23"/>
        <v/>
      </c>
    </row>
    <row r="451" spans="7:7">
      <c r="G451" s="5" t="str">
        <f t="shared" si="23"/>
        <v/>
      </c>
    </row>
    <row r="452" spans="7:7">
      <c r="G452" s="5" t="str">
        <f t="shared" si="23"/>
        <v/>
      </c>
    </row>
    <row r="453" spans="7:7">
      <c r="G453" s="5" t="str">
        <f t="shared" si="23"/>
        <v/>
      </c>
    </row>
    <row r="454" spans="7:7">
      <c r="G454" s="5" t="str">
        <f t="shared" si="23"/>
        <v/>
      </c>
    </row>
    <row r="455" spans="7:7">
      <c r="G455" s="5" t="str">
        <f t="shared" si="23"/>
        <v/>
      </c>
    </row>
    <row r="456" spans="7:7">
      <c r="G456" s="5" t="str">
        <f t="shared" si="23"/>
        <v/>
      </c>
    </row>
    <row r="457" spans="7:7">
      <c r="G457" s="5" t="str">
        <f t="shared" si="23"/>
        <v/>
      </c>
    </row>
    <row r="458" spans="7:7">
      <c r="G458" s="5" t="str">
        <f t="shared" si="23"/>
        <v/>
      </c>
    </row>
    <row r="459" spans="7:7">
      <c r="G459" s="5" t="str">
        <f t="shared" si="23"/>
        <v/>
      </c>
    </row>
    <row r="460" spans="7:7">
      <c r="G460" s="5" t="str">
        <f t="shared" si="23"/>
        <v/>
      </c>
    </row>
    <row r="461" spans="7:7">
      <c r="G461" s="5" t="str">
        <f t="shared" si="23"/>
        <v/>
      </c>
    </row>
    <row r="462" spans="7:7">
      <c r="G462" s="5" t="str">
        <f t="shared" si="23"/>
        <v/>
      </c>
    </row>
    <row r="463" spans="7:7">
      <c r="G463" s="5" t="str">
        <f t="shared" si="23"/>
        <v/>
      </c>
    </row>
    <row r="464" spans="7:7">
      <c r="G464" s="5" t="str">
        <f t="shared" si="23"/>
        <v/>
      </c>
    </row>
    <row r="465" spans="7:7">
      <c r="G465" s="5" t="str">
        <f t="shared" si="23"/>
        <v/>
      </c>
    </row>
  </sheetData>
  <sheetProtection algorithmName="SHA-512" hashValue="z6lh0aNYxuwq3SZACg0DsRJEj2EH8GbZaCqfXFyP1Gt8sjO6eccNFqDU6mZWjwZJzUDMlGswmm+RfsC0PIdHMA==" saltValue="rPePBFHPAY+9Igr8Y7YORQ==" spinCount="100000" sheet="1" sort="0" autoFilter="0" pivotTables="0"/>
  <autoFilter ref="H5:H43" xr:uid="{6C0B83D4-D41C-46A7-B8E4-61118246D7DE}">
    <filterColumn colId="0">
      <filters blank="1">
        <filter val="100"/>
        <filter val="120"/>
        <filter val="R$ 5.902,58"/>
      </filters>
    </filterColumn>
  </autoFilter>
  <sortState xmlns:xlrd2="http://schemas.microsoft.com/office/spreadsheetml/2017/richdata2" ref="B6:L41">
    <sortCondition ref="B6:B41"/>
  </sortState>
  <pageMargins left="0.78740157480314965" right="0.78740157480314965" top="0.78740157480314965" bottom="0.78740157480314965" header="0" footer="0"/>
  <pageSetup paperSize="9" scale="89" orientation="landscape" verticalDpi="4294967295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3809-42F3-4ADE-8EC1-26A4D7FFADE9}">
  <sheetPr codeName="Planilha15" filterMode="1">
    <tabColor rgb="FF006600"/>
    <pageSetUpPr fitToPage="1"/>
  </sheetPr>
  <dimension ref="B1:S482"/>
  <sheetViews>
    <sheetView workbookViewId="0">
      <pane ySplit="5" topLeftCell="A6" activePane="bottomLeft" state="frozen"/>
      <selection pane="bottomLeft" activeCell="E72" sqref="E72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3.5703125" style="6" hidden="1" customWidth="1"/>
    <col min="13" max="13" width="13.4257812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51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550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546" t="s">
        <v>195</v>
      </c>
      <c r="C6" s="38">
        <v>48</v>
      </c>
      <c r="D6" s="38"/>
      <c r="E6" s="38">
        <v>36</v>
      </c>
      <c r="F6" s="39"/>
      <c r="G6" s="40"/>
      <c r="H6" s="23">
        <f t="shared" ref="H6:H37" si="0">SUM(C6:G6)</f>
        <v>84</v>
      </c>
      <c r="I6" s="464">
        <f t="shared" ref="I6:I37" si="1">L6-(L6*J6)</f>
        <v>37.723300000000002</v>
      </c>
      <c r="J6" s="16">
        <v>0.03</v>
      </c>
      <c r="K6" s="17"/>
      <c r="L6" s="127">
        <v>38.89</v>
      </c>
      <c r="M6" s="392"/>
      <c r="N6" s="25">
        <f t="shared" ref="N6:N34" si="2">I6*C6</f>
        <v>1810.7184000000002</v>
      </c>
      <c r="O6" s="25">
        <f t="shared" ref="O6:O34" si="3">I6*D6</f>
        <v>0</v>
      </c>
      <c r="P6" s="25">
        <f t="shared" ref="P6:P34" si="4">I6*E6</f>
        <v>1358.0388</v>
      </c>
      <c r="Q6" s="26">
        <f t="shared" ref="Q6:Q34" si="5">I6*F6</f>
        <v>0</v>
      </c>
      <c r="R6" s="27">
        <f t="shared" ref="R6:R34" si="6">I6*G6</f>
        <v>0</v>
      </c>
      <c r="S6" s="28">
        <f>SUM(N6:R6)</f>
        <v>3168.7572</v>
      </c>
    </row>
    <row r="7" spans="2:19" hidden="1">
      <c r="B7" s="546" t="s">
        <v>200</v>
      </c>
      <c r="C7" s="14"/>
      <c r="D7" s="14"/>
      <c r="E7" s="14"/>
      <c r="F7" s="14"/>
      <c r="G7" s="8"/>
      <c r="H7" s="24">
        <f t="shared" si="0"/>
        <v>0</v>
      </c>
      <c r="I7" s="456">
        <f t="shared" si="1"/>
        <v>138.8458</v>
      </c>
      <c r="J7" s="16">
        <v>0.03</v>
      </c>
      <c r="K7" s="12"/>
      <c r="L7" s="127">
        <v>143.13999999999999</v>
      </c>
      <c r="M7" s="392"/>
      <c r="N7" s="25">
        <f t="shared" ref="N7" si="7">I7*C7</f>
        <v>0</v>
      </c>
      <c r="O7" s="25">
        <f t="shared" ref="O7" si="8">I7*D7</f>
        <v>0</v>
      </c>
      <c r="P7" s="25">
        <f t="shared" ref="P7" si="9">I7*E7</f>
        <v>0</v>
      </c>
      <c r="Q7" s="26">
        <f t="shared" ref="Q7" si="10">I7*F7</f>
        <v>0</v>
      </c>
      <c r="R7" s="27">
        <f t="shared" ref="R7" si="11">I7*G7</f>
        <v>0</v>
      </c>
      <c r="S7" s="28">
        <f>SUM(N7:R7)</f>
        <v>0</v>
      </c>
    </row>
    <row r="8" spans="2:19" hidden="1">
      <c r="B8" s="546" t="s">
        <v>201</v>
      </c>
      <c r="C8" s="13"/>
      <c r="D8" s="13"/>
      <c r="E8" s="13"/>
      <c r="F8" s="14"/>
      <c r="G8" s="8"/>
      <c r="H8" s="24">
        <f t="shared" si="0"/>
        <v>0</v>
      </c>
      <c r="I8" s="456">
        <f t="shared" si="1"/>
        <v>844.90879999999993</v>
      </c>
      <c r="J8" s="16">
        <v>0.03</v>
      </c>
      <c r="K8" s="12"/>
      <c r="L8" s="127">
        <v>871.04</v>
      </c>
      <c r="M8" s="392"/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28">
        <f t="shared" ref="S8:S73" si="12">SUM(N8:R8)</f>
        <v>0</v>
      </c>
    </row>
    <row r="9" spans="2:19">
      <c r="B9" s="546" t="s">
        <v>202</v>
      </c>
      <c r="C9" s="13">
        <v>4</v>
      </c>
      <c r="D9" s="13"/>
      <c r="E9" s="13">
        <v>3</v>
      </c>
      <c r="F9" s="14"/>
      <c r="G9" s="8"/>
      <c r="H9" s="24">
        <f t="shared" si="0"/>
        <v>7</v>
      </c>
      <c r="I9" s="456">
        <f t="shared" si="1"/>
        <v>242.7328</v>
      </c>
      <c r="J9" s="16">
        <v>0.03</v>
      </c>
      <c r="K9" s="12"/>
      <c r="L9" s="127">
        <v>250.24</v>
      </c>
      <c r="M9" s="392"/>
      <c r="N9" s="25">
        <f t="shared" si="2"/>
        <v>970.93119999999999</v>
      </c>
      <c r="O9" s="25">
        <f t="shared" si="3"/>
        <v>0</v>
      </c>
      <c r="P9" s="25">
        <f t="shared" si="4"/>
        <v>728.19839999999999</v>
      </c>
      <c r="Q9" s="26">
        <f t="shared" si="5"/>
        <v>0</v>
      </c>
      <c r="R9" s="27">
        <f t="shared" si="6"/>
        <v>0</v>
      </c>
      <c r="S9" s="28">
        <f t="shared" si="12"/>
        <v>1699.1296</v>
      </c>
    </row>
    <row r="10" spans="2:19">
      <c r="B10" s="546" t="s">
        <v>203</v>
      </c>
      <c r="C10" s="13"/>
      <c r="D10" s="13"/>
      <c r="E10" s="13">
        <v>2</v>
      </c>
      <c r="F10" s="14"/>
      <c r="G10" s="8"/>
      <c r="H10" s="24">
        <f t="shared" si="0"/>
        <v>2</v>
      </c>
      <c r="I10" s="456">
        <f t="shared" si="1"/>
        <v>496.56240000000003</v>
      </c>
      <c r="J10" s="16">
        <v>0.03</v>
      </c>
      <c r="K10" s="12"/>
      <c r="L10" s="127">
        <v>511.92</v>
      </c>
      <c r="M10" s="392"/>
      <c r="N10" s="25">
        <f t="shared" si="2"/>
        <v>0</v>
      </c>
      <c r="O10" s="25">
        <f t="shared" si="3"/>
        <v>0</v>
      </c>
      <c r="P10" s="25">
        <f t="shared" si="4"/>
        <v>993.12480000000005</v>
      </c>
      <c r="Q10" s="26">
        <f t="shared" si="5"/>
        <v>0</v>
      </c>
      <c r="R10" s="27">
        <f t="shared" si="6"/>
        <v>0</v>
      </c>
      <c r="S10" s="28">
        <f t="shared" si="12"/>
        <v>993.12480000000005</v>
      </c>
    </row>
    <row r="11" spans="2:19">
      <c r="B11" s="546" t="s">
        <v>204</v>
      </c>
      <c r="C11" s="13">
        <v>4</v>
      </c>
      <c r="D11" s="13"/>
      <c r="E11" s="13"/>
      <c r="F11" s="14"/>
      <c r="G11" s="8"/>
      <c r="H11" s="24">
        <f t="shared" si="0"/>
        <v>4</v>
      </c>
      <c r="I11" s="456">
        <f t="shared" si="1"/>
        <v>335.58119999999997</v>
      </c>
      <c r="J11" s="16">
        <v>0.03</v>
      </c>
      <c r="K11" s="12"/>
      <c r="L11" s="127">
        <v>345.96</v>
      </c>
      <c r="M11" s="392"/>
      <c r="N11" s="25">
        <f t="shared" si="2"/>
        <v>1342.3247999999999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28">
        <f t="shared" si="12"/>
        <v>1342.3247999999999</v>
      </c>
    </row>
    <row r="12" spans="2:19">
      <c r="B12" s="546" t="s">
        <v>205</v>
      </c>
      <c r="C12" s="13">
        <v>1</v>
      </c>
      <c r="D12" s="13"/>
      <c r="E12" s="13">
        <v>3</v>
      </c>
      <c r="F12" s="14"/>
      <c r="G12" s="8"/>
      <c r="H12" s="24">
        <f t="shared" si="0"/>
        <v>4</v>
      </c>
      <c r="I12" s="456">
        <f t="shared" si="1"/>
        <v>843.36650000000009</v>
      </c>
      <c r="J12" s="16">
        <v>0.03</v>
      </c>
      <c r="K12" s="12"/>
      <c r="L12" s="127">
        <v>869.45</v>
      </c>
      <c r="M12" s="392"/>
      <c r="N12" s="25">
        <f t="shared" si="2"/>
        <v>843.36650000000009</v>
      </c>
      <c r="O12" s="25">
        <f t="shared" si="3"/>
        <v>0</v>
      </c>
      <c r="P12" s="25">
        <f t="shared" si="4"/>
        <v>2530.0995000000003</v>
      </c>
      <c r="Q12" s="26">
        <f t="shared" si="5"/>
        <v>0</v>
      </c>
      <c r="R12" s="27">
        <f t="shared" si="6"/>
        <v>0</v>
      </c>
      <c r="S12" s="28">
        <f t="shared" si="12"/>
        <v>3373.4660000000003</v>
      </c>
    </row>
    <row r="13" spans="2:19" hidden="1">
      <c r="B13" s="546" t="s">
        <v>208</v>
      </c>
      <c r="C13" s="13"/>
      <c r="D13" s="13"/>
      <c r="E13" s="13"/>
      <c r="F13" s="14"/>
      <c r="G13" s="8"/>
      <c r="H13" s="24">
        <f t="shared" si="0"/>
        <v>0</v>
      </c>
      <c r="I13" s="456">
        <f t="shared" si="1"/>
        <v>15.0059</v>
      </c>
      <c r="J13" s="16">
        <v>0.03</v>
      </c>
      <c r="K13" s="12"/>
      <c r="L13" s="127">
        <v>15.47</v>
      </c>
      <c r="M13" s="392"/>
      <c r="N13" s="25">
        <f t="shared" si="2"/>
        <v>0</v>
      </c>
      <c r="O13" s="25">
        <f t="shared" si="3"/>
        <v>0</v>
      </c>
      <c r="P13" s="25">
        <f t="shared" si="4"/>
        <v>0</v>
      </c>
      <c r="Q13" s="26">
        <f t="shared" si="5"/>
        <v>0</v>
      </c>
      <c r="R13" s="27">
        <f t="shared" si="6"/>
        <v>0</v>
      </c>
      <c r="S13" s="28">
        <f t="shared" si="12"/>
        <v>0</v>
      </c>
    </row>
    <row r="14" spans="2:19">
      <c r="B14" s="546" t="s">
        <v>209</v>
      </c>
      <c r="C14" s="13">
        <v>6</v>
      </c>
      <c r="D14" s="13"/>
      <c r="E14" s="13"/>
      <c r="F14" s="14">
        <v>12</v>
      </c>
      <c r="G14" s="8"/>
      <c r="H14" s="24">
        <f t="shared" si="0"/>
        <v>18</v>
      </c>
      <c r="I14" s="456">
        <f t="shared" si="1"/>
        <v>246.01140000000001</v>
      </c>
      <c r="J14" s="16">
        <v>0.03</v>
      </c>
      <c r="K14" s="12"/>
      <c r="L14" s="127">
        <v>253.62</v>
      </c>
      <c r="M14" s="392"/>
      <c r="N14" s="25">
        <f t="shared" si="2"/>
        <v>1476.0684000000001</v>
      </c>
      <c r="O14" s="25">
        <f t="shared" si="3"/>
        <v>0</v>
      </c>
      <c r="P14" s="25">
        <f t="shared" si="4"/>
        <v>0</v>
      </c>
      <c r="Q14" s="26">
        <f t="shared" si="5"/>
        <v>2952.1368000000002</v>
      </c>
      <c r="R14" s="27">
        <f t="shared" si="6"/>
        <v>0</v>
      </c>
      <c r="S14" s="28">
        <f t="shared" si="12"/>
        <v>4428.2052000000003</v>
      </c>
    </row>
    <row r="15" spans="2:19">
      <c r="B15" s="546" t="s">
        <v>210</v>
      </c>
      <c r="C15" s="13"/>
      <c r="D15" s="13"/>
      <c r="E15" s="13"/>
      <c r="F15" s="14">
        <v>6</v>
      </c>
      <c r="G15" s="8"/>
      <c r="H15" s="24">
        <f t="shared" si="0"/>
        <v>6</v>
      </c>
      <c r="I15" s="456">
        <f t="shared" si="1"/>
        <v>113.8295</v>
      </c>
      <c r="J15" s="16">
        <v>0.03</v>
      </c>
      <c r="K15" s="12"/>
      <c r="L15" s="127">
        <v>117.35</v>
      </c>
      <c r="M15" s="392"/>
      <c r="N15" s="25">
        <f t="shared" si="2"/>
        <v>0</v>
      </c>
      <c r="O15" s="25">
        <f t="shared" si="3"/>
        <v>0</v>
      </c>
      <c r="P15" s="25">
        <f t="shared" si="4"/>
        <v>0</v>
      </c>
      <c r="Q15" s="26">
        <f t="shared" si="5"/>
        <v>682.97699999999998</v>
      </c>
      <c r="R15" s="27">
        <f t="shared" si="6"/>
        <v>0</v>
      </c>
      <c r="S15" s="28">
        <f t="shared" si="12"/>
        <v>682.97699999999998</v>
      </c>
    </row>
    <row r="16" spans="2:19">
      <c r="B16" s="547" t="s">
        <v>211</v>
      </c>
      <c r="C16" s="13">
        <v>6</v>
      </c>
      <c r="D16" s="13"/>
      <c r="E16" s="13"/>
      <c r="F16" s="14"/>
      <c r="G16" s="8"/>
      <c r="H16" s="24">
        <f t="shared" si="0"/>
        <v>6</v>
      </c>
      <c r="I16" s="456">
        <f t="shared" si="1"/>
        <v>151.46550000000002</v>
      </c>
      <c r="J16" s="16">
        <v>0.03</v>
      </c>
      <c r="K16" s="12"/>
      <c r="L16" s="127">
        <v>156.15</v>
      </c>
      <c r="M16" s="392"/>
      <c r="N16" s="25">
        <f t="shared" si="2"/>
        <v>908.79300000000012</v>
      </c>
      <c r="O16" s="25">
        <f t="shared" si="3"/>
        <v>0</v>
      </c>
      <c r="P16" s="25">
        <f t="shared" si="4"/>
        <v>0</v>
      </c>
      <c r="Q16" s="26">
        <f t="shared" si="5"/>
        <v>0</v>
      </c>
      <c r="R16" s="27">
        <f t="shared" si="6"/>
        <v>0</v>
      </c>
      <c r="S16" s="28">
        <f t="shared" si="12"/>
        <v>908.79300000000012</v>
      </c>
    </row>
    <row r="17" spans="2:19" hidden="1">
      <c r="B17" s="546" t="s">
        <v>212</v>
      </c>
      <c r="C17" s="13"/>
      <c r="D17" s="13"/>
      <c r="E17" s="13"/>
      <c r="F17" s="14"/>
      <c r="G17" s="8"/>
      <c r="H17" s="24">
        <f t="shared" si="0"/>
        <v>0</v>
      </c>
      <c r="I17" s="456">
        <f t="shared" si="1"/>
        <v>210.05350000000001</v>
      </c>
      <c r="J17" s="16">
        <v>0.03</v>
      </c>
      <c r="K17" s="12"/>
      <c r="L17" s="127">
        <v>216.55</v>
      </c>
      <c r="M17" s="392"/>
      <c r="N17" s="25">
        <f t="shared" si="2"/>
        <v>0</v>
      </c>
      <c r="O17" s="25">
        <f t="shared" si="3"/>
        <v>0</v>
      </c>
      <c r="P17" s="25">
        <f t="shared" si="4"/>
        <v>0</v>
      </c>
      <c r="Q17" s="26">
        <f t="shared" si="5"/>
        <v>0</v>
      </c>
      <c r="R17" s="27">
        <f t="shared" si="6"/>
        <v>0</v>
      </c>
      <c r="S17" s="28">
        <f t="shared" si="12"/>
        <v>0</v>
      </c>
    </row>
    <row r="18" spans="2:19" hidden="1">
      <c r="B18" s="547" t="s">
        <v>215</v>
      </c>
      <c r="C18" s="13"/>
      <c r="D18" s="13"/>
      <c r="E18" s="13"/>
      <c r="F18" s="14"/>
      <c r="G18" s="8"/>
      <c r="H18" s="24">
        <f t="shared" si="0"/>
        <v>0</v>
      </c>
      <c r="I18" s="456">
        <f t="shared" si="1"/>
        <v>236.99039999999999</v>
      </c>
      <c r="J18" s="16">
        <v>0.03</v>
      </c>
      <c r="K18" s="12"/>
      <c r="L18" s="127">
        <v>244.32</v>
      </c>
      <c r="M18" s="392"/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28">
        <f t="shared" si="12"/>
        <v>0</v>
      </c>
    </row>
    <row r="19" spans="2:19">
      <c r="B19" s="546" t="s">
        <v>216</v>
      </c>
      <c r="C19" s="13">
        <v>12</v>
      </c>
      <c r="D19" s="13"/>
      <c r="E19" s="13"/>
      <c r="F19" s="14"/>
      <c r="G19" s="8"/>
      <c r="H19" s="24">
        <f t="shared" si="0"/>
        <v>12</v>
      </c>
      <c r="I19" s="456">
        <f t="shared" si="1"/>
        <v>80.752499999999998</v>
      </c>
      <c r="J19" s="16">
        <v>0.03</v>
      </c>
      <c r="K19" s="12"/>
      <c r="L19" s="127">
        <v>83.25</v>
      </c>
      <c r="M19" s="392"/>
      <c r="N19" s="25">
        <f t="shared" si="2"/>
        <v>969.03</v>
      </c>
      <c r="O19" s="25">
        <f t="shared" si="3"/>
        <v>0</v>
      </c>
      <c r="P19" s="25">
        <f t="shared" si="4"/>
        <v>0</v>
      </c>
      <c r="Q19" s="26">
        <f t="shared" si="5"/>
        <v>0</v>
      </c>
      <c r="R19" s="27">
        <f t="shared" si="6"/>
        <v>0</v>
      </c>
      <c r="S19" s="28">
        <f t="shared" si="12"/>
        <v>969.03</v>
      </c>
    </row>
    <row r="20" spans="2:19" hidden="1">
      <c r="B20" s="546" t="s">
        <v>217</v>
      </c>
      <c r="C20" s="13"/>
      <c r="D20" s="13"/>
      <c r="E20" s="13"/>
      <c r="F20" s="14"/>
      <c r="G20" s="8"/>
      <c r="H20" s="24">
        <f t="shared" si="0"/>
        <v>0</v>
      </c>
      <c r="I20" s="456">
        <f t="shared" si="1"/>
        <v>116.96259999999999</v>
      </c>
      <c r="J20" s="16">
        <v>0.03</v>
      </c>
      <c r="K20" s="12"/>
      <c r="L20" s="127">
        <v>120.58</v>
      </c>
      <c r="M20" s="392"/>
      <c r="N20" s="25">
        <f t="shared" si="2"/>
        <v>0</v>
      </c>
      <c r="O20" s="25">
        <f t="shared" si="3"/>
        <v>0</v>
      </c>
      <c r="P20" s="25">
        <f t="shared" si="4"/>
        <v>0</v>
      </c>
      <c r="Q20" s="26">
        <f t="shared" si="5"/>
        <v>0</v>
      </c>
      <c r="R20" s="27">
        <f t="shared" si="6"/>
        <v>0</v>
      </c>
      <c r="S20" s="28">
        <f t="shared" si="12"/>
        <v>0</v>
      </c>
    </row>
    <row r="21" spans="2:19" hidden="1">
      <c r="B21" s="546" t="s">
        <v>219</v>
      </c>
      <c r="C21" s="14"/>
      <c r="D21" s="14"/>
      <c r="E21" s="14"/>
      <c r="F21" s="14"/>
      <c r="G21" s="8"/>
      <c r="H21" s="24">
        <f t="shared" si="0"/>
        <v>0</v>
      </c>
      <c r="I21" s="456">
        <f t="shared" si="1"/>
        <v>557.28440000000001</v>
      </c>
      <c r="J21" s="16">
        <v>0.03</v>
      </c>
      <c r="K21" s="12"/>
      <c r="L21" s="127">
        <v>574.52</v>
      </c>
      <c r="M21" s="392"/>
      <c r="N21" s="25">
        <f t="shared" si="2"/>
        <v>0</v>
      </c>
      <c r="O21" s="25">
        <f t="shared" si="3"/>
        <v>0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28">
        <f t="shared" si="12"/>
        <v>0</v>
      </c>
    </row>
    <row r="22" spans="2:19" hidden="1">
      <c r="B22" s="546" t="s">
        <v>1014</v>
      </c>
      <c r="C22" s="14"/>
      <c r="D22" s="14"/>
      <c r="E22" s="14"/>
      <c r="F22" s="14"/>
      <c r="G22" s="8"/>
      <c r="H22" s="24">
        <f t="shared" si="0"/>
        <v>0</v>
      </c>
      <c r="I22" s="456">
        <f t="shared" si="1"/>
        <v>172.52420000000001</v>
      </c>
      <c r="J22" s="16">
        <v>0.03</v>
      </c>
      <c r="K22" s="12"/>
      <c r="L22" s="127">
        <v>177.86</v>
      </c>
      <c r="M22" s="392"/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28">
        <f t="shared" si="12"/>
        <v>0</v>
      </c>
    </row>
    <row r="23" spans="2:19" hidden="1">
      <c r="B23" s="546" t="s">
        <v>1015</v>
      </c>
      <c r="C23" s="14"/>
      <c r="D23" s="14"/>
      <c r="E23" s="14"/>
      <c r="F23" s="14"/>
      <c r="G23" s="8"/>
      <c r="H23" s="24">
        <f t="shared" si="0"/>
        <v>0</v>
      </c>
      <c r="I23" s="456">
        <f t="shared" si="1"/>
        <v>472.36090000000002</v>
      </c>
      <c r="J23" s="16">
        <v>0.03</v>
      </c>
      <c r="K23" s="12"/>
      <c r="L23" s="127">
        <v>486.97</v>
      </c>
      <c r="M23" s="392"/>
      <c r="N23" s="25">
        <f t="shared" ref="N23" si="13">I23*C23</f>
        <v>0</v>
      </c>
      <c r="O23" s="25">
        <f t="shared" ref="O23" si="14">I23*D23</f>
        <v>0</v>
      </c>
      <c r="P23" s="25">
        <f t="shared" ref="P23" si="15">I23*E23</f>
        <v>0</v>
      </c>
      <c r="Q23" s="26">
        <f t="shared" ref="Q23" si="16">I23*F23</f>
        <v>0</v>
      </c>
      <c r="R23" s="27">
        <f t="shared" ref="R23" si="17">I23*G23</f>
        <v>0</v>
      </c>
      <c r="S23" s="28">
        <f>SUM(N23:R23)</f>
        <v>0</v>
      </c>
    </row>
    <row r="24" spans="2:19" hidden="1">
      <c r="B24" s="546" t="s">
        <v>1016</v>
      </c>
      <c r="C24" s="13"/>
      <c r="D24" s="13"/>
      <c r="E24" s="13"/>
      <c r="F24" s="14"/>
      <c r="G24" s="8"/>
      <c r="H24" s="24">
        <f t="shared" si="0"/>
        <v>0</v>
      </c>
      <c r="I24" s="456">
        <f t="shared" si="1"/>
        <v>451.82600000000002</v>
      </c>
      <c r="J24" s="16">
        <v>0.03</v>
      </c>
      <c r="K24" s="12"/>
      <c r="L24" s="127">
        <v>465.8</v>
      </c>
      <c r="M24" s="392"/>
      <c r="N24" s="25">
        <f t="shared" si="2"/>
        <v>0</v>
      </c>
      <c r="O24" s="25">
        <f t="shared" si="3"/>
        <v>0</v>
      </c>
      <c r="P24" s="25">
        <f t="shared" si="4"/>
        <v>0</v>
      </c>
      <c r="Q24" s="26">
        <f t="shared" si="5"/>
        <v>0</v>
      </c>
      <c r="R24" s="27">
        <f t="shared" si="6"/>
        <v>0</v>
      </c>
      <c r="S24" s="28">
        <f t="shared" si="12"/>
        <v>0</v>
      </c>
    </row>
    <row r="25" spans="2:19" hidden="1">
      <c r="B25" s="546" t="s">
        <v>1017</v>
      </c>
      <c r="C25" s="13"/>
      <c r="D25" s="13"/>
      <c r="E25" s="13"/>
      <c r="F25" s="14"/>
      <c r="G25" s="8"/>
      <c r="H25" s="24">
        <f t="shared" si="0"/>
        <v>0</v>
      </c>
      <c r="I25" s="456">
        <f t="shared" si="1"/>
        <v>128.24370000000002</v>
      </c>
      <c r="J25" s="16">
        <v>0.03</v>
      </c>
      <c r="K25" s="12"/>
      <c r="L25" s="127">
        <v>132.21</v>
      </c>
      <c r="M25" s="392"/>
      <c r="N25" s="25">
        <f t="shared" si="2"/>
        <v>0</v>
      </c>
      <c r="O25" s="25">
        <f t="shared" si="3"/>
        <v>0</v>
      </c>
      <c r="P25" s="25">
        <f t="shared" si="4"/>
        <v>0</v>
      </c>
      <c r="Q25" s="26">
        <f t="shared" si="5"/>
        <v>0</v>
      </c>
      <c r="R25" s="27">
        <f t="shared" si="6"/>
        <v>0</v>
      </c>
      <c r="S25" s="28">
        <f t="shared" si="12"/>
        <v>0</v>
      </c>
    </row>
    <row r="26" spans="2:19">
      <c r="B26" s="546" t="s">
        <v>222</v>
      </c>
      <c r="C26" s="14">
        <v>12</v>
      </c>
      <c r="D26" s="14"/>
      <c r="E26" s="14"/>
      <c r="F26" s="14"/>
      <c r="G26" s="8"/>
      <c r="H26" s="24">
        <f t="shared" si="0"/>
        <v>12</v>
      </c>
      <c r="I26" s="456">
        <f t="shared" si="1"/>
        <v>152.2124</v>
      </c>
      <c r="J26" s="16">
        <v>0.03</v>
      </c>
      <c r="K26" s="12"/>
      <c r="L26" s="127">
        <v>156.91999999999999</v>
      </c>
      <c r="M26" s="392"/>
      <c r="N26" s="25">
        <f t="shared" si="2"/>
        <v>1826.5488</v>
      </c>
      <c r="O26" s="25">
        <f t="shared" si="3"/>
        <v>0</v>
      </c>
      <c r="P26" s="25">
        <f t="shared" si="4"/>
        <v>0</v>
      </c>
      <c r="Q26" s="26">
        <f t="shared" si="5"/>
        <v>0</v>
      </c>
      <c r="R26" s="27">
        <f t="shared" si="6"/>
        <v>0</v>
      </c>
      <c r="S26" s="28">
        <f t="shared" si="12"/>
        <v>1826.5488</v>
      </c>
    </row>
    <row r="27" spans="2:19">
      <c r="B27" s="546" t="s">
        <v>1018</v>
      </c>
      <c r="C27" s="14">
        <v>24</v>
      </c>
      <c r="D27" s="14"/>
      <c r="E27" s="14">
        <v>24</v>
      </c>
      <c r="F27" s="14"/>
      <c r="G27" s="8"/>
      <c r="H27" s="24">
        <f t="shared" si="0"/>
        <v>48</v>
      </c>
      <c r="I27" s="456">
        <f t="shared" si="1"/>
        <v>101.1516</v>
      </c>
      <c r="J27" s="16">
        <v>0.03</v>
      </c>
      <c r="K27" s="12"/>
      <c r="L27" s="127">
        <v>104.28</v>
      </c>
      <c r="M27" s="392"/>
      <c r="N27" s="25">
        <f t="shared" si="2"/>
        <v>2427.6383999999998</v>
      </c>
      <c r="O27" s="25">
        <f t="shared" si="3"/>
        <v>0</v>
      </c>
      <c r="P27" s="25">
        <f t="shared" si="4"/>
        <v>2427.6383999999998</v>
      </c>
      <c r="Q27" s="26">
        <f t="shared" si="5"/>
        <v>0</v>
      </c>
      <c r="R27" s="27">
        <f t="shared" si="6"/>
        <v>0</v>
      </c>
      <c r="S27" s="28">
        <f t="shared" si="12"/>
        <v>4855.2767999999996</v>
      </c>
    </row>
    <row r="28" spans="2:19">
      <c r="B28" s="546" t="s">
        <v>1019</v>
      </c>
      <c r="C28" s="14">
        <v>12</v>
      </c>
      <c r="D28" s="14">
        <v>12</v>
      </c>
      <c r="E28" s="14"/>
      <c r="F28" s="14"/>
      <c r="G28" s="8"/>
      <c r="H28" s="24">
        <f t="shared" si="0"/>
        <v>24</v>
      </c>
      <c r="I28" s="456">
        <f t="shared" si="1"/>
        <v>28.430699999999998</v>
      </c>
      <c r="J28" s="16">
        <v>0.03</v>
      </c>
      <c r="K28" s="12"/>
      <c r="L28" s="127">
        <v>29.31</v>
      </c>
      <c r="M28" s="392"/>
      <c r="N28" s="25">
        <f t="shared" si="2"/>
        <v>341.16839999999996</v>
      </c>
      <c r="O28" s="25">
        <f t="shared" si="3"/>
        <v>341.16839999999996</v>
      </c>
      <c r="P28" s="25">
        <f t="shared" si="4"/>
        <v>0</v>
      </c>
      <c r="Q28" s="26">
        <f t="shared" si="5"/>
        <v>0</v>
      </c>
      <c r="R28" s="27">
        <f t="shared" si="6"/>
        <v>0</v>
      </c>
      <c r="S28" s="28">
        <f t="shared" si="12"/>
        <v>682.33679999999993</v>
      </c>
    </row>
    <row r="29" spans="2:19" hidden="1">
      <c r="B29" s="546" t="s">
        <v>223</v>
      </c>
      <c r="C29" s="14"/>
      <c r="D29" s="14"/>
      <c r="E29" s="14"/>
      <c r="F29" s="14"/>
      <c r="G29" s="8"/>
      <c r="H29" s="24">
        <f t="shared" si="0"/>
        <v>0</v>
      </c>
      <c r="I29" s="456">
        <f t="shared" si="1"/>
        <v>39.808799999999998</v>
      </c>
      <c r="J29" s="16">
        <v>0.03</v>
      </c>
      <c r="K29" s="12"/>
      <c r="L29" s="127">
        <v>41.04</v>
      </c>
      <c r="M29" s="392"/>
      <c r="N29" s="25">
        <f t="shared" ref="N29:N31" si="18">I29*C29</f>
        <v>0</v>
      </c>
      <c r="O29" s="25">
        <f t="shared" ref="O29:O31" si="19">I29*D29</f>
        <v>0</v>
      </c>
      <c r="P29" s="25">
        <f t="shared" ref="P29:P31" si="20">I29*E29</f>
        <v>0</v>
      </c>
      <c r="Q29" s="26">
        <f t="shared" ref="Q29:Q31" si="21">I29*F29</f>
        <v>0</v>
      </c>
      <c r="R29" s="27">
        <f t="shared" ref="R29:R31" si="22">I29*G29</f>
        <v>0</v>
      </c>
      <c r="S29" s="28">
        <f t="shared" si="12"/>
        <v>0</v>
      </c>
    </row>
    <row r="30" spans="2:19">
      <c r="B30" s="546" t="s">
        <v>224</v>
      </c>
      <c r="C30" s="14">
        <v>84</v>
      </c>
      <c r="D30" s="14"/>
      <c r="E30" s="14">
        <v>144</v>
      </c>
      <c r="F30" s="14"/>
      <c r="G30" s="8"/>
      <c r="H30" s="24">
        <f t="shared" si="0"/>
        <v>228</v>
      </c>
      <c r="I30" s="456">
        <v>17.18</v>
      </c>
      <c r="J30" s="16">
        <v>0.03</v>
      </c>
      <c r="K30" s="12"/>
      <c r="L30" s="127">
        <v>25.64</v>
      </c>
      <c r="M30" s="392"/>
      <c r="N30" s="25">
        <f t="shared" si="18"/>
        <v>1443.12</v>
      </c>
      <c r="O30" s="25">
        <f t="shared" si="19"/>
        <v>0</v>
      </c>
      <c r="P30" s="25">
        <f t="shared" si="20"/>
        <v>2473.92</v>
      </c>
      <c r="Q30" s="26">
        <f t="shared" si="21"/>
        <v>0</v>
      </c>
      <c r="R30" s="27">
        <f t="shared" si="22"/>
        <v>0</v>
      </c>
      <c r="S30" s="28">
        <f t="shared" si="12"/>
        <v>3917.04</v>
      </c>
    </row>
    <row r="31" spans="2:19">
      <c r="B31" s="547" t="s">
        <v>225</v>
      </c>
      <c r="C31" s="14"/>
      <c r="D31" s="14"/>
      <c r="E31" s="14">
        <v>12</v>
      </c>
      <c r="F31" s="14"/>
      <c r="G31" s="8"/>
      <c r="H31" s="24">
        <f t="shared" si="0"/>
        <v>12</v>
      </c>
      <c r="I31" s="456">
        <f t="shared" si="1"/>
        <v>27.897200000000002</v>
      </c>
      <c r="J31" s="16">
        <v>0.03</v>
      </c>
      <c r="K31" s="12"/>
      <c r="L31" s="127">
        <v>28.76</v>
      </c>
      <c r="M31" s="392"/>
      <c r="N31" s="25">
        <f t="shared" si="18"/>
        <v>0</v>
      </c>
      <c r="O31" s="25">
        <f t="shared" si="19"/>
        <v>0</v>
      </c>
      <c r="P31" s="25">
        <f t="shared" si="20"/>
        <v>334.76640000000003</v>
      </c>
      <c r="Q31" s="26">
        <f t="shared" si="21"/>
        <v>0</v>
      </c>
      <c r="R31" s="27">
        <f t="shared" si="22"/>
        <v>0</v>
      </c>
      <c r="S31" s="28">
        <f t="shared" si="12"/>
        <v>334.76640000000003</v>
      </c>
    </row>
    <row r="32" spans="2:19" hidden="1">
      <c r="B32" s="546" t="s">
        <v>2192</v>
      </c>
      <c r="C32" s="14"/>
      <c r="D32" s="14"/>
      <c r="E32" s="14"/>
      <c r="F32" s="14"/>
      <c r="G32" s="8"/>
      <c r="H32" s="24">
        <f t="shared" si="0"/>
        <v>0</v>
      </c>
      <c r="I32" s="456">
        <f t="shared" si="1"/>
        <v>34.415599999999998</v>
      </c>
      <c r="J32" s="16">
        <v>0.03</v>
      </c>
      <c r="K32" s="12"/>
      <c r="L32" s="127">
        <v>35.479999999999997</v>
      </c>
      <c r="M32" s="392"/>
      <c r="N32" s="25">
        <f t="shared" si="2"/>
        <v>0</v>
      </c>
      <c r="O32" s="25">
        <f t="shared" si="3"/>
        <v>0</v>
      </c>
      <c r="P32" s="25">
        <f t="shared" si="4"/>
        <v>0</v>
      </c>
      <c r="Q32" s="26">
        <f t="shared" si="5"/>
        <v>0</v>
      </c>
      <c r="R32" s="27">
        <f t="shared" si="6"/>
        <v>0</v>
      </c>
      <c r="S32" s="28">
        <f t="shared" si="12"/>
        <v>0</v>
      </c>
    </row>
    <row r="33" spans="2:19">
      <c r="B33" s="546" t="s">
        <v>227</v>
      </c>
      <c r="C33" s="14"/>
      <c r="D33" s="14"/>
      <c r="E33" s="14">
        <v>12</v>
      </c>
      <c r="F33" s="14">
        <v>6</v>
      </c>
      <c r="G33" s="8"/>
      <c r="H33" s="24">
        <f t="shared" si="0"/>
        <v>18</v>
      </c>
      <c r="I33" s="456">
        <f t="shared" si="1"/>
        <v>243.60579999999999</v>
      </c>
      <c r="J33" s="16">
        <v>0.03</v>
      </c>
      <c r="K33" s="12"/>
      <c r="L33" s="127">
        <v>251.14</v>
      </c>
      <c r="M33" s="392"/>
      <c r="N33" s="25">
        <f t="shared" si="2"/>
        <v>0</v>
      </c>
      <c r="O33" s="25">
        <f t="shared" si="3"/>
        <v>0</v>
      </c>
      <c r="P33" s="25">
        <f t="shared" si="4"/>
        <v>2923.2695999999996</v>
      </c>
      <c r="Q33" s="26">
        <f t="shared" si="5"/>
        <v>1461.6347999999998</v>
      </c>
      <c r="R33" s="27">
        <f t="shared" si="6"/>
        <v>0</v>
      </c>
      <c r="S33" s="28">
        <f t="shared" si="12"/>
        <v>4384.9043999999994</v>
      </c>
    </row>
    <row r="34" spans="2:19">
      <c r="B34" s="546" t="s">
        <v>228</v>
      </c>
      <c r="C34" s="14"/>
      <c r="D34" s="14"/>
      <c r="E34" s="14">
        <v>12</v>
      </c>
      <c r="F34" s="14">
        <v>6</v>
      </c>
      <c r="G34" s="8"/>
      <c r="H34" s="24">
        <f t="shared" si="0"/>
        <v>18</v>
      </c>
      <c r="I34" s="456">
        <f t="shared" si="1"/>
        <v>77.444800000000001</v>
      </c>
      <c r="J34" s="16">
        <v>0.03</v>
      </c>
      <c r="K34" s="12"/>
      <c r="L34" s="127">
        <v>79.84</v>
      </c>
      <c r="M34" s="392"/>
      <c r="N34" s="25">
        <f t="shared" si="2"/>
        <v>0</v>
      </c>
      <c r="O34" s="25">
        <f t="shared" si="3"/>
        <v>0</v>
      </c>
      <c r="P34" s="25">
        <f t="shared" si="4"/>
        <v>929.33760000000007</v>
      </c>
      <c r="Q34" s="26">
        <f t="shared" si="5"/>
        <v>464.66880000000003</v>
      </c>
      <c r="R34" s="27">
        <f t="shared" si="6"/>
        <v>0</v>
      </c>
      <c r="S34" s="28">
        <f t="shared" si="12"/>
        <v>1394.0064000000002</v>
      </c>
    </row>
    <row r="35" spans="2:19">
      <c r="B35" s="546" t="s">
        <v>1020</v>
      </c>
      <c r="C35" s="14">
        <v>36</v>
      </c>
      <c r="D35" s="14">
        <v>60</v>
      </c>
      <c r="E35" s="14">
        <v>24</v>
      </c>
      <c r="F35" s="14">
        <v>48</v>
      </c>
      <c r="G35" s="8"/>
      <c r="H35" s="24">
        <f t="shared" si="0"/>
        <v>168</v>
      </c>
      <c r="I35" s="456">
        <f t="shared" si="1"/>
        <v>61.158499999999997</v>
      </c>
      <c r="J35" s="16">
        <v>0.03</v>
      </c>
      <c r="K35" s="12"/>
      <c r="L35" s="127">
        <v>63.05</v>
      </c>
      <c r="M35" s="392"/>
      <c r="N35" s="25">
        <f t="shared" ref="N35:N38" si="23">I35*C35</f>
        <v>2201.7059999999997</v>
      </c>
      <c r="O35" s="25">
        <f t="shared" ref="O35:O38" si="24">I35*D35</f>
        <v>3669.5099999999998</v>
      </c>
      <c r="P35" s="25">
        <f t="shared" ref="P35:P38" si="25">I35*E35</f>
        <v>1467.8039999999999</v>
      </c>
      <c r="Q35" s="26">
        <f t="shared" ref="Q35:Q38" si="26">I35*F35</f>
        <v>2935.6079999999997</v>
      </c>
      <c r="R35" s="27">
        <f t="shared" ref="R35:R38" si="27">I35*G35</f>
        <v>0</v>
      </c>
      <c r="S35" s="28">
        <f t="shared" si="12"/>
        <v>10274.627999999999</v>
      </c>
    </row>
    <row r="36" spans="2:19" hidden="1">
      <c r="B36" s="546" t="s">
        <v>2193</v>
      </c>
      <c r="C36" s="14"/>
      <c r="D36" s="14"/>
      <c r="E36" s="14"/>
      <c r="F36" s="14"/>
      <c r="G36" s="8"/>
      <c r="H36" s="24">
        <f t="shared" si="0"/>
        <v>0</v>
      </c>
      <c r="I36" s="456">
        <f t="shared" si="1"/>
        <v>57.715000000000003</v>
      </c>
      <c r="J36" s="16">
        <v>0.03</v>
      </c>
      <c r="K36" s="12"/>
      <c r="L36" s="127">
        <v>59.5</v>
      </c>
      <c r="M36" s="392"/>
      <c r="N36" s="25">
        <f t="shared" si="23"/>
        <v>0</v>
      </c>
      <c r="O36" s="25">
        <f t="shared" si="24"/>
        <v>0</v>
      </c>
      <c r="P36" s="25">
        <f t="shared" si="25"/>
        <v>0</v>
      </c>
      <c r="Q36" s="26">
        <f t="shared" si="26"/>
        <v>0</v>
      </c>
      <c r="R36" s="27">
        <f t="shared" si="27"/>
        <v>0</v>
      </c>
      <c r="S36" s="28">
        <f t="shared" si="12"/>
        <v>0</v>
      </c>
    </row>
    <row r="37" spans="2:19" hidden="1">
      <c r="B37" s="546" t="s">
        <v>233</v>
      </c>
      <c r="C37" s="14"/>
      <c r="D37" s="14"/>
      <c r="E37" s="14"/>
      <c r="F37" s="14"/>
      <c r="G37" s="8"/>
      <c r="H37" s="24">
        <f t="shared" si="0"/>
        <v>0</v>
      </c>
      <c r="I37" s="456">
        <f t="shared" si="1"/>
        <v>92.324600000000004</v>
      </c>
      <c r="J37" s="16">
        <v>0.03</v>
      </c>
      <c r="K37" s="12"/>
      <c r="L37" s="127">
        <v>95.18</v>
      </c>
      <c r="M37" s="392"/>
      <c r="N37" s="25">
        <f t="shared" si="23"/>
        <v>0</v>
      </c>
      <c r="O37" s="25">
        <f t="shared" si="24"/>
        <v>0</v>
      </c>
      <c r="P37" s="25">
        <f t="shared" si="25"/>
        <v>0</v>
      </c>
      <c r="Q37" s="26">
        <f t="shared" si="26"/>
        <v>0</v>
      </c>
      <c r="R37" s="27">
        <f t="shared" si="27"/>
        <v>0</v>
      </c>
      <c r="S37" s="28">
        <f t="shared" si="12"/>
        <v>0</v>
      </c>
    </row>
    <row r="38" spans="2:19" hidden="1">
      <c r="B38" s="546" t="s">
        <v>234</v>
      </c>
      <c r="C38" s="14"/>
      <c r="D38" s="14"/>
      <c r="E38" s="14"/>
      <c r="F38" s="14"/>
      <c r="G38" s="8"/>
      <c r="H38" s="24">
        <f t="shared" ref="H38:H73" si="28">SUM(C38:G38)</f>
        <v>0</v>
      </c>
      <c r="I38" s="456">
        <f t="shared" ref="I38:I73" si="29">L38-(L38*J38)</f>
        <v>410.56220000000002</v>
      </c>
      <c r="J38" s="16">
        <v>0.03</v>
      </c>
      <c r="K38" s="12"/>
      <c r="L38" s="127">
        <v>423.26</v>
      </c>
      <c r="M38" s="392"/>
      <c r="N38" s="25">
        <f t="shared" si="23"/>
        <v>0</v>
      </c>
      <c r="O38" s="25">
        <f t="shared" si="24"/>
        <v>0</v>
      </c>
      <c r="P38" s="25">
        <f t="shared" si="25"/>
        <v>0</v>
      </c>
      <c r="Q38" s="26">
        <f t="shared" si="26"/>
        <v>0</v>
      </c>
      <c r="R38" s="27">
        <f t="shared" si="27"/>
        <v>0</v>
      </c>
      <c r="S38" s="28">
        <f t="shared" si="12"/>
        <v>0</v>
      </c>
    </row>
    <row r="39" spans="2:19" hidden="1">
      <c r="B39" s="546" t="s">
        <v>235</v>
      </c>
      <c r="C39" s="14"/>
      <c r="D39" s="14"/>
      <c r="E39" s="14"/>
      <c r="F39" s="14"/>
      <c r="G39" s="8"/>
      <c r="H39" s="24">
        <f t="shared" si="28"/>
        <v>0</v>
      </c>
      <c r="I39" s="456">
        <f t="shared" si="29"/>
        <v>25.617699999999999</v>
      </c>
      <c r="J39" s="16">
        <v>0.03</v>
      </c>
      <c r="K39" s="12"/>
      <c r="L39" s="127">
        <v>26.41</v>
      </c>
      <c r="M39" s="392"/>
      <c r="N39" s="25">
        <f t="shared" ref="N39:N73" si="30">I39*C39</f>
        <v>0</v>
      </c>
      <c r="O39" s="25">
        <f t="shared" ref="O39:O73" si="31">I39*D39</f>
        <v>0</v>
      </c>
      <c r="P39" s="25">
        <f t="shared" ref="P39:P73" si="32">I39*E39</f>
        <v>0</v>
      </c>
      <c r="Q39" s="26">
        <f t="shared" ref="Q39:Q73" si="33">I39*F39</f>
        <v>0</v>
      </c>
      <c r="R39" s="27">
        <f t="shared" ref="R39:R73" si="34">I39*G39</f>
        <v>0</v>
      </c>
      <c r="S39" s="28">
        <f t="shared" si="12"/>
        <v>0</v>
      </c>
    </row>
    <row r="40" spans="2:19">
      <c r="B40" s="546" t="s">
        <v>236</v>
      </c>
      <c r="C40" s="14"/>
      <c r="D40" s="14">
        <v>6</v>
      </c>
      <c r="E40" s="14"/>
      <c r="F40" s="14"/>
      <c r="G40" s="8"/>
      <c r="H40" s="24">
        <f t="shared" si="28"/>
        <v>6</v>
      </c>
      <c r="I40" s="456">
        <f t="shared" si="29"/>
        <v>58.665599999999998</v>
      </c>
      <c r="J40" s="16">
        <v>0.03</v>
      </c>
      <c r="K40" s="12"/>
      <c r="L40" s="127">
        <v>60.48</v>
      </c>
      <c r="M40" s="392"/>
      <c r="N40" s="25">
        <f t="shared" si="30"/>
        <v>0</v>
      </c>
      <c r="O40" s="25">
        <f t="shared" si="31"/>
        <v>351.99360000000001</v>
      </c>
      <c r="P40" s="25">
        <f t="shared" si="32"/>
        <v>0</v>
      </c>
      <c r="Q40" s="26">
        <f t="shared" si="33"/>
        <v>0</v>
      </c>
      <c r="R40" s="27">
        <f t="shared" si="34"/>
        <v>0</v>
      </c>
      <c r="S40" s="28">
        <f>SUM(N40:R40)</f>
        <v>351.99360000000001</v>
      </c>
    </row>
    <row r="41" spans="2:19" hidden="1">
      <c r="B41" s="546" t="s">
        <v>734</v>
      </c>
      <c r="C41" s="14"/>
      <c r="D41" s="14"/>
      <c r="E41" s="14"/>
      <c r="F41" s="14"/>
      <c r="G41" s="8"/>
      <c r="H41" s="24">
        <f t="shared" si="28"/>
        <v>0</v>
      </c>
      <c r="I41" s="456">
        <f t="shared" si="29"/>
        <v>403.75280000000004</v>
      </c>
      <c r="J41" s="16">
        <v>0.03</v>
      </c>
      <c r="K41" s="12"/>
      <c r="L41" s="127">
        <v>416.24</v>
      </c>
      <c r="M41" s="392"/>
      <c r="N41" s="25">
        <f t="shared" si="30"/>
        <v>0</v>
      </c>
      <c r="O41" s="25">
        <f t="shared" si="31"/>
        <v>0</v>
      </c>
      <c r="P41" s="25">
        <f t="shared" si="32"/>
        <v>0</v>
      </c>
      <c r="Q41" s="26">
        <f t="shared" si="33"/>
        <v>0</v>
      </c>
      <c r="R41" s="27">
        <f t="shared" si="34"/>
        <v>0</v>
      </c>
      <c r="S41" s="28">
        <f t="shared" si="12"/>
        <v>0</v>
      </c>
    </row>
    <row r="42" spans="2:19">
      <c r="B42" s="546" t="s">
        <v>237</v>
      </c>
      <c r="C42" s="14">
        <v>24</v>
      </c>
      <c r="D42" s="14"/>
      <c r="E42" s="14">
        <v>24</v>
      </c>
      <c r="F42" s="14"/>
      <c r="G42" s="8"/>
      <c r="H42" s="24">
        <f t="shared" si="28"/>
        <v>48</v>
      </c>
      <c r="I42" s="456">
        <f t="shared" si="29"/>
        <v>95.127899999999997</v>
      </c>
      <c r="J42" s="16">
        <v>0.03</v>
      </c>
      <c r="K42" s="12"/>
      <c r="L42" s="127">
        <v>98.07</v>
      </c>
      <c r="M42" s="392"/>
      <c r="N42" s="25">
        <f t="shared" si="30"/>
        <v>2283.0695999999998</v>
      </c>
      <c r="O42" s="25">
        <f t="shared" si="31"/>
        <v>0</v>
      </c>
      <c r="P42" s="25">
        <f t="shared" si="32"/>
        <v>2283.0695999999998</v>
      </c>
      <c r="Q42" s="26">
        <f t="shared" si="33"/>
        <v>0</v>
      </c>
      <c r="R42" s="27">
        <f t="shared" si="34"/>
        <v>0</v>
      </c>
      <c r="S42" s="28">
        <f t="shared" si="12"/>
        <v>4566.1391999999996</v>
      </c>
    </row>
    <row r="43" spans="2:19" hidden="1">
      <c r="B43" s="546" t="s">
        <v>238</v>
      </c>
      <c r="C43" s="14"/>
      <c r="D43" s="14"/>
      <c r="E43" s="14"/>
      <c r="F43" s="14"/>
      <c r="G43" s="8"/>
      <c r="H43" s="24">
        <f t="shared" ref="H43:H48" si="35">SUM(C43:G43)</f>
        <v>0</v>
      </c>
      <c r="I43" s="456">
        <f t="shared" ref="I43:I48" si="36">L43-(L43*J43)</f>
        <v>388.5917</v>
      </c>
      <c r="J43" s="16">
        <v>0.03</v>
      </c>
      <c r="K43" s="12"/>
      <c r="L43" s="127">
        <v>400.61</v>
      </c>
      <c r="M43" s="392"/>
      <c r="N43" s="25">
        <f t="shared" si="30"/>
        <v>0</v>
      </c>
      <c r="O43" s="25">
        <f t="shared" si="31"/>
        <v>0</v>
      </c>
      <c r="P43" s="25">
        <f t="shared" si="32"/>
        <v>0</v>
      </c>
      <c r="Q43" s="26">
        <f t="shared" si="33"/>
        <v>0</v>
      </c>
      <c r="R43" s="27">
        <f t="shared" si="34"/>
        <v>0</v>
      </c>
      <c r="S43" s="28">
        <f t="shared" si="12"/>
        <v>0</v>
      </c>
    </row>
    <row r="44" spans="2:19">
      <c r="B44" s="546" t="s">
        <v>239</v>
      </c>
      <c r="C44" s="14">
        <v>12</v>
      </c>
      <c r="D44" s="14">
        <v>12</v>
      </c>
      <c r="E44" s="14">
        <v>12</v>
      </c>
      <c r="F44" s="14">
        <v>12</v>
      </c>
      <c r="G44" s="8"/>
      <c r="H44" s="24">
        <f t="shared" si="35"/>
        <v>48</v>
      </c>
      <c r="I44" s="456">
        <f t="shared" si="36"/>
        <v>122.6759</v>
      </c>
      <c r="J44" s="16">
        <v>0.03</v>
      </c>
      <c r="K44" s="12"/>
      <c r="L44" s="127">
        <v>126.47</v>
      </c>
      <c r="M44" s="392"/>
      <c r="N44" s="25">
        <f t="shared" si="30"/>
        <v>1472.1107999999999</v>
      </c>
      <c r="O44" s="25">
        <f t="shared" si="31"/>
        <v>1472.1107999999999</v>
      </c>
      <c r="P44" s="25">
        <f t="shared" si="32"/>
        <v>1472.1107999999999</v>
      </c>
      <c r="Q44" s="26">
        <f t="shared" si="33"/>
        <v>1472.1107999999999</v>
      </c>
      <c r="R44" s="27">
        <f t="shared" si="34"/>
        <v>0</v>
      </c>
      <c r="S44" s="28">
        <f t="shared" si="12"/>
        <v>5888.4431999999997</v>
      </c>
    </row>
    <row r="45" spans="2:19" hidden="1">
      <c r="B45" s="546" t="s">
        <v>240</v>
      </c>
      <c r="C45" s="14"/>
      <c r="D45" s="14"/>
      <c r="E45" s="14"/>
      <c r="F45" s="14"/>
      <c r="G45" s="8"/>
      <c r="H45" s="24">
        <f t="shared" si="35"/>
        <v>0</v>
      </c>
      <c r="I45" s="456">
        <f t="shared" si="36"/>
        <v>148.7107</v>
      </c>
      <c r="J45" s="16">
        <v>0.03</v>
      </c>
      <c r="K45" s="12"/>
      <c r="L45" s="127">
        <v>153.31</v>
      </c>
      <c r="M45" s="392"/>
      <c r="N45" s="25">
        <f t="shared" si="30"/>
        <v>0</v>
      </c>
      <c r="O45" s="25">
        <f t="shared" si="31"/>
        <v>0</v>
      </c>
      <c r="P45" s="25">
        <f t="shared" si="32"/>
        <v>0</v>
      </c>
      <c r="Q45" s="26">
        <f t="shared" si="33"/>
        <v>0</v>
      </c>
      <c r="R45" s="27">
        <f t="shared" si="34"/>
        <v>0</v>
      </c>
      <c r="S45" s="28">
        <f t="shared" si="12"/>
        <v>0</v>
      </c>
    </row>
    <row r="46" spans="2:19">
      <c r="B46" s="546" t="s">
        <v>241</v>
      </c>
      <c r="C46" s="14">
        <v>2</v>
      </c>
      <c r="D46" s="14">
        <v>6</v>
      </c>
      <c r="E46" s="14"/>
      <c r="F46" s="14"/>
      <c r="G46" s="8"/>
      <c r="H46" s="24">
        <f t="shared" si="35"/>
        <v>8</v>
      </c>
      <c r="I46" s="456">
        <f t="shared" si="36"/>
        <v>643.25549999999998</v>
      </c>
      <c r="J46" s="16">
        <v>0.03</v>
      </c>
      <c r="K46" s="12"/>
      <c r="L46" s="127">
        <v>663.15</v>
      </c>
      <c r="M46" s="392"/>
      <c r="N46" s="25">
        <f t="shared" si="30"/>
        <v>1286.511</v>
      </c>
      <c r="O46" s="25">
        <f t="shared" si="31"/>
        <v>3859.5329999999999</v>
      </c>
      <c r="P46" s="25">
        <f t="shared" si="32"/>
        <v>0</v>
      </c>
      <c r="Q46" s="26">
        <f t="shared" si="33"/>
        <v>0</v>
      </c>
      <c r="R46" s="27">
        <f t="shared" si="34"/>
        <v>0</v>
      </c>
      <c r="S46" s="28">
        <f t="shared" si="12"/>
        <v>5146.0439999999999</v>
      </c>
    </row>
    <row r="47" spans="2:19">
      <c r="B47" s="546" t="s">
        <v>735</v>
      </c>
      <c r="C47" s="14">
        <v>36</v>
      </c>
      <c r="D47" s="14"/>
      <c r="E47" s="14">
        <v>12</v>
      </c>
      <c r="F47" s="14"/>
      <c r="G47" s="8"/>
      <c r="H47" s="24">
        <f t="shared" si="35"/>
        <v>48</v>
      </c>
      <c r="I47" s="456">
        <f t="shared" si="36"/>
        <v>46.278700000000001</v>
      </c>
      <c r="J47" s="16">
        <v>0.03</v>
      </c>
      <c r="K47" s="12"/>
      <c r="L47" s="127">
        <v>47.71</v>
      </c>
      <c r="M47" s="392"/>
      <c r="N47" s="25">
        <f t="shared" si="30"/>
        <v>1666.0332000000001</v>
      </c>
      <c r="O47" s="25">
        <f t="shared" si="31"/>
        <v>0</v>
      </c>
      <c r="P47" s="25">
        <f t="shared" si="32"/>
        <v>555.34439999999995</v>
      </c>
      <c r="Q47" s="26">
        <f t="shared" si="33"/>
        <v>0</v>
      </c>
      <c r="R47" s="27">
        <f t="shared" si="34"/>
        <v>0</v>
      </c>
      <c r="S47" s="28">
        <f t="shared" si="12"/>
        <v>2221.3775999999998</v>
      </c>
    </row>
    <row r="48" spans="2:19">
      <c r="B48" s="546" t="s">
        <v>242</v>
      </c>
      <c r="C48" s="14">
        <v>12</v>
      </c>
      <c r="D48" s="14"/>
      <c r="E48" s="14"/>
      <c r="F48" s="14">
        <v>12</v>
      </c>
      <c r="G48" s="8"/>
      <c r="H48" s="24">
        <f t="shared" si="35"/>
        <v>24</v>
      </c>
      <c r="I48" s="456">
        <f t="shared" si="36"/>
        <v>219.37520000000001</v>
      </c>
      <c r="J48" s="16">
        <v>0.03</v>
      </c>
      <c r="K48" s="12"/>
      <c r="L48" s="127">
        <v>226.16</v>
      </c>
      <c r="M48" s="392"/>
      <c r="N48" s="25">
        <f t="shared" si="30"/>
        <v>2632.5024000000003</v>
      </c>
      <c r="O48" s="25">
        <f t="shared" si="31"/>
        <v>0</v>
      </c>
      <c r="P48" s="25">
        <f t="shared" si="32"/>
        <v>0</v>
      </c>
      <c r="Q48" s="26">
        <f t="shared" si="33"/>
        <v>2632.5024000000003</v>
      </c>
      <c r="R48" s="27">
        <f t="shared" si="34"/>
        <v>0</v>
      </c>
      <c r="S48" s="28">
        <f t="shared" si="12"/>
        <v>5265.0048000000006</v>
      </c>
    </row>
    <row r="49" spans="2:19" hidden="1">
      <c r="B49" s="546" t="s">
        <v>243</v>
      </c>
      <c r="C49" s="14"/>
      <c r="D49" s="14"/>
      <c r="E49" s="14"/>
      <c r="F49" s="14"/>
      <c r="G49" s="8"/>
      <c r="H49" s="24">
        <f t="shared" si="28"/>
        <v>0</v>
      </c>
      <c r="I49" s="456">
        <f t="shared" si="29"/>
        <v>171.6027</v>
      </c>
      <c r="J49" s="16">
        <v>0.03</v>
      </c>
      <c r="K49" s="12"/>
      <c r="L49" s="127">
        <v>176.91</v>
      </c>
      <c r="M49" s="392"/>
      <c r="N49" s="25">
        <f t="shared" si="30"/>
        <v>0</v>
      </c>
      <c r="O49" s="25">
        <f t="shared" si="31"/>
        <v>0</v>
      </c>
      <c r="P49" s="25">
        <f t="shared" si="32"/>
        <v>0</v>
      </c>
      <c r="Q49" s="26">
        <f t="shared" si="33"/>
        <v>0</v>
      </c>
      <c r="R49" s="27">
        <f t="shared" si="34"/>
        <v>0</v>
      </c>
      <c r="S49" s="28">
        <f t="shared" si="12"/>
        <v>0</v>
      </c>
    </row>
    <row r="50" spans="2:19">
      <c r="B50" s="546" t="s">
        <v>244</v>
      </c>
      <c r="C50" s="14"/>
      <c r="D50" s="14"/>
      <c r="E50" s="14">
        <v>24</v>
      </c>
      <c r="F50" s="14"/>
      <c r="G50" s="8"/>
      <c r="H50" s="24">
        <f t="shared" si="28"/>
        <v>24</v>
      </c>
      <c r="I50" s="456">
        <f t="shared" si="29"/>
        <v>37.985199999999999</v>
      </c>
      <c r="J50" s="16">
        <v>0.03</v>
      </c>
      <c r="K50" s="12"/>
      <c r="L50" s="127">
        <v>39.159999999999997</v>
      </c>
      <c r="M50" s="392"/>
      <c r="N50" s="25">
        <f t="shared" si="30"/>
        <v>0</v>
      </c>
      <c r="O50" s="25">
        <f t="shared" si="31"/>
        <v>0</v>
      </c>
      <c r="P50" s="25">
        <f t="shared" si="32"/>
        <v>911.64480000000003</v>
      </c>
      <c r="Q50" s="26">
        <f t="shared" si="33"/>
        <v>0</v>
      </c>
      <c r="R50" s="27">
        <f t="shared" si="34"/>
        <v>0</v>
      </c>
      <c r="S50" s="28">
        <f>SUM(N50:R50)</f>
        <v>911.64480000000003</v>
      </c>
    </row>
    <row r="51" spans="2:19" hidden="1">
      <c r="B51" s="546" t="s">
        <v>245</v>
      </c>
      <c r="C51" s="14"/>
      <c r="D51" s="14"/>
      <c r="E51" s="14"/>
      <c r="F51" s="14"/>
      <c r="G51" s="8"/>
      <c r="H51" s="24">
        <f t="shared" si="28"/>
        <v>0</v>
      </c>
      <c r="I51" s="456">
        <f t="shared" si="29"/>
        <v>18.206900000000001</v>
      </c>
      <c r="J51" s="16">
        <v>0.03</v>
      </c>
      <c r="K51" s="12"/>
      <c r="L51" s="127">
        <v>18.77</v>
      </c>
      <c r="M51" s="392"/>
      <c r="N51" s="25">
        <f t="shared" si="30"/>
        <v>0</v>
      </c>
      <c r="O51" s="25">
        <f t="shared" si="31"/>
        <v>0</v>
      </c>
      <c r="P51" s="25">
        <f t="shared" si="32"/>
        <v>0</v>
      </c>
      <c r="Q51" s="26">
        <f t="shared" si="33"/>
        <v>0</v>
      </c>
      <c r="R51" s="27">
        <f t="shared" si="34"/>
        <v>0</v>
      </c>
      <c r="S51" s="28">
        <f t="shared" si="12"/>
        <v>0</v>
      </c>
    </row>
    <row r="52" spans="2:19" hidden="1">
      <c r="B52" s="546" t="s">
        <v>248</v>
      </c>
      <c r="C52" s="14"/>
      <c r="D52" s="14"/>
      <c r="E52" s="14"/>
      <c r="F52" s="14"/>
      <c r="G52" s="8"/>
      <c r="H52" s="24">
        <f t="shared" si="28"/>
        <v>0</v>
      </c>
      <c r="I52" s="456">
        <f t="shared" si="29"/>
        <v>24.25</v>
      </c>
      <c r="J52" s="16">
        <v>0.03</v>
      </c>
      <c r="K52" s="12"/>
      <c r="L52" s="127">
        <v>25</v>
      </c>
      <c r="M52" s="392"/>
      <c r="N52" s="25">
        <f t="shared" si="30"/>
        <v>0</v>
      </c>
      <c r="O52" s="25">
        <f t="shared" si="31"/>
        <v>0</v>
      </c>
      <c r="P52" s="25">
        <f t="shared" si="32"/>
        <v>0</v>
      </c>
      <c r="Q52" s="26">
        <f t="shared" si="33"/>
        <v>0</v>
      </c>
      <c r="R52" s="27">
        <f t="shared" si="34"/>
        <v>0</v>
      </c>
      <c r="S52" s="28">
        <f t="shared" si="12"/>
        <v>0</v>
      </c>
    </row>
    <row r="53" spans="2:19" hidden="1">
      <c r="B53" s="546" t="s">
        <v>2194</v>
      </c>
      <c r="C53" s="14"/>
      <c r="D53" s="14"/>
      <c r="E53" s="14"/>
      <c r="F53" s="14"/>
      <c r="G53" s="8"/>
      <c r="H53" s="24">
        <f t="shared" si="28"/>
        <v>0</v>
      </c>
      <c r="I53" s="456">
        <f t="shared" si="29"/>
        <v>193.6217</v>
      </c>
      <c r="J53" s="16">
        <v>0.03</v>
      </c>
      <c r="K53" s="12"/>
      <c r="L53" s="127">
        <v>199.61</v>
      </c>
      <c r="M53" s="392"/>
      <c r="N53" s="25">
        <f t="shared" si="30"/>
        <v>0</v>
      </c>
      <c r="O53" s="25">
        <f t="shared" si="31"/>
        <v>0</v>
      </c>
      <c r="P53" s="25">
        <f t="shared" si="32"/>
        <v>0</v>
      </c>
      <c r="Q53" s="26">
        <f t="shared" si="33"/>
        <v>0</v>
      </c>
      <c r="R53" s="27">
        <f t="shared" si="34"/>
        <v>0</v>
      </c>
      <c r="S53" s="28">
        <f t="shared" si="12"/>
        <v>0</v>
      </c>
    </row>
    <row r="54" spans="2:19">
      <c r="B54" s="546" t="s">
        <v>249</v>
      </c>
      <c r="C54" s="14">
        <v>48</v>
      </c>
      <c r="D54" s="14">
        <v>24</v>
      </c>
      <c r="E54" s="14">
        <v>24</v>
      </c>
      <c r="F54" s="14">
        <v>12</v>
      </c>
      <c r="G54" s="8"/>
      <c r="H54" s="24">
        <f t="shared" si="28"/>
        <v>108</v>
      </c>
      <c r="I54" s="456">
        <f t="shared" si="29"/>
        <v>71.362899999999996</v>
      </c>
      <c r="J54" s="16">
        <v>0.03</v>
      </c>
      <c r="K54" s="12"/>
      <c r="L54" s="127">
        <v>73.569999999999993</v>
      </c>
      <c r="M54" s="392"/>
      <c r="N54" s="25">
        <f t="shared" si="30"/>
        <v>3425.4191999999998</v>
      </c>
      <c r="O54" s="25">
        <f t="shared" si="31"/>
        <v>1712.7095999999999</v>
      </c>
      <c r="P54" s="25">
        <f t="shared" si="32"/>
        <v>1712.7095999999999</v>
      </c>
      <c r="Q54" s="26">
        <f t="shared" si="33"/>
        <v>856.35479999999995</v>
      </c>
      <c r="R54" s="27">
        <f t="shared" si="34"/>
        <v>0</v>
      </c>
      <c r="S54" s="28">
        <f>SUM(N54:R54)</f>
        <v>7707.1931999999997</v>
      </c>
    </row>
    <row r="55" spans="2:19">
      <c r="B55" s="546" t="s">
        <v>1021</v>
      </c>
      <c r="C55" s="14">
        <v>12</v>
      </c>
      <c r="D55" s="14">
        <v>24</v>
      </c>
      <c r="E55" s="14"/>
      <c r="F55" s="14"/>
      <c r="G55" s="8"/>
      <c r="H55" s="24">
        <f t="shared" si="28"/>
        <v>36</v>
      </c>
      <c r="I55" s="456">
        <f t="shared" si="29"/>
        <v>48.373899999999999</v>
      </c>
      <c r="J55" s="16">
        <v>0.03</v>
      </c>
      <c r="K55" s="12"/>
      <c r="L55" s="127">
        <v>49.87</v>
      </c>
      <c r="M55" s="392"/>
      <c r="N55" s="25">
        <f t="shared" si="30"/>
        <v>580.48680000000002</v>
      </c>
      <c r="O55" s="25">
        <f t="shared" si="31"/>
        <v>1160.9736</v>
      </c>
      <c r="P55" s="25">
        <f t="shared" si="32"/>
        <v>0</v>
      </c>
      <c r="Q55" s="26">
        <f t="shared" si="33"/>
        <v>0</v>
      </c>
      <c r="R55" s="27">
        <f t="shared" si="34"/>
        <v>0</v>
      </c>
      <c r="S55" s="28">
        <f t="shared" si="12"/>
        <v>1741.4603999999999</v>
      </c>
    </row>
    <row r="56" spans="2:19">
      <c r="B56" s="546" t="s">
        <v>251</v>
      </c>
      <c r="C56" s="13">
        <v>196</v>
      </c>
      <c r="D56" s="13"/>
      <c r="E56" s="13">
        <v>60</v>
      </c>
      <c r="F56" s="14">
        <v>48</v>
      </c>
      <c r="G56" s="8"/>
      <c r="H56" s="24">
        <f t="shared" si="28"/>
        <v>304</v>
      </c>
      <c r="I56" s="456">
        <f t="shared" si="29"/>
        <v>46.967400000000005</v>
      </c>
      <c r="J56" s="16">
        <v>0.03</v>
      </c>
      <c r="K56" s="12"/>
      <c r="L56" s="127">
        <v>48.42</v>
      </c>
      <c r="M56" s="392"/>
      <c r="N56" s="25">
        <f t="shared" si="30"/>
        <v>9205.6104000000014</v>
      </c>
      <c r="O56" s="25">
        <f t="shared" si="31"/>
        <v>0</v>
      </c>
      <c r="P56" s="25">
        <f t="shared" si="32"/>
        <v>2818.0440000000003</v>
      </c>
      <c r="Q56" s="26">
        <f t="shared" si="33"/>
        <v>2254.4352000000003</v>
      </c>
      <c r="R56" s="27">
        <f t="shared" si="34"/>
        <v>0</v>
      </c>
      <c r="S56" s="28">
        <f>SUM(N56:R56)</f>
        <v>14278.089600000001</v>
      </c>
    </row>
    <row r="57" spans="2:19">
      <c r="B57" s="546" t="s">
        <v>252</v>
      </c>
      <c r="C57" s="14">
        <v>1</v>
      </c>
      <c r="D57" s="14"/>
      <c r="E57" s="14"/>
      <c r="F57" s="14"/>
      <c r="G57" s="8"/>
      <c r="H57" s="24">
        <f t="shared" si="28"/>
        <v>1</v>
      </c>
      <c r="I57" s="456">
        <f t="shared" si="29"/>
        <v>770.63589999999999</v>
      </c>
      <c r="J57" s="16">
        <v>0.03</v>
      </c>
      <c r="K57" s="12"/>
      <c r="L57" s="127">
        <v>794.47</v>
      </c>
      <c r="M57" s="392"/>
      <c r="N57" s="25">
        <f t="shared" si="30"/>
        <v>770.63589999999999</v>
      </c>
      <c r="O57" s="25">
        <f t="shared" si="31"/>
        <v>0</v>
      </c>
      <c r="P57" s="25">
        <f t="shared" si="32"/>
        <v>0</v>
      </c>
      <c r="Q57" s="26">
        <f t="shared" si="33"/>
        <v>0</v>
      </c>
      <c r="R57" s="27">
        <f t="shared" si="34"/>
        <v>0</v>
      </c>
      <c r="S57" s="28">
        <f t="shared" si="12"/>
        <v>770.63589999999999</v>
      </c>
    </row>
    <row r="58" spans="2:19" hidden="1">
      <c r="B58" s="546" t="s">
        <v>253</v>
      </c>
      <c r="C58" s="14"/>
      <c r="D58" s="14"/>
      <c r="E58" s="14"/>
      <c r="F58" s="14"/>
      <c r="G58" s="8"/>
      <c r="H58" s="24">
        <f t="shared" si="28"/>
        <v>0</v>
      </c>
      <c r="I58" s="456">
        <f t="shared" si="29"/>
        <v>21.359400000000001</v>
      </c>
      <c r="J58" s="16">
        <v>0.03</v>
      </c>
      <c r="K58" s="12"/>
      <c r="L58" s="127">
        <v>22.02</v>
      </c>
      <c r="M58" s="392"/>
      <c r="N58" s="25">
        <f t="shared" si="30"/>
        <v>0</v>
      </c>
      <c r="O58" s="25">
        <f t="shared" si="31"/>
        <v>0</v>
      </c>
      <c r="P58" s="25">
        <f t="shared" si="32"/>
        <v>0</v>
      </c>
      <c r="Q58" s="26">
        <f t="shared" si="33"/>
        <v>0</v>
      </c>
      <c r="R58" s="27">
        <f t="shared" si="34"/>
        <v>0</v>
      </c>
      <c r="S58" s="28">
        <f t="shared" si="12"/>
        <v>0</v>
      </c>
    </row>
    <row r="59" spans="2:19">
      <c r="B59" s="548" t="s">
        <v>255</v>
      </c>
      <c r="C59" s="14">
        <v>60</v>
      </c>
      <c r="D59" s="14"/>
      <c r="E59" s="14"/>
      <c r="F59" s="14">
        <v>12</v>
      </c>
      <c r="G59" s="8"/>
      <c r="H59" s="24">
        <f t="shared" si="28"/>
        <v>72</v>
      </c>
      <c r="I59" s="456">
        <f t="shared" si="29"/>
        <v>65.368300000000005</v>
      </c>
      <c r="J59" s="16">
        <v>0.03</v>
      </c>
      <c r="K59" s="12"/>
      <c r="L59" s="127">
        <v>67.39</v>
      </c>
      <c r="M59" s="392"/>
      <c r="N59" s="25">
        <f t="shared" si="30"/>
        <v>3922.0980000000004</v>
      </c>
      <c r="O59" s="25">
        <f t="shared" si="31"/>
        <v>0</v>
      </c>
      <c r="P59" s="25">
        <f t="shared" si="32"/>
        <v>0</v>
      </c>
      <c r="Q59" s="26">
        <f t="shared" si="33"/>
        <v>784.41960000000006</v>
      </c>
      <c r="R59" s="27">
        <f t="shared" si="34"/>
        <v>0</v>
      </c>
      <c r="S59" s="28">
        <f t="shared" si="12"/>
        <v>4706.5176000000001</v>
      </c>
    </row>
    <row r="60" spans="2:19">
      <c r="B60" s="549" t="s">
        <v>256</v>
      </c>
      <c r="C60" s="14">
        <v>6</v>
      </c>
      <c r="D60" s="14"/>
      <c r="E60" s="14">
        <v>4</v>
      </c>
      <c r="F60" s="14"/>
      <c r="G60" s="8"/>
      <c r="H60" s="24">
        <f t="shared" si="28"/>
        <v>10</v>
      </c>
      <c r="I60" s="456">
        <f t="shared" si="29"/>
        <v>301.34020000000004</v>
      </c>
      <c r="J60" s="16">
        <v>0.03</v>
      </c>
      <c r="K60" s="12"/>
      <c r="L60" s="127">
        <v>310.66000000000003</v>
      </c>
      <c r="M60" s="393"/>
      <c r="N60" s="25">
        <f t="shared" si="30"/>
        <v>1808.0412000000001</v>
      </c>
      <c r="O60" s="25">
        <f t="shared" si="31"/>
        <v>0</v>
      </c>
      <c r="P60" s="25">
        <f t="shared" si="32"/>
        <v>1205.3608000000002</v>
      </c>
      <c r="Q60" s="26">
        <f t="shared" si="33"/>
        <v>0</v>
      </c>
      <c r="R60" s="27">
        <f t="shared" si="34"/>
        <v>0</v>
      </c>
      <c r="S60" s="28">
        <f t="shared" si="12"/>
        <v>3013.402</v>
      </c>
    </row>
    <row r="61" spans="2:19">
      <c r="B61" s="546" t="s">
        <v>574</v>
      </c>
      <c r="C61" s="14">
        <v>36</v>
      </c>
      <c r="D61" s="14"/>
      <c r="E61" s="14"/>
      <c r="F61" s="14"/>
      <c r="G61" s="8"/>
      <c r="H61" s="24">
        <f t="shared" si="28"/>
        <v>36</v>
      </c>
      <c r="I61" s="456">
        <f t="shared" si="29"/>
        <v>355.25280000000004</v>
      </c>
      <c r="J61" s="16">
        <v>0.03</v>
      </c>
      <c r="K61" s="12"/>
      <c r="L61" s="127">
        <v>366.24</v>
      </c>
      <c r="M61" s="392"/>
      <c r="N61" s="25">
        <f t="shared" si="30"/>
        <v>12789.100800000002</v>
      </c>
      <c r="O61" s="25">
        <f t="shared" si="31"/>
        <v>0</v>
      </c>
      <c r="P61" s="25">
        <f t="shared" si="32"/>
        <v>0</v>
      </c>
      <c r="Q61" s="26">
        <f t="shared" si="33"/>
        <v>0</v>
      </c>
      <c r="R61" s="27">
        <f t="shared" si="34"/>
        <v>0</v>
      </c>
      <c r="S61" s="28">
        <f t="shared" si="12"/>
        <v>12789.100800000002</v>
      </c>
    </row>
    <row r="62" spans="2:19">
      <c r="B62" s="546" t="s">
        <v>575</v>
      </c>
      <c r="C62" s="14"/>
      <c r="D62" s="14"/>
      <c r="E62" s="14">
        <v>24</v>
      </c>
      <c r="F62" s="14"/>
      <c r="G62" s="8"/>
      <c r="H62" s="24">
        <f t="shared" si="28"/>
        <v>24</v>
      </c>
      <c r="I62" s="456">
        <f t="shared" si="29"/>
        <v>169.6336</v>
      </c>
      <c r="J62" s="16">
        <v>0.03</v>
      </c>
      <c r="K62" s="12"/>
      <c r="L62" s="127">
        <v>174.88</v>
      </c>
      <c r="M62" s="392"/>
      <c r="N62" s="25">
        <f t="shared" si="30"/>
        <v>0</v>
      </c>
      <c r="O62" s="25">
        <f t="shared" si="31"/>
        <v>0</v>
      </c>
      <c r="P62" s="25">
        <f t="shared" si="32"/>
        <v>4071.2064</v>
      </c>
      <c r="Q62" s="26">
        <f t="shared" si="33"/>
        <v>0</v>
      </c>
      <c r="R62" s="27">
        <f t="shared" si="34"/>
        <v>0</v>
      </c>
      <c r="S62" s="28">
        <f t="shared" si="12"/>
        <v>4071.2064</v>
      </c>
    </row>
    <row r="63" spans="2:19" hidden="1">
      <c r="B63" s="546" t="s">
        <v>257</v>
      </c>
      <c r="C63" s="14"/>
      <c r="D63" s="14"/>
      <c r="E63" s="14"/>
      <c r="F63" s="14"/>
      <c r="G63" s="8"/>
      <c r="H63" s="24">
        <f t="shared" si="28"/>
        <v>0</v>
      </c>
      <c r="I63" s="456">
        <f t="shared" si="29"/>
        <v>137.4102</v>
      </c>
      <c r="J63" s="16">
        <v>0.03</v>
      </c>
      <c r="K63" s="12"/>
      <c r="L63" s="127">
        <v>141.66</v>
      </c>
      <c r="M63" s="392"/>
      <c r="N63" s="25">
        <f t="shared" si="30"/>
        <v>0</v>
      </c>
      <c r="O63" s="25">
        <f t="shared" si="31"/>
        <v>0</v>
      </c>
      <c r="P63" s="25">
        <f t="shared" si="32"/>
        <v>0</v>
      </c>
      <c r="Q63" s="26">
        <f t="shared" si="33"/>
        <v>0</v>
      </c>
      <c r="R63" s="27">
        <f t="shared" si="34"/>
        <v>0</v>
      </c>
      <c r="S63" s="28">
        <f t="shared" si="12"/>
        <v>0</v>
      </c>
    </row>
    <row r="64" spans="2:19">
      <c r="B64" s="549" t="s">
        <v>258</v>
      </c>
      <c r="C64" s="14"/>
      <c r="D64" s="14"/>
      <c r="E64" s="14">
        <v>12</v>
      </c>
      <c r="F64" s="14"/>
      <c r="G64" s="8"/>
      <c r="H64" s="24">
        <f t="shared" si="28"/>
        <v>12</v>
      </c>
      <c r="I64" s="456">
        <f t="shared" si="29"/>
        <v>384.67289999999997</v>
      </c>
      <c r="J64" s="16">
        <v>0.03</v>
      </c>
      <c r="K64" s="12"/>
      <c r="L64" s="127">
        <v>396.57</v>
      </c>
      <c r="M64" s="392"/>
      <c r="N64" s="25">
        <f t="shared" si="30"/>
        <v>0</v>
      </c>
      <c r="O64" s="25">
        <f t="shared" si="31"/>
        <v>0</v>
      </c>
      <c r="P64" s="25">
        <f t="shared" si="32"/>
        <v>4616.0747999999994</v>
      </c>
      <c r="Q64" s="26">
        <f t="shared" si="33"/>
        <v>0</v>
      </c>
      <c r="R64" s="27">
        <f t="shared" si="34"/>
        <v>0</v>
      </c>
      <c r="S64" s="28">
        <f t="shared" si="12"/>
        <v>4616.0747999999994</v>
      </c>
    </row>
    <row r="65" spans="2:19" hidden="1">
      <c r="B65" s="546" t="s">
        <v>259</v>
      </c>
      <c r="C65" s="14"/>
      <c r="D65" s="14"/>
      <c r="E65" s="14"/>
      <c r="F65" s="14"/>
      <c r="G65" s="8"/>
      <c r="H65" s="24">
        <f t="shared" si="28"/>
        <v>0</v>
      </c>
      <c r="I65" s="456">
        <f t="shared" si="29"/>
        <v>216.90170000000001</v>
      </c>
      <c r="J65" s="16">
        <v>0.03</v>
      </c>
      <c r="K65" s="12"/>
      <c r="L65" s="127">
        <v>223.61</v>
      </c>
      <c r="M65" s="392"/>
      <c r="N65" s="25">
        <f t="shared" si="30"/>
        <v>0</v>
      </c>
      <c r="O65" s="25">
        <f t="shared" si="31"/>
        <v>0</v>
      </c>
      <c r="P65" s="25">
        <f t="shared" si="32"/>
        <v>0</v>
      </c>
      <c r="Q65" s="26">
        <f t="shared" si="33"/>
        <v>0</v>
      </c>
      <c r="R65" s="27">
        <f t="shared" si="34"/>
        <v>0</v>
      </c>
      <c r="S65" s="28">
        <f t="shared" si="12"/>
        <v>0</v>
      </c>
    </row>
    <row r="66" spans="2:19" hidden="1">
      <c r="B66" s="546" t="s">
        <v>736</v>
      </c>
      <c r="C66" s="14"/>
      <c r="D66" s="14"/>
      <c r="E66" s="14"/>
      <c r="F66" s="14"/>
      <c r="G66" s="8"/>
      <c r="H66" s="24">
        <f t="shared" si="28"/>
        <v>0</v>
      </c>
      <c r="I66" s="456">
        <f t="shared" si="29"/>
        <v>29.507400000000001</v>
      </c>
      <c r="J66" s="16">
        <v>0.03</v>
      </c>
      <c r="K66" s="12"/>
      <c r="L66" s="127">
        <v>30.42</v>
      </c>
      <c r="M66" s="392"/>
      <c r="N66" s="25">
        <f t="shared" si="30"/>
        <v>0</v>
      </c>
      <c r="O66" s="25">
        <f t="shared" si="31"/>
        <v>0</v>
      </c>
      <c r="P66" s="25">
        <f t="shared" si="32"/>
        <v>0</v>
      </c>
      <c r="Q66" s="26">
        <f t="shared" si="33"/>
        <v>0</v>
      </c>
      <c r="R66" s="27">
        <f t="shared" si="34"/>
        <v>0</v>
      </c>
      <c r="S66" s="28">
        <f t="shared" si="12"/>
        <v>0</v>
      </c>
    </row>
    <row r="67" spans="2:19" hidden="1">
      <c r="B67" s="549" t="s">
        <v>260</v>
      </c>
      <c r="C67" s="13"/>
      <c r="D67" s="13"/>
      <c r="E67" s="13"/>
      <c r="F67" s="14"/>
      <c r="G67" s="8"/>
      <c r="H67" s="24">
        <f t="shared" si="28"/>
        <v>0</v>
      </c>
      <c r="I67" s="456">
        <f t="shared" si="29"/>
        <v>68.094000000000008</v>
      </c>
      <c r="J67" s="16">
        <v>0.03</v>
      </c>
      <c r="K67" s="12"/>
      <c r="L67" s="127">
        <v>70.2</v>
      </c>
      <c r="M67" s="392"/>
      <c r="N67" s="25">
        <f t="shared" si="30"/>
        <v>0</v>
      </c>
      <c r="O67" s="25">
        <f t="shared" si="31"/>
        <v>0</v>
      </c>
      <c r="P67" s="25">
        <f t="shared" si="32"/>
        <v>0</v>
      </c>
      <c r="Q67" s="26">
        <f t="shared" si="33"/>
        <v>0</v>
      </c>
      <c r="R67" s="27">
        <f t="shared" si="34"/>
        <v>0</v>
      </c>
      <c r="S67" s="28">
        <f t="shared" si="12"/>
        <v>0</v>
      </c>
    </row>
    <row r="68" spans="2:19" hidden="1">
      <c r="B68" s="549" t="s">
        <v>261</v>
      </c>
      <c r="C68" s="13"/>
      <c r="D68" s="13"/>
      <c r="E68" s="13"/>
      <c r="F68" s="14"/>
      <c r="G68" s="8"/>
      <c r="H68" s="24">
        <f t="shared" si="28"/>
        <v>0</v>
      </c>
      <c r="I68" s="456">
        <f t="shared" si="29"/>
        <v>248.07749999999999</v>
      </c>
      <c r="J68" s="16">
        <v>0.03</v>
      </c>
      <c r="K68" s="12"/>
      <c r="L68" s="127">
        <v>255.75</v>
      </c>
      <c r="M68" s="392"/>
      <c r="N68" s="25">
        <f t="shared" si="30"/>
        <v>0</v>
      </c>
      <c r="O68" s="25">
        <f t="shared" si="31"/>
        <v>0</v>
      </c>
      <c r="P68" s="25">
        <f t="shared" si="32"/>
        <v>0</v>
      </c>
      <c r="Q68" s="26">
        <f t="shared" si="33"/>
        <v>0</v>
      </c>
      <c r="R68" s="27">
        <f t="shared" si="34"/>
        <v>0</v>
      </c>
      <c r="S68" s="28">
        <f t="shared" si="12"/>
        <v>0</v>
      </c>
    </row>
    <row r="69" spans="2:19" hidden="1">
      <c r="B69" s="549" t="s">
        <v>262</v>
      </c>
      <c r="C69" s="14"/>
      <c r="D69" s="14"/>
      <c r="E69" s="14"/>
      <c r="F69" s="14"/>
      <c r="G69" s="8"/>
      <c r="H69" s="24">
        <f t="shared" si="28"/>
        <v>0</v>
      </c>
      <c r="I69" s="456">
        <f t="shared" si="29"/>
        <v>535.9153</v>
      </c>
      <c r="J69" s="16">
        <v>0.03</v>
      </c>
      <c r="K69" s="12"/>
      <c r="L69" s="127">
        <v>552.49</v>
      </c>
      <c r="M69" s="392"/>
      <c r="N69" s="25">
        <f t="shared" si="30"/>
        <v>0</v>
      </c>
      <c r="O69" s="25">
        <f t="shared" si="31"/>
        <v>0</v>
      </c>
      <c r="P69" s="25">
        <f t="shared" si="32"/>
        <v>0</v>
      </c>
      <c r="Q69" s="26">
        <f t="shared" si="33"/>
        <v>0</v>
      </c>
      <c r="R69" s="27">
        <f t="shared" si="34"/>
        <v>0</v>
      </c>
      <c r="S69" s="28">
        <f t="shared" si="12"/>
        <v>0</v>
      </c>
    </row>
    <row r="70" spans="2:19">
      <c r="B70" s="549" t="s">
        <v>263</v>
      </c>
      <c r="C70" s="14">
        <v>2</v>
      </c>
      <c r="D70" s="14"/>
      <c r="E70" s="14">
        <v>4</v>
      </c>
      <c r="F70" s="14">
        <v>4</v>
      </c>
      <c r="G70" s="8"/>
      <c r="H70" s="24">
        <f t="shared" si="28"/>
        <v>10</v>
      </c>
      <c r="I70" s="456">
        <f t="shared" si="29"/>
        <v>289.56439999999998</v>
      </c>
      <c r="J70" s="16">
        <v>0.03</v>
      </c>
      <c r="K70" s="12"/>
      <c r="L70" s="127">
        <v>298.52</v>
      </c>
      <c r="M70" s="392"/>
      <c r="N70" s="25">
        <f t="shared" si="30"/>
        <v>579.12879999999996</v>
      </c>
      <c r="O70" s="25">
        <f t="shared" si="31"/>
        <v>0</v>
      </c>
      <c r="P70" s="25">
        <f t="shared" si="32"/>
        <v>1158.2575999999999</v>
      </c>
      <c r="Q70" s="26">
        <f t="shared" si="33"/>
        <v>1158.2575999999999</v>
      </c>
      <c r="R70" s="27">
        <f t="shared" si="34"/>
        <v>0</v>
      </c>
      <c r="S70" s="28">
        <f t="shared" si="12"/>
        <v>2895.6439999999998</v>
      </c>
    </row>
    <row r="71" spans="2:19">
      <c r="B71" s="549" t="s">
        <v>264</v>
      </c>
      <c r="C71" s="14"/>
      <c r="D71" s="14">
        <v>4</v>
      </c>
      <c r="E71" s="14">
        <v>6</v>
      </c>
      <c r="F71" s="14"/>
      <c r="G71" s="8"/>
      <c r="H71" s="24">
        <f t="shared" si="28"/>
        <v>10</v>
      </c>
      <c r="I71" s="456">
        <f t="shared" si="29"/>
        <v>625.58209999999997</v>
      </c>
      <c r="J71" s="16">
        <v>0.03</v>
      </c>
      <c r="K71" s="12"/>
      <c r="L71" s="127">
        <v>644.92999999999995</v>
      </c>
      <c r="M71" s="392"/>
      <c r="N71" s="25">
        <f t="shared" si="30"/>
        <v>0</v>
      </c>
      <c r="O71" s="25">
        <f t="shared" si="31"/>
        <v>2502.3283999999999</v>
      </c>
      <c r="P71" s="25">
        <f t="shared" si="32"/>
        <v>3753.4925999999996</v>
      </c>
      <c r="Q71" s="26">
        <f t="shared" si="33"/>
        <v>0</v>
      </c>
      <c r="R71" s="27">
        <f t="shared" si="34"/>
        <v>0</v>
      </c>
      <c r="S71" s="28">
        <f t="shared" si="12"/>
        <v>6255.8209999999999</v>
      </c>
    </row>
    <row r="72" spans="2:19">
      <c r="B72" s="546" t="s">
        <v>266</v>
      </c>
      <c r="C72" s="14"/>
      <c r="D72" s="14">
        <v>24</v>
      </c>
      <c r="E72" s="14">
        <v>48</v>
      </c>
      <c r="F72" s="14"/>
      <c r="G72" s="8"/>
      <c r="H72" s="24">
        <f t="shared" si="28"/>
        <v>72</v>
      </c>
      <c r="I72" s="456">
        <f t="shared" si="29"/>
        <v>35.055799999999998</v>
      </c>
      <c r="J72" s="16">
        <v>0.03</v>
      </c>
      <c r="K72" s="12"/>
      <c r="L72" s="127">
        <v>36.14</v>
      </c>
      <c r="M72" s="392"/>
      <c r="N72" s="25">
        <f t="shared" si="30"/>
        <v>0</v>
      </c>
      <c r="O72" s="25">
        <f t="shared" si="31"/>
        <v>841.33919999999989</v>
      </c>
      <c r="P72" s="25">
        <f t="shared" si="32"/>
        <v>1682.6783999999998</v>
      </c>
      <c r="Q72" s="26">
        <f t="shared" si="33"/>
        <v>0</v>
      </c>
      <c r="R72" s="27">
        <f t="shared" si="34"/>
        <v>0</v>
      </c>
      <c r="S72" s="28">
        <f t="shared" si="12"/>
        <v>2524.0175999999997</v>
      </c>
    </row>
    <row r="73" spans="2:19" hidden="1">
      <c r="B73" s="549" t="s">
        <v>267</v>
      </c>
      <c r="C73" s="14"/>
      <c r="D73" s="14"/>
      <c r="E73" s="14"/>
      <c r="F73" s="14"/>
      <c r="G73" s="8"/>
      <c r="H73" s="24">
        <f t="shared" si="28"/>
        <v>0</v>
      </c>
      <c r="I73" s="456">
        <f t="shared" si="29"/>
        <v>177.41300000000001</v>
      </c>
      <c r="J73" s="16">
        <v>0.03</v>
      </c>
      <c r="K73" s="12"/>
      <c r="L73" s="127">
        <v>182.9</v>
      </c>
      <c r="M73" s="392"/>
      <c r="N73" s="25">
        <f t="shared" si="30"/>
        <v>0</v>
      </c>
      <c r="O73" s="25">
        <f t="shared" si="31"/>
        <v>0</v>
      </c>
      <c r="P73" s="25">
        <f t="shared" si="32"/>
        <v>0</v>
      </c>
      <c r="Q73" s="26">
        <f t="shared" si="33"/>
        <v>0</v>
      </c>
      <c r="R73" s="27">
        <f t="shared" si="34"/>
        <v>0</v>
      </c>
      <c r="S73" s="28">
        <f t="shared" si="12"/>
        <v>0</v>
      </c>
    </row>
    <row r="74" spans="2:19">
      <c r="B74" s="58" t="s">
        <v>13</v>
      </c>
      <c r="C74" s="544">
        <f t="shared" ref="C74" si="37">N74</f>
        <v>58982.161999999997</v>
      </c>
      <c r="D74" s="544">
        <f t="shared" ref="D74" si="38">O74</f>
        <v>15911.666599999999</v>
      </c>
      <c r="E74" s="544">
        <f t="shared" ref="E74" si="39">P74</f>
        <v>42406.191299999991</v>
      </c>
      <c r="F74" s="544">
        <f t="shared" ref="F74" si="40">Q74</f>
        <v>17655.105800000001</v>
      </c>
      <c r="G74" s="544">
        <f t="shared" ref="G74" si="41">R74</f>
        <v>0</v>
      </c>
      <c r="H74" s="544">
        <f t="shared" ref="H74" si="42">S74</f>
        <v>134955.12569999998</v>
      </c>
      <c r="J74" s="16">
        <v>0.03</v>
      </c>
      <c r="N74" s="29">
        <f t="shared" ref="N74:S74" si="43">SUM(N6:N73)</f>
        <v>58982.161999999997</v>
      </c>
      <c r="O74" s="29">
        <f t="shared" si="43"/>
        <v>15911.666599999999</v>
      </c>
      <c r="P74" s="29">
        <f t="shared" si="43"/>
        <v>42406.191299999991</v>
      </c>
      <c r="Q74" s="29">
        <f t="shared" si="43"/>
        <v>17655.105800000001</v>
      </c>
      <c r="R74" s="29">
        <f t="shared" si="43"/>
        <v>0</v>
      </c>
      <c r="S74" s="29">
        <f t="shared" si="43"/>
        <v>134955.12569999998</v>
      </c>
    </row>
    <row r="75" spans="2:19">
      <c r="B75" s="59" t="s">
        <v>46</v>
      </c>
      <c r="J75" s="16">
        <v>0.03</v>
      </c>
    </row>
    <row r="76" spans="2:19" ht="16.5" thickBot="1">
      <c r="B76" s="2"/>
    </row>
    <row r="77" spans="2:19">
      <c r="B77" s="60" t="s">
        <v>47</v>
      </c>
    </row>
    <row r="78" spans="2:19">
      <c r="B78" s="61" t="s">
        <v>565</v>
      </c>
    </row>
    <row r="79" spans="2:19">
      <c r="B79" s="61" t="s">
        <v>17</v>
      </c>
    </row>
    <row r="80" spans="2:19" ht="16.5" thickBot="1">
      <c r="B80" s="62" t="s">
        <v>18</v>
      </c>
    </row>
    <row r="81" spans="2:7">
      <c r="B81" s="2"/>
    </row>
    <row r="82" spans="2:7">
      <c r="B82" s="30" t="s">
        <v>20</v>
      </c>
    </row>
    <row r="83" spans="2:7">
      <c r="B83" s="35"/>
    </row>
    <row r="84" spans="2:7">
      <c r="B84" s="35"/>
    </row>
    <row r="85" spans="2:7">
      <c r="G85" s="5" t="str">
        <f t="shared" ref="G85:G130" si="44">IF(B85&lt;&gt;"",SUM(C85:F85),"")</f>
        <v/>
      </c>
    </row>
    <row r="86" spans="2:7">
      <c r="G86" s="5" t="str">
        <f t="shared" si="44"/>
        <v/>
      </c>
    </row>
    <row r="87" spans="2:7">
      <c r="G87" s="5" t="str">
        <f t="shared" si="44"/>
        <v/>
      </c>
    </row>
    <row r="88" spans="2:7">
      <c r="G88" s="5" t="str">
        <f t="shared" si="44"/>
        <v/>
      </c>
    </row>
    <row r="89" spans="2:7">
      <c r="G89" s="5" t="str">
        <f t="shared" si="44"/>
        <v/>
      </c>
    </row>
    <row r="90" spans="2:7">
      <c r="G90" s="5" t="str">
        <f t="shared" si="44"/>
        <v/>
      </c>
    </row>
    <row r="91" spans="2:7">
      <c r="G91" s="5" t="str">
        <f t="shared" si="44"/>
        <v/>
      </c>
    </row>
    <row r="92" spans="2:7">
      <c r="G92" s="5" t="str">
        <f t="shared" si="44"/>
        <v/>
      </c>
    </row>
    <row r="93" spans="2:7">
      <c r="G93" s="5" t="str">
        <f t="shared" si="44"/>
        <v/>
      </c>
    </row>
    <row r="94" spans="2:7">
      <c r="G94" s="5" t="str">
        <f t="shared" si="44"/>
        <v/>
      </c>
    </row>
    <row r="95" spans="2:7">
      <c r="G95" s="5" t="str">
        <f t="shared" si="44"/>
        <v/>
      </c>
    </row>
    <row r="96" spans="2:7">
      <c r="G96" s="5" t="str">
        <f t="shared" si="44"/>
        <v/>
      </c>
    </row>
    <row r="97" spans="7:7">
      <c r="G97" s="5" t="str">
        <f t="shared" si="44"/>
        <v/>
      </c>
    </row>
    <row r="98" spans="7:7">
      <c r="G98" s="5" t="str">
        <f t="shared" si="44"/>
        <v/>
      </c>
    </row>
    <row r="99" spans="7:7">
      <c r="G99" s="5" t="str">
        <f t="shared" si="44"/>
        <v/>
      </c>
    </row>
    <row r="100" spans="7:7">
      <c r="G100" s="5" t="str">
        <f t="shared" si="44"/>
        <v/>
      </c>
    </row>
    <row r="101" spans="7:7">
      <c r="G101" s="5" t="str">
        <f t="shared" si="44"/>
        <v/>
      </c>
    </row>
    <row r="102" spans="7:7">
      <c r="G102" s="5" t="str">
        <f t="shared" si="44"/>
        <v/>
      </c>
    </row>
    <row r="103" spans="7:7">
      <c r="G103" s="5" t="str">
        <f t="shared" si="44"/>
        <v/>
      </c>
    </row>
    <row r="104" spans="7:7">
      <c r="G104" s="5" t="str">
        <f t="shared" si="44"/>
        <v/>
      </c>
    </row>
    <row r="105" spans="7:7">
      <c r="G105" s="5" t="str">
        <f t="shared" si="44"/>
        <v/>
      </c>
    </row>
    <row r="106" spans="7:7">
      <c r="G106" s="5" t="str">
        <f t="shared" si="44"/>
        <v/>
      </c>
    </row>
    <row r="107" spans="7:7">
      <c r="G107" s="5" t="str">
        <f t="shared" si="44"/>
        <v/>
      </c>
    </row>
    <row r="108" spans="7:7">
      <c r="G108" s="5" t="str">
        <f t="shared" si="44"/>
        <v/>
      </c>
    </row>
    <row r="109" spans="7:7">
      <c r="G109" s="5" t="str">
        <f t="shared" si="44"/>
        <v/>
      </c>
    </row>
    <row r="110" spans="7:7">
      <c r="G110" s="5" t="str">
        <f t="shared" si="44"/>
        <v/>
      </c>
    </row>
    <row r="111" spans="7:7">
      <c r="G111" s="5" t="str">
        <f t="shared" si="44"/>
        <v/>
      </c>
    </row>
    <row r="112" spans="7:7">
      <c r="G112" s="5" t="str">
        <f t="shared" si="44"/>
        <v/>
      </c>
    </row>
    <row r="113" spans="7:7">
      <c r="G113" s="5" t="str">
        <f t="shared" si="44"/>
        <v/>
      </c>
    </row>
    <row r="114" spans="7:7">
      <c r="G114" s="5" t="str">
        <f t="shared" si="44"/>
        <v/>
      </c>
    </row>
    <row r="115" spans="7:7">
      <c r="G115" s="5" t="str">
        <f t="shared" si="44"/>
        <v/>
      </c>
    </row>
    <row r="116" spans="7:7">
      <c r="G116" s="5" t="str">
        <f t="shared" si="44"/>
        <v/>
      </c>
    </row>
    <row r="117" spans="7:7">
      <c r="G117" s="5" t="str">
        <f t="shared" si="44"/>
        <v/>
      </c>
    </row>
    <row r="118" spans="7:7">
      <c r="G118" s="5" t="str">
        <f t="shared" si="44"/>
        <v/>
      </c>
    </row>
    <row r="119" spans="7:7">
      <c r="G119" s="5" t="str">
        <f t="shared" si="44"/>
        <v/>
      </c>
    </row>
    <row r="120" spans="7:7">
      <c r="G120" s="5" t="str">
        <f t="shared" si="44"/>
        <v/>
      </c>
    </row>
    <row r="121" spans="7:7">
      <c r="G121" s="5" t="str">
        <f t="shared" si="44"/>
        <v/>
      </c>
    </row>
    <row r="122" spans="7:7">
      <c r="G122" s="5" t="str">
        <f t="shared" si="44"/>
        <v/>
      </c>
    </row>
    <row r="123" spans="7:7">
      <c r="G123" s="5" t="str">
        <f t="shared" si="44"/>
        <v/>
      </c>
    </row>
    <row r="124" spans="7:7">
      <c r="G124" s="5" t="str">
        <f t="shared" si="44"/>
        <v/>
      </c>
    </row>
    <row r="125" spans="7:7">
      <c r="G125" s="5" t="str">
        <f t="shared" si="44"/>
        <v/>
      </c>
    </row>
    <row r="126" spans="7:7">
      <c r="G126" s="5" t="str">
        <f t="shared" si="44"/>
        <v/>
      </c>
    </row>
    <row r="127" spans="7:7">
      <c r="G127" s="5" t="str">
        <f t="shared" si="44"/>
        <v/>
      </c>
    </row>
    <row r="128" spans="7:7">
      <c r="G128" s="5" t="str">
        <f t="shared" si="44"/>
        <v/>
      </c>
    </row>
    <row r="129" spans="7:7">
      <c r="G129" s="5" t="str">
        <f t="shared" si="44"/>
        <v/>
      </c>
    </row>
    <row r="130" spans="7:7">
      <c r="G130" s="5" t="str">
        <f t="shared" si="44"/>
        <v/>
      </c>
    </row>
    <row r="131" spans="7:7">
      <c r="G131" s="5" t="str">
        <f t="shared" ref="G131:G194" si="45">IF(B131&lt;&gt;"",SUM(C131:F131),"")</f>
        <v/>
      </c>
    </row>
    <row r="132" spans="7:7">
      <c r="G132" s="5" t="str">
        <f t="shared" si="45"/>
        <v/>
      </c>
    </row>
    <row r="133" spans="7:7">
      <c r="G133" s="5" t="str">
        <f t="shared" si="45"/>
        <v/>
      </c>
    </row>
    <row r="134" spans="7:7">
      <c r="G134" s="5" t="str">
        <f t="shared" si="45"/>
        <v/>
      </c>
    </row>
    <row r="135" spans="7:7">
      <c r="G135" s="5" t="str">
        <f t="shared" si="45"/>
        <v/>
      </c>
    </row>
    <row r="136" spans="7:7">
      <c r="G136" s="5" t="str">
        <f t="shared" si="45"/>
        <v/>
      </c>
    </row>
    <row r="137" spans="7:7">
      <c r="G137" s="5" t="str">
        <f t="shared" si="45"/>
        <v/>
      </c>
    </row>
    <row r="138" spans="7:7">
      <c r="G138" s="5" t="str">
        <f t="shared" si="45"/>
        <v/>
      </c>
    </row>
    <row r="139" spans="7:7">
      <c r="G139" s="5" t="str">
        <f t="shared" si="45"/>
        <v/>
      </c>
    </row>
    <row r="140" spans="7:7">
      <c r="G140" s="5" t="str">
        <f t="shared" si="45"/>
        <v/>
      </c>
    </row>
    <row r="141" spans="7:7">
      <c r="G141" s="5" t="str">
        <f t="shared" si="45"/>
        <v/>
      </c>
    </row>
    <row r="142" spans="7:7">
      <c r="G142" s="5" t="str">
        <f t="shared" si="45"/>
        <v/>
      </c>
    </row>
    <row r="143" spans="7:7">
      <c r="G143" s="5" t="str">
        <f t="shared" si="45"/>
        <v/>
      </c>
    </row>
    <row r="144" spans="7:7">
      <c r="G144" s="5" t="str">
        <f t="shared" si="45"/>
        <v/>
      </c>
    </row>
    <row r="145" spans="7:7">
      <c r="G145" s="5" t="str">
        <f t="shared" si="45"/>
        <v/>
      </c>
    </row>
    <row r="146" spans="7:7">
      <c r="G146" s="5" t="str">
        <f t="shared" si="45"/>
        <v/>
      </c>
    </row>
    <row r="147" spans="7:7">
      <c r="G147" s="5" t="str">
        <f t="shared" si="45"/>
        <v/>
      </c>
    </row>
    <row r="148" spans="7:7">
      <c r="G148" s="5" t="str">
        <f t="shared" si="45"/>
        <v/>
      </c>
    </row>
    <row r="149" spans="7:7">
      <c r="G149" s="5" t="str">
        <f t="shared" si="45"/>
        <v/>
      </c>
    </row>
    <row r="150" spans="7:7">
      <c r="G150" s="5" t="str">
        <f t="shared" si="45"/>
        <v/>
      </c>
    </row>
    <row r="151" spans="7:7">
      <c r="G151" s="5" t="str">
        <f t="shared" si="45"/>
        <v/>
      </c>
    </row>
    <row r="152" spans="7:7">
      <c r="G152" s="5" t="str">
        <f t="shared" si="45"/>
        <v/>
      </c>
    </row>
    <row r="153" spans="7:7">
      <c r="G153" s="5" t="str">
        <f t="shared" si="45"/>
        <v/>
      </c>
    </row>
    <row r="154" spans="7:7">
      <c r="G154" s="5" t="str">
        <f t="shared" si="45"/>
        <v/>
      </c>
    </row>
    <row r="155" spans="7:7">
      <c r="G155" s="5" t="str">
        <f t="shared" si="45"/>
        <v/>
      </c>
    </row>
    <row r="156" spans="7:7">
      <c r="G156" s="5" t="str">
        <f t="shared" si="45"/>
        <v/>
      </c>
    </row>
    <row r="157" spans="7:7">
      <c r="G157" s="5" t="str">
        <f t="shared" si="45"/>
        <v/>
      </c>
    </row>
    <row r="158" spans="7:7">
      <c r="G158" s="5" t="str">
        <f t="shared" si="45"/>
        <v/>
      </c>
    </row>
    <row r="159" spans="7:7">
      <c r="G159" s="5" t="str">
        <f t="shared" si="45"/>
        <v/>
      </c>
    </row>
    <row r="160" spans="7:7">
      <c r="G160" s="5" t="str">
        <f t="shared" si="45"/>
        <v/>
      </c>
    </row>
    <row r="161" spans="7:7">
      <c r="G161" s="5" t="str">
        <f t="shared" si="45"/>
        <v/>
      </c>
    </row>
    <row r="162" spans="7:7">
      <c r="G162" s="5" t="str">
        <f t="shared" si="45"/>
        <v/>
      </c>
    </row>
    <row r="163" spans="7:7">
      <c r="G163" s="5" t="str">
        <f t="shared" si="45"/>
        <v/>
      </c>
    </row>
    <row r="164" spans="7:7">
      <c r="G164" s="5" t="str">
        <f t="shared" si="45"/>
        <v/>
      </c>
    </row>
    <row r="165" spans="7:7">
      <c r="G165" s="5" t="str">
        <f t="shared" si="45"/>
        <v/>
      </c>
    </row>
    <row r="166" spans="7:7">
      <c r="G166" s="5" t="str">
        <f t="shared" si="45"/>
        <v/>
      </c>
    </row>
    <row r="167" spans="7:7">
      <c r="G167" s="5" t="str">
        <f t="shared" si="45"/>
        <v/>
      </c>
    </row>
    <row r="168" spans="7:7">
      <c r="G168" s="5" t="str">
        <f t="shared" si="45"/>
        <v/>
      </c>
    </row>
    <row r="169" spans="7:7">
      <c r="G169" s="5" t="str">
        <f t="shared" si="45"/>
        <v/>
      </c>
    </row>
    <row r="170" spans="7:7">
      <c r="G170" s="5" t="str">
        <f t="shared" si="45"/>
        <v/>
      </c>
    </row>
    <row r="171" spans="7:7">
      <c r="G171" s="5" t="str">
        <f t="shared" si="45"/>
        <v/>
      </c>
    </row>
    <row r="172" spans="7:7">
      <c r="G172" s="5" t="str">
        <f t="shared" si="45"/>
        <v/>
      </c>
    </row>
    <row r="173" spans="7:7">
      <c r="G173" s="5" t="str">
        <f t="shared" si="45"/>
        <v/>
      </c>
    </row>
    <row r="174" spans="7:7">
      <c r="G174" s="5" t="str">
        <f t="shared" si="45"/>
        <v/>
      </c>
    </row>
    <row r="175" spans="7:7">
      <c r="G175" s="5" t="str">
        <f t="shared" si="45"/>
        <v/>
      </c>
    </row>
    <row r="176" spans="7:7">
      <c r="G176" s="5" t="str">
        <f t="shared" si="45"/>
        <v/>
      </c>
    </row>
    <row r="177" spans="7:7">
      <c r="G177" s="5" t="str">
        <f t="shared" si="45"/>
        <v/>
      </c>
    </row>
    <row r="178" spans="7:7">
      <c r="G178" s="5" t="str">
        <f t="shared" si="45"/>
        <v/>
      </c>
    </row>
    <row r="179" spans="7:7">
      <c r="G179" s="5" t="str">
        <f t="shared" si="45"/>
        <v/>
      </c>
    </row>
    <row r="180" spans="7:7">
      <c r="G180" s="5" t="str">
        <f t="shared" si="45"/>
        <v/>
      </c>
    </row>
    <row r="181" spans="7:7">
      <c r="G181" s="5" t="str">
        <f t="shared" si="45"/>
        <v/>
      </c>
    </row>
    <row r="182" spans="7:7">
      <c r="G182" s="5" t="str">
        <f t="shared" si="45"/>
        <v/>
      </c>
    </row>
    <row r="183" spans="7:7">
      <c r="G183" s="5" t="str">
        <f t="shared" si="45"/>
        <v/>
      </c>
    </row>
    <row r="184" spans="7:7">
      <c r="G184" s="5" t="str">
        <f t="shared" si="45"/>
        <v/>
      </c>
    </row>
    <row r="185" spans="7:7">
      <c r="G185" s="5" t="str">
        <f t="shared" si="45"/>
        <v/>
      </c>
    </row>
    <row r="186" spans="7:7">
      <c r="G186" s="5" t="str">
        <f t="shared" si="45"/>
        <v/>
      </c>
    </row>
    <row r="187" spans="7:7">
      <c r="G187" s="5" t="str">
        <f t="shared" si="45"/>
        <v/>
      </c>
    </row>
    <row r="188" spans="7:7">
      <c r="G188" s="5" t="str">
        <f t="shared" si="45"/>
        <v/>
      </c>
    </row>
    <row r="189" spans="7:7">
      <c r="G189" s="5" t="str">
        <f t="shared" si="45"/>
        <v/>
      </c>
    </row>
    <row r="190" spans="7:7">
      <c r="G190" s="5" t="str">
        <f t="shared" si="45"/>
        <v/>
      </c>
    </row>
    <row r="191" spans="7:7">
      <c r="G191" s="5" t="str">
        <f t="shared" si="45"/>
        <v/>
      </c>
    </row>
    <row r="192" spans="7:7">
      <c r="G192" s="5" t="str">
        <f t="shared" si="45"/>
        <v/>
      </c>
    </row>
    <row r="193" spans="7:7">
      <c r="G193" s="5" t="str">
        <f t="shared" si="45"/>
        <v/>
      </c>
    </row>
    <row r="194" spans="7:7">
      <c r="G194" s="5" t="str">
        <f t="shared" si="45"/>
        <v/>
      </c>
    </row>
    <row r="195" spans="7:7">
      <c r="G195" s="5" t="str">
        <f t="shared" ref="G195:G258" si="46">IF(B195&lt;&gt;"",SUM(C195:F195),"")</f>
        <v/>
      </c>
    </row>
    <row r="196" spans="7:7">
      <c r="G196" s="5" t="str">
        <f t="shared" si="46"/>
        <v/>
      </c>
    </row>
    <row r="197" spans="7:7">
      <c r="G197" s="5" t="str">
        <f t="shared" si="46"/>
        <v/>
      </c>
    </row>
    <row r="198" spans="7:7">
      <c r="G198" s="5" t="str">
        <f t="shared" si="46"/>
        <v/>
      </c>
    </row>
    <row r="199" spans="7:7">
      <c r="G199" s="5" t="str">
        <f t="shared" si="46"/>
        <v/>
      </c>
    </row>
    <row r="200" spans="7:7">
      <c r="G200" s="5" t="str">
        <f t="shared" si="46"/>
        <v/>
      </c>
    </row>
    <row r="201" spans="7:7">
      <c r="G201" s="5" t="str">
        <f t="shared" si="46"/>
        <v/>
      </c>
    </row>
    <row r="202" spans="7:7">
      <c r="G202" s="5" t="str">
        <f t="shared" si="46"/>
        <v/>
      </c>
    </row>
    <row r="203" spans="7:7">
      <c r="G203" s="5" t="str">
        <f t="shared" si="46"/>
        <v/>
      </c>
    </row>
    <row r="204" spans="7:7">
      <c r="G204" s="5" t="str">
        <f t="shared" si="46"/>
        <v/>
      </c>
    </row>
    <row r="205" spans="7:7">
      <c r="G205" s="5" t="str">
        <f t="shared" si="46"/>
        <v/>
      </c>
    </row>
    <row r="206" spans="7:7">
      <c r="G206" s="5" t="str">
        <f t="shared" si="46"/>
        <v/>
      </c>
    </row>
    <row r="207" spans="7:7">
      <c r="G207" s="5" t="str">
        <f t="shared" si="46"/>
        <v/>
      </c>
    </row>
    <row r="208" spans="7:7">
      <c r="G208" s="5" t="str">
        <f t="shared" si="46"/>
        <v/>
      </c>
    </row>
    <row r="209" spans="7:7">
      <c r="G209" s="5" t="str">
        <f t="shared" si="46"/>
        <v/>
      </c>
    </row>
    <row r="210" spans="7:7">
      <c r="G210" s="5" t="str">
        <f t="shared" si="46"/>
        <v/>
      </c>
    </row>
    <row r="211" spans="7:7">
      <c r="G211" s="5" t="str">
        <f t="shared" si="46"/>
        <v/>
      </c>
    </row>
    <row r="212" spans="7:7">
      <c r="G212" s="5" t="str">
        <f t="shared" si="46"/>
        <v/>
      </c>
    </row>
    <row r="213" spans="7:7">
      <c r="G213" s="5" t="str">
        <f t="shared" si="46"/>
        <v/>
      </c>
    </row>
    <row r="214" spans="7:7">
      <c r="G214" s="5" t="str">
        <f t="shared" si="46"/>
        <v/>
      </c>
    </row>
    <row r="215" spans="7:7">
      <c r="G215" s="5" t="str">
        <f t="shared" si="46"/>
        <v/>
      </c>
    </row>
    <row r="216" spans="7:7">
      <c r="G216" s="5" t="str">
        <f t="shared" si="46"/>
        <v/>
      </c>
    </row>
    <row r="217" spans="7:7">
      <c r="G217" s="5" t="str">
        <f t="shared" si="46"/>
        <v/>
      </c>
    </row>
    <row r="218" spans="7:7">
      <c r="G218" s="5" t="str">
        <f t="shared" si="46"/>
        <v/>
      </c>
    </row>
    <row r="219" spans="7:7">
      <c r="G219" s="5" t="str">
        <f t="shared" si="46"/>
        <v/>
      </c>
    </row>
    <row r="220" spans="7:7">
      <c r="G220" s="5" t="str">
        <f t="shared" si="46"/>
        <v/>
      </c>
    </row>
    <row r="221" spans="7:7">
      <c r="G221" s="5" t="str">
        <f t="shared" si="46"/>
        <v/>
      </c>
    </row>
    <row r="222" spans="7:7">
      <c r="G222" s="5" t="str">
        <f t="shared" si="46"/>
        <v/>
      </c>
    </row>
    <row r="223" spans="7:7">
      <c r="G223" s="5" t="str">
        <f t="shared" si="46"/>
        <v/>
      </c>
    </row>
    <row r="224" spans="7:7">
      <c r="G224" s="5" t="str">
        <f t="shared" si="46"/>
        <v/>
      </c>
    </row>
    <row r="225" spans="7:7">
      <c r="G225" s="5" t="str">
        <f t="shared" si="46"/>
        <v/>
      </c>
    </row>
    <row r="226" spans="7:7">
      <c r="G226" s="5" t="str">
        <f t="shared" si="46"/>
        <v/>
      </c>
    </row>
    <row r="227" spans="7:7">
      <c r="G227" s="5" t="str">
        <f t="shared" si="46"/>
        <v/>
      </c>
    </row>
    <row r="228" spans="7:7">
      <c r="G228" s="5" t="str">
        <f t="shared" si="46"/>
        <v/>
      </c>
    </row>
    <row r="229" spans="7:7">
      <c r="G229" s="5" t="str">
        <f t="shared" si="46"/>
        <v/>
      </c>
    </row>
    <row r="230" spans="7:7">
      <c r="G230" s="5" t="str">
        <f t="shared" si="46"/>
        <v/>
      </c>
    </row>
    <row r="231" spans="7:7">
      <c r="G231" s="5" t="str">
        <f t="shared" si="46"/>
        <v/>
      </c>
    </row>
    <row r="232" spans="7:7">
      <c r="G232" s="5" t="str">
        <f t="shared" si="46"/>
        <v/>
      </c>
    </row>
    <row r="233" spans="7:7">
      <c r="G233" s="5" t="str">
        <f t="shared" si="46"/>
        <v/>
      </c>
    </row>
    <row r="234" spans="7:7">
      <c r="G234" s="5" t="str">
        <f t="shared" si="46"/>
        <v/>
      </c>
    </row>
    <row r="235" spans="7:7">
      <c r="G235" s="5" t="str">
        <f t="shared" si="46"/>
        <v/>
      </c>
    </row>
    <row r="236" spans="7:7">
      <c r="G236" s="5" t="str">
        <f t="shared" si="46"/>
        <v/>
      </c>
    </row>
    <row r="237" spans="7:7">
      <c r="G237" s="5" t="str">
        <f t="shared" si="46"/>
        <v/>
      </c>
    </row>
    <row r="238" spans="7:7">
      <c r="G238" s="5" t="str">
        <f t="shared" si="46"/>
        <v/>
      </c>
    </row>
    <row r="239" spans="7:7">
      <c r="G239" s="5" t="str">
        <f t="shared" si="46"/>
        <v/>
      </c>
    </row>
    <row r="240" spans="7:7">
      <c r="G240" s="5" t="str">
        <f t="shared" si="46"/>
        <v/>
      </c>
    </row>
    <row r="241" spans="7:7">
      <c r="G241" s="5" t="str">
        <f t="shared" si="46"/>
        <v/>
      </c>
    </row>
    <row r="242" spans="7:7">
      <c r="G242" s="5" t="str">
        <f t="shared" si="46"/>
        <v/>
      </c>
    </row>
    <row r="243" spans="7:7">
      <c r="G243" s="5" t="str">
        <f t="shared" si="46"/>
        <v/>
      </c>
    </row>
    <row r="244" spans="7:7">
      <c r="G244" s="5" t="str">
        <f t="shared" si="46"/>
        <v/>
      </c>
    </row>
    <row r="245" spans="7:7">
      <c r="G245" s="5" t="str">
        <f t="shared" si="46"/>
        <v/>
      </c>
    </row>
    <row r="246" spans="7:7">
      <c r="G246" s="5" t="str">
        <f t="shared" si="46"/>
        <v/>
      </c>
    </row>
    <row r="247" spans="7:7">
      <c r="G247" s="5" t="str">
        <f t="shared" si="46"/>
        <v/>
      </c>
    </row>
    <row r="248" spans="7:7">
      <c r="G248" s="5" t="str">
        <f t="shared" si="46"/>
        <v/>
      </c>
    </row>
    <row r="249" spans="7:7">
      <c r="G249" s="5" t="str">
        <f t="shared" si="46"/>
        <v/>
      </c>
    </row>
    <row r="250" spans="7:7">
      <c r="G250" s="5" t="str">
        <f t="shared" si="46"/>
        <v/>
      </c>
    </row>
    <row r="251" spans="7:7">
      <c r="G251" s="5" t="str">
        <f t="shared" si="46"/>
        <v/>
      </c>
    </row>
    <row r="252" spans="7:7">
      <c r="G252" s="5" t="str">
        <f t="shared" si="46"/>
        <v/>
      </c>
    </row>
    <row r="253" spans="7:7">
      <c r="G253" s="5" t="str">
        <f t="shared" si="46"/>
        <v/>
      </c>
    </row>
    <row r="254" spans="7:7">
      <c r="G254" s="5" t="str">
        <f t="shared" si="46"/>
        <v/>
      </c>
    </row>
    <row r="255" spans="7:7">
      <c r="G255" s="5" t="str">
        <f t="shared" si="46"/>
        <v/>
      </c>
    </row>
    <row r="256" spans="7:7">
      <c r="G256" s="5" t="str">
        <f t="shared" si="46"/>
        <v/>
      </c>
    </row>
    <row r="257" spans="7:7">
      <c r="G257" s="5" t="str">
        <f t="shared" si="46"/>
        <v/>
      </c>
    </row>
    <row r="258" spans="7:7">
      <c r="G258" s="5" t="str">
        <f t="shared" si="46"/>
        <v/>
      </c>
    </row>
    <row r="259" spans="7:7">
      <c r="G259" s="5" t="str">
        <f t="shared" ref="G259:G322" si="47">IF(B259&lt;&gt;"",SUM(C259:F259),"")</f>
        <v/>
      </c>
    </row>
    <row r="260" spans="7:7">
      <c r="G260" s="5" t="str">
        <f t="shared" si="47"/>
        <v/>
      </c>
    </row>
    <row r="261" spans="7:7">
      <c r="G261" s="5" t="str">
        <f t="shared" si="47"/>
        <v/>
      </c>
    </row>
    <row r="262" spans="7:7">
      <c r="G262" s="5" t="str">
        <f t="shared" si="47"/>
        <v/>
      </c>
    </row>
    <row r="263" spans="7:7">
      <c r="G263" s="5" t="str">
        <f t="shared" si="47"/>
        <v/>
      </c>
    </row>
    <row r="264" spans="7:7">
      <c r="G264" s="5" t="str">
        <f t="shared" si="47"/>
        <v/>
      </c>
    </row>
    <row r="265" spans="7:7">
      <c r="G265" s="5" t="str">
        <f t="shared" si="47"/>
        <v/>
      </c>
    </row>
    <row r="266" spans="7:7">
      <c r="G266" s="5" t="str">
        <f t="shared" si="47"/>
        <v/>
      </c>
    </row>
    <row r="267" spans="7:7">
      <c r="G267" s="5" t="str">
        <f t="shared" si="47"/>
        <v/>
      </c>
    </row>
    <row r="268" spans="7:7">
      <c r="G268" s="5" t="str">
        <f t="shared" si="47"/>
        <v/>
      </c>
    </row>
    <row r="269" spans="7:7">
      <c r="G269" s="5" t="str">
        <f t="shared" si="47"/>
        <v/>
      </c>
    </row>
    <row r="270" spans="7:7">
      <c r="G270" s="5" t="str">
        <f t="shared" si="47"/>
        <v/>
      </c>
    </row>
    <row r="271" spans="7:7">
      <c r="G271" s="5" t="str">
        <f t="shared" si="47"/>
        <v/>
      </c>
    </row>
    <row r="272" spans="7:7">
      <c r="G272" s="5" t="str">
        <f t="shared" si="47"/>
        <v/>
      </c>
    </row>
    <row r="273" spans="7:7">
      <c r="G273" s="5" t="str">
        <f t="shared" si="47"/>
        <v/>
      </c>
    </row>
    <row r="274" spans="7:7">
      <c r="G274" s="5" t="str">
        <f t="shared" si="47"/>
        <v/>
      </c>
    </row>
    <row r="275" spans="7:7">
      <c r="G275" s="5" t="str">
        <f t="shared" si="47"/>
        <v/>
      </c>
    </row>
    <row r="276" spans="7:7">
      <c r="G276" s="5" t="str">
        <f t="shared" si="47"/>
        <v/>
      </c>
    </row>
    <row r="277" spans="7:7">
      <c r="G277" s="5" t="str">
        <f t="shared" si="47"/>
        <v/>
      </c>
    </row>
    <row r="278" spans="7:7">
      <c r="G278" s="5" t="str">
        <f t="shared" si="47"/>
        <v/>
      </c>
    </row>
    <row r="279" spans="7:7">
      <c r="G279" s="5" t="str">
        <f t="shared" si="47"/>
        <v/>
      </c>
    </row>
    <row r="280" spans="7:7">
      <c r="G280" s="5" t="str">
        <f t="shared" si="47"/>
        <v/>
      </c>
    </row>
    <row r="281" spans="7:7">
      <c r="G281" s="5" t="str">
        <f t="shared" si="47"/>
        <v/>
      </c>
    </row>
    <row r="282" spans="7:7">
      <c r="G282" s="5" t="str">
        <f t="shared" si="47"/>
        <v/>
      </c>
    </row>
    <row r="283" spans="7:7">
      <c r="G283" s="5" t="str">
        <f t="shared" si="47"/>
        <v/>
      </c>
    </row>
    <row r="284" spans="7:7">
      <c r="G284" s="5" t="str">
        <f t="shared" si="47"/>
        <v/>
      </c>
    </row>
    <row r="285" spans="7:7">
      <c r="G285" s="5" t="str">
        <f t="shared" si="47"/>
        <v/>
      </c>
    </row>
    <row r="286" spans="7:7">
      <c r="G286" s="5" t="str">
        <f t="shared" si="47"/>
        <v/>
      </c>
    </row>
    <row r="287" spans="7:7">
      <c r="G287" s="5" t="str">
        <f t="shared" si="47"/>
        <v/>
      </c>
    </row>
    <row r="288" spans="7:7">
      <c r="G288" s="5" t="str">
        <f t="shared" si="47"/>
        <v/>
      </c>
    </row>
    <row r="289" spans="7:7">
      <c r="G289" s="5" t="str">
        <f t="shared" si="47"/>
        <v/>
      </c>
    </row>
    <row r="290" spans="7:7">
      <c r="G290" s="5" t="str">
        <f t="shared" si="47"/>
        <v/>
      </c>
    </row>
    <row r="291" spans="7:7">
      <c r="G291" s="5" t="str">
        <f t="shared" si="47"/>
        <v/>
      </c>
    </row>
    <row r="292" spans="7:7">
      <c r="G292" s="5" t="str">
        <f t="shared" si="47"/>
        <v/>
      </c>
    </row>
    <row r="293" spans="7:7">
      <c r="G293" s="5" t="str">
        <f t="shared" si="47"/>
        <v/>
      </c>
    </row>
    <row r="294" spans="7:7">
      <c r="G294" s="5" t="str">
        <f t="shared" si="47"/>
        <v/>
      </c>
    </row>
    <row r="295" spans="7:7">
      <c r="G295" s="5" t="str">
        <f t="shared" si="47"/>
        <v/>
      </c>
    </row>
    <row r="296" spans="7:7">
      <c r="G296" s="5" t="str">
        <f t="shared" si="47"/>
        <v/>
      </c>
    </row>
    <row r="297" spans="7:7">
      <c r="G297" s="5" t="str">
        <f t="shared" si="47"/>
        <v/>
      </c>
    </row>
    <row r="298" spans="7:7">
      <c r="G298" s="5" t="str">
        <f t="shared" si="47"/>
        <v/>
      </c>
    </row>
    <row r="299" spans="7:7">
      <c r="G299" s="5" t="str">
        <f t="shared" si="47"/>
        <v/>
      </c>
    </row>
    <row r="300" spans="7:7">
      <c r="G300" s="5" t="str">
        <f t="shared" si="47"/>
        <v/>
      </c>
    </row>
    <row r="301" spans="7:7">
      <c r="G301" s="5" t="str">
        <f t="shared" si="47"/>
        <v/>
      </c>
    </row>
    <row r="302" spans="7:7">
      <c r="G302" s="5" t="str">
        <f t="shared" si="47"/>
        <v/>
      </c>
    </row>
    <row r="303" spans="7:7">
      <c r="G303" s="5" t="str">
        <f t="shared" si="47"/>
        <v/>
      </c>
    </row>
    <row r="304" spans="7:7">
      <c r="G304" s="5" t="str">
        <f t="shared" si="47"/>
        <v/>
      </c>
    </row>
    <row r="305" spans="7:7">
      <c r="G305" s="5" t="str">
        <f t="shared" si="47"/>
        <v/>
      </c>
    </row>
    <row r="306" spans="7:7">
      <c r="G306" s="5" t="str">
        <f t="shared" si="47"/>
        <v/>
      </c>
    </row>
    <row r="307" spans="7:7">
      <c r="G307" s="5" t="str">
        <f t="shared" si="47"/>
        <v/>
      </c>
    </row>
    <row r="308" spans="7:7">
      <c r="G308" s="5" t="str">
        <f t="shared" si="47"/>
        <v/>
      </c>
    </row>
    <row r="309" spans="7:7">
      <c r="G309" s="5" t="str">
        <f t="shared" si="47"/>
        <v/>
      </c>
    </row>
    <row r="310" spans="7:7">
      <c r="G310" s="5" t="str">
        <f t="shared" si="47"/>
        <v/>
      </c>
    </row>
    <row r="311" spans="7:7">
      <c r="G311" s="5" t="str">
        <f t="shared" si="47"/>
        <v/>
      </c>
    </row>
    <row r="312" spans="7:7">
      <c r="G312" s="5" t="str">
        <f t="shared" si="47"/>
        <v/>
      </c>
    </row>
    <row r="313" spans="7:7">
      <c r="G313" s="5" t="str">
        <f t="shared" si="47"/>
        <v/>
      </c>
    </row>
    <row r="314" spans="7:7">
      <c r="G314" s="5" t="str">
        <f t="shared" si="47"/>
        <v/>
      </c>
    </row>
    <row r="315" spans="7:7">
      <c r="G315" s="5" t="str">
        <f t="shared" si="47"/>
        <v/>
      </c>
    </row>
    <row r="316" spans="7:7">
      <c r="G316" s="5" t="str">
        <f t="shared" si="47"/>
        <v/>
      </c>
    </row>
    <row r="317" spans="7:7">
      <c r="G317" s="5" t="str">
        <f t="shared" si="47"/>
        <v/>
      </c>
    </row>
    <row r="318" spans="7:7">
      <c r="G318" s="5" t="str">
        <f t="shared" si="47"/>
        <v/>
      </c>
    </row>
    <row r="319" spans="7:7">
      <c r="G319" s="5" t="str">
        <f t="shared" si="47"/>
        <v/>
      </c>
    </row>
    <row r="320" spans="7:7">
      <c r="G320" s="5" t="str">
        <f t="shared" si="47"/>
        <v/>
      </c>
    </row>
    <row r="321" spans="7:7">
      <c r="G321" s="5" t="str">
        <f t="shared" si="47"/>
        <v/>
      </c>
    </row>
    <row r="322" spans="7:7">
      <c r="G322" s="5" t="str">
        <f t="shared" si="47"/>
        <v/>
      </c>
    </row>
    <row r="323" spans="7:7">
      <c r="G323" s="5" t="str">
        <f t="shared" ref="G323:G386" si="48">IF(B323&lt;&gt;"",SUM(C323:F323),"")</f>
        <v/>
      </c>
    </row>
    <row r="324" spans="7:7">
      <c r="G324" s="5" t="str">
        <f t="shared" si="48"/>
        <v/>
      </c>
    </row>
    <row r="325" spans="7:7">
      <c r="G325" s="5" t="str">
        <f t="shared" si="48"/>
        <v/>
      </c>
    </row>
    <row r="326" spans="7:7">
      <c r="G326" s="5" t="str">
        <f t="shared" si="48"/>
        <v/>
      </c>
    </row>
    <row r="327" spans="7:7">
      <c r="G327" s="5" t="str">
        <f t="shared" si="48"/>
        <v/>
      </c>
    </row>
    <row r="328" spans="7:7">
      <c r="G328" s="5" t="str">
        <f t="shared" si="48"/>
        <v/>
      </c>
    </row>
    <row r="329" spans="7:7">
      <c r="G329" s="5" t="str">
        <f t="shared" si="48"/>
        <v/>
      </c>
    </row>
    <row r="330" spans="7:7">
      <c r="G330" s="5" t="str">
        <f t="shared" si="48"/>
        <v/>
      </c>
    </row>
    <row r="331" spans="7:7">
      <c r="G331" s="5" t="str">
        <f t="shared" si="48"/>
        <v/>
      </c>
    </row>
    <row r="332" spans="7:7">
      <c r="G332" s="5" t="str">
        <f t="shared" si="48"/>
        <v/>
      </c>
    </row>
    <row r="333" spans="7:7">
      <c r="G333" s="5" t="str">
        <f t="shared" si="48"/>
        <v/>
      </c>
    </row>
    <row r="334" spans="7:7">
      <c r="G334" s="5" t="str">
        <f t="shared" si="48"/>
        <v/>
      </c>
    </row>
    <row r="335" spans="7:7">
      <c r="G335" s="5" t="str">
        <f t="shared" si="48"/>
        <v/>
      </c>
    </row>
    <row r="336" spans="7:7">
      <c r="G336" s="5" t="str">
        <f t="shared" si="48"/>
        <v/>
      </c>
    </row>
    <row r="337" spans="7:7">
      <c r="G337" s="5" t="str">
        <f t="shared" si="48"/>
        <v/>
      </c>
    </row>
    <row r="338" spans="7:7">
      <c r="G338" s="5" t="str">
        <f t="shared" si="48"/>
        <v/>
      </c>
    </row>
    <row r="339" spans="7:7">
      <c r="G339" s="5" t="str">
        <f t="shared" si="48"/>
        <v/>
      </c>
    </row>
    <row r="340" spans="7:7">
      <c r="G340" s="5" t="str">
        <f t="shared" si="48"/>
        <v/>
      </c>
    </row>
    <row r="341" spans="7:7">
      <c r="G341" s="5" t="str">
        <f t="shared" si="48"/>
        <v/>
      </c>
    </row>
    <row r="342" spans="7:7">
      <c r="G342" s="5" t="str">
        <f t="shared" si="48"/>
        <v/>
      </c>
    </row>
    <row r="343" spans="7:7">
      <c r="G343" s="5" t="str">
        <f t="shared" si="48"/>
        <v/>
      </c>
    </row>
    <row r="344" spans="7:7">
      <c r="G344" s="5" t="str">
        <f t="shared" si="48"/>
        <v/>
      </c>
    </row>
    <row r="345" spans="7:7">
      <c r="G345" s="5" t="str">
        <f t="shared" si="48"/>
        <v/>
      </c>
    </row>
    <row r="346" spans="7:7">
      <c r="G346" s="5" t="str">
        <f t="shared" si="48"/>
        <v/>
      </c>
    </row>
    <row r="347" spans="7:7">
      <c r="G347" s="5" t="str">
        <f t="shared" si="48"/>
        <v/>
      </c>
    </row>
    <row r="348" spans="7:7">
      <c r="G348" s="5" t="str">
        <f t="shared" si="48"/>
        <v/>
      </c>
    </row>
    <row r="349" spans="7:7">
      <c r="G349" s="5" t="str">
        <f t="shared" si="48"/>
        <v/>
      </c>
    </row>
    <row r="350" spans="7:7">
      <c r="G350" s="5" t="str">
        <f t="shared" si="48"/>
        <v/>
      </c>
    </row>
    <row r="351" spans="7:7">
      <c r="G351" s="5" t="str">
        <f t="shared" si="48"/>
        <v/>
      </c>
    </row>
    <row r="352" spans="7:7">
      <c r="G352" s="5" t="str">
        <f t="shared" si="48"/>
        <v/>
      </c>
    </row>
    <row r="353" spans="7:7">
      <c r="G353" s="5" t="str">
        <f t="shared" si="48"/>
        <v/>
      </c>
    </row>
    <row r="354" spans="7:7">
      <c r="G354" s="5" t="str">
        <f t="shared" si="48"/>
        <v/>
      </c>
    </row>
    <row r="355" spans="7:7">
      <c r="G355" s="5" t="str">
        <f t="shared" si="48"/>
        <v/>
      </c>
    </row>
    <row r="356" spans="7:7">
      <c r="G356" s="5" t="str">
        <f t="shared" si="48"/>
        <v/>
      </c>
    </row>
    <row r="357" spans="7:7">
      <c r="G357" s="5" t="str">
        <f t="shared" si="48"/>
        <v/>
      </c>
    </row>
    <row r="358" spans="7:7">
      <c r="G358" s="5" t="str">
        <f t="shared" si="48"/>
        <v/>
      </c>
    </row>
    <row r="359" spans="7:7">
      <c r="G359" s="5" t="str">
        <f t="shared" si="48"/>
        <v/>
      </c>
    </row>
    <row r="360" spans="7:7">
      <c r="G360" s="5" t="str">
        <f t="shared" si="48"/>
        <v/>
      </c>
    </row>
    <row r="361" spans="7:7">
      <c r="G361" s="5" t="str">
        <f t="shared" si="48"/>
        <v/>
      </c>
    </row>
    <row r="362" spans="7:7">
      <c r="G362" s="5" t="str">
        <f t="shared" si="48"/>
        <v/>
      </c>
    </row>
    <row r="363" spans="7:7">
      <c r="G363" s="5" t="str">
        <f t="shared" si="48"/>
        <v/>
      </c>
    </row>
    <row r="364" spans="7:7">
      <c r="G364" s="5" t="str">
        <f t="shared" si="48"/>
        <v/>
      </c>
    </row>
    <row r="365" spans="7:7">
      <c r="G365" s="5" t="str">
        <f t="shared" si="48"/>
        <v/>
      </c>
    </row>
    <row r="366" spans="7:7">
      <c r="G366" s="5" t="str">
        <f t="shared" si="48"/>
        <v/>
      </c>
    </row>
    <row r="367" spans="7:7">
      <c r="G367" s="5" t="str">
        <f t="shared" si="48"/>
        <v/>
      </c>
    </row>
    <row r="368" spans="7:7">
      <c r="G368" s="5" t="str">
        <f t="shared" si="48"/>
        <v/>
      </c>
    </row>
    <row r="369" spans="7:7">
      <c r="G369" s="5" t="str">
        <f t="shared" si="48"/>
        <v/>
      </c>
    </row>
    <row r="370" spans="7:7">
      <c r="G370" s="5" t="str">
        <f t="shared" si="48"/>
        <v/>
      </c>
    </row>
    <row r="371" spans="7:7">
      <c r="G371" s="5" t="str">
        <f t="shared" si="48"/>
        <v/>
      </c>
    </row>
    <row r="372" spans="7:7">
      <c r="G372" s="5" t="str">
        <f t="shared" si="48"/>
        <v/>
      </c>
    </row>
    <row r="373" spans="7:7">
      <c r="G373" s="5" t="str">
        <f t="shared" si="48"/>
        <v/>
      </c>
    </row>
    <row r="374" spans="7:7">
      <c r="G374" s="5" t="str">
        <f t="shared" si="48"/>
        <v/>
      </c>
    </row>
    <row r="375" spans="7:7">
      <c r="G375" s="5" t="str">
        <f t="shared" si="48"/>
        <v/>
      </c>
    </row>
    <row r="376" spans="7:7">
      <c r="G376" s="5" t="str">
        <f t="shared" si="48"/>
        <v/>
      </c>
    </row>
    <row r="377" spans="7:7">
      <c r="G377" s="5" t="str">
        <f t="shared" si="48"/>
        <v/>
      </c>
    </row>
    <row r="378" spans="7:7">
      <c r="G378" s="5" t="str">
        <f t="shared" si="48"/>
        <v/>
      </c>
    </row>
    <row r="379" spans="7:7">
      <c r="G379" s="5" t="str">
        <f t="shared" si="48"/>
        <v/>
      </c>
    </row>
    <row r="380" spans="7:7">
      <c r="G380" s="5" t="str">
        <f t="shared" si="48"/>
        <v/>
      </c>
    </row>
    <row r="381" spans="7:7">
      <c r="G381" s="5" t="str">
        <f t="shared" si="48"/>
        <v/>
      </c>
    </row>
    <row r="382" spans="7:7">
      <c r="G382" s="5" t="str">
        <f t="shared" si="48"/>
        <v/>
      </c>
    </row>
    <row r="383" spans="7:7">
      <c r="G383" s="5" t="str">
        <f t="shared" si="48"/>
        <v/>
      </c>
    </row>
    <row r="384" spans="7:7">
      <c r="G384" s="5" t="str">
        <f t="shared" si="48"/>
        <v/>
      </c>
    </row>
    <row r="385" spans="7:7">
      <c r="G385" s="5" t="str">
        <f t="shared" si="48"/>
        <v/>
      </c>
    </row>
    <row r="386" spans="7:7">
      <c r="G386" s="5" t="str">
        <f t="shared" si="48"/>
        <v/>
      </c>
    </row>
    <row r="387" spans="7:7">
      <c r="G387" s="5" t="str">
        <f t="shared" ref="G387:G450" si="49">IF(B387&lt;&gt;"",SUM(C387:F387),"")</f>
        <v/>
      </c>
    </row>
    <row r="388" spans="7:7">
      <c r="G388" s="5" t="str">
        <f t="shared" si="49"/>
        <v/>
      </c>
    </row>
    <row r="389" spans="7:7">
      <c r="G389" s="5" t="str">
        <f t="shared" si="49"/>
        <v/>
      </c>
    </row>
    <row r="390" spans="7:7">
      <c r="G390" s="5" t="str">
        <f t="shared" si="49"/>
        <v/>
      </c>
    </row>
    <row r="391" spans="7:7">
      <c r="G391" s="5" t="str">
        <f t="shared" si="49"/>
        <v/>
      </c>
    </row>
    <row r="392" spans="7:7">
      <c r="G392" s="5" t="str">
        <f t="shared" si="49"/>
        <v/>
      </c>
    </row>
    <row r="393" spans="7:7">
      <c r="G393" s="5" t="str">
        <f t="shared" si="49"/>
        <v/>
      </c>
    </row>
    <row r="394" spans="7:7">
      <c r="G394" s="5" t="str">
        <f t="shared" si="49"/>
        <v/>
      </c>
    </row>
    <row r="395" spans="7:7">
      <c r="G395" s="5" t="str">
        <f t="shared" si="49"/>
        <v/>
      </c>
    </row>
    <row r="396" spans="7:7">
      <c r="G396" s="5" t="str">
        <f t="shared" si="49"/>
        <v/>
      </c>
    </row>
    <row r="397" spans="7:7">
      <c r="G397" s="5" t="str">
        <f t="shared" si="49"/>
        <v/>
      </c>
    </row>
    <row r="398" spans="7:7">
      <c r="G398" s="5" t="str">
        <f t="shared" si="49"/>
        <v/>
      </c>
    </row>
    <row r="399" spans="7:7">
      <c r="G399" s="5" t="str">
        <f t="shared" si="49"/>
        <v/>
      </c>
    </row>
    <row r="400" spans="7:7">
      <c r="G400" s="5" t="str">
        <f t="shared" si="49"/>
        <v/>
      </c>
    </row>
    <row r="401" spans="7:7">
      <c r="G401" s="5" t="str">
        <f t="shared" si="49"/>
        <v/>
      </c>
    </row>
    <row r="402" spans="7:7">
      <c r="G402" s="5" t="str">
        <f t="shared" si="49"/>
        <v/>
      </c>
    </row>
    <row r="403" spans="7:7">
      <c r="G403" s="5" t="str">
        <f t="shared" si="49"/>
        <v/>
      </c>
    </row>
    <row r="404" spans="7:7">
      <c r="G404" s="5" t="str">
        <f t="shared" si="49"/>
        <v/>
      </c>
    </row>
    <row r="405" spans="7:7">
      <c r="G405" s="5" t="str">
        <f t="shared" si="49"/>
        <v/>
      </c>
    </row>
    <row r="406" spans="7:7">
      <c r="G406" s="5" t="str">
        <f t="shared" si="49"/>
        <v/>
      </c>
    </row>
    <row r="407" spans="7:7">
      <c r="G407" s="5" t="str">
        <f t="shared" si="49"/>
        <v/>
      </c>
    </row>
    <row r="408" spans="7:7">
      <c r="G408" s="5" t="str">
        <f t="shared" si="49"/>
        <v/>
      </c>
    </row>
    <row r="409" spans="7:7">
      <c r="G409" s="5" t="str">
        <f t="shared" si="49"/>
        <v/>
      </c>
    </row>
    <row r="410" spans="7:7">
      <c r="G410" s="5" t="str">
        <f t="shared" si="49"/>
        <v/>
      </c>
    </row>
    <row r="411" spans="7:7">
      <c r="G411" s="5" t="str">
        <f t="shared" si="49"/>
        <v/>
      </c>
    </row>
    <row r="412" spans="7:7">
      <c r="G412" s="5" t="str">
        <f t="shared" si="49"/>
        <v/>
      </c>
    </row>
    <row r="413" spans="7:7">
      <c r="G413" s="5" t="str">
        <f t="shared" si="49"/>
        <v/>
      </c>
    </row>
    <row r="414" spans="7:7">
      <c r="G414" s="5" t="str">
        <f t="shared" si="49"/>
        <v/>
      </c>
    </row>
    <row r="415" spans="7:7">
      <c r="G415" s="5" t="str">
        <f t="shared" si="49"/>
        <v/>
      </c>
    </row>
    <row r="416" spans="7:7">
      <c r="G416" s="5" t="str">
        <f t="shared" si="49"/>
        <v/>
      </c>
    </row>
    <row r="417" spans="7:7">
      <c r="G417" s="5" t="str">
        <f t="shared" si="49"/>
        <v/>
      </c>
    </row>
    <row r="418" spans="7:7">
      <c r="G418" s="5" t="str">
        <f t="shared" si="49"/>
        <v/>
      </c>
    </row>
    <row r="419" spans="7:7">
      <c r="G419" s="5" t="str">
        <f t="shared" si="49"/>
        <v/>
      </c>
    </row>
    <row r="420" spans="7:7">
      <c r="G420" s="5" t="str">
        <f t="shared" si="49"/>
        <v/>
      </c>
    </row>
    <row r="421" spans="7:7">
      <c r="G421" s="5" t="str">
        <f t="shared" si="49"/>
        <v/>
      </c>
    </row>
    <row r="422" spans="7:7">
      <c r="G422" s="5" t="str">
        <f t="shared" si="49"/>
        <v/>
      </c>
    </row>
    <row r="423" spans="7:7">
      <c r="G423" s="5" t="str">
        <f t="shared" si="49"/>
        <v/>
      </c>
    </row>
    <row r="424" spans="7:7">
      <c r="G424" s="5" t="str">
        <f t="shared" si="49"/>
        <v/>
      </c>
    </row>
    <row r="425" spans="7:7">
      <c r="G425" s="5" t="str">
        <f t="shared" si="49"/>
        <v/>
      </c>
    </row>
    <row r="426" spans="7:7">
      <c r="G426" s="5" t="str">
        <f t="shared" si="49"/>
        <v/>
      </c>
    </row>
    <row r="427" spans="7:7">
      <c r="G427" s="5" t="str">
        <f t="shared" si="49"/>
        <v/>
      </c>
    </row>
    <row r="428" spans="7:7">
      <c r="G428" s="5" t="str">
        <f t="shared" si="49"/>
        <v/>
      </c>
    </row>
    <row r="429" spans="7:7">
      <c r="G429" s="5" t="str">
        <f t="shared" si="49"/>
        <v/>
      </c>
    </row>
    <row r="430" spans="7:7">
      <c r="G430" s="5" t="str">
        <f t="shared" si="49"/>
        <v/>
      </c>
    </row>
    <row r="431" spans="7:7">
      <c r="G431" s="5" t="str">
        <f t="shared" si="49"/>
        <v/>
      </c>
    </row>
    <row r="432" spans="7:7">
      <c r="G432" s="5" t="str">
        <f t="shared" si="49"/>
        <v/>
      </c>
    </row>
    <row r="433" spans="7:7">
      <c r="G433" s="5" t="str">
        <f t="shared" si="49"/>
        <v/>
      </c>
    </row>
    <row r="434" spans="7:7">
      <c r="G434" s="5" t="str">
        <f t="shared" si="49"/>
        <v/>
      </c>
    </row>
    <row r="435" spans="7:7">
      <c r="G435" s="5" t="str">
        <f t="shared" si="49"/>
        <v/>
      </c>
    </row>
    <row r="436" spans="7:7">
      <c r="G436" s="5" t="str">
        <f t="shared" si="49"/>
        <v/>
      </c>
    </row>
    <row r="437" spans="7:7">
      <c r="G437" s="5" t="str">
        <f t="shared" si="49"/>
        <v/>
      </c>
    </row>
    <row r="438" spans="7:7">
      <c r="G438" s="5" t="str">
        <f t="shared" si="49"/>
        <v/>
      </c>
    </row>
    <row r="439" spans="7:7">
      <c r="G439" s="5" t="str">
        <f t="shared" si="49"/>
        <v/>
      </c>
    </row>
    <row r="440" spans="7:7">
      <c r="G440" s="5" t="str">
        <f t="shared" si="49"/>
        <v/>
      </c>
    </row>
    <row r="441" spans="7:7">
      <c r="G441" s="5" t="str">
        <f t="shared" si="49"/>
        <v/>
      </c>
    </row>
    <row r="442" spans="7:7">
      <c r="G442" s="5" t="str">
        <f t="shared" si="49"/>
        <v/>
      </c>
    </row>
    <row r="443" spans="7:7">
      <c r="G443" s="5" t="str">
        <f t="shared" si="49"/>
        <v/>
      </c>
    </row>
    <row r="444" spans="7:7">
      <c r="G444" s="5" t="str">
        <f t="shared" si="49"/>
        <v/>
      </c>
    </row>
    <row r="445" spans="7:7">
      <c r="G445" s="5" t="str">
        <f t="shared" si="49"/>
        <v/>
      </c>
    </row>
    <row r="446" spans="7:7">
      <c r="G446" s="5" t="str">
        <f t="shared" si="49"/>
        <v/>
      </c>
    </row>
    <row r="447" spans="7:7">
      <c r="G447" s="5" t="str">
        <f t="shared" si="49"/>
        <v/>
      </c>
    </row>
    <row r="448" spans="7:7">
      <c r="G448" s="5" t="str">
        <f t="shared" si="49"/>
        <v/>
      </c>
    </row>
    <row r="449" spans="7:7">
      <c r="G449" s="5" t="str">
        <f t="shared" si="49"/>
        <v/>
      </c>
    </row>
    <row r="450" spans="7:7">
      <c r="G450" s="5" t="str">
        <f t="shared" si="49"/>
        <v/>
      </c>
    </row>
    <row r="451" spans="7:7">
      <c r="G451" s="5" t="str">
        <f t="shared" ref="G451:G482" si="50">IF(B451&lt;&gt;"",SUM(C451:F451),"")</f>
        <v/>
      </c>
    </row>
    <row r="452" spans="7:7">
      <c r="G452" s="5" t="str">
        <f t="shared" si="50"/>
        <v/>
      </c>
    </row>
    <row r="453" spans="7:7">
      <c r="G453" s="5" t="str">
        <f t="shared" si="50"/>
        <v/>
      </c>
    </row>
    <row r="454" spans="7:7">
      <c r="G454" s="5" t="str">
        <f t="shared" si="50"/>
        <v/>
      </c>
    </row>
    <row r="455" spans="7:7">
      <c r="G455" s="5" t="str">
        <f t="shared" si="50"/>
        <v/>
      </c>
    </row>
    <row r="456" spans="7:7">
      <c r="G456" s="5" t="str">
        <f t="shared" si="50"/>
        <v/>
      </c>
    </row>
    <row r="457" spans="7:7">
      <c r="G457" s="5" t="str">
        <f t="shared" si="50"/>
        <v/>
      </c>
    </row>
    <row r="458" spans="7:7">
      <c r="G458" s="5" t="str">
        <f t="shared" si="50"/>
        <v/>
      </c>
    </row>
    <row r="459" spans="7:7">
      <c r="G459" s="5" t="str">
        <f t="shared" si="50"/>
        <v/>
      </c>
    </row>
    <row r="460" spans="7:7">
      <c r="G460" s="5" t="str">
        <f t="shared" si="50"/>
        <v/>
      </c>
    </row>
    <row r="461" spans="7:7">
      <c r="G461" s="5" t="str">
        <f t="shared" si="50"/>
        <v/>
      </c>
    </row>
    <row r="462" spans="7:7">
      <c r="G462" s="5" t="str">
        <f t="shared" si="50"/>
        <v/>
      </c>
    </row>
    <row r="463" spans="7:7">
      <c r="G463" s="5" t="str">
        <f t="shared" si="50"/>
        <v/>
      </c>
    </row>
    <row r="464" spans="7:7">
      <c r="G464" s="5" t="str">
        <f t="shared" si="50"/>
        <v/>
      </c>
    </row>
    <row r="465" spans="7:7">
      <c r="G465" s="5" t="str">
        <f t="shared" si="50"/>
        <v/>
      </c>
    </row>
    <row r="466" spans="7:7">
      <c r="G466" s="5" t="str">
        <f t="shared" si="50"/>
        <v/>
      </c>
    </row>
    <row r="467" spans="7:7">
      <c r="G467" s="5" t="str">
        <f t="shared" si="50"/>
        <v/>
      </c>
    </row>
    <row r="468" spans="7:7">
      <c r="G468" s="5" t="str">
        <f t="shared" si="50"/>
        <v/>
      </c>
    </row>
    <row r="469" spans="7:7">
      <c r="G469" s="5" t="str">
        <f t="shared" si="50"/>
        <v/>
      </c>
    </row>
    <row r="470" spans="7:7">
      <c r="G470" s="5" t="str">
        <f t="shared" si="50"/>
        <v/>
      </c>
    </row>
    <row r="471" spans="7:7">
      <c r="G471" s="5" t="str">
        <f t="shared" si="50"/>
        <v/>
      </c>
    </row>
    <row r="472" spans="7:7">
      <c r="G472" s="5" t="str">
        <f t="shared" si="50"/>
        <v/>
      </c>
    </row>
    <row r="473" spans="7:7">
      <c r="G473" s="5" t="str">
        <f t="shared" si="50"/>
        <v/>
      </c>
    </row>
    <row r="474" spans="7:7">
      <c r="G474" s="5" t="str">
        <f t="shared" si="50"/>
        <v/>
      </c>
    </row>
    <row r="475" spans="7:7">
      <c r="G475" s="5" t="str">
        <f t="shared" si="50"/>
        <v/>
      </c>
    </row>
    <row r="476" spans="7:7">
      <c r="G476" s="5" t="str">
        <f t="shared" si="50"/>
        <v/>
      </c>
    </row>
    <row r="477" spans="7:7">
      <c r="G477" s="5" t="str">
        <f t="shared" si="50"/>
        <v/>
      </c>
    </row>
    <row r="478" spans="7:7">
      <c r="G478" s="5" t="str">
        <f t="shared" si="50"/>
        <v/>
      </c>
    </row>
    <row r="479" spans="7:7">
      <c r="G479" s="5" t="str">
        <f t="shared" si="50"/>
        <v/>
      </c>
    </row>
    <row r="480" spans="7:7">
      <c r="G480" s="5" t="str">
        <f t="shared" si="50"/>
        <v/>
      </c>
    </row>
    <row r="481" spans="7:7">
      <c r="G481" s="5" t="str">
        <f t="shared" si="50"/>
        <v/>
      </c>
    </row>
    <row r="482" spans="7:7">
      <c r="G482" s="5" t="str">
        <f t="shared" si="50"/>
        <v/>
      </c>
    </row>
  </sheetData>
  <sheetProtection sort="0" autoFilter="0" pivotTables="0"/>
  <autoFilter ref="B5:M75" xr:uid="{0A5A3809-42F3-4ADE-8EC1-26A4D7FFADE9}">
    <filterColumn colId="6">
      <filters blank="1">
        <filter val="1"/>
        <filter val="10"/>
        <filter val="108"/>
        <filter val="12"/>
        <filter val="168"/>
        <filter val="18"/>
        <filter val="2"/>
        <filter val="228"/>
        <filter val="24"/>
        <filter val="304"/>
        <filter val="36"/>
        <filter val="4"/>
        <filter val="48"/>
        <filter val="6"/>
        <filter val="7"/>
        <filter val="72"/>
        <filter val="8"/>
        <filter val="84"/>
        <filter val="R$ 134.955,13"/>
      </filters>
    </filterColumn>
  </autoFilter>
  <sortState xmlns:xlrd2="http://schemas.microsoft.com/office/spreadsheetml/2017/richdata2" ref="B6:M73">
    <sortCondition ref="B6:B73"/>
  </sortState>
  <pageMargins left="0.78740157480314965" right="0.78740157480314965" top="0.78740157480314965" bottom="0.78740157480314965" header="0" footer="0"/>
  <pageSetup paperSize="9" scale="89" fitToHeight="0" orientation="landscape" verticalDpi="4294967295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BBB5B-2823-4EE2-9873-0D6B39C9E067}">
  <sheetPr codeName="Planilha16" filterMode="1">
    <tabColor rgb="FFFFC000"/>
    <pageSetUpPr fitToPage="1"/>
  </sheetPr>
  <dimension ref="B1:S556"/>
  <sheetViews>
    <sheetView tabSelected="1" workbookViewId="0">
      <pane ySplit="5" topLeftCell="A6" activePane="bottomLeft" state="frozen"/>
      <selection pane="bottomLeft" activeCell="T30" sqref="T30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3" style="6" hidden="1" customWidth="1"/>
    <col min="13" max="13" width="20.42578125" style="6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52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194">
        <v>4.7619047619047616E-2</v>
      </c>
      <c r="M4" s="449" t="s">
        <v>587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586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391" t="s">
        <v>268</v>
      </c>
      <c r="C6" s="259"/>
      <c r="D6" s="259"/>
      <c r="E6" s="259"/>
      <c r="F6" s="139"/>
      <c r="G6" s="140"/>
      <c r="H6" s="130">
        <f t="shared" ref="H6:H37" si="0">SUM(C6:G6)</f>
        <v>0</v>
      </c>
      <c r="I6" s="475">
        <f t="shared" ref="I6:I37" si="1">L6-(L6*J6)</f>
        <v>35.03</v>
      </c>
      <c r="J6" s="131"/>
      <c r="K6" s="132"/>
      <c r="L6" s="127">
        <v>35.03</v>
      </c>
      <c r="M6" s="392"/>
      <c r="N6" s="25">
        <f t="shared" ref="N6" si="2">I6*C6</f>
        <v>0</v>
      </c>
      <c r="O6" s="25">
        <f t="shared" ref="O6" si="3">I6*D6</f>
        <v>0</v>
      </c>
      <c r="P6" s="25">
        <f t="shared" ref="P6" si="4">I6*E6</f>
        <v>0</v>
      </c>
      <c r="Q6" s="26">
        <f t="shared" ref="Q6" si="5">I6*F6</f>
        <v>0</v>
      </c>
      <c r="R6" s="27">
        <f t="shared" ref="R6" si="6">I6*G6</f>
        <v>0</v>
      </c>
      <c r="S6" s="28">
        <f>SUM(N6:R6)</f>
        <v>0</v>
      </c>
    </row>
    <row r="7" spans="2:19">
      <c r="B7" s="391" t="s">
        <v>269</v>
      </c>
      <c r="C7" s="143">
        <v>24</v>
      </c>
      <c r="D7" s="143"/>
      <c r="E7" s="143"/>
      <c r="F7" s="141"/>
      <c r="G7" s="142">
        <v>24</v>
      </c>
      <c r="H7" s="135">
        <f t="shared" si="0"/>
        <v>48</v>
      </c>
      <c r="I7" s="499">
        <f t="shared" si="1"/>
        <v>33.04</v>
      </c>
      <c r="J7" s="136"/>
      <c r="K7" s="137"/>
      <c r="L7" s="127">
        <v>33.04</v>
      </c>
      <c r="M7" s="392"/>
      <c r="N7" s="25">
        <f t="shared" ref="N7:N70" si="7">I7*C7</f>
        <v>792.96</v>
      </c>
      <c r="O7" s="25">
        <f t="shared" ref="O7:O70" si="8">I7*D7</f>
        <v>0</v>
      </c>
      <c r="P7" s="25">
        <f t="shared" ref="P7:P70" si="9">I7*E7</f>
        <v>0</v>
      </c>
      <c r="Q7" s="26">
        <f t="shared" ref="Q7:Q70" si="10">I7*F7</f>
        <v>0</v>
      </c>
      <c r="R7" s="27">
        <f t="shared" ref="R7:R70" si="11">I7*G7</f>
        <v>792.96</v>
      </c>
      <c r="S7" s="28">
        <f t="shared" ref="S7:S70" si="12">SUM(N7:R7)</f>
        <v>1585.92</v>
      </c>
    </row>
    <row r="8" spans="2:19">
      <c r="B8" s="391" t="s">
        <v>196</v>
      </c>
      <c r="C8" s="143">
        <v>12</v>
      </c>
      <c r="D8" s="143"/>
      <c r="E8" s="143">
        <v>12</v>
      </c>
      <c r="F8" s="141"/>
      <c r="G8" s="142"/>
      <c r="H8" s="135">
        <f t="shared" si="0"/>
        <v>24</v>
      </c>
      <c r="I8" s="499">
        <f t="shared" si="1"/>
        <v>160.24</v>
      </c>
      <c r="J8" s="136"/>
      <c r="K8" s="137"/>
      <c r="L8" s="127">
        <v>160.24</v>
      </c>
      <c r="M8" s="392"/>
      <c r="N8" s="25">
        <f t="shared" si="7"/>
        <v>1922.88</v>
      </c>
      <c r="O8" s="25">
        <f t="shared" si="8"/>
        <v>0</v>
      </c>
      <c r="P8" s="25">
        <f t="shared" si="9"/>
        <v>1922.88</v>
      </c>
      <c r="Q8" s="26">
        <f t="shared" si="10"/>
        <v>0</v>
      </c>
      <c r="R8" s="27">
        <f t="shared" si="11"/>
        <v>0</v>
      </c>
      <c r="S8" s="28">
        <f t="shared" si="12"/>
        <v>3845.76</v>
      </c>
    </row>
    <row r="9" spans="2:19">
      <c r="B9" s="391" t="s">
        <v>197</v>
      </c>
      <c r="C9" s="143"/>
      <c r="D9" s="143">
        <v>12</v>
      </c>
      <c r="E9" s="143"/>
      <c r="F9" s="141"/>
      <c r="G9" s="142"/>
      <c r="H9" s="135">
        <f t="shared" si="0"/>
        <v>12</v>
      </c>
      <c r="I9" s="499">
        <f t="shared" si="1"/>
        <v>33.94</v>
      </c>
      <c r="J9" s="136"/>
      <c r="K9" s="137"/>
      <c r="L9" s="127">
        <v>33.94</v>
      </c>
      <c r="M9" s="392"/>
      <c r="N9" s="25">
        <f t="shared" si="7"/>
        <v>0</v>
      </c>
      <c r="O9" s="25">
        <f t="shared" si="8"/>
        <v>407.28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407.28</v>
      </c>
    </row>
    <row r="10" spans="2:19">
      <c r="B10" s="391" t="s">
        <v>198</v>
      </c>
      <c r="C10" s="141"/>
      <c r="D10" s="141"/>
      <c r="E10" s="141"/>
      <c r="F10" s="141">
        <v>12</v>
      </c>
      <c r="G10" s="142"/>
      <c r="H10" s="135">
        <f t="shared" si="0"/>
        <v>12</v>
      </c>
      <c r="I10" s="499">
        <f t="shared" si="1"/>
        <v>48.09</v>
      </c>
      <c r="J10" s="136"/>
      <c r="K10" s="137"/>
      <c r="L10" s="127">
        <v>48.09</v>
      </c>
      <c r="M10" s="392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577.08000000000004</v>
      </c>
      <c r="R10" s="27">
        <f t="shared" si="11"/>
        <v>0</v>
      </c>
      <c r="S10" s="28">
        <f t="shared" si="12"/>
        <v>577.08000000000004</v>
      </c>
    </row>
    <row r="11" spans="2:19" hidden="1">
      <c r="B11" s="391" t="s">
        <v>199</v>
      </c>
      <c r="C11" s="141"/>
      <c r="D11" s="141"/>
      <c r="E11" s="141"/>
      <c r="F11" s="141"/>
      <c r="G11" s="142"/>
      <c r="H11" s="135">
        <f t="shared" si="0"/>
        <v>0</v>
      </c>
      <c r="I11" s="499">
        <f t="shared" si="1"/>
        <v>29.46</v>
      </c>
      <c r="J11" s="136"/>
      <c r="K11" s="137"/>
      <c r="L11" s="127">
        <v>29.46</v>
      </c>
      <c r="M11" s="392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 hidden="1">
      <c r="B12" s="391" t="s">
        <v>270</v>
      </c>
      <c r="C12" s="141"/>
      <c r="D12" s="141"/>
      <c r="E12" s="141"/>
      <c r="F12" s="141"/>
      <c r="G12" s="142"/>
      <c r="H12" s="135">
        <f t="shared" si="0"/>
        <v>0</v>
      </c>
      <c r="I12" s="499">
        <f t="shared" si="1"/>
        <v>34.35</v>
      </c>
      <c r="J12" s="136"/>
      <c r="K12" s="137"/>
      <c r="L12" s="127">
        <v>34.35</v>
      </c>
      <c r="M12" s="392"/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 hidden="1">
      <c r="B13" s="391" t="s">
        <v>271</v>
      </c>
      <c r="C13" s="141"/>
      <c r="D13" s="141"/>
      <c r="E13" s="141"/>
      <c r="F13" s="141"/>
      <c r="G13" s="142"/>
      <c r="H13" s="135">
        <f t="shared" si="0"/>
        <v>0</v>
      </c>
      <c r="I13" s="499">
        <f t="shared" si="1"/>
        <v>102.49</v>
      </c>
      <c r="J13" s="136"/>
      <c r="K13" s="137"/>
      <c r="L13" s="127">
        <v>102.49</v>
      </c>
      <c r="M13" s="392"/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 hidden="1">
      <c r="B14" s="391" t="s">
        <v>272</v>
      </c>
      <c r="C14" s="141"/>
      <c r="D14" s="141"/>
      <c r="E14" s="141"/>
      <c r="F14" s="141"/>
      <c r="G14" s="142"/>
      <c r="H14" s="135">
        <f t="shared" si="0"/>
        <v>0</v>
      </c>
      <c r="I14" s="499">
        <f t="shared" si="1"/>
        <v>96.36</v>
      </c>
      <c r="J14" s="136"/>
      <c r="K14" s="137"/>
      <c r="L14" s="127">
        <v>96.36</v>
      </c>
      <c r="M14" s="392"/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</row>
    <row r="15" spans="2:19" hidden="1">
      <c r="B15" s="391" t="s">
        <v>273</v>
      </c>
      <c r="C15" s="141"/>
      <c r="D15" s="141"/>
      <c r="E15" s="141"/>
      <c r="F15" s="141"/>
      <c r="G15" s="142"/>
      <c r="H15" s="135">
        <f t="shared" si="0"/>
        <v>0</v>
      </c>
      <c r="I15" s="499">
        <f t="shared" si="1"/>
        <v>24.63</v>
      </c>
      <c r="J15" s="136"/>
      <c r="K15" s="137"/>
      <c r="L15" s="127">
        <v>24.63</v>
      </c>
      <c r="M15" s="392"/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2:19" hidden="1">
      <c r="B16" s="391" t="s">
        <v>274</v>
      </c>
      <c r="C16" s="141"/>
      <c r="D16" s="141"/>
      <c r="E16" s="141"/>
      <c r="F16" s="141"/>
      <c r="G16" s="142"/>
      <c r="H16" s="135">
        <f t="shared" si="0"/>
        <v>0</v>
      </c>
      <c r="I16" s="499">
        <f t="shared" si="1"/>
        <v>75.56</v>
      </c>
      <c r="J16" s="136"/>
      <c r="K16" s="137"/>
      <c r="L16" s="127">
        <v>75.56</v>
      </c>
      <c r="M16" s="392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 hidden="1">
      <c r="B17" s="391" t="s">
        <v>275</v>
      </c>
      <c r="C17" s="141"/>
      <c r="D17" s="141"/>
      <c r="E17" s="141"/>
      <c r="F17" s="141"/>
      <c r="G17" s="142"/>
      <c r="H17" s="135">
        <f t="shared" si="0"/>
        <v>0</v>
      </c>
      <c r="I17" s="499">
        <f t="shared" si="1"/>
        <v>79.42</v>
      </c>
      <c r="J17" s="136"/>
      <c r="K17" s="137"/>
      <c r="L17" s="127">
        <v>79.42</v>
      </c>
      <c r="M17" s="392"/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 hidden="1">
      <c r="B18" s="391" t="s">
        <v>206</v>
      </c>
      <c r="C18" s="141"/>
      <c r="D18" s="141"/>
      <c r="E18" s="141"/>
      <c r="F18" s="141"/>
      <c r="G18" s="142"/>
      <c r="H18" s="135">
        <f t="shared" si="0"/>
        <v>0</v>
      </c>
      <c r="I18" s="499">
        <f t="shared" si="1"/>
        <v>46.99</v>
      </c>
      <c r="J18" s="136"/>
      <c r="K18" s="137"/>
      <c r="L18" s="127">
        <v>46.99</v>
      </c>
      <c r="M18" s="392"/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 hidden="1">
      <c r="B19" s="391" t="s">
        <v>207</v>
      </c>
      <c r="C19" s="141"/>
      <c r="D19" s="141"/>
      <c r="E19" s="141"/>
      <c r="F19" s="141"/>
      <c r="G19" s="142"/>
      <c r="H19" s="135">
        <f t="shared" si="0"/>
        <v>0</v>
      </c>
      <c r="I19" s="499">
        <f t="shared" si="1"/>
        <v>41.81</v>
      </c>
      <c r="J19" s="136"/>
      <c r="K19" s="137"/>
      <c r="L19" s="127">
        <v>41.81</v>
      </c>
      <c r="M19" s="392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 hidden="1">
      <c r="B20" s="391" t="s">
        <v>276</v>
      </c>
      <c r="C20" s="141"/>
      <c r="D20" s="141"/>
      <c r="E20" s="141"/>
      <c r="F20" s="141"/>
      <c r="G20" s="142"/>
      <c r="H20" s="135">
        <f t="shared" si="0"/>
        <v>0</v>
      </c>
      <c r="I20" s="499">
        <f t="shared" si="1"/>
        <v>61.37</v>
      </c>
      <c r="J20" s="136"/>
      <c r="K20" s="137"/>
      <c r="L20" s="127">
        <v>61.37</v>
      </c>
      <c r="M20" s="392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2:19" hidden="1">
      <c r="B21" s="391" t="s">
        <v>277</v>
      </c>
      <c r="C21" s="141"/>
      <c r="D21" s="141"/>
      <c r="E21" s="141"/>
      <c r="F21" s="141"/>
      <c r="G21" s="142"/>
      <c r="H21" s="135">
        <f t="shared" si="0"/>
        <v>0</v>
      </c>
      <c r="I21" s="499">
        <f t="shared" si="1"/>
        <v>44.31</v>
      </c>
      <c r="J21" s="136"/>
      <c r="K21" s="137"/>
      <c r="L21" s="127">
        <v>44.31</v>
      </c>
      <c r="M21" s="393"/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 hidden="1">
      <c r="B22" s="391" t="s">
        <v>278</v>
      </c>
      <c r="C22" s="141"/>
      <c r="D22" s="141"/>
      <c r="E22" s="141"/>
      <c r="F22" s="141"/>
      <c r="G22" s="142"/>
      <c r="H22" s="135">
        <f t="shared" si="0"/>
        <v>0</v>
      </c>
      <c r="I22" s="499">
        <f t="shared" si="1"/>
        <v>30.41</v>
      </c>
      <c r="J22" s="136"/>
      <c r="K22" s="137"/>
      <c r="L22" s="127">
        <v>30.41</v>
      </c>
      <c r="M22" s="392"/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2:19">
      <c r="B23" s="391" t="s">
        <v>213</v>
      </c>
      <c r="C23" s="143">
        <v>72</v>
      </c>
      <c r="D23" s="143">
        <v>8</v>
      </c>
      <c r="E23" s="143">
        <v>72</v>
      </c>
      <c r="F23" s="141"/>
      <c r="G23" s="142"/>
      <c r="H23" s="135">
        <f t="shared" si="0"/>
        <v>152</v>
      </c>
      <c r="I23" s="499">
        <f t="shared" si="1"/>
        <v>113.66</v>
      </c>
      <c r="J23" s="136"/>
      <c r="K23" s="137"/>
      <c r="L23" s="127">
        <v>113.66</v>
      </c>
      <c r="M23" s="392"/>
      <c r="N23" s="25">
        <f t="shared" si="7"/>
        <v>8183.5199999999995</v>
      </c>
      <c r="O23" s="25">
        <f t="shared" si="8"/>
        <v>909.28</v>
      </c>
      <c r="P23" s="25">
        <f t="shared" si="9"/>
        <v>8183.5199999999995</v>
      </c>
      <c r="Q23" s="26">
        <f t="shared" si="10"/>
        <v>0</v>
      </c>
      <c r="R23" s="27">
        <f t="shared" si="11"/>
        <v>0</v>
      </c>
      <c r="S23" s="28">
        <f t="shared" si="12"/>
        <v>17276.32</v>
      </c>
    </row>
    <row r="24" spans="2:19" hidden="1">
      <c r="B24" s="391" t="s">
        <v>214</v>
      </c>
      <c r="C24" s="143"/>
      <c r="D24" s="143"/>
      <c r="E24" s="143"/>
      <c r="F24" s="141"/>
      <c r="G24" s="142"/>
      <c r="H24" s="135">
        <f t="shared" si="0"/>
        <v>0</v>
      </c>
      <c r="I24" s="499">
        <f t="shared" si="1"/>
        <v>51.93</v>
      </c>
      <c r="J24" s="136"/>
      <c r="K24" s="137"/>
      <c r="L24" s="127">
        <v>51.93</v>
      </c>
      <c r="M24" s="392"/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 hidden="1">
      <c r="B25" s="391" t="s">
        <v>279</v>
      </c>
      <c r="C25" s="141"/>
      <c r="D25" s="141"/>
      <c r="E25" s="141"/>
      <c r="F25" s="141"/>
      <c r="G25" s="142"/>
      <c r="H25" s="135">
        <f t="shared" si="0"/>
        <v>0</v>
      </c>
      <c r="I25" s="499">
        <f t="shared" si="1"/>
        <v>32.11</v>
      </c>
      <c r="J25" s="136"/>
      <c r="K25" s="137"/>
      <c r="L25" s="127">
        <v>32.11</v>
      </c>
      <c r="M25" s="392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 hidden="1">
      <c r="B26" s="391" t="s">
        <v>583</v>
      </c>
      <c r="C26" s="141"/>
      <c r="D26" s="141"/>
      <c r="E26" s="141"/>
      <c r="F26" s="141"/>
      <c r="G26" s="142"/>
      <c r="H26" s="135">
        <f t="shared" si="0"/>
        <v>0</v>
      </c>
      <c r="I26" s="499">
        <f t="shared" si="1"/>
        <v>20.399999999999999</v>
      </c>
      <c r="J26" s="136"/>
      <c r="K26" s="137"/>
      <c r="L26" s="127">
        <v>20.399999999999999</v>
      </c>
      <c r="M26" s="392"/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 hidden="1">
      <c r="B27" s="391" t="s">
        <v>280</v>
      </c>
      <c r="C27" s="143"/>
      <c r="D27" s="143"/>
      <c r="E27" s="143"/>
      <c r="F27" s="141"/>
      <c r="G27" s="142"/>
      <c r="H27" s="135">
        <f t="shared" si="0"/>
        <v>0</v>
      </c>
      <c r="I27" s="499">
        <f t="shared" si="1"/>
        <v>164.37</v>
      </c>
      <c r="J27" s="136"/>
      <c r="K27" s="137"/>
      <c r="L27" s="127">
        <v>164.37</v>
      </c>
      <c r="M27" s="392"/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 hidden="1">
      <c r="B28" s="391" t="s">
        <v>281</v>
      </c>
      <c r="C28" s="143"/>
      <c r="D28" s="143"/>
      <c r="E28" s="143"/>
      <c r="F28" s="141"/>
      <c r="G28" s="142"/>
      <c r="H28" s="135">
        <f t="shared" si="0"/>
        <v>0</v>
      </c>
      <c r="I28" s="499">
        <f t="shared" si="1"/>
        <v>109.19</v>
      </c>
      <c r="J28" s="136"/>
      <c r="K28" s="137"/>
      <c r="L28" s="127">
        <v>109.19</v>
      </c>
      <c r="M28" s="392"/>
      <c r="N28" s="25">
        <f t="shared" si="7"/>
        <v>0</v>
      </c>
      <c r="O28" s="25">
        <f t="shared" si="8"/>
        <v>0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0</v>
      </c>
    </row>
    <row r="29" spans="2:19">
      <c r="B29" s="391" t="s">
        <v>218</v>
      </c>
      <c r="C29" s="143">
        <v>24</v>
      </c>
      <c r="D29" s="143">
        <v>30</v>
      </c>
      <c r="E29" s="143">
        <v>24</v>
      </c>
      <c r="F29" s="141"/>
      <c r="G29" s="142"/>
      <c r="H29" s="135">
        <f t="shared" si="0"/>
        <v>78</v>
      </c>
      <c r="I29" s="499">
        <f t="shared" si="1"/>
        <v>88.79</v>
      </c>
      <c r="J29" s="136"/>
      <c r="K29" s="137"/>
      <c r="L29" s="127">
        <v>88.79</v>
      </c>
      <c r="M29" s="392"/>
      <c r="N29" s="25">
        <f t="shared" si="7"/>
        <v>2130.96</v>
      </c>
      <c r="O29" s="25">
        <f t="shared" si="8"/>
        <v>2663.7000000000003</v>
      </c>
      <c r="P29" s="25">
        <f t="shared" si="9"/>
        <v>2130.96</v>
      </c>
      <c r="Q29" s="26">
        <f t="shared" si="10"/>
        <v>0</v>
      </c>
      <c r="R29" s="27">
        <f t="shared" si="11"/>
        <v>0</v>
      </c>
      <c r="S29" s="28">
        <f t="shared" si="12"/>
        <v>6925.62</v>
      </c>
    </row>
    <row r="30" spans="2:19">
      <c r="B30" s="391" t="s">
        <v>220</v>
      </c>
      <c r="C30" s="143">
        <v>36</v>
      </c>
      <c r="D30" s="143">
        <v>25</v>
      </c>
      <c r="E30" s="143">
        <v>24</v>
      </c>
      <c r="F30" s="141"/>
      <c r="G30" s="142">
        <v>24</v>
      </c>
      <c r="H30" s="135">
        <f t="shared" si="0"/>
        <v>109</v>
      </c>
      <c r="I30" s="499">
        <f t="shared" si="1"/>
        <v>207.91</v>
      </c>
      <c r="J30" s="136"/>
      <c r="K30" s="137"/>
      <c r="L30" s="127">
        <v>207.91</v>
      </c>
      <c r="M30" s="392"/>
      <c r="N30" s="25">
        <f t="shared" si="7"/>
        <v>7484.76</v>
      </c>
      <c r="O30" s="25">
        <f t="shared" si="8"/>
        <v>5197.75</v>
      </c>
      <c r="P30" s="25">
        <f t="shared" si="9"/>
        <v>4989.84</v>
      </c>
      <c r="Q30" s="26">
        <f t="shared" si="10"/>
        <v>0</v>
      </c>
      <c r="R30" s="27">
        <f t="shared" si="11"/>
        <v>4989.84</v>
      </c>
      <c r="S30" s="28">
        <f t="shared" si="12"/>
        <v>22662.19</v>
      </c>
    </row>
    <row r="31" spans="2:19">
      <c r="B31" s="391" t="s">
        <v>221</v>
      </c>
      <c r="C31" s="143"/>
      <c r="D31" s="143"/>
      <c r="E31" s="143"/>
      <c r="F31" s="141">
        <v>12</v>
      </c>
      <c r="G31" s="142"/>
      <c r="H31" s="135">
        <f t="shared" si="0"/>
        <v>12</v>
      </c>
      <c r="I31" s="499">
        <f t="shared" si="1"/>
        <v>71.900000000000006</v>
      </c>
      <c r="J31" s="136"/>
      <c r="K31" s="137"/>
      <c r="L31" s="127">
        <v>71.900000000000006</v>
      </c>
      <c r="M31" s="392"/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862.80000000000007</v>
      </c>
      <c r="R31" s="27">
        <f t="shared" si="11"/>
        <v>0</v>
      </c>
      <c r="S31" s="28">
        <f t="shared" si="12"/>
        <v>862.80000000000007</v>
      </c>
    </row>
    <row r="32" spans="2:19" hidden="1">
      <c r="B32" s="391" t="s">
        <v>2195</v>
      </c>
      <c r="C32" s="141"/>
      <c r="D32" s="141"/>
      <c r="E32" s="141"/>
      <c r="F32" s="141"/>
      <c r="G32" s="142"/>
      <c r="H32" s="135">
        <f t="shared" si="0"/>
        <v>0</v>
      </c>
      <c r="I32" s="499">
        <f t="shared" si="1"/>
        <v>30.64</v>
      </c>
      <c r="J32" s="136"/>
      <c r="K32" s="137"/>
      <c r="L32" s="127">
        <v>30.64</v>
      </c>
      <c r="M32" s="392"/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2:19" hidden="1">
      <c r="B33" s="391" t="s">
        <v>2196</v>
      </c>
      <c r="C33" s="143"/>
      <c r="D33" s="143"/>
      <c r="E33" s="143"/>
      <c r="F33" s="141"/>
      <c r="G33" s="142"/>
      <c r="H33" s="135">
        <f t="shared" si="0"/>
        <v>0</v>
      </c>
      <c r="I33" s="499">
        <f t="shared" si="1"/>
        <v>14.3</v>
      </c>
      <c r="J33" s="136"/>
      <c r="K33" s="137"/>
      <c r="L33" s="127">
        <v>14.3</v>
      </c>
      <c r="M33" s="392"/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2:19" hidden="1">
      <c r="B34" s="391" t="s">
        <v>2197</v>
      </c>
      <c r="C34" s="143"/>
      <c r="D34" s="143"/>
      <c r="E34" s="143"/>
      <c r="F34" s="141"/>
      <c r="G34" s="142"/>
      <c r="H34" s="135">
        <f t="shared" si="0"/>
        <v>0</v>
      </c>
      <c r="I34" s="499">
        <f t="shared" si="1"/>
        <v>24.85</v>
      </c>
      <c r="J34" s="136"/>
      <c r="K34" s="137"/>
      <c r="L34" s="127">
        <v>24.85</v>
      </c>
      <c r="M34" s="392"/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2:19" hidden="1">
      <c r="B35" s="391" t="s">
        <v>2198</v>
      </c>
      <c r="C35" s="143"/>
      <c r="D35" s="143"/>
      <c r="E35" s="143"/>
      <c r="F35" s="141"/>
      <c r="G35" s="142"/>
      <c r="H35" s="135">
        <f t="shared" si="0"/>
        <v>0</v>
      </c>
      <c r="I35" s="499">
        <f t="shared" si="1"/>
        <v>61.89</v>
      </c>
      <c r="J35" s="136"/>
      <c r="K35" s="137"/>
      <c r="L35" s="127">
        <v>61.89</v>
      </c>
      <c r="M35" s="392"/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 hidden="1">
      <c r="B36" s="391" t="s">
        <v>282</v>
      </c>
      <c r="C36" s="143"/>
      <c r="D36" s="143"/>
      <c r="E36" s="143"/>
      <c r="F36" s="141"/>
      <c r="G36" s="142"/>
      <c r="H36" s="135">
        <f t="shared" si="0"/>
        <v>0</v>
      </c>
      <c r="I36" s="499">
        <f t="shared" si="1"/>
        <v>41.55</v>
      </c>
      <c r="J36" s="136"/>
      <c r="K36" s="137"/>
      <c r="L36" s="127">
        <v>41.55</v>
      </c>
      <c r="M36" s="392"/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2:19">
      <c r="B37" s="391" t="s">
        <v>226</v>
      </c>
      <c r="C37" s="141">
        <v>6</v>
      </c>
      <c r="D37" s="141">
        <v>220</v>
      </c>
      <c r="E37" s="141">
        <v>60</v>
      </c>
      <c r="F37" s="141">
        <v>96</v>
      </c>
      <c r="G37" s="142"/>
      <c r="H37" s="135">
        <f t="shared" si="0"/>
        <v>382</v>
      </c>
      <c r="I37" s="499">
        <f t="shared" si="1"/>
        <v>103.37</v>
      </c>
      <c r="J37" s="136"/>
      <c r="K37" s="137"/>
      <c r="L37" s="127">
        <v>103.37</v>
      </c>
      <c r="M37" s="392"/>
      <c r="N37" s="25">
        <f t="shared" si="7"/>
        <v>620.22</v>
      </c>
      <c r="O37" s="25">
        <f t="shared" si="8"/>
        <v>22741.4</v>
      </c>
      <c r="P37" s="25">
        <f t="shared" si="9"/>
        <v>6202.2000000000007</v>
      </c>
      <c r="Q37" s="26">
        <f t="shared" si="10"/>
        <v>9923.52</v>
      </c>
      <c r="R37" s="27">
        <f t="shared" si="11"/>
        <v>0</v>
      </c>
      <c r="S37" s="28">
        <f t="shared" si="12"/>
        <v>39487.340000000004</v>
      </c>
    </row>
    <row r="38" spans="2:19" hidden="1">
      <c r="B38" s="391" t="s">
        <v>1022</v>
      </c>
      <c r="C38" s="141"/>
      <c r="D38" s="141"/>
      <c r="E38" s="141"/>
      <c r="F38" s="141"/>
      <c r="G38" s="142"/>
      <c r="H38" s="135">
        <f t="shared" ref="H38:H69" si="13">SUM(C38:G38)</f>
        <v>0</v>
      </c>
      <c r="I38" s="499">
        <f t="shared" ref="I38:I69" si="14">L38-(L38*J38)</f>
        <v>116.14</v>
      </c>
      <c r="J38" s="136"/>
      <c r="K38" s="137"/>
      <c r="L38" s="127">
        <v>116.14</v>
      </c>
      <c r="M38" s="392"/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2:19" hidden="1">
      <c r="B39" s="391" t="s">
        <v>1023</v>
      </c>
      <c r="C39" s="141"/>
      <c r="D39" s="141"/>
      <c r="E39" s="141"/>
      <c r="F39" s="141"/>
      <c r="G39" s="142"/>
      <c r="H39" s="135">
        <f t="shared" si="13"/>
        <v>0</v>
      </c>
      <c r="I39" s="499">
        <f t="shared" si="14"/>
        <v>50.5</v>
      </c>
      <c r="J39" s="136"/>
      <c r="K39" s="137"/>
      <c r="L39" s="127">
        <v>50.5</v>
      </c>
      <c r="M39" s="392"/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</row>
    <row r="40" spans="2:19" hidden="1">
      <c r="B40" s="391" t="s">
        <v>1024</v>
      </c>
      <c r="C40" s="141"/>
      <c r="D40" s="141"/>
      <c r="E40" s="141"/>
      <c r="F40" s="141"/>
      <c r="G40" s="142"/>
      <c r="H40" s="135">
        <f t="shared" si="13"/>
        <v>0</v>
      </c>
      <c r="I40" s="499">
        <f t="shared" si="14"/>
        <v>100.99</v>
      </c>
      <c r="J40" s="136"/>
      <c r="K40" s="137"/>
      <c r="L40" s="127">
        <v>100.99</v>
      </c>
      <c r="M40" s="392"/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2:19" hidden="1">
      <c r="B41" s="391" t="s">
        <v>229</v>
      </c>
      <c r="C41" s="141"/>
      <c r="D41" s="141"/>
      <c r="E41" s="141"/>
      <c r="F41" s="141"/>
      <c r="G41" s="142"/>
      <c r="H41" s="135">
        <f t="shared" si="13"/>
        <v>0</v>
      </c>
      <c r="I41" s="499">
        <f t="shared" si="14"/>
        <v>29.6</v>
      </c>
      <c r="J41" s="136"/>
      <c r="K41" s="137"/>
      <c r="L41" s="127">
        <v>29.6</v>
      </c>
      <c r="M41" s="392"/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2:19">
      <c r="B42" s="391" t="s">
        <v>230</v>
      </c>
      <c r="C42" s="141"/>
      <c r="D42" s="141">
        <v>2</v>
      </c>
      <c r="E42" s="141"/>
      <c r="F42" s="141">
        <v>6</v>
      </c>
      <c r="G42" s="142"/>
      <c r="H42" s="135">
        <f t="shared" si="13"/>
        <v>8</v>
      </c>
      <c r="I42" s="499">
        <f t="shared" si="14"/>
        <v>126.32</v>
      </c>
      <c r="J42" s="136"/>
      <c r="K42" s="137"/>
      <c r="L42" s="127">
        <v>126.32</v>
      </c>
      <c r="M42" s="392"/>
      <c r="N42" s="25">
        <f t="shared" si="7"/>
        <v>0</v>
      </c>
      <c r="O42" s="25">
        <f t="shared" si="8"/>
        <v>252.64</v>
      </c>
      <c r="P42" s="25">
        <f t="shared" si="9"/>
        <v>0</v>
      </c>
      <c r="Q42" s="26">
        <f t="shared" si="10"/>
        <v>757.92</v>
      </c>
      <c r="R42" s="27">
        <f t="shared" si="11"/>
        <v>0</v>
      </c>
      <c r="S42" s="28">
        <f t="shared" si="12"/>
        <v>1010.56</v>
      </c>
    </row>
    <row r="43" spans="2:19" hidden="1">
      <c r="B43" s="391" t="s">
        <v>231</v>
      </c>
      <c r="C43" s="141"/>
      <c r="D43" s="141"/>
      <c r="E43" s="141"/>
      <c r="F43" s="141"/>
      <c r="G43" s="142"/>
      <c r="H43" s="135">
        <f t="shared" si="13"/>
        <v>0</v>
      </c>
      <c r="I43" s="499">
        <f t="shared" si="14"/>
        <v>100.31</v>
      </c>
      <c r="J43" s="136"/>
      <c r="K43" s="137"/>
      <c r="L43" s="127">
        <v>100.31</v>
      </c>
      <c r="M43" s="392"/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2:19" hidden="1">
      <c r="B44" s="391" t="s">
        <v>232</v>
      </c>
      <c r="C44" s="141"/>
      <c r="D44" s="141"/>
      <c r="E44" s="141"/>
      <c r="F44" s="141"/>
      <c r="G44" s="142"/>
      <c r="H44" s="135">
        <f t="shared" si="13"/>
        <v>0</v>
      </c>
      <c r="I44" s="499">
        <f t="shared" si="14"/>
        <v>44.44</v>
      </c>
      <c r="J44" s="136"/>
      <c r="K44" s="137"/>
      <c r="L44" s="127">
        <v>44.44</v>
      </c>
      <c r="M44" s="392"/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 hidden="1">
      <c r="B45" s="391" t="s">
        <v>283</v>
      </c>
      <c r="C45" s="141"/>
      <c r="D45" s="141"/>
      <c r="E45" s="141"/>
      <c r="F45" s="141"/>
      <c r="G45" s="142"/>
      <c r="H45" s="135">
        <f t="shared" si="13"/>
        <v>0</v>
      </c>
      <c r="I45" s="499">
        <f t="shared" si="14"/>
        <v>7.77</v>
      </c>
      <c r="J45" s="136"/>
      <c r="K45" s="137"/>
      <c r="L45" s="127">
        <v>7.77</v>
      </c>
      <c r="M45" s="392"/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2:19" hidden="1">
      <c r="B46" s="391" t="s">
        <v>284</v>
      </c>
      <c r="C46" s="141"/>
      <c r="D46" s="141"/>
      <c r="E46" s="141"/>
      <c r="F46" s="141"/>
      <c r="G46" s="142"/>
      <c r="H46" s="135">
        <f t="shared" si="13"/>
        <v>0</v>
      </c>
      <c r="I46" s="499">
        <f t="shared" si="14"/>
        <v>60.85</v>
      </c>
      <c r="J46" s="136"/>
      <c r="K46" s="137"/>
      <c r="L46" s="127">
        <v>60.85</v>
      </c>
      <c r="M46" s="392"/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 hidden="1">
      <c r="B47" s="391" t="s">
        <v>285</v>
      </c>
      <c r="C47" s="141"/>
      <c r="D47" s="141"/>
      <c r="E47" s="141"/>
      <c r="F47" s="141"/>
      <c r="G47" s="142"/>
      <c r="H47" s="135">
        <f t="shared" si="13"/>
        <v>0</v>
      </c>
      <c r="I47" s="499">
        <f t="shared" si="14"/>
        <v>10.79</v>
      </c>
      <c r="J47" s="136"/>
      <c r="K47" s="137"/>
      <c r="L47" s="127">
        <v>10.79</v>
      </c>
      <c r="M47" s="392"/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2:19" hidden="1">
      <c r="B48" s="391" t="s">
        <v>286</v>
      </c>
      <c r="C48" s="141"/>
      <c r="D48" s="141"/>
      <c r="E48" s="141"/>
      <c r="F48" s="141"/>
      <c r="G48" s="142"/>
      <c r="H48" s="135">
        <f t="shared" si="13"/>
        <v>0</v>
      </c>
      <c r="I48" s="499">
        <f t="shared" si="14"/>
        <v>84.21</v>
      </c>
      <c r="J48" s="136"/>
      <c r="K48" s="137"/>
      <c r="L48" s="127">
        <v>84.21</v>
      </c>
      <c r="M48" s="392"/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2:19" hidden="1">
      <c r="B49" s="391" t="s">
        <v>287</v>
      </c>
      <c r="C49" s="141"/>
      <c r="D49" s="141"/>
      <c r="E49" s="141"/>
      <c r="F49" s="141"/>
      <c r="G49" s="142"/>
      <c r="H49" s="135">
        <f t="shared" si="13"/>
        <v>0</v>
      </c>
      <c r="I49" s="499">
        <f t="shared" si="14"/>
        <v>15.09</v>
      </c>
      <c r="J49" s="136"/>
      <c r="K49" s="137"/>
      <c r="L49" s="127">
        <v>15.09</v>
      </c>
      <c r="M49" s="392"/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19" hidden="1">
      <c r="B50" s="391" t="s">
        <v>288</v>
      </c>
      <c r="C50" s="141"/>
      <c r="D50" s="141"/>
      <c r="E50" s="141"/>
      <c r="F50" s="141"/>
      <c r="G50" s="142"/>
      <c r="H50" s="135">
        <f t="shared" si="13"/>
        <v>0</v>
      </c>
      <c r="I50" s="499">
        <f t="shared" si="14"/>
        <v>50.1</v>
      </c>
      <c r="J50" s="136"/>
      <c r="K50" s="137"/>
      <c r="L50" s="127">
        <v>50.1</v>
      </c>
      <c r="M50" s="392"/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19" hidden="1">
      <c r="B51" s="391" t="s">
        <v>737</v>
      </c>
      <c r="C51" s="141"/>
      <c r="D51" s="141"/>
      <c r="E51" s="141"/>
      <c r="F51" s="141"/>
      <c r="G51" s="142"/>
      <c r="H51" s="135">
        <f t="shared" si="13"/>
        <v>0</v>
      </c>
      <c r="I51" s="499">
        <f t="shared" si="14"/>
        <v>58.41</v>
      </c>
      <c r="J51" s="136"/>
      <c r="K51" s="137"/>
      <c r="L51" s="127">
        <v>58.41</v>
      </c>
      <c r="M51" s="392"/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</row>
    <row r="52" spans="2:19" hidden="1">
      <c r="B52" s="391" t="s">
        <v>289</v>
      </c>
      <c r="C52" s="141"/>
      <c r="D52" s="141"/>
      <c r="E52" s="141"/>
      <c r="F52" s="141"/>
      <c r="G52" s="142"/>
      <c r="H52" s="135">
        <f t="shared" si="13"/>
        <v>0</v>
      </c>
      <c r="I52" s="499">
        <f t="shared" si="14"/>
        <v>44.97</v>
      </c>
      <c r="J52" s="136"/>
      <c r="K52" s="137"/>
      <c r="L52" s="127">
        <v>44.97</v>
      </c>
      <c r="M52" s="392"/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19" hidden="1">
      <c r="B53" s="391" t="s">
        <v>290</v>
      </c>
      <c r="C53" s="141"/>
      <c r="D53" s="141"/>
      <c r="E53" s="141"/>
      <c r="F53" s="141"/>
      <c r="G53" s="142"/>
      <c r="H53" s="135">
        <f t="shared" si="13"/>
        <v>0</v>
      </c>
      <c r="I53" s="499">
        <f t="shared" si="14"/>
        <v>67.75</v>
      </c>
      <c r="J53" s="136"/>
      <c r="K53" s="137"/>
      <c r="L53" s="127">
        <v>67.75</v>
      </c>
      <c r="M53" s="392"/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2:19" hidden="1">
      <c r="B54" s="391" t="s">
        <v>291</v>
      </c>
      <c r="C54" s="141"/>
      <c r="D54" s="141"/>
      <c r="E54" s="141"/>
      <c r="F54" s="141"/>
      <c r="G54" s="142"/>
      <c r="H54" s="135">
        <f t="shared" si="13"/>
        <v>0</v>
      </c>
      <c r="I54" s="499">
        <f t="shared" si="14"/>
        <v>51.5</v>
      </c>
      <c r="J54" s="136"/>
      <c r="K54" s="137"/>
      <c r="L54" s="127">
        <v>51.5</v>
      </c>
      <c r="M54" s="392"/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19">
      <c r="B55" s="391" t="s">
        <v>292</v>
      </c>
      <c r="C55" s="141"/>
      <c r="D55" s="141">
        <v>24</v>
      </c>
      <c r="E55" s="141"/>
      <c r="F55" s="141"/>
      <c r="G55" s="142"/>
      <c r="H55" s="135">
        <f t="shared" si="13"/>
        <v>24</v>
      </c>
      <c r="I55" s="499">
        <f t="shared" si="14"/>
        <v>29.74</v>
      </c>
      <c r="J55" s="136"/>
      <c r="K55" s="137"/>
      <c r="L55" s="127">
        <v>29.74</v>
      </c>
      <c r="M55" s="392"/>
      <c r="N55" s="25">
        <f t="shared" si="7"/>
        <v>0</v>
      </c>
      <c r="O55" s="25">
        <f t="shared" si="8"/>
        <v>713.76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713.76</v>
      </c>
    </row>
    <row r="56" spans="2:19">
      <c r="B56" s="391" t="s">
        <v>293</v>
      </c>
      <c r="C56" s="141"/>
      <c r="D56" s="141">
        <v>16</v>
      </c>
      <c r="E56" s="141"/>
      <c r="F56" s="141"/>
      <c r="G56" s="142"/>
      <c r="H56" s="135">
        <f t="shared" si="13"/>
        <v>16</v>
      </c>
      <c r="I56" s="499">
        <f t="shared" si="14"/>
        <v>32.729999999999997</v>
      </c>
      <c r="J56" s="136"/>
      <c r="K56" s="137"/>
      <c r="L56" s="127">
        <v>32.729999999999997</v>
      </c>
      <c r="M56" s="392"/>
      <c r="N56" s="25">
        <f t="shared" si="7"/>
        <v>0</v>
      </c>
      <c r="O56" s="25">
        <f t="shared" si="8"/>
        <v>523.67999999999995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523.67999999999995</v>
      </c>
    </row>
    <row r="57" spans="2:19" hidden="1">
      <c r="B57" s="391" t="s">
        <v>294</v>
      </c>
      <c r="C57" s="141"/>
      <c r="D57" s="141"/>
      <c r="E57" s="141"/>
      <c r="F57" s="141"/>
      <c r="G57" s="142"/>
      <c r="H57" s="135">
        <f t="shared" si="13"/>
        <v>0</v>
      </c>
      <c r="I57" s="499">
        <f t="shared" si="14"/>
        <v>49.28</v>
      </c>
      <c r="J57" s="136"/>
      <c r="K57" s="137"/>
      <c r="L57" s="127">
        <v>49.28</v>
      </c>
      <c r="M57" s="392"/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0</v>
      </c>
    </row>
    <row r="58" spans="2:19">
      <c r="B58" s="391" t="s">
        <v>295</v>
      </c>
      <c r="C58" s="141">
        <v>24</v>
      </c>
      <c r="D58" s="141">
        <v>46</v>
      </c>
      <c r="E58" s="141"/>
      <c r="F58" s="141">
        <v>12</v>
      </c>
      <c r="G58" s="142"/>
      <c r="H58" s="135">
        <f t="shared" si="13"/>
        <v>82</v>
      </c>
      <c r="I58" s="499">
        <f t="shared" si="14"/>
        <v>20.54</v>
      </c>
      <c r="J58" s="136"/>
      <c r="K58" s="137"/>
      <c r="L58" s="127">
        <v>20.54</v>
      </c>
      <c r="M58" s="392"/>
      <c r="N58" s="25">
        <f t="shared" si="7"/>
        <v>492.96</v>
      </c>
      <c r="O58" s="25">
        <f t="shared" si="8"/>
        <v>944.83999999999992</v>
      </c>
      <c r="P58" s="25">
        <f t="shared" si="9"/>
        <v>0</v>
      </c>
      <c r="Q58" s="26">
        <f t="shared" si="10"/>
        <v>246.48</v>
      </c>
      <c r="R58" s="27">
        <f t="shared" si="11"/>
        <v>0</v>
      </c>
      <c r="S58" s="28">
        <f t="shared" si="12"/>
        <v>1684.28</v>
      </c>
    </row>
    <row r="59" spans="2:19" hidden="1">
      <c r="B59" s="391" t="s">
        <v>296</v>
      </c>
      <c r="C59" s="141"/>
      <c r="D59" s="141"/>
      <c r="E59" s="141"/>
      <c r="F59" s="141"/>
      <c r="G59" s="142"/>
      <c r="H59" s="135">
        <f t="shared" si="13"/>
        <v>0</v>
      </c>
      <c r="I59" s="499">
        <f t="shared" si="14"/>
        <v>50.54</v>
      </c>
      <c r="J59" s="136"/>
      <c r="K59" s="137"/>
      <c r="L59" s="127">
        <v>50.54</v>
      </c>
      <c r="M59" s="392"/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2:19">
      <c r="B60" s="391" t="s">
        <v>297</v>
      </c>
      <c r="C60" s="141"/>
      <c r="D60" s="141">
        <v>24</v>
      </c>
      <c r="E60" s="141"/>
      <c r="F60" s="141"/>
      <c r="G60" s="142"/>
      <c r="H60" s="135">
        <f t="shared" si="13"/>
        <v>24</v>
      </c>
      <c r="I60" s="499">
        <f t="shared" si="14"/>
        <v>29.6</v>
      </c>
      <c r="J60" s="136"/>
      <c r="K60" s="137"/>
      <c r="L60" s="127">
        <v>29.6</v>
      </c>
      <c r="M60" s="392"/>
      <c r="N60" s="25">
        <f t="shared" si="7"/>
        <v>0</v>
      </c>
      <c r="O60" s="25">
        <f t="shared" si="8"/>
        <v>710.40000000000009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710.40000000000009</v>
      </c>
    </row>
    <row r="61" spans="2:19" hidden="1">
      <c r="B61" s="391" t="s">
        <v>298</v>
      </c>
      <c r="C61" s="141"/>
      <c r="D61" s="141"/>
      <c r="E61" s="141"/>
      <c r="F61" s="141"/>
      <c r="G61" s="142"/>
      <c r="H61" s="135">
        <f t="shared" si="13"/>
        <v>0</v>
      </c>
      <c r="I61" s="499">
        <f t="shared" si="14"/>
        <v>47.58</v>
      </c>
      <c r="J61" s="136"/>
      <c r="K61" s="137"/>
      <c r="L61" s="127">
        <v>47.58</v>
      </c>
      <c r="M61" s="392"/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0</v>
      </c>
      <c r="R61" s="27">
        <f t="shared" si="11"/>
        <v>0</v>
      </c>
      <c r="S61" s="28">
        <f t="shared" si="12"/>
        <v>0</v>
      </c>
    </row>
    <row r="62" spans="2:19" hidden="1">
      <c r="B62" s="391" t="s">
        <v>299</v>
      </c>
      <c r="C62" s="141"/>
      <c r="D62" s="141"/>
      <c r="E62" s="141"/>
      <c r="F62" s="141"/>
      <c r="G62" s="142"/>
      <c r="H62" s="135">
        <f t="shared" si="13"/>
        <v>0</v>
      </c>
      <c r="I62" s="499">
        <f t="shared" si="14"/>
        <v>35.71</v>
      </c>
      <c r="J62" s="136"/>
      <c r="K62" s="137"/>
      <c r="L62" s="127">
        <v>35.71</v>
      </c>
      <c r="M62" s="392"/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0</v>
      </c>
      <c r="R62" s="27">
        <f t="shared" si="11"/>
        <v>0</v>
      </c>
      <c r="S62" s="28">
        <f t="shared" si="12"/>
        <v>0</v>
      </c>
    </row>
    <row r="63" spans="2:19">
      <c r="B63" s="391" t="s">
        <v>300</v>
      </c>
      <c r="C63" s="141">
        <v>24</v>
      </c>
      <c r="D63" s="141"/>
      <c r="E63" s="141"/>
      <c r="F63" s="141"/>
      <c r="G63" s="142"/>
      <c r="H63" s="135">
        <f t="shared" si="13"/>
        <v>24</v>
      </c>
      <c r="I63" s="499">
        <f t="shared" si="14"/>
        <v>21.53</v>
      </c>
      <c r="J63" s="136"/>
      <c r="K63" s="137"/>
      <c r="L63" s="127">
        <v>21.53</v>
      </c>
      <c r="M63" s="392"/>
      <c r="N63" s="25">
        <f t="shared" si="7"/>
        <v>516.72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0</v>
      </c>
      <c r="S63" s="28">
        <f t="shared" si="12"/>
        <v>516.72</v>
      </c>
    </row>
    <row r="64" spans="2:19">
      <c r="B64" s="391" t="s">
        <v>301</v>
      </c>
      <c r="C64" s="141"/>
      <c r="D64" s="141">
        <v>46</v>
      </c>
      <c r="E64" s="141"/>
      <c r="F64" s="141"/>
      <c r="G64" s="142"/>
      <c r="H64" s="135">
        <f t="shared" si="13"/>
        <v>46</v>
      </c>
      <c r="I64" s="499">
        <f t="shared" si="14"/>
        <v>33.96</v>
      </c>
      <c r="J64" s="136"/>
      <c r="K64" s="137"/>
      <c r="L64" s="127">
        <v>33.96</v>
      </c>
      <c r="M64" s="392"/>
      <c r="N64" s="25">
        <f t="shared" si="7"/>
        <v>0</v>
      </c>
      <c r="O64" s="25">
        <f t="shared" si="8"/>
        <v>1562.16</v>
      </c>
      <c r="P64" s="25">
        <f t="shared" si="9"/>
        <v>0</v>
      </c>
      <c r="Q64" s="26">
        <f t="shared" si="10"/>
        <v>0</v>
      </c>
      <c r="R64" s="27">
        <f t="shared" si="11"/>
        <v>0</v>
      </c>
      <c r="S64" s="28">
        <f t="shared" si="12"/>
        <v>1562.16</v>
      </c>
    </row>
    <row r="65" spans="2:19" hidden="1">
      <c r="B65" s="391" t="s">
        <v>302</v>
      </c>
      <c r="C65" s="141"/>
      <c r="D65" s="141"/>
      <c r="E65" s="141"/>
      <c r="F65" s="141"/>
      <c r="G65" s="142"/>
      <c r="H65" s="135">
        <f t="shared" si="13"/>
        <v>0</v>
      </c>
      <c r="I65" s="499">
        <f t="shared" si="14"/>
        <v>61.92</v>
      </c>
      <c r="J65" s="136"/>
      <c r="K65" s="137"/>
      <c r="L65" s="127">
        <v>61.92</v>
      </c>
      <c r="M65" s="392"/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</row>
    <row r="66" spans="2:19" hidden="1">
      <c r="B66" s="391" t="s">
        <v>738</v>
      </c>
      <c r="C66" s="141"/>
      <c r="D66" s="141"/>
      <c r="E66" s="141"/>
      <c r="F66" s="141"/>
      <c r="G66" s="142"/>
      <c r="H66" s="135">
        <f t="shared" si="13"/>
        <v>0</v>
      </c>
      <c r="I66" s="499">
        <f t="shared" si="14"/>
        <v>73.77</v>
      </c>
      <c r="J66" s="136"/>
      <c r="K66" s="137"/>
      <c r="L66" s="127">
        <v>73.77</v>
      </c>
      <c r="M66" s="392"/>
      <c r="N66" s="25">
        <f t="shared" si="7"/>
        <v>0</v>
      </c>
      <c r="O66" s="25">
        <f t="shared" si="8"/>
        <v>0</v>
      </c>
      <c r="P66" s="25">
        <f t="shared" si="9"/>
        <v>0</v>
      </c>
      <c r="Q66" s="26">
        <f t="shared" si="10"/>
        <v>0</v>
      </c>
      <c r="R66" s="27">
        <f t="shared" si="11"/>
        <v>0</v>
      </c>
      <c r="S66" s="28">
        <f t="shared" si="12"/>
        <v>0</v>
      </c>
    </row>
    <row r="67" spans="2:19" hidden="1">
      <c r="B67" s="391" t="s">
        <v>303</v>
      </c>
      <c r="C67" s="141"/>
      <c r="D67" s="141"/>
      <c r="E67" s="141"/>
      <c r="F67" s="141"/>
      <c r="G67" s="142"/>
      <c r="H67" s="135">
        <f t="shared" si="13"/>
        <v>0</v>
      </c>
      <c r="I67" s="499">
        <f t="shared" si="14"/>
        <v>60.71</v>
      </c>
      <c r="J67" s="136"/>
      <c r="K67" s="137"/>
      <c r="L67" s="127">
        <v>60.71</v>
      </c>
      <c r="M67" s="392"/>
      <c r="N67" s="25">
        <f t="shared" si="7"/>
        <v>0</v>
      </c>
      <c r="O67" s="25">
        <f t="shared" si="8"/>
        <v>0</v>
      </c>
      <c r="P67" s="25">
        <f t="shared" si="9"/>
        <v>0</v>
      </c>
      <c r="Q67" s="26">
        <f t="shared" si="10"/>
        <v>0</v>
      </c>
      <c r="R67" s="27">
        <f t="shared" si="11"/>
        <v>0</v>
      </c>
      <c r="S67" s="28">
        <f t="shared" si="12"/>
        <v>0</v>
      </c>
    </row>
    <row r="68" spans="2:19">
      <c r="B68" s="391" t="s">
        <v>246</v>
      </c>
      <c r="C68" s="141"/>
      <c r="D68" s="141">
        <v>12</v>
      </c>
      <c r="E68" s="141"/>
      <c r="F68" s="141"/>
      <c r="G68" s="142"/>
      <c r="H68" s="135">
        <f t="shared" si="13"/>
        <v>12</v>
      </c>
      <c r="I68" s="499">
        <f t="shared" si="14"/>
        <v>19.420000000000002</v>
      </c>
      <c r="J68" s="136"/>
      <c r="K68" s="137"/>
      <c r="L68" s="127">
        <v>19.420000000000002</v>
      </c>
      <c r="M68" s="392"/>
      <c r="N68" s="25">
        <f t="shared" si="7"/>
        <v>0</v>
      </c>
      <c r="O68" s="25">
        <f t="shared" si="8"/>
        <v>233.04000000000002</v>
      </c>
      <c r="P68" s="25">
        <f t="shared" si="9"/>
        <v>0</v>
      </c>
      <c r="Q68" s="26">
        <f t="shared" si="10"/>
        <v>0</v>
      </c>
      <c r="R68" s="27">
        <f t="shared" si="11"/>
        <v>0</v>
      </c>
      <c r="S68" s="28">
        <f t="shared" si="12"/>
        <v>233.04000000000002</v>
      </c>
    </row>
    <row r="69" spans="2:19">
      <c r="B69" s="391" t="s">
        <v>247</v>
      </c>
      <c r="C69" s="141"/>
      <c r="D69" s="141"/>
      <c r="E69" s="141">
        <v>30</v>
      </c>
      <c r="F69" s="141">
        <v>72</v>
      </c>
      <c r="G69" s="142"/>
      <c r="H69" s="135">
        <f t="shared" si="13"/>
        <v>102</v>
      </c>
      <c r="I69" s="499">
        <f t="shared" si="14"/>
        <v>22.06</v>
      </c>
      <c r="J69" s="136"/>
      <c r="K69" s="137"/>
      <c r="L69" s="127">
        <v>22.06</v>
      </c>
      <c r="M69" s="392"/>
      <c r="N69" s="25">
        <f t="shared" si="7"/>
        <v>0</v>
      </c>
      <c r="O69" s="25">
        <f t="shared" si="8"/>
        <v>0</v>
      </c>
      <c r="P69" s="25">
        <f t="shared" si="9"/>
        <v>661.8</v>
      </c>
      <c r="Q69" s="26">
        <f t="shared" si="10"/>
        <v>1588.32</v>
      </c>
      <c r="R69" s="27">
        <f t="shared" si="11"/>
        <v>0</v>
      </c>
      <c r="S69" s="28">
        <f t="shared" si="12"/>
        <v>2250.12</v>
      </c>
    </row>
    <row r="70" spans="2:19">
      <c r="B70" s="391" t="s">
        <v>304</v>
      </c>
      <c r="C70" s="141">
        <v>12</v>
      </c>
      <c r="D70" s="141">
        <v>20</v>
      </c>
      <c r="E70" s="141">
        <v>6</v>
      </c>
      <c r="F70" s="141">
        <v>12</v>
      </c>
      <c r="G70" s="142"/>
      <c r="H70" s="135">
        <f t="shared" ref="H70:H108" si="15">SUM(C70:G70)</f>
        <v>50</v>
      </c>
      <c r="I70" s="499">
        <f t="shared" ref="I70:I108" si="16">L70-(L70*J70)</f>
        <v>53.97</v>
      </c>
      <c r="J70" s="136"/>
      <c r="K70" s="137"/>
      <c r="L70" s="127">
        <v>53.97</v>
      </c>
      <c r="M70" s="392"/>
      <c r="N70" s="25">
        <f t="shared" si="7"/>
        <v>647.64</v>
      </c>
      <c r="O70" s="25">
        <f t="shared" si="8"/>
        <v>1079.4000000000001</v>
      </c>
      <c r="P70" s="25">
        <f t="shared" si="9"/>
        <v>323.82</v>
      </c>
      <c r="Q70" s="26">
        <f t="shared" si="10"/>
        <v>647.64</v>
      </c>
      <c r="R70" s="27">
        <f t="shared" si="11"/>
        <v>0</v>
      </c>
      <c r="S70" s="28">
        <f t="shared" si="12"/>
        <v>2698.5</v>
      </c>
    </row>
    <row r="71" spans="2:19" hidden="1">
      <c r="B71" s="391" t="s">
        <v>305</v>
      </c>
      <c r="C71" s="141"/>
      <c r="D71" s="141"/>
      <c r="E71" s="141"/>
      <c r="F71" s="141"/>
      <c r="G71" s="142"/>
      <c r="H71" s="135">
        <f t="shared" si="15"/>
        <v>0</v>
      </c>
      <c r="I71" s="499">
        <f t="shared" si="16"/>
        <v>96.18</v>
      </c>
      <c r="J71" s="136"/>
      <c r="K71" s="137"/>
      <c r="L71" s="127">
        <v>96.18</v>
      </c>
      <c r="M71" s="392"/>
      <c r="N71" s="25">
        <f t="shared" ref="N71:N128" si="17">I71*C71</f>
        <v>0</v>
      </c>
      <c r="O71" s="25">
        <f t="shared" ref="O71:O128" si="18">I71*D71</f>
        <v>0</v>
      </c>
      <c r="P71" s="25">
        <f t="shared" ref="P71:P128" si="19">I71*E71</f>
        <v>0</v>
      </c>
      <c r="Q71" s="26">
        <f t="shared" ref="Q71:Q128" si="20">I71*F71</f>
        <v>0</v>
      </c>
      <c r="R71" s="27">
        <f t="shared" ref="R71:R128" si="21">I71*G71</f>
        <v>0</v>
      </c>
      <c r="S71" s="28">
        <f t="shared" ref="S71:S128" si="22">SUM(N71:R71)</f>
        <v>0</v>
      </c>
    </row>
    <row r="72" spans="2:19">
      <c r="B72" s="391" t="s">
        <v>2199</v>
      </c>
      <c r="C72" s="141"/>
      <c r="D72" s="141"/>
      <c r="E72" s="141">
        <v>12</v>
      </c>
      <c r="F72" s="141"/>
      <c r="G72" s="142"/>
      <c r="H72" s="135">
        <f t="shared" si="15"/>
        <v>12</v>
      </c>
      <c r="I72" s="499">
        <f t="shared" si="16"/>
        <v>66.95</v>
      </c>
      <c r="J72" s="136"/>
      <c r="K72" s="137"/>
      <c r="L72" s="127">
        <v>66.95</v>
      </c>
      <c r="M72" s="392"/>
      <c r="N72" s="25">
        <f t="shared" si="17"/>
        <v>0</v>
      </c>
      <c r="O72" s="25">
        <f t="shared" si="18"/>
        <v>0</v>
      </c>
      <c r="P72" s="25">
        <f t="shared" si="19"/>
        <v>803.40000000000009</v>
      </c>
      <c r="Q72" s="26">
        <f t="shared" si="20"/>
        <v>0</v>
      </c>
      <c r="R72" s="27">
        <f t="shared" si="21"/>
        <v>0</v>
      </c>
      <c r="S72" s="28">
        <f t="shared" si="22"/>
        <v>803.40000000000009</v>
      </c>
    </row>
    <row r="73" spans="2:19" hidden="1">
      <c r="B73" s="391" t="s">
        <v>306</v>
      </c>
      <c r="C73" s="141"/>
      <c r="D73" s="141"/>
      <c r="E73" s="141"/>
      <c r="F73" s="141"/>
      <c r="G73" s="142"/>
      <c r="H73" s="135">
        <f t="shared" si="15"/>
        <v>0</v>
      </c>
      <c r="I73" s="499">
        <f t="shared" si="16"/>
        <v>25.12</v>
      </c>
      <c r="J73" s="136"/>
      <c r="K73" s="137"/>
      <c r="L73" s="127">
        <v>25.12</v>
      </c>
      <c r="M73" s="392"/>
      <c r="N73" s="25">
        <f t="shared" si="17"/>
        <v>0</v>
      </c>
      <c r="O73" s="25">
        <f t="shared" si="18"/>
        <v>0</v>
      </c>
      <c r="P73" s="25">
        <f t="shared" si="19"/>
        <v>0</v>
      </c>
      <c r="Q73" s="26">
        <f t="shared" si="20"/>
        <v>0</v>
      </c>
      <c r="R73" s="27">
        <f t="shared" si="21"/>
        <v>0</v>
      </c>
      <c r="S73" s="28">
        <f t="shared" si="22"/>
        <v>0</v>
      </c>
    </row>
    <row r="74" spans="2:19" hidden="1">
      <c r="B74" s="391" t="s">
        <v>307</v>
      </c>
      <c r="C74" s="141"/>
      <c r="D74" s="141"/>
      <c r="E74" s="141"/>
      <c r="F74" s="141"/>
      <c r="G74" s="142"/>
      <c r="H74" s="135">
        <f t="shared" si="15"/>
        <v>0</v>
      </c>
      <c r="I74" s="499">
        <f t="shared" si="16"/>
        <v>226.37</v>
      </c>
      <c r="J74" s="136"/>
      <c r="K74" s="137"/>
      <c r="L74" s="127">
        <v>226.37</v>
      </c>
      <c r="M74" s="392"/>
      <c r="N74" s="25">
        <f t="shared" si="17"/>
        <v>0</v>
      </c>
      <c r="O74" s="25">
        <f t="shared" si="18"/>
        <v>0</v>
      </c>
      <c r="P74" s="25">
        <f t="shared" si="19"/>
        <v>0</v>
      </c>
      <c r="Q74" s="26">
        <f t="shared" si="20"/>
        <v>0</v>
      </c>
      <c r="R74" s="27">
        <f t="shared" si="21"/>
        <v>0</v>
      </c>
      <c r="S74" s="28">
        <f t="shared" si="22"/>
        <v>0</v>
      </c>
    </row>
    <row r="75" spans="2:19" hidden="1">
      <c r="B75" s="391" t="s">
        <v>308</v>
      </c>
      <c r="C75" s="141"/>
      <c r="D75" s="141"/>
      <c r="E75" s="141"/>
      <c r="F75" s="141"/>
      <c r="G75" s="142"/>
      <c r="H75" s="135">
        <f t="shared" si="15"/>
        <v>0</v>
      </c>
      <c r="I75" s="499">
        <f t="shared" si="16"/>
        <v>31.79</v>
      </c>
      <c r="J75" s="136"/>
      <c r="K75" s="137"/>
      <c r="L75" s="127">
        <v>31.79</v>
      </c>
      <c r="M75" s="392"/>
      <c r="N75" s="25">
        <f t="shared" si="17"/>
        <v>0</v>
      </c>
      <c r="O75" s="25">
        <f t="shared" si="18"/>
        <v>0</v>
      </c>
      <c r="P75" s="25">
        <f t="shared" si="19"/>
        <v>0</v>
      </c>
      <c r="Q75" s="26">
        <f t="shared" si="20"/>
        <v>0</v>
      </c>
      <c r="R75" s="27">
        <f t="shared" si="21"/>
        <v>0</v>
      </c>
      <c r="S75" s="28">
        <f t="shared" si="22"/>
        <v>0</v>
      </c>
    </row>
    <row r="76" spans="2:19" hidden="1">
      <c r="B76" s="391" t="s">
        <v>309</v>
      </c>
      <c r="C76" s="141"/>
      <c r="D76" s="141"/>
      <c r="E76" s="141"/>
      <c r="F76" s="141"/>
      <c r="G76" s="142"/>
      <c r="H76" s="135">
        <f t="shared" si="15"/>
        <v>0</v>
      </c>
      <c r="I76" s="499">
        <f t="shared" si="16"/>
        <v>282.48</v>
      </c>
      <c r="J76" s="136"/>
      <c r="K76" s="137"/>
      <c r="L76" s="127">
        <v>282.48</v>
      </c>
      <c r="M76" s="392"/>
      <c r="N76" s="25">
        <f t="shared" si="17"/>
        <v>0</v>
      </c>
      <c r="O76" s="25">
        <f t="shared" si="18"/>
        <v>0</v>
      </c>
      <c r="P76" s="25">
        <f t="shared" si="19"/>
        <v>0</v>
      </c>
      <c r="Q76" s="26">
        <f t="shared" si="20"/>
        <v>0</v>
      </c>
      <c r="R76" s="27">
        <f t="shared" si="21"/>
        <v>0</v>
      </c>
      <c r="S76" s="28">
        <f t="shared" si="22"/>
        <v>0</v>
      </c>
    </row>
    <row r="77" spans="2:19" hidden="1">
      <c r="B77" s="391" t="s">
        <v>310</v>
      </c>
      <c r="C77" s="141"/>
      <c r="D77" s="141"/>
      <c r="E77" s="141"/>
      <c r="F77" s="141"/>
      <c r="G77" s="142"/>
      <c r="H77" s="135">
        <f t="shared" si="15"/>
        <v>0</v>
      </c>
      <c r="I77" s="499">
        <f t="shared" si="16"/>
        <v>39.78</v>
      </c>
      <c r="J77" s="136"/>
      <c r="K77" s="137"/>
      <c r="L77" s="127">
        <v>39.78</v>
      </c>
      <c r="M77" s="392"/>
      <c r="N77" s="25">
        <f t="shared" si="17"/>
        <v>0</v>
      </c>
      <c r="O77" s="25">
        <f t="shared" si="18"/>
        <v>0</v>
      </c>
      <c r="P77" s="25">
        <f t="shared" si="19"/>
        <v>0</v>
      </c>
      <c r="Q77" s="26">
        <f t="shared" si="20"/>
        <v>0</v>
      </c>
      <c r="R77" s="27">
        <f t="shared" si="21"/>
        <v>0</v>
      </c>
      <c r="S77" s="28">
        <f t="shared" si="22"/>
        <v>0</v>
      </c>
    </row>
    <row r="78" spans="2:19" hidden="1">
      <c r="B78" s="391" t="s">
        <v>311</v>
      </c>
      <c r="C78" s="141"/>
      <c r="D78" s="141"/>
      <c r="E78" s="141"/>
      <c r="F78" s="141"/>
      <c r="G78" s="142"/>
      <c r="H78" s="135">
        <f t="shared" ref="H78:H88" si="23">SUM(C78:G78)</f>
        <v>0</v>
      </c>
      <c r="I78" s="499">
        <f t="shared" ref="I78:I88" si="24">L78-(L78*J78)</f>
        <v>357.65</v>
      </c>
      <c r="J78" s="136"/>
      <c r="K78" s="137"/>
      <c r="L78" s="127">
        <v>357.65</v>
      </c>
      <c r="M78" s="392"/>
      <c r="N78" s="25">
        <f t="shared" si="17"/>
        <v>0</v>
      </c>
      <c r="O78" s="25">
        <f t="shared" si="18"/>
        <v>0</v>
      </c>
      <c r="P78" s="25">
        <f t="shared" si="19"/>
        <v>0</v>
      </c>
      <c r="Q78" s="26">
        <f t="shared" si="20"/>
        <v>0</v>
      </c>
      <c r="R78" s="27">
        <f t="shared" si="21"/>
        <v>0</v>
      </c>
      <c r="S78" s="28">
        <f t="shared" si="22"/>
        <v>0</v>
      </c>
    </row>
    <row r="79" spans="2:19" hidden="1">
      <c r="B79" s="391" t="s">
        <v>312</v>
      </c>
      <c r="C79" s="141"/>
      <c r="D79" s="141"/>
      <c r="E79" s="141"/>
      <c r="F79" s="141"/>
      <c r="G79" s="142"/>
      <c r="H79" s="135">
        <f t="shared" si="23"/>
        <v>0</v>
      </c>
      <c r="I79" s="499">
        <f t="shared" si="24"/>
        <v>49.48</v>
      </c>
      <c r="J79" s="136"/>
      <c r="K79" s="137"/>
      <c r="L79" s="127">
        <v>49.48</v>
      </c>
      <c r="M79" s="392"/>
      <c r="N79" s="25">
        <f t="shared" si="17"/>
        <v>0</v>
      </c>
      <c r="O79" s="25">
        <f t="shared" si="18"/>
        <v>0</v>
      </c>
      <c r="P79" s="25">
        <f t="shared" si="19"/>
        <v>0</v>
      </c>
      <c r="Q79" s="26">
        <f t="shared" si="20"/>
        <v>0</v>
      </c>
      <c r="R79" s="27">
        <f t="shared" si="21"/>
        <v>0</v>
      </c>
      <c r="S79" s="28">
        <f t="shared" si="22"/>
        <v>0</v>
      </c>
    </row>
    <row r="80" spans="2:19" hidden="1">
      <c r="B80" s="391" t="s">
        <v>576</v>
      </c>
      <c r="C80" s="141"/>
      <c r="D80" s="141"/>
      <c r="E80" s="141"/>
      <c r="F80" s="141"/>
      <c r="G80" s="142"/>
      <c r="H80" s="135">
        <f t="shared" si="23"/>
        <v>0</v>
      </c>
      <c r="I80" s="499">
        <f t="shared" si="24"/>
        <v>26.41</v>
      </c>
      <c r="J80" s="136"/>
      <c r="K80" s="137"/>
      <c r="L80" s="127">
        <v>26.41</v>
      </c>
      <c r="M80" s="392"/>
      <c r="N80" s="25">
        <f t="shared" si="17"/>
        <v>0</v>
      </c>
      <c r="O80" s="25">
        <f t="shared" si="18"/>
        <v>0</v>
      </c>
      <c r="P80" s="25">
        <f t="shared" si="19"/>
        <v>0</v>
      </c>
      <c r="Q80" s="26">
        <f t="shared" si="20"/>
        <v>0</v>
      </c>
      <c r="R80" s="27">
        <f t="shared" si="21"/>
        <v>0</v>
      </c>
      <c r="S80" s="28">
        <f t="shared" si="22"/>
        <v>0</v>
      </c>
    </row>
    <row r="81" spans="2:19" hidden="1">
      <c r="B81" s="391" t="s">
        <v>577</v>
      </c>
      <c r="C81" s="141"/>
      <c r="D81" s="141"/>
      <c r="E81" s="141"/>
      <c r="F81" s="141"/>
      <c r="G81" s="142"/>
      <c r="H81" s="135">
        <f t="shared" si="23"/>
        <v>0</v>
      </c>
      <c r="I81" s="499">
        <f t="shared" si="24"/>
        <v>283.33999999999997</v>
      </c>
      <c r="J81" s="136"/>
      <c r="K81" s="137"/>
      <c r="L81" s="127">
        <v>283.33999999999997</v>
      </c>
      <c r="M81" s="392"/>
      <c r="N81" s="25">
        <f t="shared" si="17"/>
        <v>0</v>
      </c>
      <c r="O81" s="25">
        <f t="shared" si="18"/>
        <v>0</v>
      </c>
      <c r="P81" s="25">
        <f t="shared" si="19"/>
        <v>0</v>
      </c>
      <c r="Q81" s="26">
        <f t="shared" si="20"/>
        <v>0</v>
      </c>
      <c r="R81" s="27">
        <f t="shared" si="21"/>
        <v>0</v>
      </c>
      <c r="S81" s="28">
        <f t="shared" si="22"/>
        <v>0</v>
      </c>
    </row>
    <row r="82" spans="2:19" hidden="1">
      <c r="B82" s="391" t="s">
        <v>578</v>
      </c>
      <c r="C82" s="141"/>
      <c r="D82" s="141"/>
      <c r="E82" s="141"/>
      <c r="F82" s="141"/>
      <c r="G82" s="142"/>
      <c r="H82" s="135">
        <f t="shared" si="23"/>
        <v>0</v>
      </c>
      <c r="I82" s="499">
        <f t="shared" si="24"/>
        <v>39.29</v>
      </c>
      <c r="J82" s="136"/>
      <c r="K82" s="137"/>
      <c r="L82" s="127">
        <v>39.29</v>
      </c>
      <c r="M82" s="392"/>
      <c r="N82" s="25">
        <f t="shared" si="17"/>
        <v>0</v>
      </c>
      <c r="O82" s="25">
        <f t="shared" si="18"/>
        <v>0</v>
      </c>
      <c r="P82" s="25">
        <f t="shared" si="19"/>
        <v>0</v>
      </c>
      <c r="Q82" s="26">
        <f t="shared" si="20"/>
        <v>0</v>
      </c>
      <c r="R82" s="27">
        <f t="shared" si="21"/>
        <v>0</v>
      </c>
      <c r="S82" s="28">
        <f t="shared" si="22"/>
        <v>0</v>
      </c>
    </row>
    <row r="83" spans="2:19" hidden="1">
      <c r="B83" s="391" t="s">
        <v>579</v>
      </c>
      <c r="C83" s="141"/>
      <c r="D83" s="141"/>
      <c r="E83" s="141"/>
      <c r="F83" s="141"/>
      <c r="G83" s="142"/>
      <c r="H83" s="135">
        <f t="shared" si="23"/>
        <v>0</v>
      </c>
      <c r="I83" s="499">
        <f t="shared" si="24"/>
        <v>420.26</v>
      </c>
      <c r="J83" s="136"/>
      <c r="K83" s="137"/>
      <c r="L83" s="127">
        <v>420.26</v>
      </c>
      <c r="M83" s="392"/>
      <c r="N83" s="25">
        <f t="shared" si="17"/>
        <v>0</v>
      </c>
      <c r="O83" s="25">
        <f t="shared" si="18"/>
        <v>0</v>
      </c>
      <c r="P83" s="25">
        <f t="shared" si="19"/>
        <v>0</v>
      </c>
      <c r="Q83" s="26">
        <f t="shared" si="20"/>
        <v>0</v>
      </c>
      <c r="R83" s="27">
        <f t="shared" si="21"/>
        <v>0</v>
      </c>
      <c r="S83" s="28">
        <f t="shared" si="22"/>
        <v>0</v>
      </c>
    </row>
    <row r="84" spans="2:19" hidden="1">
      <c r="B84" s="391" t="s">
        <v>580</v>
      </c>
      <c r="C84" s="141"/>
      <c r="D84" s="141"/>
      <c r="E84" s="141"/>
      <c r="F84" s="141"/>
      <c r="G84" s="142"/>
      <c r="H84" s="135">
        <f t="shared" si="23"/>
        <v>0</v>
      </c>
      <c r="I84" s="499">
        <f t="shared" si="24"/>
        <v>72.81</v>
      </c>
      <c r="J84" s="136"/>
      <c r="K84" s="137"/>
      <c r="L84" s="127">
        <v>72.81</v>
      </c>
      <c r="M84" s="392"/>
      <c r="N84" s="25">
        <f t="shared" si="17"/>
        <v>0</v>
      </c>
      <c r="O84" s="25">
        <f t="shared" si="18"/>
        <v>0</v>
      </c>
      <c r="P84" s="25">
        <f t="shared" si="19"/>
        <v>0</v>
      </c>
      <c r="Q84" s="26">
        <f t="shared" si="20"/>
        <v>0</v>
      </c>
      <c r="R84" s="27">
        <f t="shared" si="21"/>
        <v>0</v>
      </c>
      <c r="S84" s="28">
        <f t="shared" si="22"/>
        <v>0</v>
      </c>
    </row>
    <row r="85" spans="2:19" hidden="1">
      <c r="B85" s="391" t="s">
        <v>581</v>
      </c>
      <c r="C85" s="141"/>
      <c r="D85" s="141"/>
      <c r="E85" s="141"/>
      <c r="F85" s="141"/>
      <c r="G85" s="142"/>
      <c r="H85" s="135">
        <f t="shared" si="23"/>
        <v>0</v>
      </c>
      <c r="I85" s="499">
        <f t="shared" si="24"/>
        <v>15.06</v>
      </c>
      <c r="J85" s="136"/>
      <c r="K85" s="137"/>
      <c r="L85" s="127">
        <v>15.06</v>
      </c>
      <c r="M85" s="392"/>
      <c r="N85" s="25">
        <f t="shared" si="17"/>
        <v>0</v>
      </c>
      <c r="O85" s="25">
        <f t="shared" si="18"/>
        <v>0</v>
      </c>
      <c r="P85" s="25">
        <f t="shared" si="19"/>
        <v>0</v>
      </c>
      <c r="Q85" s="26">
        <f t="shared" si="20"/>
        <v>0</v>
      </c>
      <c r="R85" s="27">
        <f t="shared" si="21"/>
        <v>0</v>
      </c>
      <c r="S85" s="28">
        <f t="shared" si="22"/>
        <v>0</v>
      </c>
    </row>
    <row r="86" spans="2:19" hidden="1">
      <c r="B86" s="391" t="s">
        <v>582</v>
      </c>
      <c r="C86" s="143"/>
      <c r="D86" s="143"/>
      <c r="E86" s="143"/>
      <c r="F86" s="141"/>
      <c r="G86" s="142"/>
      <c r="H86" s="135">
        <f t="shared" si="23"/>
        <v>0</v>
      </c>
      <c r="I86" s="499">
        <f t="shared" si="24"/>
        <v>162.4</v>
      </c>
      <c r="J86" s="136"/>
      <c r="K86" s="137"/>
      <c r="L86" s="127">
        <v>162.4</v>
      </c>
      <c r="M86" s="392"/>
      <c r="N86" s="25">
        <f t="shared" si="17"/>
        <v>0</v>
      </c>
      <c r="O86" s="25">
        <f t="shared" si="18"/>
        <v>0</v>
      </c>
      <c r="P86" s="25">
        <f t="shared" si="19"/>
        <v>0</v>
      </c>
      <c r="Q86" s="26">
        <f t="shared" si="20"/>
        <v>0</v>
      </c>
      <c r="R86" s="27">
        <f t="shared" si="21"/>
        <v>0</v>
      </c>
      <c r="S86" s="28">
        <f t="shared" si="22"/>
        <v>0</v>
      </c>
    </row>
    <row r="87" spans="2:19" hidden="1">
      <c r="B87" s="391" t="s">
        <v>313</v>
      </c>
      <c r="C87" s="143"/>
      <c r="D87" s="143"/>
      <c r="E87" s="143"/>
      <c r="F87" s="141"/>
      <c r="G87" s="142"/>
      <c r="H87" s="135">
        <f t="shared" si="23"/>
        <v>0</v>
      </c>
      <c r="I87" s="499">
        <f t="shared" si="24"/>
        <v>81.53</v>
      </c>
      <c r="J87" s="136"/>
      <c r="K87" s="137"/>
      <c r="L87" s="127">
        <v>81.53</v>
      </c>
      <c r="M87" s="392"/>
      <c r="N87" s="25">
        <f t="shared" si="17"/>
        <v>0</v>
      </c>
      <c r="O87" s="25">
        <f t="shared" si="18"/>
        <v>0</v>
      </c>
      <c r="P87" s="25">
        <f t="shared" si="19"/>
        <v>0</v>
      </c>
      <c r="Q87" s="26">
        <f t="shared" si="20"/>
        <v>0</v>
      </c>
      <c r="R87" s="27">
        <f t="shared" si="21"/>
        <v>0</v>
      </c>
      <c r="S87" s="28">
        <f t="shared" si="22"/>
        <v>0</v>
      </c>
    </row>
    <row r="88" spans="2:19">
      <c r="B88" s="391" t="s">
        <v>250</v>
      </c>
      <c r="C88" s="141">
        <v>12</v>
      </c>
      <c r="D88" s="141"/>
      <c r="E88" s="141"/>
      <c r="F88" s="141"/>
      <c r="G88" s="142"/>
      <c r="H88" s="135">
        <f t="shared" si="23"/>
        <v>12</v>
      </c>
      <c r="I88" s="499">
        <f t="shared" si="24"/>
        <v>359.28</v>
      </c>
      <c r="J88" s="136"/>
      <c r="K88" s="137"/>
      <c r="L88" s="127">
        <v>359.28</v>
      </c>
      <c r="M88" s="392"/>
      <c r="N88" s="25">
        <f t="shared" si="17"/>
        <v>4311.3599999999997</v>
      </c>
      <c r="O88" s="25">
        <f t="shared" si="18"/>
        <v>0</v>
      </c>
      <c r="P88" s="25">
        <f t="shared" si="19"/>
        <v>0</v>
      </c>
      <c r="Q88" s="26">
        <f t="shared" si="20"/>
        <v>0</v>
      </c>
      <c r="R88" s="27">
        <f t="shared" si="21"/>
        <v>0</v>
      </c>
      <c r="S88" s="28">
        <f t="shared" si="22"/>
        <v>4311.3599999999997</v>
      </c>
    </row>
    <row r="89" spans="2:19" hidden="1">
      <c r="B89" s="391" t="s">
        <v>314</v>
      </c>
      <c r="C89" s="141"/>
      <c r="D89" s="141"/>
      <c r="E89" s="141"/>
      <c r="F89" s="141"/>
      <c r="G89" s="142"/>
      <c r="H89" s="135">
        <f t="shared" si="15"/>
        <v>0</v>
      </c>
      <c r="I89" s="499">
        <f t="shared" si="16"/>
        <v>55.68</v>
      </c>
      <c r="J89" s="136"/>
      <c r="K89" s="137"/>
      <c r="L89" s="127">
        <v>55.68</v>
      </c>
      <c r="M89" s="392"/>
      <c r="N89" s="25">
        <f t="shared" si="17"/>
        <v>0</v>
      </c>
      <c r="O89" s="25">
        <f t="shared" si="18"/>
        <v>0</v>
      </c>
      <c r="P89" s="25">
        <f t="shared" si="19"/>
        <v>0</v>
      </c>
      <c r="Q89" s="26">
        <f t="shared" si="20"/>
        <v>0</v>
      </c>
      <c r="R89" s="27">
        <f t="shared" si="21"/>
        <v>0</v>
      </c>
      <c r="S89" s="28">
        <f t="shared" si="22"/>
        <v>0</v>
      </c>
    </row>
    <row r="90" spans="2:19" hidden="1">
      <c r="B90" s="391" t="s">
        <v>315</v>
      </c>
      <c r="C90" s="141"/>
      <c r="D90" s="141"/>
      <c r="E90" s="141"/>
      <c r="F90" s="141"/>
      <c r="G90" s="142"/>
      <c r="H90" s="135">
        <f t="shared" si="15"/>
        <v>0</v>
      </c>
      <c r="I90" s="499">
        <f t="shared" si="16"/>
        <v>86.54</v>
      </c>
      <c r="J90" s="136"/>
      <c r="K90" s="137"/>
      <c r="L90" s="127">
        <v>86.54</v>
      </c>
      <c r="M90" s="392"/>
      <c r="N90" s="25">
        <f t="shared" si="17"/>
        <v>0</v>
      </c>
      <c r="O90" s="25">
        <f t="shared" si="18"/>
        <v>0</v>
      </c>
      <c r="P90" s="25">
        <f t="shared" si="19"/>
        <v>0</v>
      </c>
      <c r="Q90" s="26">
        <f t="shared" si="20"/>
        <v>0</v>
      </c>
      <c r="R90" s="27">
        <f t="shared" si="21"/>
        <v>0</v>
      </c>
      <c r="S90" s="28">
        <f t="shared" si="22"/>
        <v>0</v>
      </c>
    </row>
    <row r="91" spans="2:19" hidden="1">
      <c r="B91" s="391" t="s">
        <v>316</v>
      </c>
      <c r="C91" s="141"/>
      <c r="D91" s="141"/>
      <c r="E91" s="141"/>
      <c r="F91" s="141"/>
      <c r="G91" s="142"/>
      <c r="H91" s="135">
        <f t="shared" si="15"/>
        <v>0</v>
      </c>
      <c r="I91" s="499">
        <f t="shared" si="16"/>
        <v>89.06</v>
      </c>
      <c r="J91" s="136"/>
      <c r="K91" s="137"/>
      <c r="L91" s="127">
        <v>89.06</v>
      </c>
      <c r="M91" s="392"/>
      <c r="N91" s="25">
        <f t="shared" si="17"/>
        <v>0</v>
      </c>
      <c r="O91" s="25">
        <f t="shared" si="18"/>
        <v>0</v>
      </c>
      <c r="P91" s="25">
        <f t="shared" si="19"/>
        <v>0</v>
      </c>
      <c r="Q91" s="26">
        <f t="shared" si="20"/>
        <v>0</v>
      </c>
      <c r="R91" s="27">
        <f t="shared" si="21"/>
        <v>0</v>
      </c>
      <c r="S91" s="28">
        <f t="shared" si="22"/>
        <v>0</v>
      </c>
    </row>
    <row r="92" spans="2:19" hidden="1">
      <c r="B92" s="391" t="s">
        <v>739</v>
      </c>
      <c r="C92" s="141"/>
      <c r="D92" s="141"/>
      <c r="E92" s="141"/>
      <c r="F92" s="141"/>
      <c r="G92" s="142"/>
      <c r="H92" s="135">
        <f t="shared" si="15"/>
        <v>0</v>
      </c>
      <c r="I92" s="499">
        <f t="shared" si="16"/>
        <v>89.48</v>
      </c>
      <c r="J92" s="136"/>
      <c r="K92" s="137"/>
      <c r="L92" s="127">
        <v>89.48</v>
      </c>
      <c r="M92" s="392"/>
      <c r="N92" s="25">
        <f t="shared" si="17"/>
        <v>0</v>
      </c>
      <c r="O92" s="25">
        <f t="shared" si="18"/>
        <v>0</v>
      </c>
      <c r="P92" s="25">
        <f t="shared" si="19"/>
        <v>0</v>
      </c>
      <c r="Q92" s="26">
        <f t="shared" si="20"/>
        <v>0</v>
      </c>
      <c r="R92" s="27">
        <f t="shared" si="21"/>
        <v>0</v>
      </c>
      <c r="S92" s="28">
        <f t="shared" si="22"/>
        <v>0</v>
      </c>
    </row>
    <row r="93" spans="2:19" hidden="1">
      <c r="B93" s="391" t="s">
        <v>317</v>
      </c>
      <c r="C93" s="141"/>
      <c r="D93" s="141"/>
      <c r="E93" s="141"/>
      <c r="F93" s="141"/>
      <c r="G93" s="142"/>
      <c r="H93" s="135">
        <f t="shared" si="15"/>
        <v>0</v>
      </c>
      <c r="I93" s="499">
        <f t="shared" si="16"/>
        <v>90.32</v>
      </c>
      <c r="J93" s="136"/>
      <c r="K93" s="137"/>
      <c r="L93" s="127">
        <v>90.32</v>
      </c>
      <c r="M93" s="392"/>
      <c r="N93" s="25">
        <f t="shared" si="17"/>
        <v>0</v>
      </c>
      <c r="O93" s="25">
        <f t="shared" si="18"/>
        <v>0</v>
      </c>
      <c r="P93" s="25">
        <f t="shared" si="19"/>
        <v>0</v>
      </c>
      <c r="Q93" s="26">
        <f t="shared" si="20"/>
        <v>0</v>
      </c>
      <c r="R93" s="27">
        <f t="shared" si="21"/>
        <v>0</v>
      </c>
      <c r="S93" s="28">
        <f t="shared" si="22"/>
        <v>0</v>
      </c>
    </row>
    <row r="94" spans="2:19" hidden="1">
      <c r="B94" s="391" t="s">
        <v>318</v>
      </c>
      <c r="C94" s="141"/>
      <c r="D94" s="141"/>
      <c r="E94" s="141"/>
      <c r="F94" s="141"/>
      <c r="G94" s="142"/>
      <c r="H94" s="135">
        <f t="shared" si="15"/>
        <v>0</v>
      </c>
      <c r="I94" s="499">
        <f t="shared" si="16"/>
        <v>67.099999999999994</v>
      </c>
      <c r="J94" s="136"/>
      <c r="K94" s="137"/>
      <c r="L94" s="127">
        <v>67.099999999999994</v>
      </c>
      <c r="M94" s="392"/>
      <c r="N94" s="25">
        <f t="shared" si="17"/>
        <v>0</v>
      </c>
      <c r="O94" s="25">
        <f t="shared" si="18"/>
        <v>0</v>
      </c>
      <c r="P94" s="25">
        <f t="shared" si="19"/>
        <v>0</v>
      </c>
      <c r="Q94" s="26">
        <f t="shared" si="20"/>
        <v>0</v>
      </c>
      <c r="R94" s="27">
        <f t="shared" si="21"/>
        <v>0</v>
      </c>
      <c r="S94" s="28">
        <f t="shared" si="22"/>
        <v>0</v>
      </c>
    </row>
    <row r="95" spans="2:19" hidden="1">
      <c r="B95" s="391" t="s">
        <v>2200</v>
      </c>
      <c r="C95" s="141"/>
      <c r="D95" s="141"/>
      <c r="E95" s="141"/>
      <c r="F95" s="141"/>
      <c r="G95" s="142"/>
      <c r="H95" s="135">
        <f t="shared" si="15"/>
        <v>0</v>
      </c>
      <c r="I95" s="499">
        <f t="shared" si="16"/>
        <v>27.22</v>
      </c>
      <c r="J95" s="136"/>
      <c r="K95" s="137"/>
      <c r="L95" s="127">
        <v>27.22</v>
      </c>
      <c r="M95" s="392"/>
      <c r="N95" s="25">
        <f t="shared" si="17"/>
        <v>0</v>
      </c>
      <c r="O95" s="25">
        <f t="shared" si="18"/>
        <v>0</v>
      </c>
      <c r="P95" s="25">
        <f t="shared" si="19"/>
        <v>0</v>
      </c>
      <c r="Q95" s="26">
        <f t="shared" si="20"/>
        <v>0</v>
      </c>
      <c r="R95" s="27">
        <f t="shared" si="21"/>
        <v>0</v>
      </c>
      <c r="S95" s="28">
        <f t="shared" si="22"/>
        <v>0</v>
      </c>
    </row>
    <row r="96" spans="2:19" hidden="1">
      <c r="B96" s="391" t="s">
        <v>1025</v>
      </c>
      <c r="C96" s="141"/>
      <c r="D96" s="141"/>
      <c r="E96" s="141"/>
      <c r="F96" s="141"/>
      <c r="G96" s="142"/>
      <c r="H96" s="135">
        <f t="shared" si="15"/>
        <v>0</v>
      </c>
      <c r="I96" s="499">
        <f t="shared" si="16"/>
        <v>67.37</v>
      </c>
      <c r="J96" s="136"/>
      <c r="K96" s="137"/>
      <c r="L96" s="127">
        <v>67.37</v>
      </c>
      <c r="M96" s="392"/>
      <c r="N96" s="25">
        <f t="shared" si="17"/>
        <v>0</v>
      </c>
      <c r="O96" s="25">
        <f t="shared" si="18"/>
        <v>0</v>
      </c>
      <c r="P96" s="25">
        <f t="shared" si="19"/>
        <v>0</v>
      </c>
      <c r="Q96" s="26">
        <f t="shared" si="20"/>
        <v>0</v>
      </c>
      <c r="R96" s="27">
        <f t="shared" si="21"/>
        <v>0</v>
      </c>
      <c r="S96" s="28">
        <f t="shared" si="22"/>
        <v>0</v>
      </c>
    </row>
    <row r="97" spans="2:19" hidden="1">
      <c r="B97" s="391" t="s">
        <v>584</v>
      </c>
      <c r="C97" s="141"/>
      <c r="D97" s="141"/>
      <c r="E97" s="141"/>
      <c r="F97" s="141"/>
      <c r="G97" s="142"/>
      <c r="H97" s="135">
        <f t="shared" si="15"/>
        <v>0</v>
      </c>
      <c r="I97" s="499">
        <f t="shared" si="16"/>
        <v>18.829999999999998</v>
      </c>
      <c r="J97" s="136"/>
      <c r="K97" s="137"/>
      <c r="L97" s="127">
        <v>18.829999999999998</v>
      </c>
      <c r="M97" s="392"/>
      <c r="N97" s="25">
        <f t="shared" si="17"/>
        <v>0</v>
      </c>
      <c r="O97" s="25">
        <f t="shared" si="18"/>
        <v>0</v>
      </c>
      <c r="P97" s="25">
        <f t="shared" si="19"/>
        <v>0</v>
      </c>
      <c r="Q97" s="26">
        <f t="shared" si="20"/>
        <v>0</v>
      </c>
      <c r="R97" s="27">
        <f t="shared" si="21"/>
        <v>0</v>
      </c>
      <c r="S97" s="28">
        <f t="shared" si="22"/>
        <v>0</v>
      </c>
    </row>
    <row r="98" spans="2:19" hidden="1">
      <c r="B98" s="391" t="s">
        <v>319</v>
      </c>
      <c r="C98" s="141"/>
      <c r="D98" s="141"/>
      <c r="E98" s="141"/>
      <c r="F98" s="141"/>
      <c r="G98" s="142"/>
      <c r="H98" s="135">
        <f t="shared" si="15"/>
        <v>0</v>
      </c>
      <c r="I98" s="499">
        <f t="shared" si="16"/>
        <v>19.440000000000001</v>
      </c>
      <c r="J98" s="136"/>
      <c r="K98" s="137"/>
      <c r="L98" s="127">
        <v>19.440000000000001</v>
      </c>
      <c r="M98" s="392"/>
      <c r="N98" s="25">
        <f t="shared" si="17"/>
        <v>0</v>
      </c>
      <c r="O98" s="25">
        <f t="shared" si="18"/>
        <v>0</v>
      </c>
      <c r="P98" s="25">
        <f t="shared" si="19"/>
        <v>0</v>
      </c>
      <c r="Q98" s="26">
        <f t="shared" si="20"/>
        <v>0</v>
      </c>
      <c r="R98" s="27">
        <f t="shared" si="21"/>
        <v>0</v>
      </c>
      <c r="S98" s="28">
        <f t="shared" si="22"/>
        <v>0</v>
      </c>
    </row>
    <row r="99" spans="2:19">
      <c r="B99" s="391" t="s">
        <v>254</v>
      </c>
      <c r="C99" s="141"/>
      <c r="D99" s="141">
        <v>36</v>
      </c>
      <c r="E99" s="141">
        <v>24</v>
      </c>
      <c r="F99" s="141"/>
      <c r="G99" s="142"/>
      <c r="H99" s="135">
        <f t="shared" si="15"/>
        <v>60</v>
      </c>
      <c r="I99" s="499">
        <f t="shared" si="16"/>
        <v>123.91</v>
      </c>
      <c r="J99" s="136"/>
      <c r="K99" s="137"/>
      <c r="L99" s="127">
        <v>123.91</v>
      </c>
      <c r="M99" s="392"/>
      <c r="N99" s="25">
        <f t="shared" si="17"/>
        <v>0</v>
      </c>
      <c r="O99" s="25">
        <f t="shared" si="18"/>
        <v>4460.76</v>
      </c>
      <c r="P99" s="25">
        <f t="shared" si="19"/>
        <v>2973.84</v>
      </c>
      <c r="Q99" s="26">
        <f t="shared" si="20"/>
        <v>0</v>
      </c>
      <c r="R99" s="27">
        <f t="shared" si="21"/>
        <v>0</v>
      </c>
      <c r="S99" s="28">
        <f t="shared" si="22"/>
        <v>7434.6</v>
      </c>
    </row>
    <row r="100" spans="2:19" hidden="1">
      <c r="B100" s="391" t="s">
        <v>320</v>
      </c>
      <c r="C100" s="141"/>
      <c r="D100" s="141"/>
      <c r="E100" s="141"/>
      <c r="F100" s="141"/>
      <c r="G100" s="142"/>
      <c r="H100" s="135">
        <f t="shared" si="15"/>
        <v>0</v>
      </c>
      <c r="I100" s="499">
        <f t="shared" si="16"/>
        <v>40.39</v>
      </c>
      <c r="J100" s="136"/>
      <c r="K100" s="137"/>
      <c r="L100" s="127">
        <v>40.39</v>
      </c>
      <c r="M100" s="392"/>
      <c r="N100" s="25">
        <f t="shared" si="17"/>
        <v>0</v>
      </c>
      <c r="O100" s="25">
        <f t="shared" si="18"/>
        <v>0</v>
      </c>
      <c r="P100" s="25">
        <f t="shared" si="19"/>
        <v>0</v>
      </c>
      <c r="Q100" s="26">
        <f t="shared" si="20"/>
        <v>0</v>
      </c>
      <c r="R100" s="27">
        <f t="shared" si="21"/>
        <v>0</v>
      </c>
      <c r="S100" s="28">
        <f t="shared" si="22"/>
        <v>0</v>
      </c>
    </row>
    <row r="101" spans="2:19" hidden="1">
      <c r="B101" s="391" t="s">
        <v>321</v>
      </c>
      <c r="C101" s="141"/>
      <c r="D101" s="141"/>
      <c r="E101" s="141"/>
      <c r="F101" s="141"/>
      <c r="G101" s="142"/>
      <c r="H101" s="135">
        <f t="shared" si="15"/>
        <v>0</v>
      </c>
      <c r="I101" s="499">
        <f t="shared" si="16"/>
        <v>55.57</v>
      </c>
      <c r="J101" s="136"/>
      <c r="K101" s="137"/>
      <c r="L101" s="127">
        <v>55.57</v>
      </c>
      <c r="M101" s="392"/>
      <c r="N101" s="25">
        <f t="shared" si="17"/>
        <v>0</v>
      </c>
      <c r="O101" s="25">
        <f t="shared" si="18"/>
        <v>0</v>
      </c>
      <c r="P101" s="25">
        <f t="shared" si="19"/>
        <v>0</v>
      </c>
      <c r="Q101" s="26">
        <f t="shared" si="20"/>
        <v>0</v>
      </c>
      <c r="R101" s="27">
        <f t="shared" si="21"/>
        <v>0</v>
      </c>
      <c r="S101" s="28">
        <f t="shared" si="22"/>
        <v>0</v>
      </c>
    </row>
    <row r="102" spans="2:19" hidden="1">
      <c r="B102" s="391" t="s">
        <v>322</v>
      </c>
      <c r="C102" s="141"/>
      <c r="D102" s="141"/>
      <c r="E102" s="141"/>
      <c r="F102" s="141"/>
      <c r="G102" s="142"/>
      <c r="H102" s="135">
        <f t="shared" si="15"/>
        <v>0</v>
      </c>
      <c r="I102" s="499">
        <f t="shared" si="16"/>
        <v>58.67</v>
      </c>
      <c r="J102" s="136"/>
      <c r="K102" s="137"/>
      <c r="L102" s="127">
        <v>58.67</v>
      </c>
      <c r="M102" s="392"/>
      <c r="N102" s="25">
        <f t="shared" si="17"/>
        <v>0</v>
      </c>
      <c r="O102" s="25">
        <f t="shared" si="18"/>
        <v>0</v>
      </c>
      <c r="P102" s="25">
        <f t="shared" si="19"/>
        <v>0</v>
      </c>
      <c r="Q102" s="26">
        <f t="shared" si="20"/>
        <v>0</v>
      </c>
      <c r="R102" s="27">
        <f t="shared" si="21"/>
        <v>0</v>
      </c>
      <c r="S102" s="28">
        <f t="shared" si="22"/>
        <v>0</v>
      </c>
    </row>
    <row r="103" spans="2:19" hidden="1">
      <c r="B103" s="391" t="s">
        <v>323</v>
      </c>
      <c r="C103" s="141"/>
      <c r="D103" s="141"/>
      <c r="E103" s="141"/>
      <c r="F103" s="141"/>
      <c r="G103" s="142"/>
      <c r="H103" s="135">
        <f t="shared" si="15"/>
        <v>0</v>
      </c>
      <c r="I103" s="499">
        <f t="shared" si="16"/>
        <v>99.57</v>
      </c>
      <c r="J103" s="136"/>
      <c r="K103" s="137"/>
      <c r="L103" s="127">
        <v>99.57</v>
      </c>
      <c r="M103" s="392"/>
      <c r="N103" s="25">
        <f t="shared" si="17"/>
        <v>0</v>
      </c>
      <c r="O103" s="25">
        <f t="shared" si="18"/>
        <v>0</v>
      </c>
      <c r="P103" s="25">
        <f t="shared" si="19"/>
        <v>0</v>
      </c>
      <c r="Q103" s="26">
        <f t="shared" si="20"/>
        <v>0</v>
      </c>
      <c r="R103" s="27">
        <f t="shared" si="21"/>
        <v>0</v>
      </c>
      <c r="S103" s="28">
        <f t="shared" si="22"/>
        <v>0</v>
      </c>
    </row>
    <row r="104" spans="2:19" hidden="1">
      <c r="B104" s="391" t="s">
        <v>324</v>
      </c>
      <c r="C104" s="141"/>
      <c r="D104" s="141"/>
      <c r="E104" s="141"/>
      <c r="F104" s="141"/>
      <c r="G104" s="142"/>
      <c r="H104" s="135">
        <f t="shared" si="15"/>
        <v>0</v>
      </c>
      <c r="I104" s="499">
        <f t="shared" si="16"/>
        <v>42.45</v>
      </c>
      <c r="J104" s="136"/>
      <c r="K104" s="137"/>
      <c r="L104" s="127">
        <v>42.45</v>
      </c>
      <c r="M104" s="392"/>
      <c r="N104" s="25">
        <f t="shared" si="17"/>
        <v>0</v>
      </c>
      <c r="O104" s="25">
        <f t="shared" si="18"/>
        <v>0</v>
      </c>
      <c r="P104" s="25">
        <f t="shared" si="19"/>
        <v>0</v>
      </c>
      <c r="Q104" s="26">
        <f t="shared" si="20"/>
        <v>0</v>
      </c>
      <c r="R104" s="27">
        <f t="shared" si="21"/>
        <v>0</v>
      </c>
      <c r="S104" s="28">
        <f t="shared" si="22"/>
        <v>0</v>
      </c>
    </row>
    <row r="105" spans="2:19" hidden="1">
      <c r="B105" s="391" t="s">
        <v>325</v>
      </c>
      <c r="C105" s="141"/>
      <c r="D105" s="141"/>
      <c r="E105" s="141"/>
      <c r="F105" s="141"/>
      <c r="G105" s="142"/>
      <c r="H105" s="135">
        <f t="shared" si="15"/>
        <v>0</v>
      </c>
      <c r="I105" s="499">
        <f t="shared" si="16"/>
        <v>72.36</v>
      </c>
      <c r="J105" s="136"/>
      <c r="K105" s="137"/>
      <c r="L105" s="127">
        <v>72.36</v>
      </c>
      <c r="M105" s="392"/>
      <c r="N105" s="25">
        <f t="shared" si="17"/>
        <v>0</v>
      </c>
      <c r="O105" s="25">
        <f t="shared" si="18"/>
        <v>0</v>
      </c>
      <c r="P105" s="25">
        <f t="shared" si="19"/>
        <v>0</v>
      </c>
      <c r="Q105" s="26">
        <f t="shared" si="20"/>
        <v>0</v>
      </c>
      <c r="R105" s="27">
        <f t="shared" si="21"/>
        <v>0</v>
      </c>
      <c r="S105" s="28">
        <f t="shared" si="22"/>
        <v>0</v>
      </c>
    </row>
    <row r="106" spans="2:19" hidden="1">
      <c r="B106" s="391" t="s">
        <v>326</v>
      </c>
      <c r="C106" s="141"/>
      <c r="D106" s="141"/>
      <c r="E106" s="141"/>
      <c r="F106" s="141"/>
      <c r="G106" s="142"/>
      <c r="H106" s="135">
        <f t="shared" si="15"/>
        <v>0</v>
      </c>
      <c r="I106" s="499">
        <f t="shared" si="16"/>
        <v>58.47</v>
      </c>
      <c r="J106" s="136"/>
      <c r="K106" s="137"/>
      <c r="L106" s="127">
        <v>58.47</v>
      </c>
      <c r="M106" s="392"/>
      <c r="N106" s="25">
        <f t="shared" si="17"/>
        <v>0</v>
      </c>
      <c r="O106" s="25">
        <f t="shared" si="18"/>
        <v>0</v>
      </c>
      <c r="P106" s="25">
        <f t="shared" si="19"/>
        <v>0</v>
      </c>
      <c r="Q106" s="26">
        <f t="shared" si="20"/>
        <v>0</v>
      </c>
      <c r="R106" s="27">
        <f t="shared" si="21"/>
        <v>0</v>
      </c>
      <c r="S106" s="28">
        <f t="shared" si="22"/>
        <v>0</v>
      </c>
    </row>
    <row r="107" spans="2:19" hidden="1">
      <c r="B107" s="391" t="s">
        <v>327</v>
      </c>
      <c r="C107" s="141"/>
      <c r="D107" s="141"/>
      <c r="E107" s="141"/>
      <c r="F107" s="141"/>
      <c r="G107" s="142"/>
      <c r="H107" s="135">
        <f t="shared" si="15"/>
        <v>0</v>
      </c>
      <c r="I107" s="499">
        <f t="shared" si="16"/>
        <v>37.64</v>
      </c>
      <c r="J107" s="136"/>
      <c r="K107" s="137"/>
      <c r="L107" s="127">
        <v>37.64</v>
      </c>
      <c r="M107" s="392"/>
      <c r="N107" s="25">
        <f t="shared" si="17"/>
        <v>0</v>
      </c>
      <c r="O107" s="25">
        <f t="shared" si="18"/>
        <v>0</v>
      </c>
      <c r="P107" s="25">
        <f t="shared" si="19"/>
        <v>0</v>
      </c>
      <c r="Q107" s="26">
        <f t="shared" si="20"/>
        <v>0</v>
      </c>
      <c r="R107" s="27">
        <f t="shared" si="21"/>
        <v>0</v>
      </c>
      <c r="S107" s="28">
        <f t="shared" si="22"/>
        <v>0</v>
      </c>
    </row>
    <row r="108" spans="2:19" hidden="1">
      <c r="B108" s="391" t="s">
        <v>328</v>
      </c>
      <c r="C108" s="141"/>
      <c r="D108" s="141"/>
      <c r="E108" s="141"/>
      <c r="F108" s="141"/>
      <c r="G108" s="142"/>
      <c r="H108" s="135">
        <f t="shared" si="15"/>
        <v>0</v>
      </c>
      <c r="I108" s="499">
        <f t="shared" si="16"/>
        <v>27.12</v>
      </c>
      <c r="J108" s="136"/>
      <c r="K108" s="137"/>
      <c r="L108" s="127">
        <v>27.12</v>
      </c>
      <c r="M108" s="392"/>
      <c r="N108" s="25">
        <f t="shared" si="17"/>
        <v>0</v>
      </c>
      <c r="O108" s="25">
        <f t="shared" si="18"/>
        <v>0</v>
      </c>
      <c r="P108" s="25">
        <f t="shared" si="19"/>
        <v>0</v>
      </c>
      <c r="Q108" s="26">
        <f t="shared" si="20"/>
        <v>0</v>
      </c>
      <c r="R108" s="27">
        <f t="shared" si="21"/>
        <v>0</v>
      </c>
      <c r="S108" s="28">
        <f t="shared" si="22"/>
        <v>0</v>
      </c>
    </row>
    <row r="109" spans="2:19" hidden="1">
      <c r="B109" s="391" t="s">
        <v>329</v>
      </c>
      <c r="C109" s="141"/>
      <c r="D109" s="141"/>
      <c r="E109" s="141"/>
      <c r="F109" s="141"/>
      <c r="G109" s="142"/>
      <c r="H109" s="135">
        <f t="shared" ref="H109:H128" si="25">SUM(C109:G109)</f>
        <v>0</v>
      </c>
      <c r="I109" s="499">
        <f t="shared" ref="I109:I128" si="26">L109-(L109*J109)</f>
        <v>45.27</v>
      </c>
      <c r="J109" s="136"/>
      <c r="K109" s="137"/>
      <c r="L109" s="127">
        <v>45.27</v>
      </c>
      <c r="M109" s="392"/>
      <c r="N109" s="25">
        <f t="shared" si="17"/>
        <v>0</v>
      </c>
      <c r="O109" s="25">
        <f t="shared" si="18"/>
        <v>0</v>
      </c>
      <c r="P109" s="25">
        <f t="shared" si="19"/>
        <v>0</v>
      </c>
      <c r="Q109" s="26">
        <f t="shared" si="20"/>
        <v>0</v>
      </c>
      <c r="R109" s="27">
        <f t="shared" si="21"/>
        <v>0</v>
      </c>
      <c r="S109" s="28">
        <f t="shared" si="22"/>
        <v>0</v>
      </c>
    </row>
    <row r="110" spans="2:19" hidden="1">
      <c r="B110" s="391" t="s">
        <v>330</v>
      </c>
      <c r="C110" s="143"/>
      <c r="D110" s="143"/>
      <c r="E110" s="143"/>
      <c r="F110" s="141"/>
      <c r="G110" s="142"/>
      <c r="H110" s="135">
        <f t="shared" si="25"/>
        <v>0</v>
      </c>
      <c r="I110" s="499">
        <f t="shared" si="26"/>
        <v>104.24</v>
      </c>
      <c r="J110" s="136"/>
      <c r="K110" s="137"/>
      <c r="L110" s="127">
        <v>104.24</v>
      </c>
      <c r="M110" s="392"/>
      <c r="N110" s="25">
        <f t="shared" si="17"/>
        <v>0</v>
      </c>
      <c r="O110" s="25">
        <f t="shared" si="18"/>
        <v>0</v>
      </c>
      <c r="P110" s="25">
        <f t="shared" si="19"/>
        <v>0</v>
      </c>
      <c r="Q110" s="26">
        <f t="shared" si="20"/>
        <v>0</v>
      </c>
      <c r="R110" s="27">
        <f t="shared" si="21"/>
        <v>0</v>
      </c>
      <c r="S110" s="28">
        <f t="shared" si="22"/>
        <v>0</v>
      </c>
    </row>
    <row r="111" spans="2:19" hidden="1">
      <c r="B111" s="391" t="s">
        <v>331</v>
      </c>
      <c r="C111" s="143"/>
      <c r="D111" s="143"/>
      <c r="E111" s="143"/>
      <c r="F111" s="141"/>
      <c r="G111" s="142"/>
      <c r="H111" s="135">
        <f t="shared" si="25"/>
        <v>0</v>
      </c>
      <c r="I111" s="499">
        <f t="shared" si="26"/>
        <v>54.35</v>
      </c>
      <c r="J111" s="136"/>
      <c r="K111" s="137"/>
      <c r="L111" s="127">
        <v>54.35</v>
      </c>
      <c r="M111" s="392"/>
      <c r="N111" s="25">
        <f t="shared" si="17"/>
        <v>0</v>
      </c>
      <c r="O111" s="25">
        <f t="shared" si="18"/>
        <v>0</v>
      </c>
      <c r="P111" s="25">
        <f t="shared" si="19"/>
        <v>0</v>
      </c>
      <c r="Q111" s="26">
        <f t="shared" si="20"/>
        <v>0</v>
      </c>
      <c r="R111" s="27">
        <f t="shared" si="21"/>
        <v>0</v>
      </c>
      <c r="S111" s="28">
        <f t="shared" si="22"/>
        <v>0</v>
      </c>
    </row>
    <row r="112" spans="2:19" hidden="1">
      <c r="B112" s="391" t="s">
        <v>332</v>
      </c>
      <c r="C112" s="141"/>
      <c r="D112" s="141"/>
      <c r="E112" s="141"/>
      <c r="F112" s="141"/>
      <c r="G112" s="142"/>
      <c r="H112" s="135">
        <f t="shared" si="25"/>
        <v>0</v>
      </c>
      <c r="I112" s="499">
        <f t="shared" si="26"/>
        <v>65.989999999999995</v>
      </c>
      <c r="J112" s="136"/>
      <c r="K112" s="137"/>
      <c r="L112" s="127">
        <v>65.989999999999995</v>
      </c>
      <c r="M112" s="392"/>
      <c r="N112" s="25">
        <f t="shared" si="17"/>
        <v>0</v>
      </c>
      <c r="O112" s="25">
        <f t="shared" si="18"/>
        <v>0</v>
      </c>
      <c r="P112" s="25">
        <f t="shared" si="19"/>
        <v>0</v>
      </c>
      <c r="Q112" s="26">
        <f t="shared" si="20"/>
        <v>0</v>
      </c>
      <c r="R112" s="27">
        <f t="shared" si="21"/>
        <v>0</v>
      </c>
      <c r="S112" s="28">
        <f t="shared" si="22"/>
        <v>0</v>
      </c>
    </row>
    <row r="113" spans="2:19">
      <c r="B113" s="391" t="s">
        <v>333</v>
      </c>
      <c r="C113" s="141"/>
      <c r="D113" s="141"/>
      <c r="E113" s="141"/>
      <c r="F113" s="141"/>
      <c r="G113" s="142">
        <v>24</v>
      </c>
      <c r="H113" s="135">
        <f t="shared" si="25"/>
        <v>24</v>
      </c>
      <c r="I113" s="499">
        <f t="shared" si="26"/>
        <v>29.76</v>
      </c>
      <c r="J113" s="136"/>
      <c r="K113" s="137"/>
      <c r="L113" s="127">
        <v>29.76</v>
      </c>
      <c r="M113" s="392"/>
      <c r="N113" s="25">
        <f t="shared" si="17"/>
        <v>0</v>
      </c>
      <c r="O113" s="25">
        <f t="shared" si="18"/>
        <v>0</v>
      </c>
      <c r="P113" s="25">
        <f t="shared" si="19"/>
        <v>0</v>
      </c>
      <c r="Q113" s="26">
        <f t="shared" si="20"/>
        <v>0</v>
      </c>
      <c r="R113" s="27">
        <f t="shared" si="21"/>
        <v>714.24</v>
      </c>
      <c r="S113" s="28">
        <f t="shared" si="22"/>
        <v>714.24</v>
      </c>
    </row>
    <row r="114" spans="2:19" hidden="1">
      <c r="B114" s="391" t="s">
        <v>585</v>
      </c>
      <c r="C114" s="141"/>
      <c r="D114" s="141"/>
      <c r="E114" s="141"/>
      <c r="F114" s="141"/>
      <c r="G114" s="142"/>
      <c r="H114" s="135">
        <f t="shared" si="25"/>
        <v>0</v>
      </c>
      <c r="I114" s="499">
        <f t="shared" si="26"/>
        <v>58.93</v>
      </c>
      <c r="J114" s="136"/>
      <c r="K114" s="137"/>
      <c r="L114" s="127">
        <v>58.93</v>
      </c>
      <c r="M114" s="392"/>
      <c r="N114" s="25">
        <f t="shared" si="17"/>
        <v>0</v>
      </c>
      <c r="O114" s="25">
        <f t="shared" si="18"/>
        <v>0</v>
      </c>
      <c r="P114" s="25">
        <f t="shared" si="19"/>
        <v>0</v>
      </c>
      <c r="Q114" s="26">
        <f t="shared" si="20"/>
        <v>0</v>
      </c>
      <c r="R114" s="27">
        <f t="shared" si="21"/>
        <v>0</v>
      </c>
      <c r="S114" s="28">
        <f t="shared" si="22"/>
        <v>0</v>
      </c>
    </row>
    <row r="115" spans="2:19" hidden="1">
      <c r="B115" s="391" t="s">
        <v>334</v>
      </c>
      <c r="C115" s="141"/>
      <c r="D115" s="141"/>
      <c r="E115" s="141"/>
      <c r="F115" s="141"/>
      <c r="G115" s="142"/>
      <c r="H115" s="135">
        <f t="shared" si="25"/>
        <v>0</v>
      </c>
      <c r="I115" s="499">
        <f t="shared" si="26"/>
        <v>41.03</v>
      </c>
      <c r="J115" s="136"/>
      <c r="K115" s="137"/>
      <c r="L115" s="127">
        <v>41.03</v>
      </c>
      <c r="M115" s="392"/>
      <c r="N115" s="25">
        <f t="shared" si="17"/>
        <v>0</v>
      </c>
      <c r="O115" s="25">
        <f t="shared" si="18"/>
        <v>0</v>
      </c>
      <c r="P115" s="25">
        <f t="shared" si="19"/>
        <v>0</v>
      </c>
      <c r="Q115" s="26">
        <f t="shared" si="20"/>
        <v>0</v>
      </c>
      <c r="R115" s="27">
        <f t="shared" si="21"/>
        <v>0</v>
      </c>
      <c r="S115" s="28">
        <f t="shared" si="22"/>
        <v>0</v>
      </c>
    </row>
    <row r="116" spans="2:19" hidden="1">
      <c r="B116" s="391" t="s">
        <v>335</v>
      </c>
      <c r="C116" s="141"/>
      <c r="D116" s="141"/>
      <c r="E116" s="141"/>
      <c r="F116" s="141"/>
      <c r="G116" s="142"/>
      <c r="H116" s="135">
        <f t="shared" si="25"/>
        <v>0</v>
      </c>
      <c r="I116" s="499">
        <f t="shared" si="26"/>
        <v>24.98</v>
      </c>
      <c r="J116" s="136"/>
      <c r="K116" s="137"/>
      <c r="L116" s="127">
        <v>24.98</v>
      </c>
      <c r="M116" s="392"/>
      <c r="N116" s="25">
        <f t="shared" si="17"/>
        <v>0</v>
      </c>
      <c r="O116" s="25">
        <f t="shared" si="18"/>
        <v>0</v>
      </c>
      <c r="P116" s="25">
        <f t="shared" si="19"/>
        <v>0</v>
      </c>
      <c r="Q116" s="26">
        <f t="shared" si="20"/>
        <v>0</v>
      </c>
      <c r="R116" s="27">
        <f t="shared" si="21"/>
        <v>0</v>
      </c>
      <c r="S116" s="28">
        <f t="shared" si="22"/>
        <v>0</v>
      </c>
    </row>
    <row r="117" spans="2:19" hidden="1">
      <c r="B117" s="391" t="s">
        <v>336</v>
      </c>
      <c r="C117" s="141"/>
      <c r="D117" s="141"/>
      <c r="E117" s="141"/>
      <c r="F117" s="141"/>
      <c r="G117" s="142"/>
      <c r="H117" s="135">
        <f t="shared" si="25"/>
        <v>0</v>
      </c>
      <c r="I117" s="499">
        <f t="shared" si="26"/>
        <v>83.59</v>
      </c>
      <c r="J117" s="136"/>
      <c r="K117" s="137"/>
      <c r="L117" s="127">
        <v>83.59</v>
      </c>
      <c r="M117" s="392"/>
      <c r="N117" s="25">
        <f t="shared" si="17"/>
        <v>0</v>
      </c>
      <c r="O117" s="25">
        <f t="shared" si="18"/>
        <v>0</v>
      </c>
      <c r="P117" s="25">
        <f t="shared" si="19"/>
        <v>0</v>
      </c>
      <c r="Q117" s="26">
        <f t="shared" si="20"/>
        <v>0</v>
      </c>
      <c r="R117" s="27">
        <f t="shared" si="21"/>
        <v>0</v>
      </c>
      <c r="S117" s="28">
        <f t="shared" si="22"/>
        <v>0</v>
      </c>
    </row>
    <row r="118" spans="2:19" hidden="1">
      <c r="B118" s="391" t="s">
        <v>740</v>
      </c>
      <c r="C118" s="141"/>
      <c r="D118" s="141"/>
      <c r="E118" s="141"/>
      <c r="F118" s="141"/>
      <c r="G118" s="142"/>
      <c r="H118" s="135">
        <f t="shared" si="25"/>
        <v>0</v>
      </c>
      <c r="I118" s="499">
        <f t="shared" si="26"/>
        <v>27.21</v>
      </c>
      <c r="J118" s="136"/>
      <c r="K118" s="137"/>
      <c r="L118" s="127">
        <v>27.21</v>
      </c>
      <c r="M118" s="392"/>
      <c r="N118" s="25">
        <f t="shared" si="17"/>
        <v>0</v>
      </c>
      <c r="O118" s="25">
        <f t="shared" si="18"/>
        <v>0</v>
      </c>
      <c r="P118" s="25">
        <f t="shared" si="19"/>
        <v>0</v>
      </c>
      <c r="Q118" s="26">
        <f t="shared" si="20"/>
        <v>0</v>
      </c>
      <c r="R118" s="27">
        <f t="shared" si="21"/>
        <v>0</v>
      </c>
      <c r="S118" s="28">
        <f t="shared" si="22"/>
        <v>0</v>
      </c>
    </row>
    <row r="119" spans="2:19" hidden="1">
      <c r="B119" s="391" t="s">
        <v>265</v>
      </c>
      <c r="C119" s="141"/>
      <c r="D119" s="141"/>
      <c r="E119" s="141"/>
      <c r="F119" s="141"/>
      <c r="G119" s="142"/>
      <c r="H119" s="135">
        <f t="shared" si="25"/>
        <v>0</v>
      </c>
      <c r="I119" s="499">
        <f t="shared" si="26"/>
        <v>32.44</v>
      </c>
      <c r="J119" s="136"/>
      <c r="K119" s="137"/>
      <c r="L119" s="127">
        <v>32.44</v>
      </c>
      <c r="M119" s="392"/>
      <c r="N119" s="25">
        <f t="shared" si="17"/>
        <v>0</v>
      </c>
      <c r="O119" s="25">
        <f t="shared" si="18"/>
        <v>0</v>
      </c>
      <c r="P119" s="25">
        <f t="shared" si="19"/>
        <v>0</v>
      </c>
      <c r="Q119" s="26">
        <f t="shared" si="20"/>
        <v>0</v>
      </c>
      <c r="R119" s="27">
        <f t="shared" si="21"/>
        <v>0</v>
      </c>
      <c r="S119" s="28">
        <f t="shared" si="22"/>
        <v>0</v>
      </c>
    </row>
    <row r="120" spans="2:19" hidden="1">
      <c r="B120" s="391" t="s">
        <v>337</v>
      </c>
      <c r="C120" s="141"/>
      <c r="D120" s="141"/>
      <c r="E120" s="141"/>
      <c r="F120" s="141"/>
      <c r="G120" s="142"/>
      <c r="H120" s="135">
        <f t="shared" si="25"/>
        <v>0</v>
      </c>
      <c r="I120" s="499">
        <f t="shared" si="26"/>
        <v>267.88</v>
      </c>
      <c r="J120" s="136"/>
      <c r="K120" s="137"/>
      <c r="L120" s="127">
        <v>267.88</v>
      </c>
      <c r="M120" s="392"/>
      <c r="N120" s="25">
        <f t="shared" si="17"/>
        <v>0</v>
      </c>
      <c r="O120" s="25">
        <f t="shared" si="18"/>
        <v>0</v>
      </c>
      <c r="P120" s="25">
        <f t="shared" si="19"/>
        <v>0</v>
      </c>
      <c r="Q120" s="26">
        <f t="shared" si="20"/>
        <v>0</v>
      </c>
      <c r="R120" s="27">
        <f t="shared" si="21"/>
        <v>0</v>
      </c>
      <c r="S120" s="28">
        <f t="shared" si="22"/>
        <v>0</v>
      </c>
    </row>
    <row r="121" spans="2:19" hidden="1">
      <c r="B121" s="391" t="s">
        <v>2201</v>
      </c>
      <c r="C121" s="141"/>
      <c r="D121" s="141"/>
      <c r="E121" s="141"/>
      <c r="F121" s="141"/>
      <c r="G121" s="142"/>
      <c r="H121" s="135">
        <f t="shared" si="25"/>
        <v>0</v>
      </c>
      <c r="I121" s="499">
        <f t="shared" si="26"/>
        <v>623.45000000000005</v>
      </c>
      <c r="J121" s="136"/>
      <c r="K121" s="137"/>
      <c r="L121" s="127">
        <v>623.45000000000005</v>
      </c>
      <c r="M121" s="392"/>
      <c r="N121" s="25">
        <f t="shared" si="17"/>
        <v>0</v>
      </c>
      <c r="O121" s="25">
        <f t="shared" si="18"/>
        <v>0</v>
      </c>
      <c r="P121" s="25">
        <f t="shared" si="19"/>
        <v>0</v>
      </c>
      <c r="Q121" s="26">
        <f t="shared" si="20"/>
        <v>0</v>
      </c>
      <c r="R121" s="27">
        <f t="shared" si="21"/>
        <v>0</v>
      </c>
      <c r="S121" s="28">
        <f t="shared" si="22"/>
        <v>0</v>
      </c>
    </row>
    <row r="122" spans="2:19" hidden="1">
      <c r="B122" s="391" t="s">
        <v>338</v>
      </c>
      <c r="C122" s="141"/>
      <c r="D122" s="141"/>
      <c r="E122" s="141"/>
      <c r="F122" s="141"/>
      <c r="G122" s="142"/>
      <c r="H122" s="135">
        <f t="shared" si="25"/>
        <v>0</v>
      </c>
      <c r="I122" s="499">
        <f t="shared" si="26"/>
        <v>35.36</v>
      </c>
      <c r="J122" s="136"/>
      <c r="K122" s="137"/>
      <c r="L122" s="127">
        <v>35.36</v>
      </c>
      <c r="M122" s="392"/>
      <c r="N122" s="25">
        <f t="shared" si="17"/>
        <v>0</v>
      </c>
      <c r="O122" s="25">
        <f t="shared" si="18"/>
        <v>0</v>
      </c>
      <c r="P122" s="25">
        <f t="shared" si="19"/>
        <v>0</v>
      </c>
      <c r="Q122" s="26">
        <f t="shared" si="20"/>
        <v>0</v>
      </c>
      <c r="R122" s="27">
        <f t="shared" si="21"/>
        <v>0</v>
      </c>
      <c r="S122" s="28">
        <f t="shared" si="22"/>
        <v>0</v>
      </c>
    </row>
    <row r="123" spans="2:19" hidden="1">
      <c r="B123" s="391" t="s">
        <v>2202</v>
      </c>
      <c r="C123" s="141"/>
      <c r="D123" s="141"/>
      <c r="E123" s="141"/>
      <c r="F123" s="141"/>
      <c r="G123" s="142"/>
      <c r="H123" s="135">
        <f t="shared" si="25"/>
        <v>0</v>
      </c>
      <c r="I123" s="499">
        <f t="shared" si="26"/>
        <v>61.53</v>
      </c>
      <c r="J123" s="136"/>
      <c r="K123" s="137"/>
      <c r="L123" s="127">
        <v>61.53</v>
      </c>
      <c r="M123" s="392"/>
      <c r="N123" s="25">
        <f t="shared" si="17"/>
        <v>0</v>
      </c>
      <c r="O123" s="25">
        <f t="shared" si="18"/>
        <v>0</v>
      </c>
      <c r="P123" s="25">
        <f t="shared" si="19"/>
        <v>0</v>
      </c>
      <c r="Q123" s="26">
        <f t="shared" si="20"/>
        <v>0</v>
      </c>
      <c r="R123" s="27">
        <f t="shared" si="21"/>
        <v>0</v>
      </c>
      <c r="S123" s="28">
        <f t="shared" si="22"/>
        <v>0</v>
      </c>
    </row>
    <row r="124" spans="2:19" hidden="1">
      <c r="B124" s="391" t="s">
        <v>2203</v>
      </c>
      <c r="C124" s="141"/>
      <c r="D124" s="141"/>
      <c r="E124" s="141"/>
      <c r="F124" s="141"/>
      <c r="G124" s="142"/>
      <c r="H124" s="135">
        <f t="shared" si="25"/>
        <v>0</v>
      </c>
      <c r="I124" s="499">
        <f t="shared" si="26"/>
        <v>39.22</v>
      </c>
      <c r="J124" s="136"/>
      <c r="K124" s="137"/>
      <c r="L124" s="127">
        <v>39.22</v>
      </c>
      <c r="M124" s="392"/>
      <c r="N124" s="25">
        <f t="shared" si="17"/>
        <v>0</v>
      </c>
      <c r="O124" s="25">
        <f t="shared" si="18"/>
        <v>0</v>
      </c>
      <c r="P124" s="25">
        <f t="shared" si="19"/>
        <v>0</v>
      </c>
      <c r="Q124" s="26">
        <f t="shared" si="20"/>
        <v>0</v>
      </c>
      <c r="R124" s="27">
        <f t="shared" si="21"/>
        <v>0</v>
      </c>
      <c r="S124" s="28">
        <f t="shared" si="22"/>
        <v>0</v>
      </c>
    </row>
    <row r="125" spans="2:19" hidden="1">
      <c r="B125" s="391" t="s">
        <v>1026</v>
      </c>
      <c r="C125" s="143"/>
      <c r="D125" s="143"/>
      <c r="E125" s="143"/>
      <c r="F125" s="141"/>
      <c r="G125" s="142"/>
      <c r="H125" s="135">
        <f t="shared" si="25"/>
        <v>0</v>
      </c>
      <c r="I125" s="499">
        <f t="shared" si="26"/>
        <v>56.23</v>
      </c>
      <c r="J125" s="136"/>
      <c r="K125" s="137"/>
      <c r="L125" s="127">
        <v>56.23</v>
      </c>
      <c r="M125" s="392"/>
      <c r="N125" s="25">
        <f t="shared" si="17"/>
        <v>0</v>
      </c>
      <c r="O125" s="25">
        <f t="shared" si="18"/>
        <v>0</v>
      </c>
      <c r="P125" s="25">
        <f t="shared" si="19"/>
        <v>0</v>
      </c>
      <c r="Q125" s="26">
        <f t="shared" si="20"/>
        <v>0</v>
      </c>
      <c r="R125" s="27">
        <f t="shared" si="21"/>
        <v>0</v>
      </c>
      <c r="S125" s="28">
        <f t="shared" si="22"/>
        <v>0</v>
      </c>
    </row>
    <row r="126" spans="2:19" hidden="1">
      <c r="B126" s="391" t="s">
        <v>1026</v>
      </c>
      <c r="C126" s="141"/>
      <c r="D126" s="141"/>
      <c r="E126" s="141"/>
      <c r="F126" s="141"/>
      <c r="G126" s="142"/>
      <c r="H126" s="135">
        <f t="shared" si="25"/>
        <v>0</v>
      </c>
      <c r="I126" s="499">
        <f t="shared" si="26"/>
        <v>90.09</v>
      </c>
      <c r="J126" s="136"/>
      <c r="K126" s="137"/>
      <c r="L126" s="127">
        <v>90.09</v>
      </c>
      <c r="M126" s="392"/>
      <c r="N126" s="25">
        <f t="shared" si="17"/>
        <v>0</v>
      </c>
      <c r="O126" s="25">
        <f t="shared" si="18"/>
        <v>0</v>
      </c>
      <c r="P126" s="25">
        <f t="shared" si="19"/>
        <v>0</v>
      </c>
      <c r="Q126" s="26">
        <f t="shared" si="20"/>
        <v>0</v>
      </c>
      <c r="R126" s="27">
        <f t="shared" si="21"/>
        <v>0</v>
      </c>
      <c r="S126" s="28">
        <f t="shared" si="22"/>
        <v>0</v>
      </c>
    </row>
    <row r="127" spans="2:19" hidden="1">
      <c r="B127" s="391" t="s">
        <v>1026</v>
      </c>
      <c r="C127" s="141"/>
      <c r="D127" s="141"/>
      <c r="E127" s="141"/>
      <c r="F127" s="141"/>
      <c r="G127" s="142"/>
      <c r="H127" s="135">
        <f t="shared" si="25"/>
        <v>0</v>
      </c>
      <c r="I127" s="499">
        <f t="shared" si="26"/>
        <v>90.07</v>
      </c>
      <c r="J127" s="136"/>
      <c r="K127" s="137"/>
      <c r="L127" s="127">
        <v>90.07</v>
      </c>
      <c r="M127" s="392"/>
      <c r="N127" s="25">
        <f t="shared" si="17"/>
        <v>0</v>
      </c>
      <c r="O127" s="25">
        <f t="shared" si="18"/>
        <v>0</v>
      </c>
      <c r="P127" s="25">
        <f t="shared" si="19"/>
        <v>0</v>
      </c>
      <c r="Q127" s="26">
        <f t="shared" si="20"/>
        <v>0</v>
      </c>
      <c r="R127" s="27">
        <f t="shared" si="21"/>
        <v>0</v>
      </c>
      <c r="S127" s="28">
        <f t="shared" si="22"/>
        <v>0</v>
      </c>
    </row>
    <row r="128" spans="2:19" hidden="1">
      <c r="B128" s="391" t="s">
        <v>339</v>
      </c>
      <c r="C128" s="141"/>
      <c r="D128" s="141"/>
      <c r="E128" s="141"/>
      <c r="F128" s="141"/>
      <c r="G128" s="142"/>
      <c r="H128" s="135">
        <f t="shared" si="25"/>
        <v>0</v>
      </c>
      <c r="I128" s="499">
        <f t="shared" si="26"/>
        <v>23.31</v>
      </c>
      <c r="J128" s="136"/>
      <c r="K128" s="137"/>
      <c r="L128" s="127">
        <v>23.31</v>
      </c>
      <c r="M128" s="392"/>
      <c r="N128" s="25">
        <f t="shared" si="17"/>
        <v>0</v>
      </c>
      <c r="O128" s="25">
        <f t="shared" si="18"/>
        <v>0</v>
      </c>
      <c r="P128" s="25">
        <f t="shared" si="19"/>
        <v>0</v>
      </c>
      <c r="Q128" s="26">
        <f t="shared" si="20"/>
        <v>0</v>
      </c>
      <c r="R128" s="27">
        <f t="shared" si="21"/>
        <v>0</v>
      </c>
      <c r="S128" s="28">
        <f t="shared" si="22"/>
        <v>0</v>
      </c>
    </row>
    <row r="129" spans="2:19">
      <c r="B129" s="58" t="s">
        <v>13</v>
      </c>
      <c r="C129" s="544">
        <f t="shared" ref="C129" si="27">N129</f>
        <v>27103.980000000003</v>
      </c>
      <c r="D129" s="544">
        <f t="shared" ref="D129" si="28">O129</f>
        <v>42400.090000000011</v>
      </c>
      <c r="E129" s="544">
        <f t="shared" ref="E129" si="29">P129</f>
        <v>28192.260000000002</v>
      </c>
      <c r="F129" s="544">
        <f t="shared" ref="F129" si="30">Q129</f>
        <v>14603.76</v>
      </c>
      <c r="G129" s="544">
        <f t="shared" ref="G129" si="31">R129</f>
        <v>6497.04</v>
      </c>
      <c r="H129" s="544">
        <f t="shared" ref="H129" si="32">S129</f>
        <v>118797.12999999998</v>
      </c>
      <c r="N129" s="29">
        <f t="shared" ref="N129:S129" si="33">SUM(N6:N128)</f>
        <v>27103.980000000003</v>
      </c>
      <c r="O129" s="29">
        <f t="shared" si="33"/>
        <v>42400.090000000011</v>
      </c>
      <c r="P129" s="29">
        <f t="shared" si="33"/>
        <v>28192.260000000002</v>
      </c>
      <c r="Q129" s="29">
        <f t="shared" si="33"/>
        <v>14603.76</v>
      </c>
      <c r="R129" s="29">
        <f t="shared" si="33"/>
        <v>6497.04</v>
      </c>
      <c r="S129" s="29">
        <f t="shared" si="33"/>
        <v>118797.12999999998</v>
      </c>
    </row>
    <row r="130" spans="2:19">
      <c r="B130" s="59" t="s">
        <v>46</v>
      </c>
    </row>
    <row r="131" spans="2:19" ht="16.5" thickBot="1">
      <c r="B131" s="2"/>
    </row>
    <row r="132" spans="2:19">
      <c r="B132" s="60" t="s">
        <v>47</v>
      </c>
    </row>
    <row r="133" spans="2:19">
      <c r="B133" s="61" t="s">
        <v>19</v>
      </c>
    </row>
    <row r="134" spans="2:19">
      <c r="B134" s="61" t="s">
        <v>17</v>
      </c>
    </row>
    <row r="135" spans="2:19" ht="16.5" thickBot="1">
      <c r="B135" s="62" t="s">
        <v>18</v>
      </c>
    </row>
    <row r="136" spans="2:19">
      <c r="B136" s="2"/>
    </row>
    <row r="137" spans="2:19">
      <c r="B137" s="30" t="s">
        <v>20</v>
      </c>
    </row>
    <row r="138" spans="2:19">
      <c r="B138" s="35"/>
    </row>
    <row r="139" spans="2:19">
      <c r="B139" s="35"/>
    </row>
    <row r="140" spans="2:19">
      <c r="B140" s="2"/>
      <c r="G140" s="5" t="str">
        <f>IF(B140&lt;&gt;"",SUM(C140:F140),"")</f>
        <v/>
      </c>
    </row>
    <row r="141" spans="2:19">
      <c r="G141" s="5" t="str">
        <f t="shared" ref="G141:G204" si="34">IF(B141&lt;&gt;"",SUM(C141:F141),"")</f>
        <v/>
      </c>
    </row>
    <row r="142" spans="2:19">
      <c r="G142" s="5" t="str">
        <f t="shared" si="34"/>
        <v/>
      </c>
    </row>
    <row r="143" spans="2:19">
      <c r="G143" s="5" t="str">
        <f t="shared" si="34"/>
        <v/>
      </c>
    </row>
    <row r="144" spans="2:19">
      <c r="G144" s="5" t="str">
        <f t="shared" si="34"/>
        <v/>
      </c>
    </row>
    <row r="145" spans="7:7">
      <c r="G145" s="5" t="str">
        <f t="shared" si="34"/>
        <v/>
      </c>
    </row>
    <row r="146" spans="7:7">
      <c r="G146" s="5" t="str">
        <f t="shared" si="34"/>
        <v/>
      </c>
    </row>
    <row r="147" spans="7:7">
      <c r="G147" s="5" t="str">
        <f t="shared" si="34"/>
        <v/>
      </c>
    </row>
    <row r="148" spans="7:7">
      <c r="G148" s="5" t="str">
        <f t="shared" si="34"/>
        <v/>
      </c>
    </row>
    <row r="149" spans="7:7">
      <c r="G149" s="5" t="str">
        <f t="shared" si="34"/>
        <v/>
      </c>
    </row>
    <row r="150" spans="7:7">
      <c r="G150" s="5" t="str">
        <f t="shared" si="34"/>
        <v/>
      </c>
    </row>
    <row r="151" spans="7:7">
      <c r="G151" s="5" t="str">
        <f t="shared" si="34"/>
        <v/>
      </c>
    </row>
    <row r="152" spans="7:7">
      <c r="G152" s="5" t="str">
        <f t="shared" si="34"/>
        <v/>
      </c>
    </row>
    <row r="153" spans="7:7">
      <c r="G153" s="5" t="str">
        <f t="shared" si="34"/>
        <v/>
      </c>
    </row>
    <row r="154" spans="7:7">
      <c r="G154" s="5" t="str">
        <f t="shared" si="34"/>
        <v/>
      </c>
    </row>
    <row r="155" spans="7:7">
      <c r="G155" s="5" t="str">
        <f t="shared" si="34"/>
        <v/>
      </c>
    </row>
    <row r="156" spans="7:7">
      <c r="G156" s="5" t="str">
        <f t="shared" si="34"/>
        <v/>
      </c>
    </row>
    <row r="157" spans="7:7">
      <c r="G157" s="5" t="str">
        <f t="shared" si="34"/>
        <v/>
      </c>
    </row>
    <row r="158" spans="7:7">
      <c r="G158" s="5" t="str">
        <f t="shared" si="34"/>
        <v/>
      </c>
    </row>
    <row r="159" spans="7:7">
      <c r="G159" s="5" t="str">
        <f t="shared" si="34"/>
        <v/>
      </c>
    </row>
    <row r="160" spans="7:7">
      <c r="G160" s="5" t="str">
        <f t="shared" si="34"/>
        <v/>
      </c>
    </row>
    <row r="161" spans="7:7">
      <c r="G161" s="5" t="str">
        <f t="shared" si="34"/>
        <v/>
      </c>
    </row>
    <row r="162" spans="7:7">
      <c r="G162" s="5" t="str">
        <f t="shared" si="34"/>
        <v/>
      </c>
    </row>
    <row r="163" spans="7:7">
      <c r="G163" s="5" t="str">
        <f t="shared" si="34"/>
        <v/>
      </c>
    </row>
    <row r="164" spans="7:7">
      <c r="G164" s="5" t="str">
        <f t="shared" si="34"/>
        <v/>
      </c>
    </row>
    <row r="165" spans="7:7">
      <c r="G165" s="5" t="str">
        <f t="shared" si="34"/>
        <v/>
      </c>
    </row>
    <row r="166" spans="7:7">
      <c r="G166" s="5" t="str">
        <f t="shared" si="34"/>
        <v/>
      </c>
    </row>
    <row r="167" spans="7:7">
      <c r="G167" s="5" t="str">
        <f t="shared" si="34"/>
        <v/>
      </c>
    </row>
    <row r="168" spans="7:7">
      <c r="G168" s="5" t="str">
        <f t="shared" si="34"/>
        <v/>
      </c>
    </row>
    <row r="169" spans="7:7">
      <c r="G169" s="5" t="str">
        <f t="shared" si="34"/>
        <v/>
      </c>
    </row>
    <row r="170" spans="7:7">
      <c r="G170" s="5" t="str">
        <f t="shared" si="34"/>
        <v/>
      </c>
    </row>
    <row r="171" spans="7:7">
      <c r="G171" s="5" t="str">
        <f t="shared" si="34"/>
        <v/>
      </c>
    </row>
    <row r="172" spans="7:7">
      <c r="G172" s="5" t="str">
        <f t="shared" si="34"/>
        <v/>
      </c>
    </row>
    <row r="173" spans="7:7">
      <c r="G173" s="5" t="str">
        <f t="shared" si="34"/>
        <v/>
      </c>
    </row>
    <row r="174" spans="7:7">
      <c r="G174" s="5" t="str">
        <f t="shared" si="34"/>
        <v/>
      </c>
    </row>
    <row r="175" spans="7:7">
      <c r="G175" s="5" t="str">
        <f t="shared" si="34"/>
        <v/>
      </c>
    </row>
    <row r="176" spans="7:7">
      <c r="G176" s="5" t="str">
        <f t="shared" si="34"/>
        <v/>
      </c>
    </row>
    <row r="177" spans="7:7">
      <c r="G177" s="5" t="str">
        <f t="shared" si="34"/>
        <v/>
      </c>
    </row>
    <row r="178" spans="7:7">
      <c r="G178" s="5" t="str">
        <f t="shared" si="34"/>
        <v/>
      </c>
    </row>
    <row r="179" spans="7:7">
      <c r="G179" s="5" t="str">
        <f t="shared" si="34"/>
        <v/>
      </c>
    </row>
    <row r="180" spans="7:7">
      <c r="G180" s="5" t="str">
        <f t="shared" si="34"/>
        <v/>
      </c>
    </row>
    <row r="181" spans="7:7">
      <c r="G181" s="5" t="str">
        <f t="shared" si="34"/>
        <v/>
      </c>
    </row>
    <row r="182" spans="7:7">
      <c r="G182" s="5" t="str">
        <f t="shared" si="34"/>
        <v/>
      </c>
    </row>
    <row r="183" spans="7:7">
      <c r="G183" s="5" t="str">
        <f t="shared" si="34"/>
        <v/>
      </c>
    </row>
    <row r="184" spans="7:7">
      <c r="G184" s="5" t="str">
        <f t="shared" si="34"/>
        <v/>
      </c>
    </row>
    <row r="185" spans="7:7">
      <c r="G185" s="5" t="str">
        <f t="shared" si="34"/>
        <v/>
      </c>
    </row>
    <row r="186" spans="7:7">
      <c r="G186" s="5" t="str">
        <f t="shared" si="34"/>
        <v/>
      </c>
    </row>
    <row r="187" spans="7:7">
      <c r="G187" s="5" t="str">
        <f t="shared" si="34"/>
        <v/>
      </c>
    </row>
    <row r="188" spans="7:7">
      <c r="G188" s="5" t="str">
        <f t="shared" si="34"/>
        <v/>
      </c>
    </row>
    <row r="189" spans="7:7">
      <c r="G189" s="5" t="str">
        <f t="shared" si="34"/>
        <v/>
      </c>
    </row>
    <row r="190" spans="7:7">
      <c r="G190" s="5" t="str">
        <f t="shared" si="34"/>
        <v/>
      </c>
    </row>
    <row r="191" spans="7:7">
      <c r="G191" s="5" t="str">
        <f t="shared" si="34"/>
        <v/>
      </c>
    </row>
    <row r="192" spans="7:7">
      <c r="G192" s="5" t="str">
        <f t="shared" si="34"/>
        <v/>
      </c>
    </row>
    <row r="193" spans="7:7">
      <c r="G193" s="5" t="str">
        <f t="shared" si="34"/>
        <v/>
      </c>
    </row>
    <row r="194" spans="7:7">
      <c r="G194" s="5" t="str">
        <f t="shared" si="34"/>
        <v/>
      </c>
    </row>
    <row r="195" spans="7:7">
      <c r="G195" s="5" t="str">
        <f t="shared" si="34"/>
        <v/>
      </c>
    </row>
    <row r="196" spans="7:7">
      <c r="G196" s="5" t="str">
        <f t="shared" si="34"/>
        <v/>
      </c>
    </row>
    <row r="197" spans="7:7">
      <c r="G197" s="5" t="str">
        <f t="shared" si="34"/>
        <v/>
      </c>
    </row>
    <row r="198" spans="7:7">
      <c r="G198" s="5" t="str">
        <f t="shared" si="34"/>
        <v/>
      </c>
    </row>
    <row r="199" spans="7:7">
      <c r="G199" s="5" t="str">
        <f t="shared" si="34"/>
        <v/>
      </c>
    </row>
    <row r="200" spans="7:7">
      <c r="G200" s="5" t="str">
        <f t="shared" si="34"/>
        <v/>
      </c>
    </row>
    <row r="201" spans="7:7">
      <c r="G201" s="5" t="str">
        <f t="shared" si="34"/>
        <v/>
      </c>
    </row>
    <row r="202" spans="7:7">
      <c r="G202" s="5" t="str">
        <f t="shared" si="34"/>
        <v/>
      </c>
    </row>
    <row r="203" spans="7:7">
      <c r="G203" s="5" t="str">
        <f t="shared" si="34"/>
        <v/>
      </c>
    </row>
    <row r="204" spans="7:7">
      <c r="G204" s="5" t="str">
        <f t="shared" si="34"/>
        <v/>
      </c>
    </row>
    <row r="205" spans="7:7">
      <c r="G205" s="5" t="str">
        <f t="shared" ref="G205:G268" si="35">IF(B205&lt;&gt;"",SUM(C205:F205),"")</f>
        <v/>
      </c>
    </row>
    <row r="206" spans="7:7">
      <c r="G206" s="5" t="str">
        <f t="shared" si="35"/>
        <v/>
      </c>
    </row>
    <row r="207" spans="7:7">
      <c r="G207" s="5" t="str">
        <f t="shared" si="35"/>
        <v/>
      </c>
    </row>
    <row r="208" spans="7:7">
      <c r="G208" s="5" t="str">
        <f t="shared" si="35"/>
        <v/>
      </c>
    </row>
    <row r="209" spans="7:7">
      <c r="G209" s="5" t="str">
        <f t="shared" si="35"/>
        <v/>
      </c>
    </row>
    <row r="210" spans="7:7">
      <c r="G210" s="5" t="str">
        <f t="shared" si="35"/>
        <v/>
      </c>
    </row>
    <row r="211" spans="7:7">
      <c r="G211" s="5" t="str">
        <f t="shared" si="35"/>
        <v/>
      </c>
    </row>
    <row r="212" spans="7:7">
      <c r="G212" s="5" t="str">
        <f t="shared" si="35"/>
        <v/>
      </c>
    </row>
    <row r="213" spans="7:7">
      <c r="G213" s="5" t="str">
        <f t="shared" si="35"/>
        <v/>
      </c>
    </row>
    <row r="214" spans="7:7">
      <c r="G214" s="5" t="str">
        <f t="shared" si="35"/>
        <v/>
      </c>
    </row>
    <row r="215" spans="7:7">
      <c r="G215" s="5" t="str">
        <f t="shared" si="35"/>
        <v/>
      </c>
    </row>
    <row r="216" spans="7:7">
      <c r="G216" s="5" t="str">
        <f t="shared" si="35"/>
        <v/>
      </c>
    </row>
    <row r="217" spans="7:7">
      <c r="G217" s="5" t="str">
        <f t="shared" si="35"/>
        <v/>
      </c>
    </row>
    <row r="218" spans="7:7">
      <c r="G218" s="5" t="str">
        <f t="shared" si="35"/>
        <v/>
      </c>
    </row>
    <row r="219" spans="7:7">
      <c r="G219" s="5" t="str">
        <f t="shared" si="35"/>
        <v/>
      </c>
    </row>
    <row r="220" spans="7:7">
      <c r="G220" s="5" t="str">
        <f t="shared" si="35"/>
        <v/>
      </c>
    </row>
    <row r="221" spans="7:7">
      <c r="G221" s="5" t="str">
        <f t="shared" si="35"/>
        <v/>
      </c>
    </row>
    <row r="222" spans="7:7">
      <c r="G222" s="5" t="str">
        <f t="shared" si="35"/>
        <v/>
      </c>
    </row>
    <row r="223" spans="7:7">
      <c r="G223" s="5" t="str">
        <f t="shared" si="35"/>
        <v/>
      </c>
    </row>
    <row r="224" spans="7:7">
      <c r="G224" s="5" t="str">
        <f t="shared" si="35"/>
        <v/>
      </c>
    </row>
    <row r="225" spans="7:7">
      <c r="G225" s="5" t="str">
        <f t="shared" si="35"/>
        <v/>
      </c>
    </row>
    <row r="226" spans="7:7">
      <c r="G226" s="5" t="str">
        <f t="shared" si="35"/>
        <v/>
      </c>
    </row>
    <row r="227" spans="7:7">
      <c r="G227" s="5" t="str">
        <f t="shared" si="35"/>
        <v/>
      </c>
    </row>
    <row r="228" spans="7:7">
      <c r="G228" s="5" t="str">
        <f t="shared" si="35"/>
        <v/>
      </c>
    </row>
    <row r="229" spans="7:7">
      <c r="G229" s="5" t="str">
        <f t="shared" si="35"/>
        <v/>
      </c>
    </row>
    <row r="230" spans="7:7">
      <c r="G230" s="5" t="str">
        <f t="shared" si="35"/>
        <v/>
      </c>
    </row>
    <row r="231" spans="7:7">
      <c r="G231" s="5" t="str">
        <f t="shared" si="35"/>
        <v/>
      </c>
    </row>
    <row r="232" spans="7:7">
      <c r="G232" s="5" t="str">
        <f t="shared" si="35"/>
        <v/>
      </c>
    </row>
    <row r="233" spans="7:7">
      <c r="G233" s="5" t="str">
        <f t="shared" si="35"/>
        <v/>
      </c>
    </row>
    <row r="234" spans="7:7">
      <c r="G234" s="5" t="str">
        <f t="shared" si="35"/>
        <v/>
      </c>
    </row>
    <row r="235" spans="7:7">
      <c r="G235" s="5" t="str">
        <f t="shared" si="35"/>
        <v/>
      </c>
    </row>
    <row r="236" spans="7:7">
      <c r="G236" s="5" t="str">
        <f t="shared" si="35"/>
        <v/>
      </c>
    </row>
    <row r="237" spans="7:7">
      <c r="G237" s="5" t="str">
        <f t="shared" si="35"/>
        <v/>
      </c>
    </row>
    <row r="238" spans="7:7">
      <c r="G238" s="5" t="str">
        <f t="shared" si="35"/>
        <v/>
      </c>
    </row>
    <row r="239" spans="7:7">
      <c r="G239" s="5" t="str">
        <f t="shared" si="35"/>
        <v/>
      </c>
    </row>
    <row r="240" spans="7:7">
      <c r="G240" s="5" t="str">
        <f t="shared" si="35"/>
        <v/>
      </c>
    </row>
    <row r="241" spans="7:7">
      <c r="G241" s="5" t="str">
        <f t="shared" si="35"/>
        <v/>
      </c>
    </row>
    <row r="242" spans="7:7">
      <c r="G242" s="5" t="str">
        <f t="shared" si="35"/>
        <v/>
      </c>
    </row>
    <row r="243" spans="7:7">
      <c r="G243" s="5" t="str">
        <f t="shared" si="35"/>
        <v/>
      </c>
    </row>
    <row r="244" spans="7:7">
      <c r="G244" s="5" t="str">
        <f t="shared" si="35"/>
        <v/>
      </c>
    </row>
    <row r="245" spans="7:7">
      <c r="G245" s="5" t="str">
        <f t="shared" si="35"/>
        <v/>
      </c>
    </row>
    <row r="246" spans="7:7">
      <c r="G246" s="5" t="str">
        <f t="shared" si="35"/>
        <v/>
      </c>
    </row>
    <row r="247" spans="7:7">
      <c r="G247" s="5" t="str">
        <f t="shared" si="35"/>
        <v/>
      </c>
    </row>
    <row r="248" spans="7:7">
      <c r="G248" s="5" t="str">
        <f t="shared" si="35"/>
        <v/>
      </c>
    </row>
    <row r="249" spans="7:7">
      <c r="G249" s="5" t="str">
        <f t="shared" si="35"/>
        <v/>
      </c>
    </row>
    <row r="250" spans="7:7">
      <c r="G250" s="5" t="str">
        <f t="shared" si="35"/>
        <v/>
      </c>
    </row>
    <row r="251" spans="7:7">
      <c r="G251" s="5" t="str">
        <f t="shared" si="35"/>
        <v/>
      </c>
    </row>
    <row r="252" spans="7:7">
      <c r="G252" s="5" t="str">
        <f t="shared" si="35"/>
        <v/>
      </c>
    </row>
    <row r="253" spans="7:7">
      <c r="G253" s="5" t="str">
        <f t="shared" si="35"/>
        <v/>
      </c>
    </row>
    <row r="254" spans="7:7">
      <c r="G254" s="5" t="str">
        <f t="shared" si="35"/>
        <v/>
      </c>
    </row>
    <row r="255" spans="7:7">
      <c r="G255" s="5" t="str">
        <f t="shared" si="35"/>
        <v/>
      </c>
    </row>
    <row r="256" spans="7:7">
      <c r="G256" s="5" t="str">
        <f t="shared" si="35"/>
        <v/>
      </c>
    </row>
    <row r="257" spans="7:7">
      <c r="G257" s="5" t="str">
        <f t="shared" si="35"/>
        <v/>
      </c>
    </row>
    <row r="258" spans="7:7">
      <c r="G258" s="5" t="str">
        <f t="shared" si="35"/>
        <v/>
      </c>
    </row>
    <row r="259" spans="7:7">
      <c r="G259" s="5" t="str">
        <f t="shared" si="35"/>
        <v/>
      </c>
    </row>
    <row r="260" spans="7:7">
      <c r="G260" s="5" t="str">
        <f t="shared" si="35"/>
        <v/>
      </c>
    </row>
    <row r="261" spans="7:7">
      <c r="G261" s="5" t="str">
        <f t="shared" si="35"/>
        <v/>
      </c>
    </row>
    <row r="262" spans="7:7">
      <c r="G262" s="5" t="str">
        <f t="shared" si="35"/>
        <v/>
      </c>
    </row>
    <row r="263" spans="7:7">
      <c r="G263" s="5" t="str">
        <f t="shared" si="35"/>
        <v/>
      </c>
    </row>
    <row r="264" spans="7:7">
      <c r="G264" s="5" t="str">
        <f t="shared" si="35"/>
        <v/>
      </c>
    </row>
    <row r="265" spans="7:7">
      <c r="G265" s="5" t="str">
        <f t="shared" si="35"/>
        <v/>
      </c>
    </row>
    <row r="266" spans="7:7">
      <c r="G266" s="5" t="str">
        <f t="shared" si="35"/>
        <v/>
      </c>
    </row>
    <row r="267" spans="7:7">
      <c r="G267" s="5" t="str">
        <f t="shared" si="35"/>
        <v/>
      </c>
    </row>
    <row r="268" spans="7:7">
      <c r="G268" s="5" t="str">
        <f t="shared" si="35"/>
        <v/>
      </c>
    </row>
    <row r="269" spans="7:7">
      <c r="G269" s="5" t="str">
        <f t="shared" ref="G269:G332" si="36">IF(B269&lt;&gt;"",SUM(C269:F269),"")</f>
        <v/>
      </c>
    </row>
    <row r="270" spans="7:7">
      <c r="G270" s="5" t="str">
        <f t="shared" si="36"/>
        <v/>
      </c>
    </row>
    <row r="271" spans="7:7">
      <c r="G271" s="5" t="str">
        <f t="shared" si="36"/>
        <v/>
      </c>
    </row>
    <row r="272" spans="7:7">
      <c r="G272" s="5" t="str">
        <f t="shared" si="36"/>
        <v/>
      </c>
    </row>
    <row r="273" spans="7:7">
      <c r="G273" s="5" t="str">
        <f t="shared" si="36"/>
        <v/>
      </c>
    </row>
    <row r="274" spans="7:7">
      <c r="G274" s="5" t="str">
        <f t="shared" si="36"/>
        <v/>
      </c>
    </row>
    <row r="275" spans="7:7">
      <c r="G275" s="5" t="str">
        <f t="shared" si="36"/>
        <v/>
      </c>
    </row>
    <row r="276" spans="7:7">
      <c r="G276" s="5" t="str">
        <f t="shared" si="36"/>
        <v/>
      </c>
    </row>
    <row r="277" spans="7:7">
      <c r="G277" s="5" t="str">
        <f t="shared" si="36"/>
        <v/>
      </c>
    </row>
    <row r="278" spans="7:7">
      <c r="G278" s="5" t="str">
        <f t="shared" si="36"/>
        <v/>
      </c>
    </row>
    <row r="279" spans="7:7">
      <c r="G279" s="5" t="str">
        <f t="shared" si="36"/>
        <v/>
      </c>
    </row>
    <row r="280" spans="7:7">
      <c r="G280" s="5" t="str">
        <f t="shared" si="36"/>
        <v/>
      </c>
    </row>
    <row r="281" spans="7:7">
      <c r="G281" s="5" t="str">
        <f t="shared" si="36"/>
        <v/>
      </c>
    </row>
    <row r="282" spans="7:7">
      <c r="G282" s="5" t="str">
        <f t="shared" si="36"/>
        <v/>
      </c>
    </row>
    <row r="283" spans="7:7">
      <c r="G283" s="5" t="str">
        <f t="shared" si="36"/>
        <v/>
      </c>
    </row>
    <row r="284" spans="7:7">
      <c r="G284" s="5" t="str">
        <f t="shared" si="36"/>
        <v/>
      </c>
    </row>
    <row r="285" spans="7:7">
      <c r="G285" s="5" t="str">
        <f t="shared" si="36"/>
        <v/>
      </c>
    </row>
    <row r="286" spans="7:7">
      <c r="G286" s="5" t="str">
        <f t="shared" si="36"/>
        <v/>
      </c>
    </row>
    <row r="287" spans="7:7">
      <c r="G287" s="5" t="str">
        <f t="shared" si="36"/>
        <v/>
      </c>
    </row>
    <row r="288" spans="7:7">
      <c r="G288" s="5" t="str">
        <f t="shared" si="36"/>
        <v/>
      </c>
    </row>
    <row r="289" spans="7:7">
      <c r="G289" s="5" t="str">
        <f t="shared" si="36"/>
        <v/>
      </c>
    </row>
    <row r="290" spans="7:7">
      <c r="G290" s="5" t="str">
        <f t="shared" si="36"/>
        <v/>
      </c>
    </row>
    <row r="291" spans="7:7">
      <c r="G291" s="5" t="str">
        <f t="shared" si="36"/>
        <v/>
      </c>
    </row>
    <row r="292" spans="7:7">
      <c r="G292" s="5" t="str">
        <f t="shared" si="36"/>
        <v/>
      </c>
    </row>
    <row r="293" spans="7:7">
      <c r="G293" s="5" t="str">
        <f t="shared" si="36"/>
        <v/>
      </c>
    </row>
    <row r="294" spans="7:7">
      <c r="G294" s="5" t="str">
        <f t="shared" si="36"/>
        <v/>
      </c>
    </row>
    <row r="295" spans="7:7">
      <c r="G295" s="5" t="str">
        <f t="shared" si="36"/>
        <v/>
      </c>
    </row>
    <row r="296" spans="7:7">
      <c r="G296" s="5" t="str">
        <f t="shared" si="36"/>
        <v/>
      </c>
    </row>
    <row r="297" spans="7:7">
      <c r="G297" s="5" t="str">
        <f t="shared" si="36"/>
        <v/>
      </c>
    </row>
    <row r="298" spans="7:7">
      <c r="G298" s="5" t="str">
        <f t="shared" si="36"/>
        <v/>
      </c>
    </row>
    <row r="299" spans="7:7">
      <c r="G299" s="5" t="str">
        <f t="shared" si="36"/>
        <v/>
      </c>
    </row>
    <row r="300" spans="7:7">
      <c r="G300" s="5" t="str">
        <f t="shared" si="36"/>
        <v/>
      </c>
    </row>
    <row r="301" spans="7:7">
      <c r="G301" s="5" t="str">
        <f t="shared" si="36"/>
        <v/>
      </c>
    </row>
    <row r="302" spans="7:7">
      <c r="G302" s="5" t="str">
        <f t="shared" si="36"/>
        <v/>
      </c>
    </row>
    <row r="303" spans="7:7">
      <c r="G303" s="5" t="str">
        <f t="shared" si="36"/>
        <v/>
      </c>
    </row>
    <row r="304" spans="7:7">
      <c r="G304" s="5" t="str">
        <f t="shared" si="36"/>
        <v/>
      </c>
    </row>
    <row r="305" spans="7:7">
      <c r="G305" s="5" t="str">
        <f t="shared" si="36"/>
        <v/>
      </c>
    </row>
    <row r="306" spans="7:7">
      <c r="G306" s="5" t="str">
        <f t="shared" si="36"/>
        <v/>
      </c>
    </row>
    <row r="307" spans="7:7">
      <c r="G307" s="5" t="str">
        <f t="shared" si="36"/>
        <v/>
      </c>
    </row>
    <row r="308" spans="7:7">
      <c r="G308" s="5" t="str">
        <f t="shared" si="36"/>
        <v/>
      </c>
    </row>
    <row r="309" spans="7:7">
      <c r="G309" s="5" t="str">
        <f t="shared" si="36"/>
        <v/>
      </c>
    </row>
    <row r="310" spans="7:7">
      <c r="G310" s="5" t="str">
        <f t="shared" si="36"/>
        <v/>
      </c>
    </row>
    <row r="311" spans="7:7">
      <c r="G311" s="5" t="str">
        <f t="shared" si="36"/>
        <v/>
      </c>
    </row>
    <row r="312" spans="7:7">
      <c r="G312" s="5" t="str">
        <f t="shared" si="36"/>
        <v/>
      </c>
    </row>
    <row r="313" spans="7:7">
      <c r="G313" s="5" t="str">
        <f t="shared" si="36"/>
        <v/>
      </c>
    </row>
    <row r="314" spans="7:7">
      <c r="G314" s="5" t="str">
        <f t="shared" si="36"/>
        <v/>
      </c>
    </row>
    <row r="315" spans="7:7">
      <c r="G315" s="5" t="str">
        <f t="shared" si="36"/>
        <v/>
      </c>
    </row>
    <row r="316" spans="7:7">
      <c r="G316" s="5" t="str">
        <f t="shared" si="36"/>
        <v/>
      </c>
    </row>
    <row r="317" spans="7:7">
      <c r="G317" s="5" t="str">
        <f t="shared" si="36"/>
        <v/>
      </c>
    </row>
    <row r="318" spans="7:7">
      <c r="G318" s="5" t="str">
        <f t="shared" si="36"/>
        <v/>
      </c>
    </row>
    <row r="319" spans="7:7">
      <c r="G319" s="5" t="str">
        <f t="shared" si="36"/>
        <v/>
      </c>
    </row>
    <row r="320" spans="7:7">
      <c r="G320" s="5" t="str">
        <f t="shared" si="36"/>
        <v/>
      </c>
    </row>
    <row r="321" spans="7:7">
      <c r="G321" s="5" t="str">
        <f t="shared" si="36"/>
        <v/>
      </c>
    </row>
    <row r="322" spans="7:7">
      <c r="G322" s="5" t="str">
        <f t="shared" si="36"/>
        <v/>
      </c>
    </row>
    <row r="323" spans="7:7">
      <c r="G323" s="5" t="str">
        <f t="shared" si="36"/>
        <v/>
      </c>
    </row>
    <row r="324" spans="7:7">
      <c r="G324" s="5" t="str">
        <f t="shared" si="36"/>
        <v/>
      </c>
    </row>
    <row r="325" spans="7:7">
      <c r="G325" s="5" t="str">
        <f t="shared" si="36"/>
        <v/>
      </c>
    </row>
    <row r="326" spans="7:7">
      <c r="G326" s="5" t="str">
        <f t="shared" si="36"/>
        <v/>
      </c>
    </row>
    <row r="327" spans="7:7">
      <c r="G327" s="5" t="str">
        <f t="shared" si="36"/>
        <v/>
      </c>
    </row>
    <row r="328" spans="7:7">
      <c r="G328" s="5" t="str">
        <f t="shared" si="36"/>
        <v/>
      </c>
    </row>
    <row r="329" spans="7:7">
      <c r="G329" s="5" t="str">
        <f t="shared" si="36"/>
        <v/>
      </c>
    </row>
    <row r="330" spans="7:7">
      <c r="G330" s="5" t="str">
        <f t="shared" si="36"/>
        <v/>
      </c>
    </row>
    <row r="331" spans="7:7">
      <c r="G331" s="5" t="str">
        <f t="shared" si="36"/>
        <v/>
      </c>
    </row>
    <row r="332" spans="7:7">
      <c r="G332" s="5" t="str">
        <f t="shared" si="36"/>
        <v/>
      </c>
    </row>
    <row r="333" spans="7:7">
      <c r="G333" s="5" t="str">
        <f t="shared" ref="G333:G396" si="37">IF(B333&lt;&gt;"",SUM(C333:F333),"")</f>
        <v/>
      </c>
    </row>
    <row r="334" spans="7:7">
      <c r="G334" s="5" t="str">
        <f t="shared" si="37"/>
        <v/>
      </c>
    </row>
    <row r="335" spans="7:7">
      <c r="G335" s="5" t="str">
        <f t="shared" si="37"/>
        <v/>
      </c>
    </row>
    <row r="336" spans="7:7">
      <c r="G336" s="5" t="str">
        <f t="shared" si="37"/>
        <v/>
      </c>
    </row>
    <row r="337" spans="7:7">
      <c r="G337" s="5" t="str">
        <f t="shared" si="37"/>
        <v/>
      </c>
    </row>
    <row r="338" spans="7:7">
      <c r="G338" s="5" t="str">
        <f t="shared" si="37"/>
        <v/>
      </c>
    </row>
    <row r="339" spans="7:7">
      <c r="G339" s="5" t="str">
        <f t="shared" si="37"/>
        <v/>
      </c>
    </row>
    <row r="340" spans="7:7">
      <c r="G340" s="5" t="str">
        <f t="shared" si="37"/>
        <v/>
      </c>
    </row>
    <row r="341" spans="7:7">
      <c r="G341" s="5" t="str">
        <f t="shared" si="37"/>
        <v/>
      </c>
    </row>
    <row r="342" spans="7:7">
      <c r="G342" s="5" t="str">
        <f t="shared" si="37"/>
        <v/>
      </c>
    </row>
    <row r="343" spans="7:7">
      <c r="G343" s="5" t="str">
        <f t="shared" si="37"/>
        <v/>
      </c>
    </row>
    <row r="344" spans="7:7">
      <c r="G344" s="5" t="str">
        <f t="shared" si="37"/>
        <v/>
      </c>
    </row>
    <row r="345" spans="7:7">
      <c r="G345" s="5" t="str">
        <f t="shared" si="37"/>
        <v/>
      </c>
    </row>
    <row r="346" spans="7:7">
      <c r="G346" s="5" t="str">
        <f t="shared" si="37"/>
        <v/>
      </c>
    </row>
    <row r="347" spans="7:7">
      <c r="G347" s="5" t="str">
        <f t="shared" si="37"/>
        <v/>
      </c>
    </row>
    <row r="348" spans="7:7">
      <c r="G348" s="5" t="str">
        <f t="shared" si="37"/>
        <v/>
      </c>
    </row>
    <row r="349" spans="7:7">
      <c r="G349" s="5" t="str">
        <f t="shared" si="37"/>
        <v/>
      </c>
    </row>
    <row r="350" spans="7:7">
      <c r="G350" s="5" t="str">
        <f t="shared" si="37"/>
        <v/>
      </c>
    </row>
    <row r="351" spans="7:7">
      <c r="G351" s="5" t="str">
        <f t="shared" si="37"/>
        <v/>
      </c>
    </row>
    <row r="352" spans="7:7">
      <c r="G352" s="5" t="str">
        <f t="shared" si="37"/>
        <v/>
      </c>
    </row>
    <row r="353" spans="7:7">
      <c r="G353" s="5" t="str">
        <f t="shared" si="37"/>
        <v/>
      </c>
    </row>
    <row r="354" spans="7:7">
      <c r="G354" s="5" t="str">
        <f t="shared" si="37"/>
        <v/>
      </c>
    </row>
    <row r="355" spans="7:7">
      <c r="G355" s="5" t="str">
        <f t="shared" si="37"/>
        <v/>
      </c>
    </row>
    <row r="356" spans="7:7">
      <c r="G356" s="5" t="str">
        <f t="shared" si="37"/>
        <v/>
      </c>
    </row>
    <row r="357" spans="7:7">
      <c r="G357" s="5" t="str">
        <f t="shared" si="37"/>
        <v/>
      </c>
    </row>
    <row r="358" spans="7:7">
      <c r="G358" s="5" t="str">
        <f t="shared" si="37"/>
        <v/>
      </c>
    </row>
    <row r="359" spans="7:7">
      <c r="G359" s="5" t="str">
        <f t="shared" si="37"/>
        <v/>
      </c>
    </row>
    <row r="360" spans="7:7">
      <c r="G360" s="5" t="str">
        <f t="shared" si="37"/>
        <v/>
      </c>
    </row>
    <row r="361" spans="7:7">
      <c r="G361" s="5" t="str">
        <f t="shared" si="37"/>
        <v/>
      </c>
    </row>
    <row r="362" spans="7:7">
      <c r="G362" s="5" t="str">
        <f t="shared" si="37"/>
        <v/>
      </c>
    </row>
    <row r="363" spans="7:7">
      <c r="G363" s="5" t="str">
        <f t="shared" si="37"/>
        <v/>
      </c>
    </row>
    <row r="364" spans="7:7">
      <c r="G364" s="5" t="str">
        <f t="shared" si="37"/>
        <v/>
      </c>
    </row>
    <row r="365" spans="7:7">
      <c r="G365" s="5" t="str">
        <f t="shared" si="37"/>
        <v/>
      </c>
    </row>
    <row r="366" spans="7:7">
      <c r="G366" s="5" t="str">
        <f t="shared" si="37"/>
        <v/>
      </c>
    </row>
    <row r="367" spans="7:7">
      <c r="G367" s="5" t="str">
        <f t="shared" si="37"/>
        <v/>
      </c>
    </row>
    <row r="368" spans="7:7">
      <c r="G368" s="5" t="str">
        <f t="shared" si="37"/>
        <v/>
      </c>
    </row>
    <row r="369" spans="7:7">
      <c r="G369" s="5" t="str">
        <f t="shared" si="37"/>
        <v/>
      </c>
    </row>
    <row r="370" spans="7:7">
      <c r="G370" s="5" t="str">
        <f t="shared" si="37"/>
        <v/>
      </c>
    </row>
    <row r="371" spans="7:7">
      <c r="G371" s="5" t="str">
        <f t="shared" si="37"/>
        <v/>
      </c>
    </row>
    <row r="372" spans="7:7">
      <c r="G372" s="5" t="str">
        <f t="shared" si="37"/>
        <v/>
      </c>
    </row>
    <row r="373" spans="7:7">
      <c r="G373" s="5" t="str">
        <f t="shared" si="37"/>
        <v/>
      </c>
    </row>
    <row r="374" spans="7:7">
      <c r="G374" s="5" t="str">
        <f t="shared" si="37"/>
        <v/>
      </c>
    </row>
    <row r="375" spans="7:7">
      <c r="G375" s="5" t="str">
        <f t="shared" si="37"/>
        <v/>
      </c>
    </row>
    <row r="376" spans="7:7">
      <c r="G376" s="5" t="str">
        <f t="shared" si="37"/>
        <v/>
      </c>
    </row>
    <row r="377" spans="7:7">
      <c r="G377" s="5" t="str">
        <f t="shared" si="37"/>
        <v/>
      </c>
    </row>
    <row r="378" spans="7:7">
      <c r="G378" s="5" t="str">
        <f t="shared" si="37"/>
        <v/>
      </c>
    </row>
    <row r="379" spans="7:7">
      <c r="G379" s="5" t="str">
        <f t="shared" si="37"/>
        <v/>
      </c>
    </row>
    <row r="380" spans="7:7">
      <c r="G380" s="5" t="str">
        <f t="shared" si="37"/>
        <v/>
      </c>
    </row>
    <row r="381" spans="7:7">
      <c r="G381" s="5" t="str">
        <f t="shared" si="37"/>
        <v/>
      </c>
    </row>
    <row r="382" spans="7:7">
      <c r="G382" s="5" t="str">
        <f t="shared" si="37"/>
        <v/>
      </c>
    </row>
    <row r="383" spans="7:7">
      <c r="G383" s="5" t="str">
        <f t="shared" si="37"/>
        <v/>
      </c>
    </row>
    <row r="384" spans="7:7">
      <c r="G384" s="5" t="str">
        <f t="shared" si="37"/>
        <v/>
      </c>
    </row>
    <row r="385" spans="7:7">
      <c r="G385" s="5" t="str">
        <f t="shared" si="37"/>
        <v/>
      </c>
    </row>
    <row r="386" spans="7:7">
      <c r="G386" s="5" t="str">
        <f t="shared" si="37"/>
        <v/>
      </c>
    </row>
    <row r="387" spans="7:7">
      <c r="G387" s="5" t="str">
        <f t="shared" si="37"/>
        <v/>
      </c>
    </row>
    <row r="388" spans="7:7">
      <c r="G388" s="5" t="str">
        <f t="shared" si="37"/>
        <v/>
      </c>
    </row>
    <row r="389" spans="7:7">
      <c r="G389" s="5" t="str">
        <f t="shared" si="37"/>
        <v/>
      </c>
    </row>
    <row r="390" spans="7:7">
      <c r="G390" s="5" t="str">
        <f t="shared" si="37"/>
        <v/>
      </c>
    </row>
    <row r="391" spans="7:7">
      <c r="G391" s="5" t="str">
        <f t="shared" si="37"/>
        <v/>
      </c>
    </row>
    <row r="392" spans="7:7">
      <c r="G392" s="5" t="str">
        <f t="shared" si="37"/>
        <v/>
      </c>
    </row>
    <row r="393" spans="7:7">
      <c r="G393" s="5" t="str">
        <f t="shared" si="37"/>
        <v/>
      </c>
    </row>
    <row r="394" spans="7:7">
      <c r="G394" s="5" t="str">
        <f t="shared" si="37"/>
        <v/>
      </c>
    </row>
    <row r="395" spans="7:7">
      <c r="G395" s="5" t="str">
        <f t="shared" si="37"/>
        <v/>
      </c>
    </row>
    <row r="396" spans="7:7">
      <c r="G396" s="5" t="str">
        <f t="shared" si="37"/>
        <v/>
      </c>
    </row>
    <row r="397" spans="7:7">
      <c r="G397" s="5" t="str">
        <f t="shared" ref="G397:G460" si="38">IF(B397&lt;&gt;"",SUM(C397:F397),"")</f>
        <v/>
      </c>
    </row>
    <row r="398" spans="7:7">
      <c r="G398" s="5" t="str">
        <f t="shared" si="38"/>
        <v/>
      </c>
    </row>
    <row r="399" spans="7:7">
      <c r="G399" s="5" t="str">
        <f t="shared" si="38"/>
        <v/>
      </c>
    </row>
    <row r="400" spans="7:7">
      <c r="G400" s="5" t="str">
        <f t="shared" si="38"/>
        <v/>
      </c>
    </row>
    <row r="401" spans="7:7">
      <c r="G401" s="5" t="str">
        <f t="shared" si="38"/>
        <v/>
      </c>
    </row>
    <row r="402" spans="7:7">
      <c r="G402" s="5" t="str">
        <f t="shared" si="38"/>
        <v/>
      </c>
    </row>
    <row r="403" spans="7:7">
      <c r="G403" s="5" t="str">
        <f t="shared" si="38"/>
        <v/>
      </c>
    </row>
    <row r="404" spans="7:7">
      <c r="G404" s="5" t="str">
        <f t="shared" si="38"/>
        <v/>
      </c>
    </row>
    <row r="405" spans="7:7">
      <c r="G405" s="5" t="str">
        <f t="shared" si="38"/>
        <v/>
      </c>
    </row>
    <row r="406" spans="7:7">
      <c r="G406" s="5" t="str">
        <f t="shared" si="38"/>
        <v/>
      </c>
    </row>
    <row r="407" spans="7:7">
      <c r="G407" s="5" t="str">
        <f t="shared" si="38"/>
        <v/>
      </c>
    </row>
    <row r="408" spans="7:7">
      <c r="G408" s="5" t="str">
        <f t="shared" si="38"/>
        <v/>
      </c>
    </row>
    <row r="409" spans="7:7">
      <c r="G409" s="5" t="str">
        <f t="shared" si="38"/>
        <v/>
      </c>
    </row>
    <row r="410" spans="7:7">
      <c r="G410" s="5" t="str">
        <f t="shared" si="38"/>
        <v/>
      </c>
    </row>
    <row r="411" spans="7:7">
      <c r="G411" s="5" t="str">
        <f t="shared" si="38"/>
        <v/>
      </c>
    </row>
    <row r="412" spans="7:7">
      <c r="G412" s="5" t="str">
        <f t="shared" si="38"/>
        <v/>
      </c>
    </row>
    <row r="413" spans="7:7">
      <c r="G413" s="5" t="str">
        <f t="shared" si="38"/>
        <v/>
      </c>
    </row>
    <row r="414" spans="7:7">
      <c r="G414" s="5" t="str">
        <f t="shared" si="38"/>
        <v/>
      </c>
    </row>
    <row r="415" spans="7:7">
      <c r="G415" s="5" t="str">
        <f t="shared" si="38"/>
        <v/>
      </c>
    </row>
    <row r="416" spans="7:7">
      <c r="G416" s="5" t="str">
        <f t="shared" si="38"/>
        <v/>
      </c>
    </row>
    <row r="417" spans="7:7">
      <c r="G417" s="5" t="str">
        <f t="shared" si="38"/>
        <v/>
      </c>
    </row>
    <row r="418" spans="7:7">
      <c r="G418" s="5" t="str">
        <f t="shared" si="38"/>
        <v/>
      </c>
    </row>
    <row r="419" spans="7:7">
      <c r="G419" s="5" t="str">
        <f t="shared" si="38"/>
        <v/>
      </c>
    </row>
    <row r="420" spans="7:7">
      <c r="G420" s="5" t="str">
        <f t="shared" si="38"/>
        <v/>
      </c>
    </row>
    <row r="421" spans="7:7">
      <c r="G421" s="5" t="str">
        <f t="shared" si="38"/>
        <v/>
      </c>
    </row>
    <row r="422" spans="7:7">
      <c r="G422" s="5" t="str">
        <f t="shared" si="38"/>
        <v/>
      </c>
    </row>
    <row r="423" spans="7:7">
      <c r="G423" s="5" t="str">
        <f t="shared" si="38"/>
        <v/>
      </c>
    </row>
    <row r="424" spans="7:7">
      <c r="G424" s="5" t="str">
        <f t="shared" si="38"/>
        <v/>
      </c>
    </row>
    <row r="425" spans="7:7">
      <c r="G425" s="5" t="str">
        <f t="shared" si="38"/>
        <v/>
      </c>
    </row>
    <row r="426" spans="7:7">
      <c r="G426" s="5" t="str">
        <f t="shared" si="38"/>
        <v/>
      </c>
    </row>
    <row r="427" spans="7:7">
      <c r="G427" s="5" t="str">
        <f t="shared" si="38"/>
        <v/>
      </c>
    </row>
    <row r="428" spans="7:7">
      <c r="G428" s="5" t="str">
        <f t="shared" si="38"/>
        <v/>
      </c>
    </row>
    <row r="429" spans="7:7">
      <c r="G429" s="5" t="str">
        <f t="shared" si="38"/>
        <v/>
      </c>
    </row>
    <row r="430" spans="7:7">
      <c r="G430" s="5" t="str">
        <f t="shared" si="38"/>
        <v/>
      </c>
    </row>
    <row r="431" spans="7:7">
      <c r="G431" s="5" t="str">
        <f t="shared" si="38"/>
        <v/>
      </c>
    </row>
    <row r="432" spans="7:7">
      <c r="G432" s="5" t="str">
        <f t="shared" si="38"/>
        <v/>
      </c>
    </row>
    <row r="433" spans="7:7">
      <c r="G433" s="5" t="str">
        <f t="shared" si="38"/>
        <v/>
      </c>
    </row>
    <row r="434" spans="7:7">
      <c r="G434" s="5" t="str">
        <f t="shared" si="38"/>
        <v/>
      </c>
    </row>
    <row r="435" spans="7:7">
      <c r="G435" s="5" t="str">
        <f t="shared" si="38"/>
        <v/>
      </c>
    </row>
    <row r="436" spans="7:7">
      <c r="G436" s="5" t="str">
        <f t="shared" si="38"/>
        <v/>
      </c>
    </row>
    <row r="437" spans="7:7">
      <c r="G437" s="5" t="str">
        <f t="shared" si="38"/>
        <v/>
      </c>
    </row>
    <row r="438" spans="7:7">
      <c r="G438" s="5" t="str">
        <f t="shared" si="38"/>
        <v/>
      </c>
    </row>
    <row r="439" spans="7:7">
      <c r="G439" s="5" t="str">
        <f t="shared" si="38"/>
        <v/>
      </c>
    </row>
    <row r="440" spans="7:7">
      <c r="G440" s="5" t="str">
        <f t="shared" si="38"/>
        <v/>
      </c>
    </row>
    <row r="441" spans="7:7">
      <c r="G441" s="5" t="str">
        <f t="shared" si="38"/>
        <v/>
      </c>
    </row>
    <row r="442" spans="7:7">
      <c r="G442" s="5" t="str">
        <f t="shared" si="38"/>
        <v/>
      </c>
    </row>
    <row r="443" spans="7:7">
      <c r="G443" s="5" t="str">
        <f t="shared" si="38"/>
        <v/>
      </c>
    </row>
    <row r="444" spans="7:7">
      <c r="G444" s="5" t="str">
        <f t="shared" si="38"/>
        <v/>
      </c>
    </row>
    <row r="445" spans="7:7">
      <c r="G445" s="5" t="str">
        <f t="shared" si="38"/>
        <v/>
      </c>
    </row>
    <row r="446" spans="7:7">
      <c r="G446" s="5" t="str">
        <f t="shared" si="38"/>
        <v/>
      </c>
    </row>
    <row r="447" spans="7:7">
      <c r="G447" s="5" t="str">
        <f t="shared" si="38"/>
        <v/>
      </c>
    </row>
    <row r="448" spans="7:7">
      <c r="G448" s="5" t="str">
        <f t="shared" si="38"/>
        <v/>
      </c>
    </row>
    <row r="449" spans="7:7">
      <c r="G449" s="5" t="str">
        <f t="shared" si="38"/>
        <v/>
      </c>
    </row>
    <row r="450" spans="7:7">
      <c r="G450" s="5" t="str">
        <f t="shared" si="38"/>
        <v/>
      </c>
    </row>
    <row r="451" spans="7:7">
      <c r="G451" s="5" t="str">
        <f t="shared" si="38"/>
        <v/>
      </c>
    </row>
    <row r="452" spans="7:7">
      <c r="G452" s="5" t="str">
        <f t="shared" si="38"/>
        <v/>
      </c>
    </row>
    <row r="453" spans="7:7">
      <c r="G453" s="5" t="str">
        <f t="shared" si="38"/>
        <v/>
      </c>
    </row>
    <row r="454" spans="7:7">
      <c r="G454" s="5" t="str">
        <f t="shared" si="38"/>
        <v/>
      </c>
    </row>
    <row r="455" spans="7:7">
      <c r="G455" s="5" t="str">
        <f t="shared" si="38"/>
        <v/>
      </c>
    </row>
    <row r="456" spans="7:7">
      <c r="G456" s="5" t="str">
        <f t="shared" si="38"/>
        <v/>
      </c>
    </row>
    <row r="457" spans="7:7">
      <c r="G457" s="5" t="str">
        <f t="shared" si="38"/>
        <v/>
      </c>
    </row>
    <row r="458" spans="7:7">
      <c r="G458" s="5" t="str">
        <f t="shared" si="38"/>
        <v/>
      </c>
    </row>
    <row r="459" spans="7:7">
      <c r="G459" s="5" t="str">
        <f t="shared" si="38"/>
        <v/>
      </c>
    </row>
    <row r="460" spans="7:7">
      <c r="G460" s="5" t="str">
        <f t="shared" si="38"/>
        <v/>
      </c>
    </row>
    <row r="461" spans="7:7">
      <c r="G461" s="5" t="str">
        <f t="shared" ref="G461:G524" si="39">IF(B461&lt;&gt;"",SUM(C461:F461),"")</f>
        <v/>
      </c>
    </row>
    <row r="462" spans="7:7">
      <c r="G462" s="5" t="str">
        <f t="shared" si="39"/>
        <v/>
      </c>
    </row>
    <row r="463" spans="7:7">
      <c r="G463" s="5" t="str">
        <f t="shared" si="39"/>
        <v/>
      </c>
    </row>
    <row r="464" spans="7:7">
      <c r="G464" s="5" t="str">
        <f t="shared" si="39"/>
        <v/>
      </c>
    </row>
    <row r="465" spans="7:7">
      <c r="G465" s="5" t="str">
        <f t="shared" si="39"/>
        <v/>
      </c>
    </row>
    <row r="466" spans="7:7">
      <c r="G466" s="5" t="str">
        <f t="shared" si="39"/>
        <v/>
      </c>
    </row>
    <row r="467" spans="7:7">
      <c r="G467" s="5" t="str">
        <f t="shared" si="39"/>
        <v/>
      </c>
    </row>
    <row r="468" spans="7:7">
      <c r="G468" s="5" t="str">
        <f t="shared" si="39"/>
        <v/>
      </c>
    </row>
    <row r="469" spans="7:7">
      <c r="G469" s="5" t="str">
        <f t="shared" si="39"/>
        <v/>
      </c>
    </row>
    <row r="470" spans="7:7">
      <c r="G470" s="5" t="str">
        <f t="shared" si="39"/>
        <v/>
      </c>
    </row>
    <row r="471" spans="7:7">
      <c r="G471" s="5" t="str">
        <f t="shared" si="39"/>
        <v/>
      </c>
    </row>
    <row r="472" spans="7:7">
      <c r="G472" s="5" t="str">
        <f t="shared" si="39"/>
        <v/>
      </c>
    </row>
    <row r="473" spans="7:7">
      <c r="G473" s="5" t="str">
        <f t="shared" si="39"/>
        <v/>
      </c>
    </row>
    <row r="474" spans="7:7">
      <c r="G474" s="5" t="str">
        <f t="shared" si="39"/>
        <v/>
      </c>
    </row>
    <row r="475" spans="7:7">
      <c r="G475" s="5" t="str">
        <f t="shared" si="39"/>
        <v/>
      </c>
    </row>
    <row r="476" spans="7:7">
      <c r="G476" s="5" t="str">
        <f t="shared" si="39"/>
        <v/>
      </c>
    </row>
    <row r="477" spans="7:7">
      <c r="G477" s="5" t="str">
        <f t="shared" si="39"/>
        <v/>
      </c>
    </row>
    <row r="478" spans="7:7">
      <c r="G478" s="5" t="str">
        <f t="shared" si="39"/>
        <v/>
      </c>
    </row>
    <row r="479" spans="7:7">
      <c r="G479" s="5" t="str">
        <f t="shared" si="39"/>
        <v/>
      </c>
    </row>
    <row r="480" spans="7:7">
      <c r="G480" s="5" t="str">
        <f t="shared" si="39"/>
        <v/>
      </c>
    </row>
    <row r="481" spans="7:7">
      <c r="G481" s="5" t="str">
        <f t="shared" si="39"/>
        <v/>
      </c>
    </row>
    <row r="482" spans="7:7">
      <c r="G482" s="5" t="str">
        <f t="shared" si="39"/>
        <v/>
      </c>
    </row>
    <row r="483" spans="7:7">
      <c r="G483" s="5" t="str">
        <f t="shared" si="39"/>
        <v/>
      </c>
    </row>
    <row r="484" spans="7:7">
      <c r="G484" s="5" t="str">
        <f t="shared" si="39"/>
        <v/>
      </c>
    </row>
    <row r="485" spans="7:7">
      <c r="G485" s="5" t="str">
        <f t="shared" si="39"/>
        <v/>
      </c>
    </row>
    <row r="486" spans="7:7">
      <c r="G486" s="5" t="str">
        <f t="shared" si="39"/>
        <v/>
      </c>
    </row>
    <row r="487" spans="7:7">
      <c r="G487" s="5" t="str">
        <f t="shared" si="39"/>
        <v/>
      </c>
    </row>
    <row r="488" spans="7:7">
      <c r="G488" s="5" t="str">
        <f t="shared" si="39"/>
        <v/>
      </c>
    </row>
    <row r="489" spans="7:7">
      <c r="G489" s="5" t="str">
        <f t="shared" si="39"/>
        <v/>
      </c>
    </row>
    <row r="490" spans="7:7">
      <c r="G490" s="5" t="str">
        <f t="shared" si="39"/>
        <v/>
      </c>
    </row>
    <row r="491" spans="7:7">
      <c r="G491" s="5" t="str">
        <f t="shared" si="39"/>
        <v/>
      </c>
    </row>
    <row r="492" spans="7:7">
      <c r="G492" s="5" t="str">
        <f t="shared" si="39"/>
        <v/>
      </c>
    </row>
    <row r="493" spans="7:7">
      <c r="G493" s="5" t="str">
        <f t="shared" si="39"/>
        <v/>
      </c>
    </row>
    <row r="494" spans="7:7">
      <c r="G494" s="5" t="str">
        <f t="shared" si="39"/>
        <v/>
      </c>
    </row>
    <row r="495" spans="7:7">
      <c r="G495" s="5" t="str">
        <f t="shared" si="39"/>
        <v/>
      </c>
    </row>
    <row r="496" spans="7:7">
      <c r="G496" s="5" t="str">
        <f t="shared" si="39"/>
        <v/>
      </c>
    </row>
    <row r="497" spans="7:7">
      <c r="G497" s="5" t="str">
        <f t="shared" si="39"/>
        <v/>
      </c>
    </row>
    <row r="498" spans="7:7">
      <c r="G498" s="5" t="str">
        <f t="shared" si="39"/>
        <v/>
      </c>
    </row>
    <row r="499" spans="7:7">
      <c r="G499" s="5" t="str">
        <f t="shared" si="39"/>
        <v/>
      </c>
    </row>
    <row r="500" spans="7:7">
      <c r="G500" s="5" t="str">
        <f t="shared" si="39"/>
        <v/>
      </c>
    </row>
    <row r="501" spans="7:7">
      <c r="G501" s="5" t="str">
        <f t="shared" si="39"/>
        <v/>
      </c>
    </row>
    <row r="502" spans="7:7">
      <c r="G502" s="5" t="str">
        <f t="shared" si="39"/>
        <v/>
      </c>
    </row>
    <row r="503" spans="7:7">
      <c r="G503" s="5" t="str">
        <f t="shared" si="39"/>
        <v/>
      </c>
    </row>
    <row r="504" spans="7:7">
      <c r="G504" s="5" t="str">
        <f t="shared" si="39"/>
        <v/>
      </c>
    </row>
    <row r="505" spans="7:7">
      <c r="G505" s="5" t="str">
        <f t="shared" si="39"/>
        <v/>
      </c>
    </row>
    <row r="506" spans="7:7">
      <c r="G506" s="5" t="str">
        <f t="shared" si="39"/>
        <v/>
      </c>
    </row>
    <row r="507" spans="7:7">
      <c r="G507" s="5" t="str">
        <f t="shared" si="39"/>
        <v/>
      </c>
    </row>
    <row r="508" spans="7:7">
      <c r="G508" s="5" t="str">
        <f t="shared" si="39"/>
        <v/>
      </c>
    </row>
    <row r="509" spans="7:7">
      <c r="G509" s="5" t="str">
        <f t="shared" si="39"/>
        <v/>
      </c>
    </row>
    <row r="510" spans="7:7">
      <c r="G510" s="5" t="str">
        <f t="shared" si="39"/>
        <v/>
      </c>
    </row>
    <row r="511" spans="7:7">
      <c r="G511" s="5" t="str">
        <f t="shared" si="39"/>
        <v/>
      </c>
    </row>
    <row r="512" spans="7:7">
      <c r="G512" s="5" t="str">
        <f t="shared" si="39"/>
        <v/>
      </c>
    </row>
    <row r="513" spans="7:7">
      <c r="G513" s="5" t="str">
        <f t="shared" si="39"/>
        <v/>
      </c>
    </row>
    <row r="514" spans="7:7">
      <c r="G514" s="5" t="str">
        <f t="shared" si="39"/>
        <v/>
      </c>
    </row>
    <row r="515" spans="7:7">
      <c r="G515" s="5" t="str">
        <f t="shared" si="39"/>
        <v/>
      </c>
    </row>
    <row r="516" spans="7:7">
      <c r="G516" s="5" t="str">
        <f t="shared" si="39"/>
        <v/>
      </c>
    </row>
    <row r="517" spans="7:7">
      <c r="G517" s="5" t="str">
        <f t="shared" si="39"/>
        <v/>
      </c>
    </row>
    <row r="518" spans="7:7">
      <c r="G518" s="5" t="str">
        <f t="shared" si="39"/>
        <v/>
      </c>
    </row>
    <row r="519" spans="7:7">
      <c r="G519" s="5" t="str">
        <f t="shared" si="39"/>
        <v/>
      </c>
    </row>
    <row r="520" spans="7:7">
      <c r="G520" s="5" t="str">
        <f t="shared" si="39"/>
        <v/>
      </c>
    </row>
    <row r="521" spans="7:7">
      <c r="G521" s="5" t="str">
        <f t="shared" si="39"/>
        <v/>
      </c>
    </row>
    <row r="522" spans="7:7">
      <c r="G522" s="5" t="str">
        <f t="shared" si="39"/>
        <v/>
      </c>
    </row>
    <row r="523" spans="7:7">
      <c r="G523" s="5" t="str">
        <f t="shared" si="39"/>
        <v/>
      </c>
    </row>
    <row r="524" spans="7:7">
      <c r="G524" s="5" t="str">
        <f t="shared" si="39"/>
        <v/>
      </c>
    </row>
    <row r="525" spans="7:7">
      <c r="G525" s="5" t="str">
        <f t="shared" ref="G525:G556" si="40">IF(B525&lt;&gt;"",SUM(C525:F525),"")</f>
        <v/>
      </c>
    </row>
    <row r="526" spans="7:7">
      <c r="G526" s="5" t="str">
        <f t="shared" si="40"/>
        <v/>
      </c>
    </row>
    <row r="527" spans="7:7">
      <c r="G527" s="5" t="str">
        <f t="shared" si="40"/>
        <v/>
      </c>
    </row>
    <row r="528" spans="7:7">
      <c r="G528" s="5" t="str">
        <f t="shared" si="40"/>
        <v/>
      </c>
    </row>
    <row r="529" spans="7:7">
      <c r="G529" s="5" t="str">
        <f t="shared" si="40"/>
        <v/>
      </c>
    </row>
    <row r="530" spans="7:7">
      <c r="G530" s="5" t="str">
        <f t="shared" si="40"/>
        <v/>
      </c>
    </row>
    <row r="531" spans="7:7">
      <c r="G531" s="5" t="str">
        <f t="shared" si="40"/>
        <v/>
      </c>
    </row>
    <row r="532" spans="7:7">
      <c r="G532" s="5" t="str">
        <f t="shared" si="40"/>
        <v/>
      </c>
    </row>
    <row r="533" spans="7:7">
      <c r="G533" s="5" t="str">
        <f t="shared" si="40"/>
        <v/>
      </c>
    </row>
    <row r="534" spans="7:7">
      <c r="G534" s="5" t="str">
        <f t="shared" si="40"/>
        <v/>
      </c>
    </row>
    <row r="535" spans="7:7">
      <c r="G535" s="5" t="str">
        <f t="shared" si="40"/>
        <v/>
      </c>
    </row>
    <row r="536" spans="7:7">
      <c r="G536" s="5" t="str">
        <f t="shared" si="40"/>
        <v/>
      </c>
    </row>
    <row r="537" spans="7:7">
      <c r="G537" s="5" t="str">
        <f t="shared" si="40"/>
        <v/>
      </c>
    </row>
    <row r="538" spans="7:7">
      <c r="G538" s="5" t="str">
        <f t="shared" si="40"/>
        <v/>
      </c>
    </row>
    <row r="539" spans="7:7">
      <c r="G539" s="5" t="str">
        <f t="shared" si="40"/>
        <v/>
      </c>
    </row>
    <row r="540" spans="7:7">
      <c r="G540" s="5" t="str">
        <f t="shared" si="40"/>
        <v/>
      </c>
    </row>
    <row r="541" spans="7:7">
      <c r="G541" s="5" t="str">
        <f t="shared" si="40"/>
        <v/>
      </c>
    </row>
    <row r="542" spans="7:7">
      <c r="G542" s="5" t="str">
        <f t="shared" si="40"/>
        <v/>
      </c>
    </row>
    <row r="543" spans="7:7">
      <c r="G543" s="5" t="str">
        <f t="shared" si="40"/>
        <v/>
      </c>
    </row>
    <row r="544" spans="7:7">
      <c r="G544" s="5" t="str">
        <f t="shared" si="40"/>
        <v/>
      </c>
    </row>
    <row r="545" spans="7:7">
      <c r="G545" s="5" t="str">
        <f t="shared" si="40"/>
        <v/>
      </c>
    </row>
    <row r="546" spans="7:7">
      <c r="G546" s="5" t="str">
        <f t="shared" si="40"/>
        <v/>
      </c>
    </row>
    <row r="547" spans="7:7">
      <c r="G547" s="5" t="str">
        <f t="shared" si="40"/>
        <v/>
      </c>
    </row>
    <row r="548" spans="7:7">
      <c r="G548" s="5" t="str">
        <f t="shared" si="40"/>
        <v/>
      </c>
    </row>
    <row r="549" spans="7:7">
      <c r="G549" s="5" t="str">
        <f t="shared" si="40"/>
        <v/>
      </c>
    </row>
    <row r="550" spans="7:7">
      <c r="G550" s="5" t="str">
        <f t="shared" si="40"/>
        <v/>
      </c>
    </row>
    <row r="551" spans="7:7">
      <c r="G551" s="5" t="str">
        <f t="shared" si="40"/>
        <v/>
      </c>
    </row>
    <row r="552" spans="7:7">
      <c r="G552" s="5" t="str">
        <f t="shared" si="40"/>
        <v/>
      </c>
    </row>
    <row r="553" spans="7:7">
      <c r="G553" s="5" t="str">
        <f t="shared" si="40"/>
        <v/>
      </c>
    </row>
    <row r="554" spans="7:7">
      <c r="G554" s="5" t="str">
        <f t="shared" si="40"/>
        <v/>
      </c>
    </row>
    <row r="555" spans="7:7">
      <c r="G555" s="5" t="str">
        <f t="shared" si="40"/>
        <v/>
      </c>
    </row>
    <row r="556" spans="7:7">
      <c r="G556" s="5" t="str">
        <f t="shared" si="40"/>
        <v/>
      </c>
    </row>
  </sheetData>
  <sheetProtection sort="0" autoFilter="0" pivotTables="0"/>
  <autoFilter ref="B5:M130" xr:uid="{925BBB5B-2823-4EE2-9873-0D6B39C9E067}">
    <filterColumn colId="6">
      <filters blank="1">
        <filter val="102"/>
        <filter val="109"/>
        <filter val="12"/>
        <filter val="152"/>
        <filter val="16"/>
        <filter val="24"/>
        <filter val="382"/>
        <filter val="46"/>
        <filter val="48"/>
        <filter val="50"/>
        <filter val="60"/>
        <filter val="78"/>
        <filter val="8"/>
        <filter val="82"/>
        <filter val="R$ 118.797,13"/>
      </filters>
    </filterColumn>
  </autoFilter>
  <sortState xmlns:xlrd2="http://schemas.microsoft.com/office/spreadsheetml/2017/richdata2" ref="B6:M128">
    <sortCondition ref="B6:B128"/>
  </sortState>
  <pageMargins left="0.78740157480314965" right="0.78740157480314965" top="0.78740157480314965" bottom="0.78740157480314965" header="0" footer="0"/>
  <pageSetup paperSize="9" scale="89" fitToHeight="0" orientation="landscape" verticalDpi="4294967295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4937-654C-48B4-98ED-7CF0A0F2C3CF}">
  <sheetPr codeName="Planilha17" filterMode="1">
    <tabColor rgb="FFFFC000"/>
    <pageSetUpPr fitToPage="1"/>
  </sheetPr>
  <dimension ref="B1:S467"/>
  <sheetViews>
    <sheetView workbookViewId="0">
      <pane ySplit="5" topLeftCell="A6" activePane="bottomLeft" state="frozen"/>
      <selection pane="bottomLeft" activeCell="H46" sqref="H46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2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53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419" t="s">
        <v>1512</v>
      </c>
      <c r="C6" s="106"/>
      <c r="D6" s="38"/>
      <c r="E6" s="38"/>
      <c r="F6" s="39"/>
      <c r="G6" s="40"/>
      <c r="H6" s="23">
        <f>SUM(C6:G6)</f>
        <v>0</v>
      </c>
      <c r="I6" s="464">
        <f t="shared" ref="I6:I32" si="0">L6-(L6*J6)</f>
        <v>13.8017</v>
      </c>
      <c r="J6" s="16"/>
      <c r="K6" s="17"/>
      <c r="L6" s="239">
        <v>13.8017</v>
      </c>
      <c r="M6" s="235"/>
      <c r="N6" s="25">
        <f t="shared" ref="N6:N39" si="1">I6*C6</f>
        <v>0</v>
      </c>
      <c r="O6" s="25">
        <f t="shared" ref="O6:O39" si="2">I6*D6</f>
        <v>0</v>
      </c>
      <c r="P6" s="25">
        <f t="shared" ref="P6:P39" si="3">I6*E6</f>
        <v>0</v>
      </c>
      <c r="Q6" s="26">
        <f t="shared" ref="Q6:Q39" si="4">I6*F6</f>
        <v>0</v>
      </c>
      <c r="R6" s="27">
        <f t="shared" ref="R6:R39" si="5">I6*G6</f>
        <v>0</v>
      </c>
      <c r="S6" s="28">
        <f>SUM(N6:R6)</f>
        <v>0</v>
      </c>
    </row>
    <row r="7" spans="2:19">
      <c r="B7" s="419" t="s">
        <v>1513</v>
      </c>
      <c r="C7" s="107"/>
      <c r="D7" s="13">
        <v>36</v>
      </c>
      <c r="E7" s="13"/>
      <c r="F7" s="14">
        <v>24</v>
      </c>
      <c r="G7" s="8"/>
      <c r="H7" s="24">
        <f t="shared" ref="H7:H39" si="6">SUM(C7:G7)</f>
        <v>60</v>
      </c>
      <c r="I7" s="456">
        <f t="shared" si="0"/>
        <v>34.177199999999999</v>
      </c>
      <c r="J7" s="10"/>
      <c r="K7" s="12"/>
      <c r="L7" s="239">
        <v>34.177199999999999</v>
      </c>
      <c r="M7" s="235"/>
      <c r="N7" s="25">
        <f t="shared" si="1"/>
        <v>0</v>
      </c>
      <c r="O7" s="25">
        <f t="shared" si="2"/>
        <v>1230.3791999999999</v>
      </c>
      <c r="P7" s="25">
        <f t="shared" si="3"/>
        <v>0</v>
      </c>
      <c r="Q7" s="26">
        <f t="shared" si="4"/>
        <v>820.25279999999998</v>
      </c>
      <c r="R7" s="27">
        <f t="shared" si="5"/>
        <v>0</v>
      </c>
      <c r="S7" s="28">
        <f t="shared" ref="S7:S39" si="7">SUM(N7:R7)</f>
        <v>2050.6319999999996</v>
      </c>
    </row>
    <row r="8" spans="2:19" hidden="1">
      <c r="B8" s="419" t="s">
        <v>1514</v>
      </c>
      <c r="C8" s="107"/>
      <c r="D8" s="13"/>
      <c r="E8" s="13"/>
      <c r="F8" s="14"/>
      <c r="G8" s="8"/>
      <c r="H8" s="24">
        <f t="shared" si="6"/>
        <v>0</v>
      </c>
      <c r="I8" s="456">
        <f t="shared" si="0"/>
        <v>37.710700000000003</v>
      </c>
      <c r="J8" s="10"/>
      <c r="K8" s="12"/>
      <c r="L8" s="239">
        <v>37.710700000000003</v>
      </c>
      <c r="M8" s="235"/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419" t="s">
        <v>1515</v>
      </c>
      <c r="C9" s="107">
        <v>240</v>
      </c>
      <c r="D9" s="13">
        <v>80</v>
      </c>
      <c r="E9" s="13">
        <v>24</v>
      </c>
      <c r="F9" s="14">
        <v>288</v>
      </c>
      <c r="G9" s="8"/>
      <c r="H9" s="24">
        <f t="shared" si="6"/>
        <v>632</v>
      </c>
      <c r="I9" s="456">
        <f t="shared" si="0"/>
        <v>25.976700000000001</v>
      </c>
      <c r="J9" s="10"/>
      <c r="K9" s="12"/>
      <c r="L9" s="239">
        <v>25.976700000000001</v>
      </c>
      <c r="M9" s="235"/>
      <c r="N9" s="25">
        <f t="shared" si="1"/>
        <v>6234.4080000000004</v>
      </c>
      <c r="O9" s="25">
        <f t="shared" si="2"/>
        <v>2078.136</v>
      </c>
      <c r="P9" s="25">
        <f t="shared" si="3"/>
        <v>623.44080000000008</v>
      </c>
      <c r="Q9" s="26">
        <f t="shared" si="4"/>
        <v>7481.2896000000001</v>
      </c>
      <c r="R9" s="27">
        <f t="shared" si="5"/>
        <v>0</v>
      </c>
      <c r="S9" s="28">
        <f t="shared" si="7"/>
        <v>16417.274400000002</v>
      </c>
    </row>
    <row r="10" spans="2:19" hidden="1">
      <c r="B10" s="419" t="s">
        <v>1516</v>
      </c>
      <c r="C10" s="107"/>
      <c r="D10" s="13"/>
      <c r="E10" s="13"/>
      <c r="F10" s="14"/>
      <c r="G10" s="8"/>
      <c r="H10" s="24">
        <f t="shared" si="6"/>
        <v>0</v>
      </c>
      <c r="I10" s="456">
        <f t="shared" si="0"/>
        <v>5.4607999999999999</v>
      </c>
      <c r="J10" s="10"/>
      <c r="K10" s="12"/>
      <c r="L10" s="239">
        <v>5.4607999999999999</v>
      </c>
      <c r="M10" s="235"/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419" t="s">
        <v>1517</v>
      </c>
      <c r="C11" s="107"/>
      <c r="D11" s="13"/>
      <c r="E11" s="13"/>
      <c r="F11" s="14">
        <v>288</v>
      </c>
      <c r="G11" s="8"/>
      <c r="H11" s="24">
        <f t="shared" si="6"/>
        <v>288</v>
      </c>
      <c r="I11" s="456">
        <f t="shared" si="0"/>
        <v>6.3365</v>
      </c>
      <c r="J11" s="10"/>
      <c r="K11" s="12"/>
      <c r="L11" s="239">
        <v>6.3365</v>
      </c>
      <c r="M11" s="235"/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1824.912</v>
      </c>
      <c r="R11" s="27">
        <f t="shared" si="5"/>
        <v>0</v>
      </c>
      <c r="S11" s="28">
        <f t="shared" si="7"/>
        <v>1824.912</v>
      </c>
    </row>
    <row r="12" spans="2:19">
      <c r="B12" s="419" t="s">
        <v>1518</v>
      </c>
      <c r="C12" s="107">
        <v>196</v>
      </c>
      <c r="D12" s="13"/>
      <c r="E12" s="13"/>
      <c r="F12" s="14"/>
      <c r="G12" s="8"/>
      <c r="H12" s="24">
        <f t="shared" si="6"/>
        <v>196</v>
      </c>
      <c r="I12" s="456">
        <f t="shared" si="0"/>
        <v>14.0449</v>
      </c>
      <c r="J12" s="10"/>
      <c r="K12" s="12"/>
      <c r="L12" s="239">
        <v>14.0449</v>
      </c>
      <c r="M12" s="235"/>
      <c r="N12" s="25">
        <f t="shared" si="1"/>
        <v>2752.8004000000001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2752.8004000000001</v>
      </c>
    </row>
    <row r="13" spans="2:19">
      <c r="B13" s="419" t="s">
        <v>1519</v>
      </c>
      <c r="C13" s="107">
        <v>96</v>
      </c>
      <c r="D13" s="13"/>
      <c r="E13" s="13"/>
      <c r="F13" s="14">
        <v>72</v>
      </c>
      <c r="G13" s="8"/>
      <c r="H13" s="24">
        <f t="shared" si="6"/>
        <v>168</v>
      </c>
      <c r="I13" s="456">
        <f t="shared" si="0"/>
        <v>9.0565999999999995</v>
      </c>
      <c r="J13" s="10"/>
      <c r="K13" s="12"/>
      <c r="L13" s="239">
        <v>9.0565999999999995</v>
      </c>
      <c r="M13" s="235"/>
      <c r="N13" s="25">
        <f t="shared" si="1"/>
        <v>869.43359999999996</v>
      </c>
      <c r="O13" s="25">
        <f t="shared" si="2"/>
        <v>0</v>
      </c>
      <c r="P13" s="25">
        <f t="shared" si="3"/>
        <v>0</v>
      </c>
      <c r="Q13" s="26">
        <f t="shared" si="4"/>
        <v>652.0752</v>
      </c>
      <c r="R13" s="27">
        <f t="shared" si="5"/>
        <v>0</v>
      </c>
      <c r="S13" s="28">
        <f t="shared" si="7"/>
        <v>1521.5088000000001</v>
      </c>
    </row>
    <row r="14" spans="2:19" hidden="1">
      <c r="B14" s="419" t="s">
        <v>1520</v>
      </c>
      <c r="C14" s="107"/>
      <c r="D14" s="13"/>
      <c r="E14" s="13"/>
      <c r="F14" s="14"/>
      <c r="G14" s="8"/>
      <c r="H14" s="24">
        <f t="shared" si="6"/>
        <v>0</v>
      </c>
      <c r="I14" s="456">
        <f t="shared" si="0"/>
        <v>11.3087</v>
      </c>
      <c r="J14" s="10"/>
      <c r="K14" s="12"/>
      <c r="L14" s="239">
        <v>11.3087</v>
      </c>
      <c r="M14" s="235"/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 hidden="1">
      <c r="B15" s="419" t="s">
        <v>1521</v>
      </c>
      <c r="C15" s="107"/>
      <c r="D15" s="13"/>
      <c r="E15" s="13"/>
      <c r="F15" s="14"/>
      <c r="G15" s="8"/>
      <c r="H15" s="24">
        <f t="shared" si="6"/>
        <v>0</v>
      </c>
      <c r="I15" s="456">
        <f t="shared" si="0"/>
        <v>8.6129999999999995</v>
      </c>
      <c r="J15" s="10"/>
      <c r="K15" s="12"/>
      <c r="L15" s="239">
        <v>8.6129999999999995</v>
      </c>
      <c r="M15" s="235"/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>
      <c r="B16" s="419" t="s">
        <v>1522</v>
      </c>
      <c r="C16" s="107">
        <v>12</v>
      </c>
      <c r="D16" s="13"/>
      <c r="E16" s="13"/>
      <c r="F16" s="14">
        <v>72</v>
      </c>
      <c r="G16" s="8"/>
      <c r="H16" s="24">
        <f t="shared" si="6"/>
        <v>84</v>
      </c>
      <c r="I16" s="456">
        <f t="shared" si="0"/>
        <v>14.0947</v>
      </c>
      <c r="J16" s="10"/>
      <c r="K16" s="12"/>
      <c r="L16" s="239">
        <v>14.0947</v>
      </c>
      <c r="M16" s="235"/>
      <c r="N16" s="25">
        <f t="shared" si="1"/>
        <v>169.13639999999998</v>
      </c>
      <c r="O16" s="25">
        <f t="shared" si="2"/>
        <v>0</v>
      </c>
      <c r="P16" s="25">
        <f t="shared" si="3"/>
        <v>0</v>
      </c>
      <c r="Q16" s="26">
        <f t="shared" si="4"/>
        <v>1014.8184</v>
      </c>
      <c r="R16" s="27">
        <f t="shared" si="5"/>
        <v>0</v>
      </c>
      <c r="S16" s="28">
        <f t="shared" si="7"/>
        <v>1183.9548</v>
      </c>
    </row>
    <row r="17" spans="2:19">
      <c r="B17" s="419" t="s">
        <v>1523</v>
      </c>
      <c r="C17" s="107"/>
      <c r="D17" s="13"/>
      <c r="E17" s="13"/>
      <c r="F17" s="14">
        <v>48</v>
      </c>
      <c r="G17" s="8"/>
      <c r="H17" s="24">
        <f t="shared" si="6"/>
        <v>48</v>
      </c>
      <c r="I17" s="456">
        <f t="shared" si="0"/>
        <v>24.121700000000001</v>
      </c>
      <c r="J17" s="10"/>
      <c r="K17" s="12"/>
      <c r="L17" s="239">
        <v>24.121700000000001</v>
      </c>
      <c r="M17" s="235"/>
      <c r="N17" s="25">
        <f t="shared" si="1"/>
        <v>0</v>
      </c>
      <c r="O17" s="25">
        <f t="shared" si="2"/>
        <v>0</v>
      </c>
      <c r="P17" s="25">
        <f t="shared" si="3"/>
        <v>0</v>
      </c>
      <c r="Q17" s="26">
        <f t="shared" si="4"/>
        <v>1157.8416</v>
      </c>
      <c r="R17" s="27">
        <f t="shared" si="5"/>
        <v>0</v>
      </c>
      <c r="S17" s="28">
        <f t="shared" si="7"/>
        <v>1157.8416</v>
      </c>
    </row>
    <row r="18" spans="2:19" hidden="1">
      <c r="B18" s="419" t="s">
        <v>1524</v>
      </c>
      <c r="C18" s="107"/>
      <c r="D18" s="13"/>
      <c r="E18" s="13"/>
      <c r="F18" s="14"/>
      <c r="G18" s="8"/>
      <c r="H18" s="24">
        <f t="shared" si="6"/>
        <v>0</v>
      </c>
      <c r="I18" s="456">
        <f t="shared" si="0"/>
        <v>250.18199999999999</v>
      </c>
      <c r="J18" s="10"/>
      <c r="K18" s="12"/>
      <c r="L18" s="239">
        <v>250.18199999999999</v>
      </c>
      <c r="M18" s="235"/>
      <c r="N18" s="25">
        <f t="shared" si="1"/>
        <v>0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0</v>
      </c>
      <c r="S18" s="28">
        <f t="shared" si="7"/>
        <v>0</v>
      </c>
    </row>
    <row r="19" spans="2:19" hidden="1">
      <c r="B19" s="419" t="s">
        <v>1525</v>
      </c>
      <c r="C19" s="107"/>
      <c r="D19" s="13"/>
      <c r="E19" s="13"/>
      <c r="F19" s="14"/>
      <c r="G19" s="8"/>
      <c r="H19" s="24">
        <f t="shared" si="6"/>
        <v>0</v>
      </c>
      <c r="I19" s="456">
        <f t="shared" si="0"/>
        <v>15.917299999999999</v>
      </c>
      <c r="J19" s="10"/>
      <c r="K19" s="12"/>
      <c r="L19" s="239">
        <v>15.917299999999999</v>
      </c>
      <c r="M19" s="235"/>
      <c r="N19" s="25">
        <f t="shared" si="1"/>
        <v>0</v>
      </c>
      <c r="O19" s="25">
        <f t="shared" si="2"/>
        <v>0</v>
      </c>
      <c r="P19" s="25">
        <f t="shared" si="3"/>
        <v>0</v>
      </c>
      <c r="Q19" s="26">
        <f t="shared" si="4"/>
        <v>0</v>
      </c>
      <c r="R19" s="27">
        <f t="shared" si="5"/>
        <v>0</v>
      </c>
      <c r="S19" s="28">
        <f t="shared" si="7"/>
        <v>0</v>
      </c>
    </row>
    <row r="20" spans="2:19" hidden="1">
      <c r="B20" s="419" t="s">
        <v>1526</v>
      </c>
      <c r="C20" s="107"/>
      <c r="D20" s="13"/>
      <c r="E20" s="13"/>
      <c r="F20" s="14"/>
      <c r="G20" s="8"/>
      <c r="H20" s="24">
        <f t="shared" si="6"/>
        <v>0</v>
      </c>
      <c r="I20" s="456">
        <f t="shared" si="0"/>
        <v>140.56620000000001</v>
      </c>
      <c r="J20" s="10"/>
      <c r="K20" s="12"/>
      <c r="L20" s="239">
        <v>140.56620000000001</v>
      </c>
      <c r="M20" s="235"/>
      <c r="N20" s="25">
        <f t="shared" si="1"/>
        <v>0</v>
      </c>
      <c r="O20" s="25">
        <f t="shared" si="2"/>
        <v>0</v>
      </c>
      <c r="P20" s="25">
        <f t="shared" si="3"/>
        <v>0</v>
      </c>
      <c r="Q20" s="26">
        <f t="shared" si="4"/>
        <v>0</v>
      </c>
      <c r="R20" s="27">
        <f t="shared" si="5"/>
        <v>0</v>
      </c>
      <c r="S20" s="28">
        <f t="shared" si="7"/>
        <v>0</v>
      </c>
    </row>
    <row r="21" spans="2:19">
      <c r="B21" s="419" t="s">
        <v>1527</v>
      </c>
      <c r="C21" s="107">
        <v>240</v>
      </c>
      <c r="D21" s="13">
        <v>160</v>
      </c>
      <c r="E21" s="13"/>
      <c r="F21" s="14"/>
      <c r="G21" s="8"/>
      <c r="H21" s="24">
        <f t="shared" si="6"/>
        <v>400</v>
      </c>
      <c r="I21" s="456">
        <f t="shared" si="0"/>
        <v>13.0763</v>
      </c>
      <c r="J21" s="10"/>
      <c r="K21" s="12"/>
      <c r="L21" s="239">
        <v>13.0763</v>
      </c>
      <c r="M21" s="235"/>
      <c r="N21" s="25">
        <f t="shared" si="1"/>
        <v>3138.3119999999999</v>
      </c>
      <c r="O21" s="25">
        <f t="shared" si="2"/>
        <v>2092.2080000000001</v>
      </c>
      <c r="P21" s="25">
        <f t="shared" si="3"/>
        <v>0</v>
      </c>
      <c r="Q21" s="26">
        <f t="shared" si="4"/>
        <v>0</v>
      </c>
      <c r="R21" s="27">
        <f t="shared" si="5"/>
        <v>0</v>
      </c>
      <c r="S21" s="28">
        <f t="shared" si="7"/>
        <v>5230.5200000000004</v>
      </c>
    </row>
    <row r="22" spans="2:19">
      <c r="B22" s="419" t="s">
        <v>1528</v>
      </c>
      <c r="C22" s="107"/>
      <c r="D22" s="13">
        <v>12</v>
      </c>
      <c r="E22" s="13"/>
      <c r="F22" s="14"/>
      <c r="G22" s="8"/>
      <c r="H22" s="24">
        <f t="shared" si="6"/>
        <v>12</v>
      </c>
      <c r="I22" s="456">
        <f t="shared" si="0"/>
        <v>36.145800000000001</v>
      </c>
      <c r="J22" s="10"/>
      <c r="K22" s="12"/>
      <c r="L22" s="239">
        <v>36.145800000000001</v>
      </c>
      <c r="M22" s="235"/>
      <c r="N22" s="25">
        <f t="shared" si="1"/>
        <v>0</v>
      </c>
      <c r="O22" s="25">
        <f t="shared" si="2"/>
        <v>433.74959999999999</v>
      </c>
      <c r="P22" s="25">
        <f t="shared" si="3"/>
        <v>0</v>
      </c>
      <c r="Q22" s="26">
        <f t="shared" si="4"/>
        <v>0</v>
      </c>
      <c r="R22" s="27">
        <f t="shared" si="5"/>
        <v>0</v>
      </c>
      <c r="S22" s="28">
        <f t="shared" si="7"/>
        <v>433.74959999999999</v>
      </c>
    </row>
    <row r="23" spans="2:19">
      <c r="B23" s="419" t="s">
        <v>1529</v>
      </c>
      <c r="C23" s="107">
        <v>196</v>
      </c>
      <c r="D23" s="13">
        <v>600</v>
      </c>
      <c r="E23" s="13"/>
      <c r="F23" s="14">
        <v>96</v>
      </c>
      <c r="G23" s="8"/>
      <c r="H23" s="24">
        <f t="shared" si="6"/>
        <v>892</v>
      </c>
      <c r="I23" s="456">
        <f t="shared" si="0"/>
        <v>28.371700000000001</v>
      </c>
      <c r="J23" s="10"/>
      <c r="K23" s="12"/>
      <c r="L23" s="239">
        <v>28.371700000000001</v>
      </c>
      <c r="M23" s="235"/>
      <c r="N23" s="25">
        <f t="shared" si="1"/>
        <v>5560.8532000000005</v>
      </c>
      <c r="O23" s="25">
        <f t="shared" si="2"/>
        <v>17023.02</v>
      </c>
      <c r="P23" s="25">
        <f t="shared" si="3"/>
        <v>0</v>
      </c>
      <c r="Q23" s="26">
        <f t="shared" si="4"/>
        <v>2723.6831999999999</v>
      </c>
      <c r="R23" s="27">
        <f t="shared" si="5"/>
        <v>0</v>
      </c>
      <c r="S23" s="28">
        <f t="shared" si="7"/>
        <v>25307.556400000001</v>
      </c>
    </row>
    <row r="24" spans="2:19">
      <c r="B24" s="419" t="s">
        <v>1530</v>
      </c>
      <c r="C24" s="107"/>
      <c r="D24" s="13">
        <v>120</v>
      </c>
      <c r="E24" s="13"/>
      <c r="F24" s="14"/>
      <c r="G24" s="8"/>
      <c r="H24" s="24">
        <f t="shared" si="6"/>
        <v>120</v>
      </c>
      <c r="I24" s="456">
        <f t="shared" si="0"/>
        <v>13.5801</v>
      </c>
      <c r="J24" s="10"/>
      <c r="K24" s="12"/>
      <c r="L24" s="239">
        <v>13.5801</v>
      </c>
      <c r="M24" s="235"/>
      <c r="N24" s="25">
        <f t="shared" si="1"/>
        <v>0</v>
      </c>
      <c r="O24" s="25">
        <f t="shared" si="2"/>
        <v>1629.6120000000001</v>
      </c>
      <c r="P24" s="25">
        <f t="shared" si="3"/>
        <v>0</v>
      </c>
      <c r="Q24" s="26">
        <f t="shared" si="4"/>
        <v>0</v>
      </c>
      <c r="R24" s="27">
        <f t="shared" si="5"/>
        <v>0</v>
      </c>
      <c r="S24" s="28">
        <f t="shared" si="7"/>
        <v>1629.6120000000001</v>
      </c>
    </row>
    <row r="25" spans="2:19">
      <c r="B25" s="419" t="s">
        <v>1531</v>
      </c>
      <c r="C25" s="107">
        <v>24</v>
      </c>
      <c r="D25" s="13">
        <v>80</v>
      </c>
      <c r="E25" s="13">
        <v>50</v>
      </c>
      <c r="F25" s="14"/>
      <c r="G25" s="8"/>
      <c r="H25" s="24">
        <f t="shared" si="6"/>
        <v>154</v>
      </c>
      <c r="I25" s="456">
        <f t="shared" si="0"/>
        <v>15.1471</v>
      </c>
      <c r="J25" s="10"/>
      <c r="K25" s="12"/>
      <c r="L25" s="239">
        <v>15.1471</v>
      </c>
      <c r="M25" s="235"/>
      <c r="N25" s="25">
        <f t="shared" si="1"/>
        <v>363.53039999999999</v>
      </c>
      <c r="O25" s="25">
        <f t="shared" si="2"/>
        <v>1211.768</v>
      </c>
      <c r="P25" s="25">
        <f t="shared" si="3"/>
        <v>757.35500000000002</v>
      </c>
      <c r="Q25" s="26">
        <f t="shared" si="4"/>
        <v>0</v>
      </c>
      <c r="R25" s="27">
        <f t="shared" si="5"/>
        <v>0</v>
      </c>
      <c r="S25" s="28">
        <f t="shared" si="7"/>
        <v>2332.6534000000001</v>
      </c>
    </row>
    <row r="26" spans="2:19">
      <c r="B26" s="419" t="s">
        <v>1532</v>
      </c>
      <c r="C26" s="108">
        <v>24</v>
      </c>
      <c r="D26" s="14"/>
      <c r="E26" s="14"/>
      <c r="F26" s="14"/>
      <c r="G26" s="8"/>
      <c r="H26" s="24">
        <f t="shared" si="6"/>
        <v>24</v>
      </c>
      <c r="I26" s="456">
        <f t="shared" si="0"/>
        <v>20.761500000000002</v>
      </c>
      <c r="J26" s="10"/>
      <c r="K26" s="12"/>
      <c r="L26" s="239">
        <v>20.761500000000002</v>
      </c>
      <c r="M26" s="235"/>
      <c r="N26" s="25">
        <f t="shared" si="1"/>
        <v>498.27600000000007</v>
      </c>
      <c r="O26" s="25">
        <f t="shared" si="2"/>
        <v>0</v>
      </c>
      <c r="P26" s="25">
        <f t="shared" si="3"/>
        <v>0</v>
      </c>
      <c r="Q26" s="26">
        <f t="shared" si="4"/>
        <v>0</v>
      </c>
      <c r="R26" s="27">
        <f t="shared" si="5"/>
        <v>0</v>
      </c>
      <c r="S26" s="28">
        <f t="shared" si="7"/>
        <v>498.27600000000007</v>
      </c>
    </row>
    <row r="27" spans="2:19">
      <c r="B27" s="419" t="s">
        <v>1533</v>
      </c>
      <c r="C27" s="108">
        <v>48</v>
      </c>
      <c r="D27" s="14">
        <v>36</v>
      </c>
      <c r="E27" s="14"/>
      <c r="F27" s="14">
        <v>72</v>
      </c>
      <c r="G27" s="8"/>
      <c r="H27" s="24">
        <f t="shared" si="6"/>
        <v>156</v>
      </c>
      <c r="I27" s="456">
        <f t="shared" si="0"/>
        <v>17.781099999999999</v>
      </c>
      <c r="J27" s="10"/>
      <c r="K27" s="12"/>
      <c r="L27" s="239">
        <v>17.781099999999999</v>
      </c>
      <c r="M27" s="235"/>
      <c r="N27" s="25">
        <f t="shared" si="1"/>
        <v>853.49279999999999</v>
      </c>
      <c r="O27" s="25">
        <f t="shared" si="2"/>
        <v>640.11959999999999</v>
      </c>
      <c r="P27" s="25">
        <f t="shared" si="3"/>
        <v>0</v>
      </c>
      <c r="Q27" s="26">
        <f t="shared" si="4"/>
        <v>1280.2392</v>
      </c>
      <c r="R27" s="27">
        <f t="shared" si="5"/>
        <v>0</v>
      </c>
      <c r="S27" s="28">
        <f t="shared" si="7"/>
        <v>2773.8516</v>
      </c>
    </row>
    <row r="28" spans="2:19" hidden="1">
      <c r="B28" s="419" t="s">
        <v>1534</v>
      </c>
      <c r="C28" s="108"/>
      <c r="D28" s="14"/>
      <c r="E28" s="14"/>
      <c r="F28" s="14"/>
      <c r="G28" s="8"/>
      <c r="H28" s="24">
        <f t="shared" si="6"/>
        <v>0</v>
      </c>
      <c r="I28" s="456">
        <f t="shared" si="0"/>
        <v>14.571199999999999</v>
      </c>
      <c r="J28" s="10"/>
      <c r="K28" s="12"/>
      <c r="L28" s="239">
        <v>14.571199999999999</v>
      </c>
      <c r="M28" s="235"/>
      <c r="N28" s="25">
        <f t="shared" si="1"/>
        <v>0</v>
      </c>
      <c r="O28" s="25">
        <f t="shared" si="2"/>
        <v>0</v>
      </c>
      <c r="P28" s="25">
        <f t="shared" si="3"/>
        <v>0</v>
      </c>
      <c r="Q28" s="26">
        <f t="shared" si="4"/>
        <v>0</v>
      </c>
      <c r="R28" s="27">
        <f t="shared" si="5"/>
        <v>0</v>
      </c>
      <c r="S28" s="28">
        <f t="shared" si="7"/>
        <v>0</v>
      </c>
    </row>
    <row r="29" spans="2:19">
      <c r="B29" s="419" t="s">
        <v>1535</v>
      </c>
      <c r="C29" s="108"/>
      <c r="D29" s="14">
        <v>24</v>
      </c>
      <c r="E29" s="14">
        <v>25</v>
      </c>
      <c r="F29" s="14"/>
      <c r="G29" s="8"/>
      <c r="H29" s="24">
        <f t="shared" si="6"/>
        <v>49</v>
      </c>
      <c r="I29" s="456">
        <f t="shared" si="0"/>
        <v>20.446300000000001</v>
      </c>
      <c r="J29" s="10"/>
      <c r="K29" s="12"/>
      <c r="L29" s="239">
        <v>20.446300000000001</v>
      </c>
      <c r="M29" s="235"/>
      <c r="N29" s="25">
        <f t="shared" si="1"/>
        <v>0</v>
      </c>
      <c r="O29" s="25">
        <f t="shared" si="2"/>
        <v>490.71120000000002</v>
      </c>
      <c r="P29" s="25">
        <f t="shared" si="3"/>
        <v>511.15750000000003</v>
      </c>
      <c r="Q29" s="26">
        <f t="shared" si="4"/>
        <v>0</v>
      </c>
      <c r="R29" s="27">
        <f t="shared" si="5"/>
        <v>0</v>
      </c>
      <c r="S29" s="28">
        <f t="shared" si="7"/>
        <v>1001.8687</v>
      </c>
    </row>
    <row r="30" spans="2:19">
      <c r="B30" s="419" t="s">
        <v>1536</v>
      </c>
      <c r="C30" s="108">
        <v>96</v>
      </c>
      <c r="D30" s="14">
        <v>220</v>
      </c>
      <c r="E30" s="14">
        <v>75</v>
      </c>
      <c r="F30" s="14">
        <v>12</v>
      </c>
      <c r="G30" s="8"/>
      <c r="H30" s="24">
        <f t="shared" si="6"/>
        <v>403</v>
      </c>
      <c r="I30" s="456">
        <f t="shared" si="0"/>
        <v>13.4785</v>
      </c>
      <c r="J30" s="10"/>
      <c r="K30" s="12"/>
      <c r="L30" s="239">
        <v>13.4785</v>
      </c>
      <c r="M30" s="235"/>
      <c r="N30" s="25">
        <f t="shared" si="1"/>
        <v>1293.9360000000001</v>
      </c>
      <c r="O30" s="25">
        <f t="shared" si="2"/>
        <v>2965.27</v>
      </c>
      <c r="P30" s="25">
        <f t="shared" si="3"/>
        <v>1010.8875</v>
      </c>
      <c r="Q30" s="26">
        <f t="shared" si="4"/>
        <v>161.74200000000002</v>
      </c>
      <c r="R30" s="27">
        <f t="shared" si="5"/>
        <v>0</v>
      </c>
      <c r="S30" s="28">
        <f t="shared" si="7"/>
        <v>5431.8355000000001</v>
      </c>
    </row>
    <row r="31" spans="2:19">
      <c r="B31" s="419" t="s">
        <v>1537</v>
      </c>
      <c r="C31" s="108">
        <v>48</v>
      </c>
      <c r="D31" s="14">
        <v>24</v>
      </c>
      <c r="E31" s="14">
        <v>25</v>
      </c>
      <c r="F31" s="14"/>
      <c r="G31" s="8"/>
      <c r="H31" s="24">
        <f t="shared" si="6"/>
        <v>97</v>
      </c>
      <c r="I31" s="456">
        <f t="shared" si="0"/>
        <v>27.663799999999998</v>
      </c>
      <c r="J31" s="10"/>
      <c r="K31" s="12"/>
      <c r="L31" s="239">
        <v>27.663799999999998</v>
      </c>
      <c r="M31" s="235"/>
      <c r="N31" s="25">
        <f t="shared" si="1"/>
        <v>1327.8624</v>
      </c>
      <c r="O31" s="25">
        <f t="shared" si="2"/>
        <v>663.93119999999999</v>
      </c>
      <c r="P31" s="25">
        <f t="shared" si="3"/>
        <v>691.59499999999991</v>
      </c>
      <c r="Q31" s="26">
        <f t="shared" si="4"/>
        <v>0</v>
      </c>
      <c r="R31" s="27">
        <f t="shared" si="5"/>
        <v>0</v>
      </c>
      <c r="S31" s="28">
        <f t="shared" si="7"/>
        <v>2683.3885999999998</v>
      </c>
    </row>
    <row r="32" spans="2:19">
      <c r="B32" s="419" t="s">
        <v>1538</v>
      </c>
      <c r="C32" s="108">
        <v>12</v>
      </c>
      <c r="D32" s="14"/>
      <c r="E32" s="14">
        <v>64</v>
      </c>
      <c r="F32" s="14"/>
      <c r="G32" s="8"/>
      <c r="H32" s="24">
        <f t="shared" si="6"/>
        <v>76</v>
      </c>
      <c r="I32" s="456">
        <f t="shared" si="0"/>
        <v>21.974299999999999</v>
      </c>
      <c r="J32" s="10"/>
      <c r="K32" s="12"/>
      <c r="L32" s="239">
        <v>21.974299999999999</v>
      </c>
      <c r="M32" s="235"/>
      <c r="N32" s="25">
        <f t="shared" si="1"/>
        <v>263.69159999999999</v>
      </c>
      <c r="O32" s="25">
        <f t="shared" si="2"/>
        <v>0</v>
      </c>
      <c r="P32" s="25">
        <f t="shared" si="3"/>
        <v>1406.3552</v>
      </c>
      <c r="Q32" s="26">
        <f t="shared" si="4"/>
        <v>0</v>
      </c>
      <c r="R32" s="27">
        <f t="shared" si="5"/>
        <v>0</v>
      </c>
      <c r="S32" s="28">
        <f t="shared" si="7"/>
        <v>1670.0468000000001</v>
      </c>
    </row>
    <row r="33" spans="2:19" hidden="1">
      <c r="B33" s="419" t="s">
        <v>1539</v>
      </c>
      <c r="C33" s="108"/>
      <c r="D33" s="14"/>
      <c r="E33" s="14"/>
      <c r="F33" s="14"/>
      <c r="G33" s="8"/>
      <c r="H33" s="24">
        <f t="shared" ref="H33:H34" si="8">SUM(C33:G33)</f>
        <v>0</v>
      </c>
      <c r="I33" s="456">
        <f t="shared" ref="I33:I34" si="9">L33-(L33*J33)</f>
        <v>15.4734</v>
      </c>
      <c r="J33" s="10"/>
      <c r="K33" s="12"/>
      <c r="L33" s="239">
        <v>15.4734</v>
      </c>
      <c r="M33" s="235"/>
      <c r="N33" s="25"/>
      <c r="O33" s="25"/>
      <c r="P33" s="25"/>
      <c r="Q33" s="26"/>
      <c r="R33" s="27"/>
      <c r="S33" s="28"/>
    </row>
    <row r="34" spans="2:19">
      <c r="B34" s="419" t="s">
        <v>1540</v>
      </c>
      <c r="C34" s="108">
        <v>96</v>
      </c>
      <c r="D34" s="14"/>
      <c r="E34" s="14">
        <v>25</v>
      </c>
      <c r="F34" s="14"/>
      <c r="G34" s="8"/>
      <c r="H34" s="24">
        <f t="shared" si="8"/>
        <v>121</v>
      </c>
      <c r="I34" s="456">
        <f t="shared" si="9"/>
        <v>14.353</v>
      </c>
      <c r="J34" s="10"/>
      <c r="K34" s="12"/>
      <c r="L34" s="239">
        <v>14.353</v>
      </c>
      <c r="M34" s="235"/>
      <c r="N34" s="25">
        <f t="shared" si="1"/>
        <v>1377.8879999999999</v>
      </c>
      <c r="O34" s="25">
        <f t="shared" si="2"/>
        <v>0</v>
      </c>
      <c r="P34" s="25">
        <f t="shared" si="3"/>
        <v>358.82499999999999</v>
      </c>
      <c r="Q34" s="26">
        <f t="shared" si="4"/>
        <v>0</v>
      </c>
      <c r="R34" s="27">
        <f t="shared" si="5"/>
        <v>0</v>
      </c>
      <c r="S34" s="28">
        <f t="shared" si="7"/>
        <v>1736.713</v>
      </c>
    </row>
    <row r="35" spans="2:19">
      <c r="B35" s="419" t="s">
        <v>1541</v>
      </c>
      <c r="C35" s="108"/>
      <c r="D35" s="14"/>
      <c r="E35" s="14">
        <v>48</v>
      </c>
      <c r="F35" s="14">
        <v>24</v>
      </c>
      <c r="G35" s="8"/>
      <c r="H35" s="24">
        <f t="shared" ref="H35:H36" si="10">SUM(C35:G35)</f>
        <v>72</v>
      </c>
      <c r="I35" s="456">
        <f t="shared" ref="I35:I36" si="11">L35-(L35*J35)</f>
        <v>14.203900000000001</v>
      </c>
      <c r="J35" s="10"/>
      <c r="K35" s="12"/>
      <c r="L35" s="239">
        <v>14.203900000000001</v>
      </c>
      <c r="M35" s="235"/>
      <c r="N35" s="25"/>
      <c r="O35" s="25"/>
      <c r="P35" s="25"/>
      <c r="Q35" s="26"/>
      <c r="R35" s="27"/>
      <c r="S35" s="28"/>
    </row>
    <row r="36" spans="2:19">
      <c r="B36" s="419" t="s">
        <v>1542</v>
      </c>
      <c r="C36" s="108">
        <v>12</v>
      </c>
      <c r="D36" s="14"/>
      <c r="E36" s="14"/>
      <c r="F36" s="14">
        <v>24</v>
      </c>
      <c r="G36" s="8"/>
      <c r="H36" s="24">
        <f t="shared" si="10"/>
        <v>36</v>
      </c>
      <c r="I36" s="456">
        <f t="shared" si="11"/>
        <v>7.4360999999999997</v>
      </c>
      <c r="J36" s="10"/>
      <c r="K36" s="12"/>
      <c r="L36" s="239">
        <v>7.4360999999999997</v>
      </c>
      <c r="M36" s="235"/>
      <c r="N36" s="25">
        <f t="shared" si="1"/>
        <v>89.233199999999997</v>
      </c>
      <c r="O36" s="25">
        <f t="shared" si="2"/>
        <v>0</v>
      </c>
      <c r="P36" s="25">
        <f t="shared" si="3"/>
        <v>0</v>
      </c>
      <c r="Q36" s="26">
        <f t="shared" si="4"/>
        <v>178.46639999999999</v>
      </c>
      <c r="R36" s="27">
        <f t="shared" si="5"/>
        <v>0</v>
      </c>
      <c r="S36" s="28">
        <f t="shared" si="7"/>
        <v>267.69959999999998</v>
      </c>
    </row>
    <row r="37" spans="2:19" hidden="1">
      <c r="B37" s="419" t="s">
        <v>1543</v>
      </c>
      <c r="C37" s="108"/>
      <c r="D37" s="14"/>
      <c r="E37" s="14"/>
      <c r="F37" s="14"/>
      <c r="G37" s="8"/>
      <c r="H37" s="24">
        <f t="shared" si="6"/>
        <v>0</v>
      </c>
      <c r="I37" s="456">
        <f t="shared" ref="I37:I39" si="12">L37-(L37*J37)</f>
        <v>5.9801000000000002</v>
      </c>
      <c r="J37" s="10"/>
      <c r="K37" s="12"/>
      <c r="L37" s="239">
        <v>5.9801000000000002</v>
      </c>
      <c r="M37" s="235"/>
      <c r="N37" s="25">
        <f t="shared" si="1"/>
        <v>0</v>
      </c>
      <c r="O37" s="25">
        <f t="shared" si="2"/>
        <v>0</v>
      </c>
      <c r="P37" s="25">
        <f t="shared" si="3"/>
        <v>0</v>
      </c>
      <c r="Q37" s="26">
        <f t="shared" si="4"/>
        <v>0</v>
      </c>
      <c r="R37" s="27">
        <f t="shared" si="5"/>
        <v>0</v>
      </c>
      <c r="S37" s="28">
        <f t="shared" si="7"/>
        <v>0</v>
      </c>
    </row>
    <row r="38" spans="2:19" hidden="1">
      <c r="B38" s="419" t="s">
        <v>1544</v>
      </c>
      <c r="C38" s="108"/>
      <c r="D38" s="14"/>
      <c r="E38" s="14"/>
      <c r="F38" s="14"/>
      <c r="G38" s="8"/>
      <c r="H38" s="24">
        <f t="shared" si="6"/>
        <v>0</v>
      </c>
      <c r="I38" s="456">
        <f t="shared" si="12"/>
        <v>21.066099999999999</v>
      </c>
      <c r="J38" s="10"/>
      <c r="K38" s="12"/>
      <c r="L38" s="239">
        <v>21.066099999999999</v>
      </c>
      <c r="M38" s="235"/>
      <c r="N38" s="25">
        <f t="shared" si="1"/>
        <v>0</v>
      </c>
      <c r="O38" s="25">
        <f t="shared" si="2"/>
        <v>0</v>
      </c>
      <c r="P38" s="25">
        <f t="shared" si="3"/>
        <v>0</v>
      </c>
      <c r="Q38" s="26">
        <f t="shared" si="4"/>
        <v>0</v>
      </c>
      <c r="R38" s="27">
        <f t="shared" si="5"/>
        <v>0</v>
      </c>
      <c r="S38" s="28">
        <f t="shared" si="7"/>
        <v>0</v>
      </c>
    </row>
    <row r="39" spans="2:19" hidden="1">
      <c r="B39" s="419" t="s">
        <v>1545</v>
      </c>
      <c r="C39" s="108"/>
      <c r="D39" s="14"/>
      <c r="E39" s="14"/>
      <c r="F39" s="14"/>
      <c r="G39" s="8"/>
      <c r="H39" s="24">
        <f t="shared" si="6"/>
        <v>0</v>
      </c>
      <c r="I39" s="456">
        <f t="shared" si="12"/>
        <v>23.838000000000001</v>
      </c>
      <c r="J39" s="10"/>
      <c r="K39" s="12"/>
      <c r="L39" s="239">
        <v>23.838000000000001</v>
      </c>
      <c r="M39" s="235"/>
      <c r="N39" s="25">
        <f t="shared" si="1"/>
        <v>0</v>
      </c>
      <c r="O39" s="25">
        <f t="shared" si="2"/>
        <v>0</v>
      </c>
      <c r="P39" s="25">
        <f t="shared" si="3"/>
        <v>0</v>
      </c>
      <c r="Q39" s="26">
        <f t="shared" si="4"/>
        <v>0</v>
      </c>
      <c r="R39" s="27">
        <f t="shared" si="5"/>
        <v>0</v>
      </c>
      <c r="S39" s="28">
        <f t="shared" si="7"/>
        <v>0</v>
      </c>
    </row>
    <row r="40" spans="2:19">
      <c r="B40" s="58" t="s">
        <v>13</v>
      </c>
      <c r="C40" s="288">
        <v>24792.853999999996</v>
      </c>
      <c r="D40" s="288">
        <v>30458.904800000004</v>
      </c>
      <c r="E40" s="288">
        <f t="shared" ref="E40" si="13">P40</f>
        <v>5359.6159999999991</v>
      </c>
      <c r="F40" s="288">
        <v>17295.320400000001</v>
      </c>
      <c r="G40" s="288">
        <f t="shared" ref="G40" si="14">R40</f>
        <v>0</v>
      </c>
      <c r="H40" s="288">
        <f t="shared" ref="H40" si="15">S40</f>
        <v>77906.695200000016</v>
      </c>
      <c r="N40" s="29">
        <f t="shared" ref="N40:S40" si="16">SUM(N6:N39)</f>
        <v>24792.853999999996</v>
      </c>
      <c r="O40" s="29">
        <f t="shared" si="16"/>
        <v>30458.904800000004</v>
      </c>
      <c r="P40" s="29">
        <f t="shared" si="16"/>
        <v>5359.6159999999991</v>
      </c>
      <c r="Q40" s="29">
        <f t="shared" si="16"/>
        <v>17295.320400000001</v>
      </c>
      <c r="R40" s="29">
        <f t="shared" si="16"/>
        <v>0</v>
      </c>
      <c r="S40" s="29">
        <f t="shared" si="16"/>
        <v>77906.695200000016</v>
      </c>
    </row>
    <row r="41" spans="2:19">
      <c r="B41" s="59" t="s">
        <v>46</v>
      </c>
    </row>
    <row r="42" spans="2:19" ht="16.5" thickBot="1">
      <c r="B42" s="2"/>
    </row>
    <row r="43" spans="2:19">
      <c r="B43" s="60" t="s">
        <v>47</v>
      </c>
    </row>
    <row r="44" spans="2:19">
      <c r="B44" s="61" t="s">
        <v>19</v>
      </c>
    </row>
    <row r="45" spans="2:19">
      <c r="B45" s="61" t="s">
        <v>467</v>
      </c>
    </row>
    <row r="46" spans="2:19" ht="16.5" thickBot="1">
      <c r="B46" s="62" t="s">
        <v>468</v>
      </c>
    </row>
    <row r="47" spans="2:19">
      <c r="B47" s="2"/>
    </row>
    <row r="48" spans="2:19">
      <c r="B48" s="30" t="s">
        <v>20</v>
      </c>
    </row>
    <row r="49" spans="2:7">
      <c r="B49" s="35" t="s">
        <v>469</v>
      </c>
    </row>
    <row r="50" spans="2:7">
      <c r="B50" s="35"/>
    </row>
    <row r="51" spans="2:7">
      <c r="B51" s="2"/>
      <c r="G51" s="5" t="str">
        <f>IF(B51&lt;&gt;"",SUM(C51:F51),"")</f>
        <v/>
      </c>
    </row>
    <row r="52" spans="2:7">
      <c r="G52" s="5" t="str">
        <f t="shared" ref="G52:G115" si="17">IF(B52&lt;&gt;"",SUM(C52:F52),"")</f>
        <v/>
      </c>
    </row>
    <row r="53" spans="2:7">
      <c r="G53" s="5" t="str">
        <f t="shared" si="17"/>
        <v/>
      </c>
    </row>
    <row r="54" spans="2:7">
      <c r="G54" s="5" t="str">
        <f t="shared" si="17"/>
        <v/>
      </c>
    </row>
    <row r="55" spans="2:7">
      <c r="G55" s="5" t="str">
        <f t="shared" si="17"/>
        <v/>
      </c>
    </row>
    <row r="56" spans="2:7">
      <c r="G56" s="5" t="str">
        <f t="shared" si="17"/>
        <v/>
      </c>
    </row>
    <row r="57" spans="2:7">
      <c r="G57" s="5" t="str">
        <f t="shared" si="17"/>
        <v/>
      </c>
    </row>
    <row r="58" spans="2:7">
      <c r="G58" s="5" t="str">
        <f t="shared" si="17"/>
        <v/>
      </c>
    </row>
    <row r="59" spans="2:7">
      <c r="G59" s="5" t="str">
        <f t="shared" si="17"/>
        <v/>
      </c>
    </row>
    <row r="60" spans="2:7">
      <c r="G60" s="5" t="str">
        <f t="shared" si="17"/>
        <v/>
      </c>
    </row>
    <row r="61" spans="2:7">
      <c r="G61" s="5" t="str">
        <f t="shared" si="17"/>
        <v/>
      </c>
    </row>
    <row r="62" spans="2:7">
      <c r="G62" s="5" t="str">
        <f t="shared" si="17"/>
        <v/>
      </c>
    </row>
    <row r="63" spans="2:7">
      <c r="G63" s="5" t="str">
        <f t="shared" si="17"/>
        <v/>
      </c>
    </row>
    <row r="64" spans="2:7">
      <c r="G64" s="5" t="str">
        <f t="shared" si="17"/>
        <v/>
      </c>
    </row>
    <row r="65" spans="7:7">
      <c r="G65" s="5" t="str">
        <f t="shared" si="17"/>
        <v/>
      </c>
    </row>
    <row r="66" spans="7:7">
      <c r="G66" s="5" t="str">
        <f t="shared" si="17"/>
        <v/>
      </c>
    </row>
    <row r="67" spans="7:7">
      <c r="G67" s="5" t="str">
        <f t="shared" si="17"/>
        <v/>
      </c>
    </row>
    <row r="68" spans="7:7">
      <c r="G68" s="5" t="str">
        <f t="shared" si="17"/>
        <v/>
      </c>
    </row>
    <row r="69" spans="7:7">
      <c r="G69" s="5" t="str">
        <f t="shared" si="17"/>
        <v/>
      </c>
    </row>
    <row r="70" spans="7:7">
      <c r="G70" s="5" t="str">
        <f t="shared" si="17"/>
        <v/>
      </c>
    </row>
    <row r="71" spans="7:7">
      <c r="G71" s="5" t="str">
        <f t="shared" si="17"/>
        <v/>
      </c>
    </row>
    <row r="72" spans="7:7">
      <c r="G72" s="5" t="str">
        <f t="shared" si="17"/>
        <v/>
      </c>
    </row>
    <row r="73" spans="7:7">
      <c r="G73" s="5" t="str">
        <f t="shared" si="17"/>
        <v/>
      </c>
    </row>
    <row r="74" spans="7:7">
      <c r="G74" s="5" t="str">
        <f t="shared" si="17"/>
        <v/>
      </c>
    </row>
    <row r="75" spans="7:7">
      <c r="G75" s="5" t="str">
        <f t="shared" si="17"/>
        <v/>
      </c>
    </row>
    <row r="76" spans="7:7">
      <c r="G76" s="5" t="str">
        <f t="shared" si="17"/>
        <v/>
      </c>
    </row>
    <row r="77" spans="7:7">
      <c r="G77" s="5" t="str">
        <f t="shared" si="17"/>
        <v/>
      </c>
    </row>
    <row r="78" spans="7:7">
      <c r="G78" s="5" t="str">
        <f t="shared" si="17"/>
        <v/>
      </c>
    </row>
    <row r="79" spans="7:7">
      <c r="G79" s="5" t="str">
        <f t="shared" si="17"/>
        <v/>
      </c>
    </row>
    <row r="80" spans="7:7">
      <c r="G80" s="5" t="str">
        <f t="shared" si="17"/>
        <v/>
      </c>
    </row>
    <row r="81" spans="7:7">
      <c r="G81" s="5" t="str">
        <f t="shared" si="17"/>
        <v/>
      </c>
    </row>
    <row r="82" spans="7:7">
      <c r="G82" s="5" t="str">
        <f t="shared" si="17"/>
        <v/>
      </c>
    </row>
    <row r="83" spans="7:7">
      <c r="G83" s="5" t="str">
        <f t="shared" si="17"/>
        <v/>
      </c>
    </row>
    <row r="84" spans="7:7">
      <c r="G84" s="5" t="str">
        <f t="shared" si="17"/>
        <v/>
      </c>
    </row>
    <row r="85" spans="7:7">
      <c r="G85" s="5" t="str">
        <f t="shared" si="17"/>
        <v/>
      </c>
    </row>
    <row r="86" spans="7:7">
      <c r="G86" s="5" t="str">
        <f t="shared" si="17"/>
        <v/>
      </c>
    </row>
    <row r="87" spans="7:7">
      <c r="G87" s="5" t="str">
        <f t="shared" si="17"/>
        <v/>
      </c>
    </row>
    <row r="88" spans="7:7">
      <c r="G88" s="5" t="str">
        <f t="shared" si="17"/>
        <v/>
      </c>
    </row>
    <row r="89" spans="7:7">
      <c r="G89" s="5" t="str">
        <f t="shared" si="17"/>
        <v/>
      </c>
    </row>
    <row r="90" spans="7:7">
      <c r="G90" s="5" t="str">
        <f t="shared" si="17"/>
        <v/>
      </c>
    </row>
    <row r="91" spans="7:7">
      <c r="G91" s="5" t="str">
        <f t="shared" si="17"/>
        <v/>
      </c>
    </row>
    <row r="92" spans="7:7">
      <c r="G92" s="5" t="str">
        <f t="shared" si="17"/>
        <v/>
      </c>
    </row>
    <row r="93" spans="7:7">
      <c r="G93" s="5" t="str">
        <f t="shared" si="17"/>
        <v/>
      </c>
    </row>
    <row r="94" spans="7:7">
      <c r="G94" s="5" t="str">
        <f t="shared" si="17"/>
        <v/>
      </c>
    </row>
    <row r="95" spans="7:7">
      <c r="G95" s="5" t="str">
        <f t="shared" si="17"/>
        <v/>
      </c>
    </row>
    <row r="96" spans="7:7">
      <c r="G96" s="5" t="str">
        <f t="shared" si="17"/>
        <v/>
      </c>
    </row>
    <row r="97" spans="7:7">
      <c r="G97" s="5" t="str">
        <f t="shared" si="17"/>
        <v/>
      </c>
    </row>
    <row r="98" spans="7:7">
      <c r="G98" s="5" t="str">
        <f t="shared" si="17"/>
        <v/>
      </c>
    </row>
    <row r="99" spans="7:7">
      <c r="G99" s="5" t="str">
        <f t="shared" si="17"/>
        <v/>
      </c>
    </row>
    <row r="100" spans="7:7">
      <c r="G100" s="5" t="str">
        <f t="shared" si="17"/>
        <v/>
      </c>
    </row>
    <row r="101" spans="7:7">
      <c r="G101" s="5" t="str">
        <f t="shared" si="17"/>
        <v/>
      </c>
    </row>
    <row r="102" spans="7:7">
      <c r="G102" s="5" t="str">
        <f t="shared" si="17"/>
        <v/>
      </c>
    </row>
    <row r="103" spans="7:7">
      <c r="G103" s="5" t="str">
        <f t="shared" si="17"/>
        <v/>
      </c>
    </row>
    <row r="104" spans="7:7">
      <c r="G104" s="5" t="str">
        <f t="shared" si="17"/>
        <v/>
      </c>
    </row>
    <row r="105" spans="7:7">
      <c r="G105" s="5" t="str">
        <f t="shared" si="17"/>
        <v/>
      </c>
    </row>
    <row r="106" spans="7:7">
      <c r="G106" s="5" t="str">
        <f t="shared" si="17"/>
        <v/>
      </c>
    </row>
    <row r="107" spans="7:7">
      <c r="G107" s="5" t="str">
        <f t="shared" si="17"/>
        <v/>
      </c>
    </row>
    <row r="108" spans="7:7">
      <c r="G108" s="5" t="str">
        <f t="shared" si="17"/>
        <v/>
      </c>
    </row>
    <row r="109" spans="7:7">
      <c r="G109" s="5" t="str">
        <f t="shared" si="17"/>
        <v/>
      </c>
    </row>
    <row r="110" spans="7:7">
      <c r="G110" s="5" t="str">
        <f t="shared" si="17"/>
        <v/>
      </c>
    </row>
    <row r="111" spans="7:7">
      <c r="G111" s="5" t="str">
        <f t="shared" si="17"/>
        <v/>
      </c>
    </row>
    <row r="112" spans="7:7">
      <c r="G112" s="5" t="str">
        <f t="shared" si="17"/>
        <v/>
      </c>
    </row>
    <row r="113" spans="7:7">
      <c r="G113" s="5" t="str">
        <f t="shared" si="17"/>
        <v/>
      </c>
    </row>
    <row r="114" spans="7:7">
      <c r="G114" s="5" t="str">
        <f t="shared" si="17"/>
        <v/>
      </c>
    </row>
    <row r="115" spans="7:7">
      <c r="G115" s="5" t="str">
        <f t="shared" si="17"/>
        <v/>
      </c>
    </row>
    <row r="116" spans="7:7">
      <c r="G116" s="5" t="str">
        <f t="shared" ref="G116:G179" si="18">IF(B116&lt;&gt;"",SUM(C116:F116),"")</f>
        <v/>
      </c>
    </row>
    <row r="117" spans="7:7">
      <c r="G117" s="5" t="str">
        <f t="shared" si="18"/>
        <v/>
      </c>
    </row>
    <row r="118" spans="7:7">
      <c r="G118" s="5" t="str">
        <f t="shared" si="18"/>
        <v/>
      </c>
    </row>
    <row r="119" spans="7:7">
      <c r="G119" s="5" t="str">
        <f t="shared" si="18"/>
        <v/>
      </c>
    </row>
    <row r="120" spans="7:7">
      <c r="G120" s="5" t="str">
        <f t="shared" si="18"/>
        <v/>
      </c>
    </row>
    <row r="121" spans="7:7">
      <c r="G121" s="5" t="str">
        <f t="shared" si="18"/>
        <v/>
      </c>
    </row>
    <row r="122" spans="7:7">
      <c r="G122" s="5" t="str">
        <f t="shared" si="18"/>
        <v/>
      </c>
    </row>
    <row r="123" spans="7:7">
      <c r="G123" s="5" t="str">
        <f t="shared" si="18"/>
        <v/>
      </c>
    </row>
    <row r="124" spans="7:7">
      <c r="G124" s="5" t="str">
        <f t="shared" si="18"/>
        <v/>
      </c>
    </row>
    <row r="125" spans="7:7">
      <c r="G125" s="5" t="str">
        <f t="shared" si="18"/>
        <v/>
      </c>
    </row>
    <row r="126" spans="7:7">
      <c r="G126" s="5" t="str">
        <f t="shared" si="18"/>
        <v/>
      </c>
    </row>
    <row r="127" spans="7:7">
      <c r="G127" s="5" t="str">
        <f t="shared" si="18"/>
        <v/>
      </c>
    </row>
    <row r="128" spans="7:7">
      <c r="G128" s="5" t="str">
        <f t="shared" si="18"/>
        <v/>
      </c>
    </row>
    <row r="129" spans="7:7">
      <c r="G129" s="5" t="str">
        <f t="shared" si="18"/>
        <v/>
      </c>
    </row>
    <row r="130" spans="7:7">
      <c r="G130" s="5" t="str">
        <f t="shared" si="18"/>
        <v/>
      </c>
    </row>
    <row r="131" spans="7:7">
      <c r="G131" s="5" t="str">
        <f t="shared" si="18"/>
        <v/>
      </c>
    </row>
    <row r="132" spans="7:7">
      <c r="G132" s="5" t="str">
        <f t="shared" si="18"/>
        <v/>
      </c>
    </row>
    <row r="133" spans="7:7">
      <c r="G133" s="5" t="str">
        <f t="shared" si="18"/>
        <v/>
      </c>
    </row>
    <row r="134" spans="7:7">
      <c r="G134" s="5" t="str">
        <f t="shared" si="18"/>
        <v/>
      </c>
    </row>
    <row r="135" spans="7:7">
      <c r="G135" s="5" t="str">
        <f t="shared" si="18"/>
        <v/>
      </c>
    </row>
    <row r="136" spans="7:7">
      <c r="G136" s="5" t="str">
        <f t="shared" si="18"/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si="18"/>
        <v/>
      </c>
    </row>
    <row r="155" spans="7:7">
      <c r="G155" s="5" t="str">
        <f t="shared" si="18"/>
        <v/>
      </c>
    </row>
    <row r="156" spans="7:7">
      <c r="G156" s="5" t="str">
        <f t="shared" si="18"/>
        <v/>
      </c>
    </row>
    <row r="157" spans="7:7">
      <c r="G157" s="5" t="str">
        <f t="shared" si="18"/>
        <v/>
      </c>
    </row>
    <row r="158" spans="7:7">
      <c r="G158" s="5" t="str">
        <f t="shared" si="18"/>
        <v/>
      </c>
    </row>
    <row r="159" spans="7:7">
      <c r="G159" s="5" t="str">
        <f t="shared" si="18"/>
        <v/>
      </c>
    </row>
    <row r="160" spans="7:7">
      <c r="G160" s="5" t="str">
        <f t="shared" si="18"/>
        <v/>
      </c>
    </row>
    <row r="161" spans="7:7">
      <c r="G161" s="5" t="str">
        <f t="shared" si="18"/>
        <v/>
      </c>
    </row>
    <row r="162" spans="7:7">
      <c r="G162" s="5" t="str">
        <f t="shared" si="18"/>
        <v/>
      </c>
    </row>
    <row r="163" spans="7:7">
      <c r="G163" s="5" t="str">
        <f t="shared" si="18"/>
        <v/>
      </c>
    </row>
    <row r="164" spans="7:7">
      <c r="G164" s="5" t="str">
        <f t="shared" si="18"/>
        <v/>
      </c>
    </row>
    <row r="165" spans="7:7">
      <c r="G165" s="5" t="str">
        <f t="shared" si="18"/>
        <v/>
      </c>
    </row>
    <row r="166" spans="7:7">
      <c r="G166" s="5" t="str">
        <f t="shared" si="18"/>
        <v/>
      </c>
    </row>
    <row r="167" spans="7:7">
      <c r="G167" s="5" t="str">
        <f t="shared" si="18"/>
        <v/>
      </c>
    </row>
    <row r="168" spans="7:7">
      <c r="G168" s="5" t="str">
        <f t="shared" si="18"/>
        <v/>
      </c>
    </row>
    <row r="169" spans="7:7">
      <c r="G169" s="5" t="str">
        <f t="shared" si="18"/>
        <v/>
      </c>
    </row>
    <row r="170" spans="7:7">
      <c r="G170" s="5" t="str">
        <f t="shared" si="18"/>
        <v/>
      </c>
    </row>
    <row r="171" spans="7:7">
      <c r="G171" s="5" t="str">
        <f t="shared" si="18"/>
        <v/>
      </c>
    </row>
    <row r="172" spans="7:7">
      <c r="G172" s="5" t="str">
        <f t="shared" si="18"/>
        <v/>
      </c>
    </row>
    <row r="173" spans="7:7">
      <c r="G173" s="5" t="str">
        <f t="shared" si="18"/>
        <v/>
      </c>
    </row>
    <row r="174" spans="7:7">
      <c r="G174" s="5" t="str">
        <f t="shared" si="18"/>
        <v/>
      </c>
    </row>
    <row r="175" spans="7:7">
      <c r="G175" s="5" t="str">
        <f t="shared" si="18"/>
        <v/>
      </c>
    </row>
    <row r="176" spans="7:7">
      <c r="G176" s="5" t="str">
        <f t="shared" si="18"/>
        <v/>
      </c>
    </row>
    <row r="177" spans="7:7">
      <c r="G177" s="5" t="str">
        <f t="shared" si="18"/>
        <v/>
      </c>
    </row>
    <row r="178" spans="7:7">
      <c r="G178" s="5" t="str">
        <f t="shared" si="18"/>
        <v/>
      </c>
    </row>
    <row r="179" spans="7:7">
      <c r="G179" s="5" t="str">
        <f t="shared" si="18"/>
        <v/>
      </c>
    </row>
    <row r="180" spans="7:7">
      <c r="G180" s="5" t="str">
        <f t="shared" ref="G180:G243" si="19">IF(B180&lt;&gt;"",SUM(C180:F180),"")</f>
        <v/>
      </c>
    </row>
    <row r="181" spans="7:7">
      <c r="G181" s="5" t="str">
        <f t="shared" si="19"/>
        <v/>
      </c>
    </row>
    <row r="182" spans="7:7">
      <c r="G182" s="5" t="str">
        <f t="shared" si="19"/>
        <v/>
      </c>
    </row>
    <row r="183" spans="7:7">
      <c r="G183" s="5" t="str">
        <f t="shared" si="19"/>
        <v/>
      </c>
    </row>
    <row r="184" spans="7:7">
      <c r="G184" s="5" t="str">
        <f t="shared" si="19"/>
        <v/>
      </c>
    </row>
    <row r="185" spans="7:7">
      <c r="G185" s="5" t="str">
        <f t="shared" si="19"/>
        <v/>
      </c>
    </row>
    <row r="186" spans="7:7">
      <c r="G186" s="5" t="str">
        <f t="shared" si="19"/>
        <v/>
      </c>
    </row>
    <row r="187" spans="7:7">
      <c r="G187" s="5" t="str">
        <f t="shared" si="19"/>
        <v/>
      </c>
    </row>
    <row r="188" spans="7:7">
      <c r="G188" s="5" t="str">
        <f t="shared" si="19"/>
        <v/>
      </c>
    </row>
    <row r="189" spans="7:7">
      <c r="G189" s="5" t="str">
        <f t="shared" si="19"/>
        <v/>
      </c>
    </row>
    <row r="190" spans="7:7">
      <c r="G190" s="5" t="str">
        <f t="shared" si="19"/>
        <v/>
      </c>
    </row>
    <row r="191" spans="7:7">
      <c r="G191" s="5" t="str">
        <f t="shared" si="19"/>
        <v/>
      </c>
    </row>
    <row r="192" spans="7:7">
      <c r="G192" s="5" t="str">
        <f t="shared" si="19"/>
        <v/>
      </c>
    </row>
    <row r="193" spans="7:7">
      <c r="G193" s="5" t="str">
        <f t="shared" si="19"/>
        <v/>
      </c>
    </row>
    <row r="194" spans="7:7">
      <c r="G194" s="5" t="str">
        <f t="shared" si="19"/>
        <v/>
      </c>
    </row>
    <row r="195" spans="7:7">
      <c r="G195" s="5" t="str">
        <f t="shared" si="19"/>
        <v/>
      </c>
    </row>
    <row r="196" spans="7:7">
      <c r="G196" s="5" t="str">
        <f t="shared" si="19"/>
        <v/>
      </c>
    </row>
    <row r="197" spans="7:7">
      <c r="G197" s="5" t="str">
        <f t="shared" si="19"/>
        <v/>
      </c>
    </row>
    <row r="198" spans="7:7">
      <c r="G198" s="5" t="str">
        <f t="shared" si="19"/>
        <v/>
      </c>
    </row>
    <row r="199" spans="7:7">
      <c r="G199" s="5" t="str">
        <f t="shared" si="19"/>
        <v/>
      </c>
    </row>
    <row r="200" spans="7:7">
      <c r="G200" s="5" t="str">
        <f t="shared" si="19"/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si="19"/>
        <v/>
      </c>
    </row>
    <row r="219" spans="7:7">
      <c r="G219" s="5" t="str">
        <f t="shared" si="19"/>
        <v/>
      </c>
    </row>
    <row r="220" spans="7:7">
      <c r="G220" s="5" t="str">
        <f t="shared" si="19"/>
        <v/>
      </c>
    </row>
    <row r="221" spans="7:7">
      <c r="G221" s="5" t="str">
        <f t="shared" si="19"/>
        <v/>
      </c>
    </row>
    <row r="222" spans="7:7">
      <c r="G222" s="5" t="str">
        <f t="shared" si="19"/>
        <v/>
      </c>
    </row>
    <row r="223" spans="7:7">
      <c r="G223" s="5" t="str">
        <f t="shared" si="19"/>
        <v/>
      </c>
    </row>
    <row r="224" spans="7:7">
      <c r="G224" s="5" t="str">
        <f t="shared" si="19"/>
        <v/>
      </c>
    </row>
    <row r="225" spans="7:7">
      <c r="G225" s="5" t="str">
        <f t="shared" si="19"/>
        <v/>
      </c>
    </row>
    <row r="226" spans="7:7">
      <c r="G226" s="5" t="str">
        <f t="shared" si="19"/>
        <v/>
      </c>
    </row>
    <row r="227" spans="7:7">
      <c r="G227" s="5" t="str">
        <f t="shared" si="19"/>
        <v/>
      </c>
    </row>
    <row r="228" spans="7:7">
      <c r="G228" s="5" t="str">
        <f t="shared" si="19"/>
        <v/>
      </c>
    </row>
    <row r="229" spans="7:7">
      <c r="G229" s="5" t="str">
        <f t="shared" si="19"/>
        <v/>
      </c>
    </row>
    <row r="230" spans="7:7">
      <c r="G230" s="5" t="str">
        <f t="shared" si="19"/>
        <v/>
      </c>
    </row>
    <row r="231" spans="7:7">
      <c r="G231" s="5" t="str">
        <f t="shared" si="19"/>
        <v/>
      </c>
    </row>
    <row r="232" spans="7:7">
      <c r="G232" s="5" t="str">
        <f t="shared" si="19"/>
        <v/>
      </c>
    </row>
    <row r="233" spans="7:7">
      <c r="G233" s="5" t="str">
        <f t="shared" si="19"/>
        <v/>
      </c>
    </row>
    <row r="234" spans="7:7">
      <c r="G234" s="5" t="str">
        <f t="shared" si="19"/>
        <v/>
      </c>
    </row>
    <row r="235" spans="7:7">
      <c r="G235" s="5" t="str">
        <f t="shared" si="19"/>
        <v/>
      </c>
    </row>
    <row r="236" spans="7:7">
      <c r="G236" s="5" t="str">
        <f t="shared" si="19"/>
        <v/>
      </c>
    </row>
    <row r="237" spans="7:7">
      <c r="G237" s="5" t="str">
        <f t="shared" si="19"/>
        <v/>
      </c>
    </row>
    <row r="238" spans="7:7">
      <c r="G238" s="5" t="str">
        <f t="shared" si="19"/>
        <v/>
      </c>
    </row>
    <row r="239" spans="7:7">
      <c r="G239" s="5" t="str">
        <f t="shared" si="19"/>
        <v/>
      </c>
    </row>
    <row r="240" spans="7:7">
      <c r="G240" s="5" t="str">
        <f t="shared" si="19"/>
        <v/>
      </c>
    </row>
    <row r="241" spans="7:7">
      <c r="G241" s="5" t="str">
        <f t="shared" si="19"/>
        <v/>
      </c>
    </row>
    <row r="242" spans="7:7">
      <c r="G242" s="5" t="str">
        <f t="shared" si="19"/>
        <v/>
      </c>
    </row>
    <row r="243" spans="7:7">
      <c r="G243" s="5" t="str">
        <f t="shared" si="19"/>
        <v/>
      </c>
    </row>
    <row r="244" spans="7:7">
      <c r="G244" s="5" t="str">
        <f t="shared" ref="G244:G307" si="20">IF(B244&lt;&gt;"",SUM(C244:F244),"")</f>
        <v/>
      </c>
    </row>
    <row r="245" spans="7:7">
      <c r="G245" s="5" t="str">
        <f t="shared" si="20"/>
        <v/>
      </c>
    </row>
    <row r="246" spans="7:7">
      <c r="G246" s="5" t="str">
        <f t="shared" si="20"/>
        <v/>
      </c>
    </row>
    <row r="247" spans="7:7">
      <c r="G247" s="5" t="str">
        <f t="shared" si="20"/>
        <v/>
      </c>
    </row>
    <row r="248" spans="7:7">
      <c r="G248" s="5" t="str">
        <f t="shared" si="20"/>
        <v/>
      </c>
    </row>
    <row r="249" spans="7:7">
      <c r="G249" s="5" t="str">
        <f t="shared" si="20"/>
        <v/>
      </c>
    </row>
    <row r="250" spans="7:7">
      <c r="G250" s="5" t="str">
        <f t="shared" si="20"/>
        <v/>
      </c>
    </row>
    <row r="251" spans="7:7">
      <c r="G251" s="5" t="str">
        <f t="shared" si="20"/>
        <v/>
      </c>
    </row>
    <row r="252" spans="7:7">
      <c r="G252" s="5" t="str">
        <f t="shared" si="20"/>
        <v/>
      </c>
    </row>
    <row r="253" spans="7:7">
      <c r="G253" s="5" t="str">
        <f t="shared" si="20"/>
        <v/>
      </c>
    </row>
    <row r="254" spans="7:7">
      <c r="G254" s="5" t="str">
        <f t="shared" si="20"/>
        <v/>
      </c>
    </row>
    <row r="255" spans="7:7">
      <c r="G255" s="5" t="str">
        <f t="shared" si="20"/>
        <v/>
      </c>
    </row>
    <row r="256" spans="7:7">
      <c r="G256" s="5" t="str">
        <f t="shared" si="20"/>
        <v/>
      </c>
    </row>
    <row r="257" spans="7:7">
      <c r="G257" s="5" t="str">
        <f t="shared" si="20"/>
        <v/>
      </c>
    </row>
    <row r="258" spans="7:7">
      <c r="G258" s="5" t="str">
        <f t="shared" si="20"/>
        <v/>
      </c>
    </row>
    <row r="259" spans="7:7">
      <c r="G259" s="5" t="str">
        <f t="shared" si="20"/>
        <v/>
      </c>
    </row>
    <row r="260" spans="7:7">
      <c r="G260" s="5" t="str">
        <f t="shared" si="20"/>
        <v/>
      </c>
    </row>
    <row r="261" spans="7:7">
      <c r="G261" s="5" t="str">
        <f t="shared" si="20"/>
        <v/>
      </c>
    </row>
    <row r="262" spans="7:7">
      <c r="G262" s="5" t="str">
        <f t="shared" si="20"/>
        <v/>
      </c>
    </row>
    <row r="263" spans="7:7">
      <c r="G263" s="5" t="str">
        <f t="shared" si="20"/>
        <v/>
      </c>
    </row>
    <row r="264" spans="7:7">
      <c r="G264" s="5" t="str">
        <f t="shared" si="20"/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si="20"/>
        <v/>
      </c>
    </row>
    <row r="283" spans="7:7">
      <c r="G283" s="5" t="str">
        <f t="shared" si="20"/>
        <v/>
      </c>
    </row>
    <row r="284" spans="7:7">
      <c r="G284" s="5" t="str">
        <f t="shared" si="20"/>
        <v/>
      </c>
    </row>
    <row r="285" spans="7:7">
      <c r="G285" s="5" t="str">
        <f t="shared" si="20"/>
        <v/>
      </c>
    </row>
    <row r="286" spans="7:7">
      <c r="G286" s="5" t="str">
        <f t="shared" si="20"/>
        <v/>
      </c>
    </row>
    <row r="287" spans="7:7">
      <c r="G287" s="5" t="str">
        <f t="shared" si="20"/>
        <v/>
      </c>
    </row>
    <row r="288" spans="7:7">
      <c r="G288" s="5" t="str">
        <f t="shared" si="20"/>
        <v/>
      </c>
    </row>
    <row r="289" spans="7:7">
      <c r="G289" s="5" t="str">
        <f t="shared" si="20"/>
        <v/>
      </c>
    </row>
    <row r="290" spans="7:7">
      <c r="G290" s="5" t="str">
        <f t="shared" si="20"/>
        <v/>
      </c>
    </row>
    <row r="291" spans="7:7">
      <c r="G291" s="5" t="str">
        <f t="shared" si="20"/>
        <v/>
      </c>
    </row>
    <row r="292" spans="7:7">
      <c r="G292" s="5" t="str">
        <f t="shared" si="20"/>
        <v/>
      </c>
    </row>
    <row r="293" spans="7:7">
      <c r="G293" s="5" t="str">
        <f t="shared" si="20"/>
        <v/>
      </c>
    </row>
    <row r="294" spans="7:7">
      <c r="G294" s="5" t="str">
        <f t="shared" si="20"/>
        <v/>
      </c>
    </row>
    <row r="295" spans="7:7">
      <c r="G295" s="5" t="str">
        <f t="shared" si="20"/>
        <v/>
      </c>
    </row>
    <row r="296" spans="7:7">
      <c r="G296" s="5" t="str">
        <f t="shared" si="20"/>
        <v/>
      </c>
    </row>
    <row r="297" spans="7:7">
      <c r="G297" s="5" t="str">
        <f t="shared" si="20"/>
        <v/>
      </c>
    </row>
    <row r="298" spans="7:7">
      <c r="G298" s="5" t="str">
        <f t="shared" si="20"/>
        <v/>
      </c>
    </row>
    <row r="299" spans="7:7">
      <c r="G299" s="5" t="str">
        <f t="shared" si="20"/>
        <v/>
      </c>
    </row>
    <row r="300" spans="7:7">
      <c r="G300" s="5" t="str">
        <f t="shared" si="20"/>
        <v/>
      </c>
    </row>
    <row r="301" spans="7:7">
      <c r="G301" s="5" t="str">
        <f t="shared" si="20"/>
        <v/>
      </c>
    </row>
    <row r="302" spans="7:7">
      <c r="G302" s="5" t="str">
        <f t="shared" si="20"/>
        <v/>
      </c>
    </row>
    <row r="303" spans="7:7">
      <c r="G303" s="5" t="str">
        <f t="shared" si="20"/>
        <v/>
      </c>
    </row>
    <row r="304" spans="7:7">
      <c r="G304" s="5" t="str">
        <f t="shared" si="20"/>
        <v/>
      </c>
    </row>
    <row r="305" spans="7:7">
      <c r="G305" s="5" t="str">
        <f t="shared" si="20"/>
        <v/>
      </c>
    </row>
    <row r="306" spans="7:7">
      <c r="G306" s="5" t="str">
        <f t="shared" si="20"/>
        <v/>
      </c>
    </row>
    <row r="307" spans="7:7">
      <c r="G307" s="5" t="str">
        <f t="shared" si="20"/>
        <v/>
      </c>
    </row>
    <row r="308" spans="7:7">
      <c r="G308" s="5" t="str">
        <f t="shared" ref="G308:G371" si="21">IF(B308&lt;&gt;"",SUM(C308:F308),"")</f>
        <v/>
      </c>
    </row>
    <row r="309" spans="7:7">
      <c r="G309" s="5" t="str">
        <f t="shared" si="21"/>
        <v/>
      </c>
    </row>
    <row r="310" spans="7:7">
      <c r="G310" s="5" t="str">
        <f t="shared" si="21"/>
        <v/>
      </c>
    </row>
    <row r="311" spans="7:7">
      <c r="G311" s="5" t="str">
        <f t="shared" si="21"/>
        <v/>
      </c>
    </row>
    <row r="312" spans="7:7">
      <c r="G312" s="5" t="str">
        <f t="shared" si="21"/>
        <v/>
      </c>
    </row>
    <row r="313" spans="7:7">
      <c r="G313" s="5" t="str">
        <f t="shared" si="21"/>
        <v/>
      </c>
    </row>
    <row r="314" spans="7:7">
      <c r="G314" s="5" t="str">
        <f t="shared" si="21"/>
        <v/>
      </c>
    </row>
    <row r="315" spans="7:7">
      <c r="G315" s="5" t="str">
        <f t="shared" si="21"/>
        <v/>
      </c>
    </row>
    <row r="316" spans="7:7">
      <c r="G316" s="5" t="str">
        <f t="shared" si="21"/>
        <v/>
      </c>
    </row>
    <row r="317" spans="7:7">
      <c r="G317" s="5" t="str">
        <f t="shared" si="21"/>
        <v/>
      </c>
    </row>
    <row r="318" spans="7:7">
      <c r="G318" s="5" t="str">
        <f t="shared" si="21"/>
        <v/>
      </c>
    </row>
    <row r="319" spans="7:7">
      <c r="G319" s="5" t="str">
        <f t="shared" si="21"/>
        <v/>
      </c>
    </row>
    <row r="320" spans="7:7">
      <c r="G320" s="5" t="str">
        <f t="shared" si="21"/>
        <v/>
      </c>
    </row>
    <row r="321" spans="7:7">
      <c r="G321" s="5" t="str">
        <f t="shared" si="21"/>
        <v/>
      </c>
    </row>
    <row r="322" spans="7:7">
      <c r="G322" s="5" t="str">
        <f t="shared" si="21"/>
        <v/>
      </c>
    </row>
    <row r="323" spans="7:7">
      <c r="G323" s="5" t="str">
        <f t="shared" si="21"/>
        <v/>
      </c>
    </row>
    <row r="324" spans="7:7">
      <c r="G324" s="5" t="str">
        <f t="shared" si="21"/>
        <v/>
      </c>
    </row>
    <row r="325" spans="7:7">
      <c r="G325" s="5" t="str">
        <f t="shared" si="21"/>
        <v/>
      </c>
    </row>
    <row r="326" spans="7:7">
      <c r="G326" s="5" t="str">
        <f t="shared" si="21"/>
        <v/>
      </c>
    </row>
    <row r="327" spans="7:7">
      <c r="G327" s="5" t="str">
        <f t="shared" si="21"/>
        <v/>
      </c>
    </row>
    <row r="328" spans="7:7">
      <c r="G328" s="5" t="str">
        <f t="shared" si="21"/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si="21"/>
        <v/>
      </c>
    </row>
    <row r="347" spans="7:7">
      <c r="G347" s="5" t="str">
        <f t="shared" si="21"/>
        <v/>
      </c>
    </row>
    <row r="348" spans="7:7">
      <c r="G348" s="5" t="str">
        <f t="shared" si="21"/>
        <v/>
      </c>
    </row>
    <row r="349" spans="7:7">
      <c r="G349" s="5" t="str">
        <f t="shared" si="21"/>
        <v/>
      </c>
    </row>
    <row r="350" spans="7:7">
      <c r="G350" s="5" t="str">
        <f t="shared" si="21"/>
        <v/>
      </c>
    </row>
    <row r="351" spans="7:7">
      <c r="G351" s="5" t="str">
        <f t="shared" si="21"/>
        <v/>
      </c>
    </row>
    <row r="352" spans="7:7">
      <c r="G352" s="5" t="str">
        <f t="shared" si="21"/>
        <v/>
      </c>
    </row>
    <row r="353" spans="7:7">
      <c r="G353" s="5" t="str">
        <f t="shared" si="21"/>
        <v/>
      </c>
    </row>
    <row r="354" spans="7:7">
      <c r="G354" s="5" t="str">
        <f t="shared" si="21"/>
        <v/>
      </c>
    </row>
    <row r="355" spans="7:7">
      <c r="G355" s="5" t="str">
        <f t="shared" si="21"/>
        <v/>
      </c>
    </row>
    <row r="356" spans="7:7">
      <c r="G356" s="5" t="str">
        <f t="shared" si="21"/>
        <v/>
      </c>
    </row>
    <row r="357" spans="7:7">
      <c r="G357" s="5" t="str">
        <f t="shared" si="21"/>
        <v/>
      </c>
    </row>
    <row r="358" spans="7:7">
      <c r="G358" s="5" t="str">
        <f t="shared" si="21"/>
        <v/>
      </c>
    </row>
    <row r="359" spans="7:7">
      <c r="G359" s="5" t="str">
        <f t="shared" si="21"/>
        <v/>
      </c>
    </row>
    <row r="360" spans="7:7">
      <c r="G360" s="5" t="str">
        <f t="shared" si="21"/>
        <v/>
      </c>
    </row>
    <row r="361" spans="7:7">
      <c r="G361" s="5" t="str">
        <f t="shared" si="21"/>
        <v/>
      </c>
    </row>
    <row r="362" spans="7:7">
      <c r="G362" s="5" t="str">
        <f t="shared" si="21"/>
        <v/>
      </c>
    </row>
    <row r="363" spans="7:7">
      <c r="G363" s="5" t="str">
        <f t="shared" si="21"/>
        <v/>
      </c>
    </row>
    <row r="364" spans="7:7">
      <c r="G364" s="5" t="str">
        <f t="shared" si="21"/>
        <v/>
      </c>
    </row>
    <row r="365" spans="7:7">
      <c r="G365" s="5" t="str">
        <f t="shared" si="21"/>
        <v/>
      </c>
    </row>
    <row r="366" spans="7:7">
      <c r="G366" s="5" t="str">
        <f t="shared" si="21"/>
        <v/>
      </c>
    </row>
    <row r="367" spans="7:7">
      <c r="G367" s="5" t="str">
        <f t="shared" si="21"/>
        <v/>
      </c>
    </row>
    <row r="368" spans="7:7">
      <c r="G368" s="5" t="str">
        <f t="shared" si="21"/>
        <v/>
      </c>
    </row>
    <row r="369" spans="7:7">
      <c r="G369" s="5" t="str">
        <f t="shared" si="21"/>
        <v/>
      </c>
    </row>
    <row r="370" spans="7:7">
      <c r="G370" s="5" t="str">
        <f t="shared" si="21"/>
        <v/>
      </c>
    </row>
    <row r="371" spans="7:7">
      <c r="G371" s="5" t="str">
        <f t="shared" si="21"/>
        <v/>
      </c>
    </row>
    <row r="372" spans="7:7">
      <c r="G372" s="5" t="str">
        <f t="shared" ref="G372:G435" si="22">IF(B372&lt;&gt;"",SUM(C372:F372),"")</f>
        <v/>
      </c>
    </row>
    <row r="373" spans="7:7">
      <c r="G373" s="5" t="str">
        <f t="shared" si="22"/>
        <v/>
      </c>
    </row>
    <row r="374" spans="7:7">
      <c r="G374" s="5" t="str">
        <f t="shared" si="22"/>
        <v/>
      </c>
    </row>
    <row r="375" spans="7:7">
      <c r="G375" s="5" t="str">
        <f t="shared" si="22"/>
        <v/>
      </c>
    </row>
    <row r="376" spans="7:7">
      <c r="G376" s="5" t="str">
        <f t="shared" si="22"/>
        <v/>
      </c>
    </row>
    <row r="377" spans="7:7">
      <c r="G377" s="5" t="str">
        <f t="shared" si="22"/>
        <v/>
      </c>
    </row>
    <row r="378" spans="7:7">
      <c r="G378" s="5" t="str">
        <f t="shared" si="22"/>
        <v/>
      </c>
    </row>
    <row r="379" spans="7:7">
      <c r="G379" s="5" t="str">
        <f t="shared" si="22"/>
        <v/>
      </c>
    </row>
    <row r="380" spans="7:7">
      <c r="G380" s="5" t="str">
        <f t="shared" si="22"/>
        <v/>
      </c>
    </row>
    <row r="381" spans="7:7">
      <c r="G381" s="5" t="str">
        <f t="shared" si="22"/>
        <v/>
      </c>
    </row>
    <row r="382" spans="7:7">
      <c r="G382" s="5" t="str">
        <f t="shared" si="22"/>
        <v/>
      </c>
    </row>
    <row r="383" spans="7:7">
      <c r="G383" s="5" t="str">
        <f t="shared" si="22"/>
        <v/>
      </c>
    </row>
    <row r="384" spans="7:7">
      <c r="G384" s="5" t="str">
        <f t="shared" si="22"/>
        <v/>
      </c>
    </row>
    <row r="385" spans="7:7">
      <c r="G385" s="5" t="str">
        <f t="shared" si="22"/>
        <v/>
      </c>
    </row>
    <row r="386" spans="7:7">
      <c r="G386" s="5" t="str">
        <f t="shared" si="22"/>
        <v/>
      </c>
    </row>
    <row r="387" spans="7:7">
      <c r="G387" s="5" t="str">
        <f t="shared" si="22"/>
        <v/>
      </c>
    </row>
    <row r="388" spans="7:7">
      <c r="G388" s="5" t="str">
        <f t="shared" si="22"/>
        <v/>
      </c>
    </row>
    <row r="389" spans="7:7">
      <c r="G389" s="5" t="str">
        <f t="shared" si="22"/>
        <v/>
      </c>
    </row>
    <row r="390" spans="7:7">
      <c r="G390" s="5" t="str">
        <f t="shared" si="22"/>
        <v/>
      </c>
    </row>
    <row r="391" spans="7:7">
      <c r="G391" s="5" t="str">
        <f t="shared" si="22"/>
        <v/>
      </c>
    </row>
    <row r="392" spans="7:7">
      <c r="G392" s="5" t="str">
        <f t="shared" si="22"/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si="22"/>
        <v/>
      </c>
    </row>
    <row r="411" spans="7:7">
      <c r="G411" s="5" t="str">
        <f t="shared" si="22"/>
        <v/>
      </c>
    </row>
    <row r="412" spans="7:7">
      <c r="G412" s="5" t="str">
        <f t="shared" si="22"/>
        <v/>
      </c>
    </row>
    <row r="413" spans="7:7">
      <c r="G413" s="5" t="str">
        <f t="shared" si="22"/>
        <v/>
      </c>
    </row>
    <row r="414" spans="7:7">
      <c r="G414" s="5" t="str">
        <f t="shared" si="22"/>
        <v/>
      </c>
    </row>
    <row r="415" spans="7:7">
      <c r="G415" s="5" t="str">
        <f t="shared" si="22"/>
        <v/>
      </c>
    </row>
    <row r="416" spans="7:7">
      <c r="G416" s="5" t="str">
        <f t="shared" si="22"/>
        <v/>
      </c>
    </row>
    <row r="417" spans="7:7">
      <c r="G417" s="5" t="str">
        <f t="shared" si="22"/>
        <v/>
      </c>
    </row>
    <row r="418" spans="7:7">
      <c r="G418" s="5" t="str">
        <f t="shared" si="22"/>
        <v/>
      </c>
    </row>
    <row r="419" spans="7:7">
      <c r="G419" s="5" t="str">
        <f t="shared" si="22"/>
        <v/>
      </c>
    </row>
    <row r="420" spans="7:7">
      <c r="G420" s="5" t="str">
        <f t="shared" si="22"/>
        <v/>
      </c>
    </row>
    <row r="421" spans="7:7">
      <c r="G421" s="5" t="str">
        <f t="shared" si="22"/>
        <v/>
      </c>
    </row>
    <row r="422" spans="7:7">
      <c r="G422" s="5" t="str">
        <f t="shared" si="22"/>
        <v/>
      </c>
    </row>
    <row r="423" spans="7:7">
      <c r="G423" s="5" t="str">
        <f t="shared" si="22"/>
        <v/>
      </c>
    </row>
    <row r="424" spans="7:7">
      <c r="G424" s="5" t="str">
        <f t="shared" si="22"/>
        <v/>
      </c>
    </row>
    <row r="425" spans="7:7">
      <c r="G425" s="5" t="str">
        <f t="shared" si="22"/>
        <v/>
      </c>
    </row>
    <row r="426" spans="7:7">
      <c r="G426" s="5" t="str">
        <f t="shared" si="22"/>
        <v/>
      </c>
    </row>
    <row r="427" spans="7:7">
      <c r="G427" s="5" t="str">
        <f t="shared" si="22"/>
        <v/>
      </c>
    </row>
    <row r="428" spans="7:7">
      <c r="G428" s="5" t="str">
        <f t="shared" si="22"/>
        <v/>
      </c>
    </row>
    <row r="429" spans="7:7">
      <c r="G429" s="5" t="str">
        <f t="shared" si="22"/>
        <v/>
      </c>
    </row>
    <row r="430" spans="7:7">
      <c r="G430" s="5" t="str">
        <f t="shared" si="22"/>
        <v/>
      </c>
    </row>
    <row r="431" spans="7:7">
      <c r="G431" s="5" t="str">
        <f t="shared" si="22"/>
        <v/>
      </c>
    </row>
    <row r="432" spans="7:7">
      <c r="G432" s="5" t="str">
        <f t="shared" si="22"/>
        <v/>
      </c>
    </row>
    <row r="433" spans="7:7">
      <c r="G433" s="5" t="str">
        <f t="shared" si="22"/>
        <v/>
      </c>
    </row>
    <row r="434" spans="7:7">
      <c r="G434" s="5" t="str">
        <f t="shared" si="22"/>
        <v/>
      </c>
    </row>
    <row r="435" spans="7:7">
      <c r="G435" s="5" t="str">
        <f t="shared" si="22"/>
        <v/>
      </c>
    </row>
    <row r="436" spans="7:7">
      <c r="G436" s="5" t="str">
        <f t="shared" ref="G436:G467" si="23">IF(B436&lt;&gt;"",SUM(C436:F436),"")</f>
        <v/>
      </c>
    </row>
    <row r="437" spans="7:7">
      <c r="G437" s="5" t="str">
        <f t="shared" si="23"/>
        <v/>
      </c>
    </row>
    <row r="438" spans="7:7">
      <c r="G438" s="5" t="str">
        <f t="shared" si="23"/>
        <v/>
      </c>
    </row>
    <row r="439" spans="7:7">
      <c r="G439" s="5" t="str">
        <f t="shared" si="23"/>
        <v/>
      </c>
    </row>
    <row r="440" spans="7:7">
      <c r="G440" s="5" t="str">
        <f t="shared" si="23"/>
        <v/>
      </c>
    </row>
    <row r="441" spans="7:7">
      <c r="G441" s="5" t="str">
        <f t="shared" si="23"/>
        <v/>
      </c>
    </row>
    <row r="442" spans="7:7">
      <c r="G442" s="5" t="str">
        <f t="shared" si="23"/>
        <v/>
      </c>
    </row>
    <row r="443" spans="7:7">
      <c r="G443" s="5" t="str">
        <f t="shared" si="23"/>
        <v/>
      </c>
    </row>
    <row r="444" spans="7:7">
      <c r="G444" s="5" t="str">
        <f t="shared" si="23"/>
        <v/>
      </c>
    </row>
    <row r="445" spans="7:7">
      <c r="G445" s="5" t="str">
        <f t="shared" si="23"/>
        <v/>
      </c>
    </row>
    <row r="446" spans="7:7">
      <c r="G446" s="5" t="str">
        <f t="shared" si="23"/>
        <v/>
      </c>
    </row>
    <row r="447" spans="7:7">
      <c r="G447" s="5" t="str">
        <f t="shared" si="23"/>
        <v/>
      </c>
    </row>
    <row r="448" spans="7:7">
      <c r="G448" s="5" t="str">
        <f t="shared" si="23"/>
        <v/>
      </c>
    </row>
    <row r="449" spans="7:7">
      <c r="G449" s="5" t="str">
        <f t="shared" si="23"/>
        <v/>
      </c>
    </row>
    <row r="450" spans="7:7">
      <c r="G450" s="5" t="str">
        <f t="shared" si="23"/>
        <v/>
      </c>
    </row>
    <row r="451" spans="7:7">
      <c r="G451" s="5" t="str">
        <f t="shared" si="23"/>
        <v/>
      </c>
    </row>
    <row r="452" spans="7:7">
      <c r="G452" s="5" t="str">
        <f t="shared" si="23"/>
        <v/>
      </c>
    </row>
    <row r="453" spans="7:7">
      <c r="G453" s="5" t="str">
        <f t="shared" si="23"/>
        <v/>
      </c>
    </row>
    <row r="454" spans="7:7">
      <c r="G454" s="5" t="str">
        <f t="shared" si="23"/>
        <v/>
      </c>
    </row>
    <row r="455" spans="7:7">
      <c r="G455" s="5" t="str">
        <f t="shared" si="23"/>
        <v/>
      </c>
    </row>
    <row r="456" spans="7:7">
      <c r="G456" s="5" t="str">
        <f t="shared" si="23"/>
        <v/>
      </c>
    </row>
    <row r="457" spans="7:7">
      <c r="G457" s="5" t="str">
        <f t="shared" si="23"/>
        <v/>
      </c>
    </row>
    <row r="458" spans="7:7">
      <c r="G458" s="5" t="str">
        <f t="shared" si="23"/>
        <v/>
      </c>
    </row>
    <row r="459" spans="7:7">
      <c r="G459" s="5" t="str">
        <f t="shared" si="23"/>
        <v/>
      </c>
    </row>
    <row r="460" spans="7:7">
      <c r="G460" s="5" t="str">
        <f t="shared" si="23"/>
        <v/>
      </c>
    </row>
    <row r="461" spans="7:7">
      <c r="G461" s="5" t="str">
        <f t="shared" si="23"/>
        <v/>
      </c>
    </row>
    <row r="462" spans="7:7">
      <c r="G462" s="5" t="str">
        <f t="shared" si="23"/>
        <v/>
      </c>
    </row>
    <row r="463" spans="7:7">
      <c r="G463" s="5" t="str">
        <f t="shared" si="23"/>
        <v/>
      </c>
    </row>
    <row r="464" spans="7:7">
      <c r="G464" s="5" t="str">
        <f t="shared" si="23"/>
        <v/>
      </c>
    </row>
    <row r="465" spans="7:7">
      <c r="G465" s="5" t="str">
        <f t="shared" si="23"/>
        <v/>
      </c>
    </row>
    <row r="466" spans="7:7">
      <c r="G466" s="5" t="str">
        <f t="shared" si="23"/>
        <v/>
      </c>
    </row>
    <row r="467" spans="7:7">
      <c r="G467" s="5" t="str">
        <f t="shared" si="23"/>
        <v/>
      </c>
    </row>
  </sheetData>
  <sheetProtection sort="0" autoFilter="0" pivotTables="0"/>
  <autoFilter ref="H5:H41" xr:uid="{C3AB91E2-3052-45DB-B7E0-B3922AED2C21}">
    <filterColumn colId="0">
      <filters blank="1">
        <filter val="12"/>
        <filter val="120"/>
        <filter val="121"/>
        <filter val="154"/>
        <filter val="156"/>
        <filter val="168"/>
        <filter val="196"/>
        <filter val="24"/>
        <filter val="288"/>
        <filter val="36"/>
        <filter val="400"/>
        <filter val="403"/>
        <filter val="48"/>
        <filter val="49"/>
        <filter val="60"/>
        <filter val="632"/>
        <filter val="72"/>
        <filter val="76"/>
        <filter val="84"/>
        <filter val="892"/>
        <filter val="97"/>
        <filter val="R$ 77.906,70"/>
      </filters>
    </filterColumn>
  </autoFilter>
  <dataValidations count="2">
    <dataValidation type="custom" allowBlank="1" showInputMessage="1" showErrorMessage="1" errorTitle="Atenção" error="Múltiplos por caixa" sqref="M16:M26 M29" xr:uid="{258D295D-8340-414B-B3C7-D245B3365AB0}">
      <formula1>MOD(M16,L16)=0</formula1>
    </dataValidation>
    <dataValidation type="custom" allowBlank="1" showInputMessage="1" showErrorMessage="1" errorTitle="Atenção" error="Múltiplos por Caixa" sqref="M7:M15" xr:uid="{A7AA856A-E9C7-4D1B-B978-5946A04A28FB}">
      <formula1>MOD(M7,L7)=0</formula1>
    </dataValidation>
  </dataValidations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75AC-89B9-460B-B919-D161D53FED5E}">
  <sheetPr codeName="Planilha19" filterMode="1">
    <tabColor rgb="FF006600"/>
    <pageSetUpPr fitToPage="1"/>
  </sheetPr>
  <dimension ref="A1:S476"/>
  <sheetViews>
    <sheetView zoomScaleNormal="100" workbookViewId="0">
      <pane ySplit="5" topLeftCell="A6" activePane="bottomLeft" state="frozen"/>
      <selection pane="bottomLeft" activeCell="I62" sqref="I62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0" width="9.5703125" style="9" customWidth="1"/>
    <col min="11" max="11" width="10.42578125" style="9" customWidth="1"/>
    <col min="12" max="12" width="13.42578125" style="6" hidden="1" customWidth="1"/>
    <col min="13" max="13" width="13.4257812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4.140625" style="1" hidden="1" customWidth="1"/>
    <col min="20" max="16384" width="9.140625" style="1"/>
  </cols>
  <sheetData>
    <row r="1" spans="1:19" ht="4.5" customHeight="1">
      <c r="B1" s="1"/>
      <c r="C1" s="4"/>
      <c r="D1" s="4"/>
      <c r="E1" s="4"/>
      <c r="F1" s="4"/>
      <c r="G1" s="4"/>
    </row>
    <row r="2" spans="1:19" ht="59.25" customHeight="1">
      <c r="B2" s="63" t="s">
        <v>54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1:19" ht="4.5" customHeight="1" thickBot="1">
      <c r="B3" s="1"/>
      <c r="C3" s="4"/>
      <c r="D3" s="4"/>
      <c r="E3" s="4"/>
      <c r="F3" s="4"/>
      <c r="G3" s="4"/>
    </row>
    <row r="4" spans="1:19">
      <c r="B4" s="520" t="s">
        <v>6</v>
      </c>
      <c r="C4" s="602"/>
      <c r="D4" s="602"/>
      <c r="E4" s="602"/>
      <c r="F4" s="603"/>
      <c r="G4" s="604"/>
      <c r="H4" s="511"/>
      <c r="I4" s="511" t="s">
        <v>48</v>
      </c>
      <c r="J4" s="605" t="s">
        <v>9</v>
      </c>
      <c r="K4" s="605" t="s">
        <v>9</v>
      </c>
      <c r="L4" s="476">
        <v>4.7619047619047616E-2</v>
      </c>
      <c r="M4" s="611" t="s">
        <v>15</v>
      </c>
      <c r="N4" s="36"/>
      <c r="O4" s="19"/>
      <c r="P4" s="19"/>
      <c r="Q4" s="19"/>
      <c r="R4" s="19"/>
      <c r="S4" s="19"/>
    </row>
    <row r="5" spans="1:19">
      <c r="B5" s="606" t="s">
        <v>5</v>
      </c>
      <c r="C5" s="607" t="s">
        <v>0</v>
      </c>
      <c r="D5" s="607" t="s">
        <v>12</v>
      </c>
      <c r="E5" s="607" t="s">
        <v>2</v>
      </c>
      <c r="F5" s="607" t="s">
        <v>3</v>
      </c>
      <c r="G5" s="608" t="s">
        <v>1</v>
      </c>
      <c r="H5" s="609" t="s">
        <v>4</v>
      </c>
      <c r="I5" s="609" t="s">
        <v>7</v>
      </c>
      <c r="J5" s="610" t="s">
        <v>8</v>
      </c>
      <c r="K5" s="610" t="s">
        <v>10</v>
      </c>
      <c r="L5" s="454" t="s">
        <v>11</v>
      </c>
      <c r="M5" s="612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1:19">
      <c r="A6" s="341"/>
      <c r="B6" s="496" t="s">
        <v>893</v>
      </c>
      <c r="C6" s="141"/>
      <c r="D6" s="141"/>
      <c r="E6" s="141">
        <v>120</v>
      </c>
      <c r="F6" s="141"/>
      <c r="G6" s="142"/>
      <c r="H6" s="135">
        <f t="shared" ref="H6" si="0">SUM(C6:G6)</f>
        <v>120</v>
      </c>
      <c r="I6" s="499">
        <v>3.14</v>
      </c>
      <c r="J6" s="345"/>
      <c r="K6" s="346"/>
      <c r="L6" s="347">
        <v>3.0060416666666665</v>
      </c>
      <c r="M6" s="344">
        <v>36</v>
      </c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376.8</v>
      </c>
      <c r="Q6" s="26">
        <f t="shared" ref="Q6" si="4">I6*F6</f>
        <v>0</v>
      </c>
      <c r="R6" s="27">
        <f t="shared" ref="R6" si="5">I6*G6</f>
        <v>0</v>
      </c>
      <c r="S6" s="28">
        <f>SUM(N6:R6)</f>
        <v>376.8</v>
      </c>
    </row>
    <row r="7" spans="1:19">
      <c r="A7" s="341"/>
      <c r="B7" s="496" t="s">
        <v>894</v>
      </c>
      <c r="C7" s="141"/>
      <c r="D7" s="141">
        <v>270</v>
      </c>
      <c r="E7" s="141"/>
      <c r="F7" s="141"/>
      <c r="G7" s="142"/>
      <c r="H7" s="135">
        <f t="shared" ref="H7:H60" si="6">SUM(C7:G7)</f>
        <v>270</v>
      </c>
      <c r="I7" s="499">
        <v>4.6100000000000003</v>
      </c>
      <c r="J7" s="345"/>
      <c r="K7" s="346"/>
      <c r="L7" s="347">
        <v>4.40625</v>
      </c>
      <c r="M7" s="344">
        <v>30</v>
      </c>
      <c r="N7" s="25">
        <f t="shared" ref="N7:N48" si="7">I7*C7</f>
        <v>0</v>
      </c>
      <c r="O7" s="25">
        <f t="shared" ref="O7:O48" si="8">I7*D7</f>
        <v>1244.7</v>
      </c>
      <c r="P7" s="25">
        <f t="shared" ref="P7:P48" si="9">I7*E7</f>
        <v>0</v>
      </c>
      <c r="Q7" s="26">
        <f t="shared" ref="Q7:Q48" si="10">I7*F7</f>
        <v>0</v>
      </c>
      <c r="R7" s="27">
        <f t="shared" ref="R7:R48" si="11">I7*G7</f>
        <v>0</v>
      </c>
      <c r="S7" s="28">
        <f t="shared" ref="S7:S47" si="12">SUM(N7:R7)</f>
        <v>1244.7</v>
      </c>
    </row>
    <row r="8" spans="1:19">
      <c r="A8" s="341"/>
      <c r="B8" s="496" t="s">
        <v>864</v>
      </c>
      <c r="C8" s="141"/>
      <c r="D8" s="141">
        <v>260</v>
      </c>
      <c r="E8" s="141"/>
      <c r="F8" s="141">
        <v>120</v>
      </c>
      <c r="G8" s="142"/>
      <c r="H8" s="135">
        <f t="shared" si="6"/>
        <v>380</v>
      </c>
      <c r="I8" s="499">
        <v>16.7</v>
      </c>
      <c r="J8" s="345"/>
      <c r="K8" s="346"/>
      <c r="L8" s="347">
        <v>16.279106277885749</v>
      </c>
      <c r="M8" s="348">
        <v>24</v>
      </c>
      <c r="N8" s="25">
        <f t="shared" si="7"/>
        <v>0</v>
      </c>
      <c r="O8" s="25">
        <f t="shared" si="8"/>
        <v>4342</v>
      </c>
      <c r="P8" s="25">
        <f t="shared" si="9"/>
        <v>0</v>
      </c>
      <c r="Q8" s="26">
        <f t="shared" si="10"/>
        <v>2004</v>
      </c>
      <c r="R8" s="27">
        <f t="shared" si="11"/>
        <v>0</v>
      </c>
      <c r="S8" s="28">
        <f t="shared" si="12"/>
        <v>6346</v>
      </c>
    </row>
    <row r="9" spans="1:19">
      <c r="A9" s="341"/>
      <c r="B9" s="496" t="s">
        <v>895</v>
      </c>
      <c r="C9" s="141"/>
      <c r="D9" s="141">
        <v>140</v>
      </c>
      <c r="E9" s="141">
        <v>48</v>
      </c>
      <c r="F9" s="141"/>
      <c r="G9" s="142">
        <v>72</v>
      </c>
      <c r="H9" s="135">
        <f t="shared" si="6"/>
        <v>260</v>
      </c>
      <c r="I9" s="499">
        <v>7.33</v>
      </c>
      <c r="J9" s="345"/>
      <c r="K9" s="346"/>
      <c r="L9" s="347">
        <v>7.7515625000000012</v>
      </c>
      <c r="M9" s="344">
        <v>24</v>
      </c>
      <c r="N9" s="25">
        <f t="shared" si="7"/>
        <v>0</v>
      </c>
      <c r="O9" s="25">
        <f t="shared" si="8"/>
        <v>1026.2</v>
      </c>
      <c r="P9" s="25">
        <f t="shared" si="9"/>
        <v>351.84000000000003</v>
      </c>
      <c r="Q9" s="26">
        <f t="shared" si="10"/>
        <v>0</v>
      </c>
      <c r="R9" s="27">
        <f t="shared" si="11"/>
        <v>527.76</v>
      </c>
      <c r="S9" s="28">
        <f t="shared" si="12"/>
        <v>1905.8</v>
      </c>
    </row>
    <row r="10" spans="1:19" hidden="1">
      <c r="A10" s="341"/>
      <c r="B10" s="496" t="s">
        <v>1546</v>
      </c>
      <c r="C10" s="342"/>
      <c r="D10" s="342"/>
      <c r="E10" s="342"/>
      <c r="F10" s="342"/>
      <c r="G10" s="343"/>
      <c r="H10" s="344">
        <f t="shared" si="6"/>
        <v>0</v>
      </c>
      <c r="I10" s="497">
        <f t="shared" ref="I10:I59" si="13">(L10-(L10*J10))</f>
        <v>96.606250000000003</v>
      </c>
      <c r="J10" s="345"/>
      <c r="K10" s="346"/>
      <c r="L10" s="347">
        <v>96.606250000000003</v>
      </c>
      <c r="M10" s="344">
        <v>24</v>
      </c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1:19" hidden="1">
      <c r="A11" s="341"/>
      <c r="B11" s="496" t="s">
        <v>1547</v>
      </c>
      <c r="C11" s="342"/>
      <c r="D11" s="342"/>
      <c r="E11" s="342"/>
      <c r="F11" s="342"/>
      <c r="G11" s="343"/>
      <c r="H11" s="344">
        <f t="shared" si="6"/>
        <v>0</v>
      </c>
      <c r="I11" s="497">
        <f t="shared" si="13"/>
        <v>24.356937500000001</v>
      </c>
      <c r="J11" s="345"/>
      <c r="K11" s="346"/>
      <c r="L11" s="347">
        <v>24.356937500000001</v>
      </c>
      <c r="M11" s="344">
        <v>24</v>
      </c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1:19" hidden="1">
      <c r="A12" s="341"/>
      <c r="B12" s="496" t="s">
        <v>1548</v>
      </c>
      <c r="C12" s="342"/>
      <c r="D12" s="342"/>
      <c r="E12" s="342"/>
      <c r="F12" s="342"/>
      <c r="G12" s="343"/>
      <c r="H12" s="344">
        <f t="shared" si="6"/>
        <v>0</v>
      </c>
      <c r="I12" s="497">
        <f t="shared" si="13"/>
        <v>37.211457543750001</v>
      </c>
      <c r="J12" s="345"/>
      <c r="K12" s="346"/>
      <c r="L12" s="347">
        <v>37.211457543750001</v>
      </c>
      <c r="M12" s="344">
        <v>25</v>
      </c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1:19">
      <c r="A13" s="341"/>
      <c r="B13" s="496" t="s">
        <v>896</v>
      </c>
      <c r="C13" s="141">
        <v>300</v>
      </c>
      <c r="D13" s="141"/>
      <c r="E13" s="141"/>
      <c r="F13" s="141"/>
      <c r="G13" s="142">
        <v>480</v>
      </c>
      <c r="H13" s="135">
        <f t="shared" si="6"/>
        <v>780</v>
      </c>
      <c r="I13" s="499">
        <v>5.21</v>
      </c>
      <c r="J13" s="345"/>
      <c r="K13" s="346"/>
      <c r="L13" s="347">
        <v>4.8929999999999998</v>
      </c>
      <c r="M13" s="344">
        <v>12</v>
      </c>
      <c r="N13" s="25">
        <f t="shared" si="7"/>
        <v>1563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2500.8000000000002</v>
      </c>
      <c r="S13" s="28">
        <f t="shared" si="12"/>
        <v>4063.8</v>
      </c>
    </row>
    <row r="14" spans="1:19" hidden="1">
      <c r="A14" s="341"/>
      <c r="B14" s="496" t="s">
        <v>900</v>
      </c>
      <c r="C14" s="342"/>
      <c r="D14" s="342"/>
      <c r="E14" s="342"/>
      <c r="F14" s="342"/>
      <c r="G14" s="343"/>
      <c r="H14" s="344">
        <f t="shared" si="6"/>
        <v>0</v>
      </c>
      <c r="I14" s="497">
        <f t="shared" si="13"/>
        <v>12.295</v>
      </c>
      <c r="J14" s="345"/>
      <c r="K14" s="346"/>
      <c r="L14" s="347">
        <v>12.295</v>
      </c>
      <c r="M14" s="344">
        <v>20</v>
      </c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</row>
    <row r="15" spans="1:19" hidden="1">
      <c r="A15" s="341"/>
      <c r="B15" s="496" t="s">
        <v>945</v>
      </c>
      <c r="C15" s="342"/>
      <c r="D15" s="342"/>
      <c r="E15" s="342"/>
      <c r="F15" s="342"/>
      <c r="G15" s="343"/>
      <c r="H15" s="344">
        <f t="shared" si="6"/>
        <v>0</v>
      </c>
      <c r="I15" s="497">
        <f t="shared" si="13"/>
        <v>145.96854999999999</v>
      </c>
      <c r="J15" s="345"/>
      <c r="K15" s="346"/>
      <c r="L15" s="347">
        <v>145.96854999999999</v>
      </c>
      <c r="M15" s="344">
        <v>24</v>
      </c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1:19" hidden="1">
      <c r="A16" s="341"/>
      <c r="B16" s="496" t="s">
        <v>865</v>
      </c>
      <c r="C16" s="342"/>
      <c r="D16" s="342"/>
      <c r="E16" s="342"/>
      <c r="F16" s="342"/>
      <c r="G16" s="343"/>
      <c r="H16" s="344">
        <f t="shared" si="6"/>
        <v>0</v>
      </c>
      <c r="I16" s="497">
        <f t="shared" si="13"/>
        <v>14.0020995</v>
      </c>
      <c r="J16" s="345"/>
      <c r="K16" s="346"/>
      <c r="L16" s="347">
        <v>14.0020995</v>
      </c>
      <c r="M16" s="344">
        <v>24</v>
      </c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1:19">
      <c r="A17" s="341"/>
      <c r="B17" s="496" t="s">
        <v>897</v>
      </c>
      <c r="C17" s="141"/>
      <c r="D17" s="141"/>
      <c r="E17" s="141"/>
      <c r="F17" s="141">
        <v>36</v>
      </c>
      <c r="G17" s="142"/>
      <c r="H17" s="135">
        <f t="shared" si="6"/>
        <v>36</v>
      </c>
      <c r="I17" s="499">
        <v>17.82</v>
      </c>
      <c r="J17" s="345"/>
      <c r="K17" s="346"/>
      <c r="L17" s="347">
        <v>17.7225</v>
      </c>
      <c r="M17" s="344">
        <v>24</v>
      </c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641.52</v>
      </c>
      <c r="R17" s="27">
        <f t="shared" si="11"/>
        <v>0</v>
      </c>
      <c r="S17" s="28">
        <f t="shared" si="12"/>
        <v>641.52</v>
      </c>
    </row>
    <row r="18" spans="1:19">
      <c r="A18" s="341"/>
      <c r="B18" s="496" t="s">
        <v>950</v>
      </c>
      <c r="C18" s="141"/>
      <c r="D18" s="141"/>
      <c r="E18" s="141">
        <v>20</v>
      </c>
      <c r="F18" s="141"/>
      <c r="G18" s="142"/>
      <c r="H18" s="135">
        <f t="shared" si="6"/>
        <v>20</v>
      </c>
      <c r="I18" s="499">
        <v>170.72</v>
      </c>
      <c r="J18" s="345"/>
      <c r="K18" s="346"/>
      <c r="L18" s="347">
        <v>195.60749999999999</v>
      </c>
      <c r="M18" s="344">
        <v>12</v>
      </c>
      <c r="N18" s="25">
        <f t="shared" si="7"/>
        <v>0</v>
      </c>
      <c r="O18" s="25">
        <f t="shared" si="8"/>
        <v>0</v>
      </c>
      <c r="P18" s="25">
        <f t="shared" si="9"/>
        <v>3414.4</v>
      </c>
      <c r="Q18" s="26">
        <f t="shared" si="10"/>
        <v>0</v>
      </c>
      <c r="R18" s="27">
        <f t="shared" si="11"/>
        <v>0</v>
      </c>
      <c r="S18" s="28">
        <f t="shared" si="12"/>
        <v>3414.4</v>
      </c>
    </row>
    <row r="19" spans="1:19">
      <c r="A19" s="341"/>
      <c r="B19" s="496" t="s">
        <v>866</v>
      </c>
      <c r="C19" s="141">
        <v>48</v>
      </c>
      <c r="D19" s="141">
        <v>320</v>
      </c>
      <c r="E19" s="141">
        <v>24</v>
      </c>
      <c r="F19" s="141">
        <v>24</v>
      </c>
      <c r="G19" s="142"/>
      <c r="H19" s="135">
        <f t="shared" si="6"/>
        <v>416</v>
      </c>
      <c r="I19" s="499"/>
      <c r="J19" s="345"/>
      <c r="K19" s="346" t="s">
        <v>2515</v>
      </c>
      <c r="L19" s="347">
        <v>5.4319651250000005</v>
      </c>
      <c r="M19" s="344">
        <v>24</v>
      </c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1:19">
      <c r="A20" s="341"/>
      <c r="B20" s="496" t="s">
        <v>867</v>
      </c>
      <c r="C20" s="141"/>
      <c r="D20" s="141">
        <v>300</v>
      </c>
      <c r="E20" s="141">
        <v>24</v>
      </c>
      <c r="F20" s="141"/>
      <c r="G20" s="142"/>
      <c r="H20" s="135">
        <f t="shared" si="6"/>
        <v>324</v>
      </c>
      <c r="I20" s="499"/>
      <c r="J20" s="345"/>
      <c r="K20" s="346" t="s">
        <v>2515</v>
      </c>
      <c r="L20" s="347">
        <v>21.434374999999999</v>
      </c>
      <c r="M20" s="344">
        <v>12</v>
      </c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1:19" hidden="1">
      <c r="A21" s="341"/>
      <c r="B21" s="496" t="s">
        <v>946</v>
      </c>
      <c r="C21" s="342"/>
      <c r="D21" s="342"/>
      <c r="E21" s="342"/>
      <c r="F21" s="342"/>
      <c r="G21" s="343"/>
      <c r="H21" s="344">
        <f t="shared" si="6"/>
        <v>0</v>
      </c>
      <c r="I21" s="497">
        <f t="shared" si="13"/>
        <v>164.52930000000001</v>
      </c>
      <c r="J21" s="345"/>
      <c r="K21" s="346"/>
      <c r="L21" s="347">
        <v>164.52930000000001</v>
      </c>
      <c r="M21" s="344">
        <v>12</v>
      </c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1:19" hidden="1">
      <c r="A22" s="341"/>
      <c r="B22" s="496" t="s">
        <v>890</v>
      </c>
      <c r="C22" s="342"/>
      <c r="D22" s="342"/>
      <c r="E22" s="342"/>
      <c r="F22" s="342"/>
      <c r="G22" s="343"/>
      <c r="H22" s="344">
        <f t="shared" si="6"/>
        <v>0</v>
      </c>
      <c r="I22" s="497">
        <f t="shared" si="13"/>
        <v>61.452568547252007</v>
      </c>
      <c r="J22" s="345"/>
      <c r="K22" s="346"/>
      <c r="L22" s="347">
        <v>61.452568547252007</v>
      </c>
      <c r="M22" s="344">
        <v>24</v>
      </c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1:19" hidden="1">
      <c r="A23" s="341"/>
      <c r="B23" s="496" t="s">
        <v>868</v>
      </c>
      <c r="C23" s="342"/>
      <c r="D23" s="342"/>
      <c r="E23" s="342"/>
      <c r="F23" s="342"/>
      <c r="G23" s="343"/>
      <c r="H23" s="344">
        <f t="shared" si="6"/>
        <v>0</v>
      </c>
      <c r="I23" s="497">
        <f t="shared" si="13"/>
        <v>16.114919690000001</v>
      </c>
      <c r="J23" s="345"/>
      <c r="K23" s="346"/>
      <c r="L23" s="347">
        <v>16.114919690000001</v>
      </c>
      <c r="M23" s="344">
        <v>24</v>
      </c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1:19" hidden="1">
      <c r="A24" s="341"/>
      <c r="B24" s="496" t="s">
        <v>951</v>
      </c>
      <c r="C24" s="342"/>
      <c r="D24" s="342"/>
      <c r="E24" s="342"/>
      <c r="F24" s="342"/>
      <c r="G24" s="343"/>
      <c r="H24" s="344">
        <f t="shared" si="6"/>
        <v>0</v>
      </c>
      <c r="I24" s="497">
        <f t="shared" si="13"/>
        <v>126.12147499999999</v>
      </c>
      <c r="J24" s="345"/>
      <c r="K24" s="346"/>
      <c r="L24" s="347">
        <v>126.12147499999999</v>
      </c>
      <c r="M24" s="344">
        <v>12</v>
      </c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1:19" hidden="1">
      <c r="A25" s="341"/>
      <c r="B25" s="496" t="s">
        <v>952</v>
      </c>
      <c r="C25" s="342"/>
      <c r="D25" s="342"/>
      <c r="E25" s="342"/>
      <c r="F25" s="342"/>
      <c r="G25" s="343"/>
      <c r="H25" s="344">
        <f t="shared" si="6"/>
        <v>0</v>
      </c>
      <c r="I25" s="497">
        <f t="shared" si="13"/>
        <v>23.113762499999996</v>
      </c>
      <c r="J25" s="345"/>
      <c r="K25" s="346"/>
      <c r="L25" s="347">
        <v>23.113762499999996</v>
      </c>
      <c r="M25" s="344">
        <v>24</v>
      </c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1:19" hidden="1">
      <c r="A26" s="341"/>
      <c r="B26" s="496" t="s">
        <v>1549</v>
      </c>
      <c r="C26" s="342"/>
      <c r="D26" s="342"/>
      <c r="E26" s="342"/>
      <c r="F26" s="342"/>
      <c r="G26" s="343"/>
      <c r="H26" s="344">
        <f t="shared" si="6"/>
        <v>0</v>
      </c>
      <c r="I26" s="497">
        <f t="shared" si="13"/>
        <v>16.959575000000001</v>
      </c>
      <c r="J26" s="345"/>
      <c r="K26" s="346"/>
      <c r="L26" s="347">
        <v>16.959575000000001</v>
      </c>
      <c r="M26" s="344">
        <v>48</v>
      </c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1:19">
      <c r="A27" s="341"/>
      <c r="B27" s="496" t="s">
        <v>888</v>
      </c>
      <c r="C27" s="141"/>
      <c r="D27" s="141">
        <v>12</v>
      </c>
      <c r="E27" s="141"/>
      <c r="F27" s="141"/>
      <c r="G27" s="142"/>
      <c r="H27" s="135">
        <f t="shared" si="6"/>
        <v>12</v>
      </c>
      <c r="I27" s="499">
        <v>61.72</v>
      </c>
      <c r="J27" s="613"/>
      <c r="K27" s="346"/>
      <c r="L27" s="347">
        <v>68.151499999999999</v>
      </c>
      <c r="M27" s="344">
        <v>24</v>
      </c>
      <c r="N27" s="25">
        <f t="shared" si="7"/>
        <v>0</v>
      </c>
      <c r="O27" s="25">
        <f t="shared" si="8"/>
        <v>740.64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740.64</v>
      </c>
    </row>
    <row r="28" spans="1:19">
      <c r="A28" s="341"/>
      <c r="B28" s="496" t="s">
        <v>869</v>
      </c>
      <c r="C28" s="141">
        <v>56</v>
      </c>
      <c r="D28" s="141"/>
      <c r="E28" s="141"/>
      <c r="F28" s="141">
        <v>24</v>
      </c>
      <c r="G28" s="142"/>
      <c r="H28" s="135">
        <f t="shared" si="6"/>
        <v>80</v>
      </c>
      <c r="I28" s="499">
        <v>32.590000000000003</v>
      </c>
      <c r="J28" s="613"/>
      <c r="K28" s="346"/>
      <c r="L28" s="347">
        <v>37.243825000000001</v>
      </c>
      <c r="M28" s="344">
        <v>24</v>
      </c>
      <c r="N28" s="25">
        <f t="shared" si="7"/>
        <v>1825.0400000000002</v>
      </c>
      <c r="O28" s="25">
        <f t="shared" si="8"/>
        <v>0</v>
      </c>
      <c r="P28" s="25">
        <f t="shared" si="9"/>
        <v>0</v>
      </c>
      <c r="Q28" s="26">
        <f t="shared" si="10"/>
        <v>782.16000000000008</v>
      </c>
      <c r="R28" s="27">
        <f t="shared" si="11"/>
        <v>0</v>
      </c>
      <c r="S28" s="28">
        <f t="shared" si="12"/>
        <v>2607.2000000000003</v>
      </c>
    </row>
    <row r="29" spans="1:19">
      <c r="A29" s="341"/>
      <c r="B29" s="496" t="s">
        <v>870</v>
      </c>
      <c r="C29" s="141">
        <v>48</v>
      </c>
      <c r="D29" s="141"/>
      <c r="E29" s="141"/>
      <c r="F29" s="141">
        <v>48</v>
      </c>
      <c r="G29" s="142"/>
      <c r="H29" s="135">
        <f t="shared" si="6"/>
        <v>96</v>
      </c>
      <c r="I29" s="499">
        <v>9.31</v>
      </c>
      <c r="J29" s="613"/>
      <c r="K29" s="346"/>
      <c r="L29" s="347">
        <v>10.642524999999999</v>
      </c>
      <c r="M29" s="344">
        <v>48</v>
      </c>
      <c r="N29" s="25">
        <f t="shared" si="7"/>
        <v>446.88</v>
      </c>
      <c r="O29" s="25">
        <f t="shared" si="8"/>
        <v>0</v>
      </c>
      <c r="P29" s="25">
        <f t="shared" si="9"/>
        <v>0</v>
      </c>
      <c r="Q29" s="26">
        <f t="shared" si="10"/>
        <v>446.88</v>
      </c>
      <c r="R29" s="27">
        <f t="shared" si="11"/>
        <v>0</v>
      </c>
      <c r="S29" s="28">
        <f t="shared" si="12"/>
        <v>893.76</v>
      </c>
    </row>
    <row r="30" spans="1:19">
      <c r="A30" s="341"/>
      <c r="B30" s="496" t="s">
        <v>871</v>
      </c>
      <c r="C30" s="141">
        <v>72</v>
      </c>
      <c r="D30" s="141"/>
      <c r="E30" s="141"/>
      <c r="F30" s="141"/>
      <c r="G30" s="142"/>
      <c r="H30" s="135">
        <f t="shared" si="6"/>
        <v>72</v>
      </c>
      <c r="I30" s="499"/>
      <c r="J30" s="345"/>
      <c r="K30" s="346" t="s">
        <v>2515</v>
      </c>
      <c r="L30" s="347">
        <v>11.5614387695</v>
      </c>
      <c r="M30" s="344">
        <v>24</v>
      </c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0</v>
      </c>
    </row>
    <row r="31" spans="1:19" hidden="1">
      <c r="A31" s="341"/>
      <c r="B31" s="496" t="s">
        <v>949</v>
      </c>
      <c r="C31" s="342"/>
      <c r="D31" s="342"/>
      <c r="E31" s="342"/>
      <c r="F31" s="342"/>
      <c r="G31" s="343"/>
      <c r="H31" s="344">
        <f t="shared" si="6"/>
        <v>0</v>
      </c>
      <c r="I31" s="497">
        <f t="shared" si="13"/>
        <v>91.474500000000006</v>
      </c>
      <c r="J31" s="345"/>
      <c r="K31" s="346"/>
      <c r="L31" s="347">
        <v>91.474500000000006</v>
      </c>
      <c r="M31" s="344">
        <v>48</v>
      </c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1:19" hidden="1">
      <c r="A32" s="341"/>
      <c r="B32" s="496" t="s">
        <v>872</v>
      </c>
      <c r="C32" s="342"/>
      <c r="D32" s="342"/>
      <c r="E32" s="342"/>
      <c r="F32" s="342"/>
      <c r="G32" s="343"/>
      <c r="H32" s="344">
        <f t="shared" si="6"/>
        <v>0</v>
      </c>
      <c r="I32" s="497">
        <f t="shared" si="13"/>
        <v>47.865753100004753</v>
      </c>
      <c r="J32" s="345"/>
      <c r="K32" s="346"/>
      <c r="L32" s="347">
        <v>47.865753100004753</v>
      </c>
      <c r="M32" s="344">
        <v>24</v>
      </c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1:19" hidden="1">
      <c r="A33" s="341"/>
      <c r="B33" s="496" t="s">
        <v>873</v>
      </c>
      <c r="C33" s="342"/>
      <c r="D33" s="342"/>
      <c r="E33" s="342"/>
      <c r="F33" s="342"/>
      <c r="G33" s="343"/>
      <c r="H33" s="344">
        <f t="shared" si="6"/>
        <v>0</v>
      </c>
      <c r="I33" s="497">
        <f t="shared" si="13"/>
        <v>9.7807993634542498</v>
      </c>
      <c r="J33" s="345"/>
      <c r="K33" s="346"/>
      <c r="L33" s="347">
        <v>9.7807993634542498</v>
      </c>
      <c r="M33" s="344">
        <v>48</v>
      </c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1:19" hidden="1">
      <c r="A34" s="341"/>
      <c r="B34" s="496" t="s">
        <v>1550</v>
      </c>
      <c r="C34" s="342"/>
      <c r="D34" s="342"/>
      <c r="E34" s="342"/>
      <c r="F34" s="342"/>
      <c r="G34" s="343"/>
      <c r="H34" s="344">
        <f t="shared" si="6"/>
        <v>0</v>
      </c>
      <c r="I34" s="497">
        <f t="shared" si="13"/>
        <v>15.714784375000001</v>
      </c>
      <c r="J34" s="345"/>
      <c r="K34" s="346"/>
      <c r="L34" s="347">
        <v>15.714784375000001</v>
      </c>
      <c r="M34" s="344">
        <v>24</v>
      </c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1:19" hidden="1">
      <c r="A35" s="341"/>
      <c r="B35" s="496" t="s">
        <v>874</v>
      </c>
      <c r="C35" s="342"/>
      <c r="D35" s="342"/>
      <c r="E35" s="342"/>
      <c r="F35" s="342"/>
      <c r="G35" s="343"/>
      <c r="H35" s="344">
        <f t="shared" si="6"/>
        <v>0</v>
      </c>
      <c r="I35" s="497">
        <f t="shared" si="13"/>
        <v>6.3104531249999996</v>
      </c>
      <c r="J35" s="345"/>
      <c r="K35" s="346"/>
      <c r="L35" s="347">
        <v>6.3104531249999996</v>
      </c>
      <c r="M35" s="344">
        <v>24</v>
      </c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1:19" hidden="1">
      <c r="A36" s="341"/>
      <c r="B36" s="496" t="s">
        <v>875</v>
      </c>
      <c r="C36" s="342"/>
      <c r="D36" s="342"/>
      <c r="E36" s="342"/>
      <c r="F36" s="342"/>
      <c r="G36" s="343"/>
      <c r="H36" s="344">
        <f t="shared" si="6"/>
        <v>0</v>
      </c>
      <c r="I36" s="497">
        <f t="shared" si="13"/>
        <v>6.5909374999999999</v>
      </c>
      <c r="J36" s="345"/>
      <c r="K36" s="346"/>
      <c r="L36" s="347">
        <v>6.5909374999999999</v>
      </c>
      <c r="M36" s="344">
        <v>24</v>
      </c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1:19" hidden="1">
      <c r="A37" s="341"/>
      <c r="B37" s="496" t="s">
        <v>876</v>
      </c>
      <c r="C37" s="342"/>
      <c r="D37" s="342"/>
      <c r="E37" s="342"/>
      <c r="F37" s="342"/>
      <c r="G37" s="343"/>
      <c r="H37" s="344">
        <f t="shared" si="6"/>
        <v>0</v>
      </c>
      <c r="I37" s="497">
        <f t="shared" si="13"/>
        <v>7.1529862407199998</v>
      </c>
      <c r="J37" s="345"/>
      <c r="K37" s="346"/>
      <c r="L37" s="347">
        <v>7.1529862407199998</v>
      </c>
      <c r="M37" s="344">
        <v>24</v>
      </c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1:19">
      <c r="A38" s="341"/>
      <c r="B38" s="496" t="s">
        <v>877</v>
      </c>
      <c r="C38" s="141"/>
      <c r="D38" s="141">
        <v>130</v>
      </c>
      <c r="E38" s="141"/>
      <c r="F38" s="141"/>
      <c r="G38" s="142"/>
      <c r="H38" s="135">
        <f t="shared" si="6"/>
        <v>130</v>
      </c>
      <c r="I38" s="499">
        <v>8.4</v>
      </c>
      <c r="J38" s="345"/>
      <c r="K38" s="346"/>
      <c r="L38" s="347">
        <v>14.136874999999998</v>
      </c>
      <c r="M38" s="344">
        <v>38</v>
      </c>
      <c r="N38" s="25">
        <f t="shared" si="7"/>
        <v>0</v>
      </c>
      <c r="O38" s="25">
        <f t="shared" si="8"/>
        <v>1092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1092</v>
      </c>
    </row>
    <row r="39" spans="1:19" hidden="1">
      <c r="A39" s="341"/>
      <c r="B39" s="496" t="s">
        <v>878</v>
      </c>
      <c r="C39" s="342"/>
      <c r="D39" s="342"/>
      <c r="E39" s="342"/>
      <c r="F39" s="342"/>
      <c r="G39" s="343"/>
      <c r="H39" s="344">
        <f t="shared" si="6"/>
        <v>0</v>
      </c>
      <c r="I39" s="497">
        <f t="shared" si="13"/>
        <v>7.185624999999999</v>
      </c>
      <c r="J39" s="345"/>
      <c r="K39" s="346"/>
      <c r="L39" s="347">
        <v>7.185624999999999</v>
      </c>
      <c r="M39" s="344">
        <v>24</v>
      </c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</row>
    <row r="40" spans="1:19" hidden="1">
      <c r="A40" s="341"/>
      <c r="B40" s="496" t="s">
        <v>879</v>
      </c>
      <c r="C40" s="342"/>
      <c r="D40" s="342"/>
      <c r="E40" s="342"/>
      <c r="F40" s="342"/>
      <c r="G40" s="343"/>
      <c r="H40" s="344">
        <f t="shared" si="6"/>
        <v>0</v>
      </c>
      <c r="I40" s="497">
        <f t="shared" si="13"/>
        <v>13.021184210526316</v>
      </c>
      <c r="J40" s="345"/>
      <c r="K40" s="346"/>
      <c r="L40" s="347">
        <v>13.021184210526316</v>
      </c>
      <c r="M40" s="344">
        <v>12</v>
      </c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1:19">
      <c r="A41" s="341"/>
      <c r="B41" s="496" t="s">
        <v>889</v>
      </c>
      <c r="C41" s="141"/>
      <c r="D41" s="141">
        <v>220</v>
      </c>
      <c r="E41" s="141"/>
      <c r="F41" s="141">
        <v>240</v>
      </c>
      <c r="G41" s="142"/>
      <c r="H41" s="135">
        <f t="shared" si="6"/>
        <v>460</v>
      </c>
      <c r="I41" s="499">
        <v>7.97</v>
      </c>
      <c r="J41" s="345"/>
      <c r="K41" s="346"/>
      <c r="L41" s="347">
        <v>7.9145472422400003</v>
      </c>
      <c r="M41" s="344">
        <v>30</v>
      </c>
      <c r="N41" s="25">
        <f t="shared" si="7"/>
        <v>0</v>
      </c>
      <c r="O41" s="25">
        <f t="shared" si="8"/>
        <v>1753.3999999999999</v>
      </c>
      <c r="P41" s="25">
        <f t="shared" si="9"/>
        <v>0</v>
      </c>
      <c r="Q41" s="26">
        <f t="shared" si="10"/>
        <v>1912.8</v>
      </c>
      <c r="R41" s="27">
        <f t="shared" si="11"/>
        <v>0</v>
      </c>
      <c r="S41" s="28">
        <f t="shared" si="12"/>
        <v>3666.2</v>
      </c>
    </row>
    <row r="42" spans="1:19" hidden="1">
      <c r="A42" s="341"/>
      <c r="B42" s="496" t="s">
        <v>947</v>
      </c>
      <c r="C42" s="342"/>
      <c r="D42" s="342"/>
      <c r="E42" s="342"/>
      <c r="F42" s="342"/>
      <c r="G42" s="343"/>
      <c r="H42" s="344">
        <f t="shared" si="6"/>
        <v>0</v>
      </c>
      <c r="I42" s="497">
        <f t="shared" si="13"/>
        <v>612.99576000000002</v>
      </c>
      <c r="J42" s="345"/>
      <c r="K42" s="346"/>
      <c r="L42" s="347">
        <v>612.99576000000002</v>
      </c>
      <c r="M42" s="344">
        <v>36</v>
      </c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1:19" hidden="1">
      <c r="A43" s="341"/>
      <c r="B43" s="496" t="s">
        <v>948</v>
      </c>
      <c r="C43" s="342"/>
      <c r="D43" s="342"/>
      <c r="E43" s="342"/>
      <c r="F43" s="342"/>
      <c r="G43" s="343"/>
      <c r="H43" s="344">
        <f t="shared" si="6"/>
        <v>0</v>
      </c>
      <c r="I43" s="497">
        <f t="shared" si="13"/>
        <v>121.36410000000001</v>
      </c>
      <c r="J43" s="345"/>
      <c r="K43" s="346"/>
      <c r="L43" s="347">
        <v>121.36410000000001</v>
      </c>
      <c r="M43" s="344">
        <v>24</v>
      </c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1:19">
      <c r="A44" s="341"/>
      <c r="B44" s="496" t="s">
        <v>901</v>
      </c>
      <c r="C44" s="141"/>
      <c r="D44" s="141">
        <v>30</v>
      </c>
      <c r="E44" s="141"/>
      <c r="F44" s="141"/>
      <c r="G44" s="142"/>
      <c r="H44" s="135">
        <f t="shared" si="6"/>
        <v>30</v>
      </c>
      <c r="I44" s="499">
        <v>20.93</v>
      </c>
      <c r="J44" s="345"/>
      <c r="K44" s="346"/>
      <c r="L44" s="347">
        <v>20.208124999999999</v>
      </c>
      <c r="M44" s="344">
        <v>20</v>
      </c>
      <c r="N44" s="25">
        <f t="shared" si="7"/>
        <v>0</v>
      </c>
      <c r="O44" s="25">
        <f t="shared" si="8"/>
        <v>627.9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627.9</v>
      </c>
    </row>
    <row r="45" spans="1:19" hidden="1">
      <c r="A45" s="341"/>
      <c r="B45" s="496" t="s">
        <v>1551</v>
      </c>
      <c r="C45" s="342"/>
      <c r="D45" s="342"/>
      <c r="E45" s="342"/>
      <c r="F45" s="342"/>
      <c r="G45" s="343"/>
      <c r="H45" s="344">
        <f t="shared" si="6"/>
        <v>0</v>
      </c>
      <c r="I45" s="497">
        <f t="shared" si="13"/>
        <v>9.0035550000000004</v>
      </c>
      <c r="J45" s="345"/>
      <c r="K45" s="346"/>
      <c r="L45" s="347">
        <v>9.0035550000000004</v>
      </c>
      <c r="M45" s="344">
        <v>12</v>
      </c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1:19" hidden="1">
      <c r="A46" s="341"/>
      <c r="B46" s="496" t="s">
        <v>944</v>
      </c>
      <c r="C46" s="342"/>
      <c r="D46" s="342"/>
      <c r="E46" s="342"/>
      <c r="F46" s="342"/>
      <c r="G46" s="343"/>
      <c r="H46" s="344">
        <f t="shared" si="6"/>
        <v>0</v>
      </c>
      <c r="I46" s="497">
        <f t="shared" si="13"/>
        <v>12.0292179206656</v>
      </c>
      <c r="J46" s="345"/>
      <c r="K46" s="346"/>
      <c r="L46" s="347">
        <v>12.0292179206656</v>
      </c>
      <c r="M46" s="344">
        <v>12</v>
      </c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1:19" hidden="1">
      <c r="A47" s="341"/>
      <c r="B47" s="496" t="s">
        <v>880</v>
      </c>
      <c r="C47" s="342"/>
      <c r="D47" s="342"/>
      <c r="E47" s="342"/>
      <c r="F47" s="342"/>
      <c r="G47" s="343"/>
      <c r="H47" s="344">
        <f t="shared" si="6"/>
        <v>0</v>
      </c>
      <c r="I47" s="497">
        <f t="shared" si="13"/>
        <v>35.967023089152001</v>
      </c>
      <c r="J47" s="345"/>
      <c r="K47" s="346"/>
      <c r="L47" s="347">
        <v>35.967023089152001</v>
      </c>
      <c r="M47" s="344">
        <v>14</v>
      </c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1:19">
      <c r="A48" s="341"/>
      <c r="B48" s="496" t="s">
        <v>892</v>
      </c>
      <c r="C48" s="141">
        <v>192</v>
      </c>
      <c r="D48" s="141">
        <v>120</v>
      </c>
      <c r="E48" s="141"/>
      <c r="F48" s="141">
        <v>120</v>
      </c>
      <c r="G48" s="142"/>
      <c r="H48" s="135">
        <f t="shared" si="6"/>
        <v>432</v>
      </c>
      <c r="I48" s="499">
        <v>6.98</v>
      </c>
      <c r="J48" s="345"/>
      <c r="K48" s="346"/>
      <c r="L48" s="347">
        <v>6.8960033639999994</v>
      </c>
      <c r="M48" s="344">
        <v>12</v>
      </c>
      <c r="N48" s="25">
        <f t="shared" si="7"/>
        <v>1340.16</v>
      </c>
      <c r="O48" s="25">
        <f t="shared" si="8"/>
        <v>837.6</v>
      </c>
      <c r="P48" s="25">
        <f t="shared" si="9"/>
        <v>0</v>
      </c>
      <c r="Q48" s="26">
        <f t="shared" si="10"/>
        <v>837.6</v>
      </c>
      <c r="R48" s="27">
        <f t="shared" si="11"/>
        <v>0</v>
      </c>
      <c r="S48" s="28">
        <f>SUM(N48:R48)</f>
        <v>3015.36</v>
      </c>
    </row>
    <row r="49" spans="1:19" hidden="1">
      <c r="A49" s="341"/>
      <c r="B49" s="496" t="s">
        <v>881</v>
      </c>
      <c r="C49" s="342"/>
      <c r="D49" s="342"/>
      <c r="E49" s="342"/>
      <c r="F49" s="342"/>
      <c r="G49" s="343"/>
      <c r="H49" s="344">
        <f t="shared" si="6"/>
        <v>0</v>
      </c>
      <c r="I49" s="497">
        <f t="shared" si="13"/>
        <v>6.9997500000000006</v>
      </c>
      <c r="J49" s="345"/>
      <c r="K49" s="346"/>
      <c r="L49" s="347">
        <v>6.9997500000000006</v>
      </c>
      <c r="M49" s="344">
        <v>24</v>
      </c>
      <c r="N49" s="25">
        <f t="shared" ref="N49:N60" si="14">I49*C49</f>
        <v>0</v>
      </c>
      <c r="O49" s="25">
        <f t="shared" ref="O49:O60" si="15">I49*D49</f>
        <v>0</v>
      </c>
      <c r="P49" s="25">
        <f t="shared" ref="P49:P60" si="16">I49*E49</f>
        <v>0</v>
      </c>
      <c r="Q49" s="26">
        <f t="shared" ref="Q49:Q60" si="17">I49*F49</f>
        <v>0</v>
      </c>
      <c r="R49" s="27">
        <f t="shared" ref="R49:R60" si="18">I49*G49</f>
        <v>0</v>
      </c>
      <c r="S49" s="28">
        <f t="shared" ref="S49:S60" si="19">SUM(N49:R49)</f>
        <v>0</v>
      </c>
    </row>
    <row r="50" spans="1:19">
      <c r="A50" s="341"/>
      <c r="B50" s="496" t="s">
        <v>882</v>
      </c>
      <c r="C50" s="141">
        <v>24</v>
      </c>
      <c r="D50" s="141"/>
      <c r="E50" s="141"/>
      <c r="F50" s="141"/>
      <c r="G50" s="142"/>
      <c r="H50" s="135">
        <f t="shared" si="6"/>
        <v>24</v>
      </c>
      <c r="I50" s="499"/>
      <c r="J50" s="345"/>
      <c r="K50" s="346" t="s">
        <v>2515</v>
      </c>
      <c r="L50" s="347">
        <v>23.917610497999998</v>
      </c>
      <c r="M50" s="344">
        <v>12</v>
      </c>
      <c r="N50" s="25">
        <f t="shared" si="14"/>
        <v>0</v>
      </c>
      <c r="O50" s="25">
        <f t="shared" si="15"/>
        <v>0</v>
      </c>
      <c r="P50" s="25">
        <f t="shared" si="16"/>
        <v>0</v>
      </c>
      <c r="Q50" s="26">
        <f t="shared" si="17"/>
        <v>0</v>
      </c>
      <c r="R50" s="27">
        <f t="shared" si="18"/>
        <v>0</v>
      </c>
      <c r="S50" s="28">
        <f t="shared" si="19"/>
        <v>0</v>
      </c>
    </row>
    <row r="51" spans="1:19" hidden="1">
      <c r="A51" s="341"/>
      <c r="B51" s="496" t="s">
        <v>898</v>
      </c>
      <c r="C51" s="342"/>
      <c r="D51" s="342"/>
      <c r="E51" s="342"/>
      <c r="F51" s="342"/>
      <c r="G51" s="343"/>
      <c r="H51" s="344">
        <f t="shared" si="6"/>
        <v>0</v>
      </c>
      <c r="I51" s="497">
        <f t="shared" si="13"/>
        <v>19.303750000000001</v>
      </c>
      <c r="J51" s="345"/>
      <c r="K51" s="346"/>
      <c r="L51" s="347">
        <v>19.303750000000001</v>
      </c>
      <c r="M51" s="344">
        <v>24</v>
      </c>
      <c r="N51" s="25">
        <f t="shared" si="14"/>
        <v>0</v>
      </c>
      <c r="O51" s="25">
        <f t="shared" si="15"/>
        <v>0</v>
      </c>
      <c r="P51" s="25">
        <f t="shared" si="16"/>
        <v>0</v>
      </c>
      <c r="Q51" s="26">
        <f t="shared" si="17"/>
        <v>0</v>
      </c>
      <c r="R51" s="27">
        <f t="shared" si="18"/>
        <v>0</v>
      </c>
      <c r="S51" s="28">
        <f t="shared" si="19"/>
        <v>0</v>
      </c>
    </row>
    <row r="52" spans="1:19" hidden="1">
      <c r="A52" s="341"/>
      <c r="B52" s="496" t="s">
        <v>891</v>
      </c>
      <c r="C52" s="342"/>
      <c r="D52" s="342"/>
      <c r="E52" s="342"/>
      <c r="F52" s="342"/>
      <c r="G52" s="343"/>
      <c r="H52" s="344">
        <f t="shared" si="6"/>
        <v>0</v>
      </c>
      <c r="I52" s="497">
        <f t="shared" si="13"/>
        <v>26.080421053330287</v>
      </c>
      <c r="J52" s="345"/>
      <c r="K52" s="346"/>
      <c r="L52" s="347">
        <v>26.080421053330287</v>
      </c>
      <c r="M52" s="344">
        <v>24</v>
      </c>
      <c r="N52" s="25">
        <f t="shared" si="14"/>
        <v>0</v>
      </c>
      <c r="O52" s="25">
        <f t="shared" si="15"/>
        <v>0</v>
      </c>
      <c r="P52" s="25">
        <f t="shared" si="16"/>
        <v>0</v>
      </c>
      <c r="Q52" s="26">
        <f t="shared" si="17"/>
        <v>0</v>
      </c>
      <c r="R52" s="27">
        <f t="shared" si="18"/>
        <v>0</v>
      </c>
      <c r="S52" s="28">
        <f t="shared" si="19"/>
        <v>0</v>
      </c>
    </row>
    <row r="53" spans="1:19" hidden="1">
      <c r="A53" s="341"/>
      <c r="B53" s="496" t="s">
        <v>883</v>
      </c>
      <c r="C53" s="342"/>
      <c r="D53" s="342"/>
      <c r="E53" s="342"/>
      <c r="F53" s="342"/>
      <c r="G53" s="343"/>
      <c r="H53" s="344">
        <f t="shared" si="6"/>
        <v>0</v>
      </c>
      <c r="I53" s="497">
        <f t="shared" si="13"/>
        <v>22.9834109375</v>
      </c>
      <c r="J53" s="345"/>
      <c r="K53" s="346"/>
      <c r="L53" s="347">
        <v>22.9834109375</v>
      </c>
      <c r="M53" s="344">
        <v>24</v>
      </c>
      <c r="N53" s="25">
        <f t="shared" si="14"/>
        <v>0</v>
      </c>
      <c r="O53" s="25">
        <f t="shared" si="15"/>
        <v>0</v>
      </c>
      <c r="P53" s="25">
        <f t="shared" si="16"/>
        <v>0</v>
      </c>
      <c r="Q53" s="26">
        <f t="shared" si="17"/>
        <v>0</v>
      </c>
      <c r="R53" s="27">
        <f t="shared" si="18"/>
        <v>0</v>
      </c>
      <c r="S53" s="28">
        <f t="shared" si="19"/>
        <v>0</v>
      </c>
    </row>
    <row r="54" spans="1:19">
      <c r="A54" s="341"/>
      <c r="B54" s="599" t="s">
        <v>2527</v>
      </c>
      <c r="C54" s="141"/>
      <c r="D54" s="141"/>
      <c r="E54" s="600">
        <v>24</v>
      </c>
      <c r="F54" s="141"/>
      <c r="G54" s="142">
        <v>96</v>
      </c>
      <c r="H54" s="135">
        <f t="shared" si="6"/>
        <v>120</v>
      </c>
      <c r="I54" s="499">
        <v>13.35</v>
      </c>
      <c r="J54" s="345"/>
      <c r="K54" s="346"/>
      <c r="L54" s="347">
        <v>8.3342897062500008</v>
      </c>
      <c r="M54" s="344">
        <v>6</v>
      </c>
      <c r="N54" s="25">
        <f t="shared" si="14"/>
        <v>0</v>
      </c>
      <c r="O54" s="25">
        <f t="shared" si="15"/>
        <v>0</v>
      </c>
      <c r="P54" s="25">
        <f t="shared" si="16"/>
        <v>320.39999999999998</v>
      </c>
      <c r="Q54" s="26">
        <f t="shared" si="17"/>
        <v>0</v>
      </c>
      <c r="R54" s="27">
        <f t="shared" si="18"/>
        <v>1281.5999999999999</v>
      </c>
      <c r="S54" s="28">
        <f t="shared" si="19"/>
        <v>1602</v>
      </c>
    </row>
    <row r="55" spans="1:19">
      <c r="A55" s="341"/>
      <c r="B55" s="599" t="s">
        <v>2528</v>
      </c>
      <c r="C55" s="141"/>
      <c r="D55" s="141"/>
      <c r="E55" s="600">
        <v>24</v>
      </c>
      <c r="F55" s="141"/>
      <c r="G55" s="142">
        <v>72</v>
      </c>
      <c r="H55" s="135">
        <f t="shared" si="6"/>
        <v>96</v>
      </c>
      <c r="I55" s="499">
        <v>9.19</v>
      </c>
      <c r="J55" s="345"/>
      <c r="K55" s="346"/>
      <c r="L55" s="347">
        <v>131.82806088000001</v>
      </c>
      <c r="M55" s="344">
        <v>1</v>
      </c>
      <c r="N55" s="25">
        <f t="shared" si="14"/>
        <v>0</v>
      </c>
      <c r="O55" s="25">
        <f t="shared" si="15"/>
        <v>0</v>
      </c>
      <c r="P55" s="25">
        <f t="shared" si="16"/>
        <v>220.56</v>
      </c>
      <c r="Q55" s="26">
        <f t="shared" si="17"/>
        <v>0</v>
      </c>
      <c r="R55" s="27">
        <f t="shared" si="18"/>
        <v>661.68</v>
      </c>
      <c r="S55" s="28">
        <f t="shared" si="19"/>
        <v>882.24</v>
      </c>
    </row>
    <row r="56" spans="1:19" hidden="1">
      <c r="A56" s="341"/>
      <c r="B56" s="496" t="s">
        <v>884</v>
      </c>
      <c r="C56" s="342"/>
      <c r="D56" s="342"/>
      <c r="E56" s="342"/>
      <c r="F56" s="342"/>
      <c r="G56" s="343"/>
      <c r="H56" s="344">
        <f t="shared" si="6"/>
        <v>0</v>
      </c>
      <c r="I56" s="497">
        <f t="shared" si="13"/>
        <v>12.718170387500001</v>
      </c>
      <c r="J56" s="345"/>
      <c r="K56" s="346"/>
      <c r="L56" s="347">
        <v>12.718170387500001</v>
      </c>
      <c r="M56" s="344">
        <v>6</v>
      </c>
      <c r="N56" s="25">
        <f t="shared" si="14"/>
        <v>0</v>
      </c>
      <c r="O56" s="25">
        <f t="shared" si="15"/>
        <v>0</v>
      </c>
      <c r="P56" s="25">
        <f t="shared" si="16"/>
        <v>0</v>
      </c>
      <c r="Q56" s="26">
        <f t="shared" si="17"/>
        <v>0</v>
      </c>
      <c r="R56" s="27">
        <f t="shared" si="18"/>
        <v>0</v>
      </c>
      <c r="S56" s="28">
        <f t="shared" si="19"/>
        <v>0</v>
      </c>
    </row>
    <row r="57" spans="1:19" hidden="1">
      <c r="A57" s="341"/>
      <c r="B57" s="496" t="s">
        <v>899</v>
      </c>
      <c r="C57" s="342"/>
      <c r="D57" s="342"/>
      <c r="E57" s="342"/>
      <c r="F57" s="342"/>
      <c r="G57" s="343"/>
      <c r="H57" s="344">
        <f t="shared" si="6"/>
        <v>0</v>
      </c>
      <c r="I57" s="497">
        <f t="shared" si="13"/>
        <v>20.291875000000001</v>
      </c>
      <c r="J57" s="345"/>
      <c r="K57" s="346"/>
      <c r="L57" s="347">
        <v>20.291875000000001</v>
      </c>
      <c r="M57" s="344">
        <v>1</v>
      </c>
      <c r="N57" s="25">
        <f t="shared" si="14"/>
        <v>0</v>
      </c>
      <c r="O57" s="25">
        <f t="shared" si="15"/>
        <v>0</v>
      </c>
      <c r="P57" s="25">
        <f t="shared" si="16"/>
        <v>0</v>
      </c>
      <c r="Q57" s="26">
        <f t="shared" si="17"/>
        <v>0</v>
      </c>
      <c r="R57" s="27">
        <f t="shared" si="18"/>
        <v>0</v>
      </c>
      <c r="S57" s="28">
        <f t="shared" si="19"/>
        <v>0</v>
      </c>
    </row>
    <row r="58" spans="1:19">
      <c r="A58" s="341"/>
      <c r="B58" s="496" t="s">
        <v>885</v>
      </c>
      <c r="C58" s="141">
        <v>24</v>
      </c>
      <c r="D58" s="141"/>
      <c r="E58" s="141">
        <v>36</v>
      </c>
      <c r="F58" s="141">
        <v>120</v>
      </c>
      <c r="G58" s="142"/>
      <c r="H58" s="135">
        <f t="shared" si="6"/>
        <v>180</v>
      </c>
      <c r="I58" s="499">
        <v>23.27</v>
      </c>
      <c r="J58" s="345"/>
      <c r="K58" s="346"/>
      <c r="L58" s="347">
        <v>23.170172144000002</v>
      </c>
      <c r="M58" s="344">
        <v>1</v>
      </c>
      <c r="N58" s="25">
        <f t="shared" si="14"/>
        <v>558.48</v>
      </c>
      <c r="O58" s="25">
        <f t="shared" si="15"/>
        <v>0</v>
      </c>
      <c r="P58" s="25">
        <f t="shared" si="16"/>
        <v>837.72</v>
      </c>
      <c r="Q58" s="26">
        <f t="shared" si="17"/>
        <v>2792.4</v>
      </c>
      <c r="R58" s="27">
        <f t="shared" si="18"/>
        <v>0</v>
      </c>
      <c r="S58" s="28">
        <f t="shared" si="19"/>
        <v>4188.6000000000004</v>
      </c>
    </row>
    <row r="59" spans="1:19" hidden="1">
      <c r="A59" s="341"/>
      <c r="B59" s="496" t="s">
        <v>886</v>
      </c>
      <c r="C59" s="342"/>
      <c r="D59" s="342"/>
      <c r="E59" s="342"/>
      <c r="F59" s="342"/>
      <c r="G59" s="343"/>
      <c r="H59" s="344">
        <f t="shared" si="6"/>
        <v>0</v>
      </c>
      <c r="I59" s="497">
        <f t="shared" si="13"/>
        <v>32.16285808672</v>
      </c>
      <c r="J59" s="345"/>
      <c r="K59" s="346"/>
      <c r="L59" s="347">
        <v>32.16285808672</v>
      </c>
      <c r="M59" s="344">
        <v>24</v>
      </c>
      <c r="N59" s="25">
        <f t="shared" si="14"/>
        <v>0</v>
      </c>
      <c r="O59" s="25">
        <f t="shared" si="15"/>
        <v>0</v>
      </c>
      <c r="P59" s="25">
        <f t="shared" si="16"/>
        <v>0</v>
      </c>
      <c r="Q59" s="26">
        <f t="shared" si="17"/>
        <v>0</v>
      </c>
      <c r="R59" s="27">
        <f t="shared" si="18"/>
        <v>0</v>
      </c>
      <c r="S59" s="28">
        <f t="shared" si="19"/>
        <v>0</v>
      </c>
    </row>
    <row r="60" spans="1:19">
      <c r="A60" s="341"/>
      <c r="B60" s="496" t="s">
        <v>887</v>
      </c>
      <c r="C60" s="141"/>
      <c r="D60" s="141">
        <v>160</v>
      </c>
      <c r="E60" s="141">
        <v>96</v>
      </c>
      <c r="F60" s="141"/>
      <c r="G60" s="142"/>
      <c r="H60" s="135">
        <f t="shared" si="6"/>
        <v>256</v>
      </c>
      <c r="I60" s="499">
        <v>18.61</v>
      </c>
      <c r="J60" s="345"/>
      <c r="K60" s="346"/>
      <c r="L60" s="347">
        <v>17.804854513279999</v>
      </c>
      <c r="M60" s="344">
        <v>12</v>
      </c>
      <c r="N60" s="25">
        <f t="shared" si="14"/>
        <v>0</v>
      </c>
      <c r="O60" s="25">
        <f t="shared" si="15"/>
        <v>2977.6</v>
      </c>
      <c r="P60" s="25">
        <f t="shared" si="16"/>
        <v>1786.56</v>
      </c>
      <c r="Q60" s="26">
        <f t="shared" si="17"/>
        <v>0</v>
      </c>
      <c r="R60" s="27">
        <f t="shared" si="18"/>
        <v>0</v>
      </c>
      <c r="S60" s="28">
        <f t="shared" si="19"/>
        <v>4764.16</v>
      </c>
    </row>
    <row r="61" spans="1:19">
      <c r="B61" s="253" t="s">
        <v>13</v>
      </c>
      <c r="C61" s="601">
        <f t="shared" ref="C61" si="20">N61</f>
        <v>5733.5599999999995</v>
      </c>
      <c r="D61" s="601">
        <f t="shared" ref="D61" si="21">O61</f>
        <v>14642.04</v>
      </c>
      <c r="E61" s="601">
        <f t="shared" ref="E61" si="22">P61</f>
        <v>7308.2800000000007</v>
      </c>
      <c r="F61" s="601">
        <f t="shared" ref="F61" si="23">Q61</f>
        <v>9417.36</v>
      </c>
      <c r="G61" s="601">
        <f t="shared" ref="G61" si="24">R61</f>
        <v>4971.84</v>
      </c>
      <c r="H61" s="601">
        <f t="shared" ref="H61" si="25">S61</f>
        <v>42073.08</v>
      </c>
      <c r="I61" s="144"/>
      <c r="N61" s="29">
        <f t="shared" ref="N61:S61" si="26">SUM(N6:N60)</f>
        <v>5733.5599999999995</v>
      </c>
      <c r="O61" s="29">
        <f t="shared" si="26"/>
        <v>14642.04</v>
      </c>
      <c r="P61" s="29">
        <f t="shared" si="26"/>
        <v>7308.2800000000007</v>
      </c>
      <c r="Q61" s="29">
        <f t="shared" si="26"/>
        <v>9417.36</v>
      </c>
      <c r="R61" s="29">
        <f t="shared" si="26"/>
        <v>4971.84</v>
      </c>
      <c r="S61" s="29">
        <f t="shared" si="26"/>
        <v>42073.08</v>
      </c>
    </row>
    <row r="62" spans="1:19">
      <c r="G62" s="5" t="str">
        <f t="shared" ref="G62:G124" si="27">IF(B62&lt;&gt;"",SUM(C62:F62),"")</f>
        <v/>
      </c>
    </row>
    <row r="63" spans="1:19">
      <c r="G63" s="5" t="str">
        <f t="shared" si="27"/>
        <v/>
      </c>
    </row>
    <row r="64" spans="1:19">
      <c r="B64" s="597"/>
      <c r="E64" s="598"/>
    </row>
    <row r="65" spans="2:7">
      <c r="B65" s="597"/>
      <c r="E65" s="598"/>
    </row>
    <row r="66" spans="2:7">
      <c r="B66" s="597"/>
      <c r="E66" s="598"/>
    </row>
    <row r="67" spans="2:7">
      <c r="G67" s="5" t="str">
        <f t="shared" si="27"/>
        <v/>
      </c>
    </row>
    <row r="68" spans="2:7">
      <c r="G68" s="5" t="str">
        <f t="shared" si="27"/>
        <v/>
      </c>
    </row>
    <row r="69" spans="2:7">
      <c r="G69" s="5" t="str">
        <f t="shared" si="27"/>
        <v/>
      </c>
    </row>
    <row r="70" spans="2:7">
      <c r="G70" s="5" t="str">
        <f t="shared" si="27"/>
        <v/>
      </c>
    </row>
    <row r="71" spans="2:7">
      <c r="G71" s="5" t="str">
        <f t="shared" si="27"/>
        <v/>
      </c>
    </row>
    <row r="72" spans="2:7">
      <c r="G72" s="5" t="str">
        <f t="shared" si="27"/>
        <v/>
      </c>
    </row>
    <row r="73" spans="2:7">
      <c r="G73" s="5" t="str">
        <f t="shared" si="27"/>
        <v/>
      </c>
    </row>
    <row r="74" spans="2:7">
      <c r="G74" s="5" t="str">
        <f t="shared" si="27"/>
        <v/>
      </c>
    </row>
    <row r="75" spans="2:7">
      <c r="G75" s="5" t="str">
        <f t="shared" si="27"/>
        <v/>
      </c>
    </row>
    <row r="76" spans="2:7">
      <c r="G76" s="5" t="str">
        <f t="shared" si="27"/>
        <v/>
      </c>
    </row>
    <row r="77" spans="2:7">
      <c r="G77" s="5" t="str">
        <f t="shared" si="27"/>
        <v/>
      </c>
    </row>
    <row r="78" spans="2:7">
      <c r="G78" s="5" t="str">
        <f t="shared" si="27"/>
        <v/>
      </c>
    </row>
    <row r="79" spans="2:7">
      <c r="G79" s="5" t="str">
        <f t="shared" si="27"/>
        <v/>
      </c>
    </row>
    <row r="80" spans="2:7">
      <c r="G80" s="5" t="str">
        <f t="shared" si="27"/>
        <v/>
      </c>
    </row>
    <row r="81" spans="7:7">
      <c r="G81" s="5" t="str">
        <f t="shared" si="27"/>
        <v/>
      </c>
    </row>
    <row r="82" spans="7:7">
      <c r="G82" s="5" t="str">
        <f t="shared" si="27"/>
        <v/>
      </c>
    </row>
    <row r="83" spans="7:7">
      <c r="G83" s="5" t="str">
        <f t="shared" si="27"/>
        <v/>
      </c>
    </row>
    <row r="84" spans="7:7">
      <c r="G84" s="5" t="str">
        <f t="shared" si="27"/>
        <v/>
      </c>
    </row>
    <row r="85" spans="7:7">
      <c r="G85" s="5" t="str">
        <f t="shared" si="27"/>
        <v/>
      </c>
    </row>
    <row r="86" spans="7:7">
      <c r="G86" s="5" t="str">
        <f t="shared" si="27"/>
        <v/>
      </c>
    </row>
    <row r="87" spans="7:7">
      <c r="G87" s="5" t="str">
        <f t="shared" si="27"/>
        <v/>
      </c>
    </row>
    <row r="88" spans="7:7">
      <c r="G88" s="5" t="str">
        <f t="shared" si="27"/>
        <v/>
      </c>
    </row>
    <row r="89" spans="7:7">
      <c r="G89" s="5" t="str">
        <f t="shared" si="27"/>
        <v/>
      </c>
    </row>
    <row r="90" spans="7:7">
      <c r="G90" s="5" t="str">
        <f t="shared" si="27"/>
        <v/>
      </c>
    </row>
    <row r="91" spans="7:7">
      <c r="G91" s="5" t="str">
        <f t="shared" si="27"/>
        <v/>
      </c>
    </row>
    <row r="92" spans="7:7">
      <c r="G92" s="5" t="str">
        <f t="shared" si="27"/>
        <v/>
      </c>
    </row>
    <row r="93" spans="7:7">
      <c r="G93" s="5" t="str">
        <f t="shared" si="27"/>
        <v/>
      </c>
    </row>
    <row r="94" spans="7:7">
      <c r="G94" s="5" t="str">
        <f t="shared" si="27"/>
        <v/>
      </c>
    </row>
    <row r="95" spans="7:7">
      <c r="G95" s="5" t="str">
        <f t="shared" si="27"/>
        <v/>
      </c>
    </row>
    <row r="96" spans="7:7">
      <c r="G96" s="5" t="str">
        <f t="shared" si="27"/>
        <v/>
      </c>
    </row>
    <row r="97" spans="7:7">
      <c r="G97" s="5" t="str">
        <f t="shared" si="27"/>
        <v/>
      </c>
    </row>
    <row r="98" spans="7:7">
      <c r="G98" s="5" t="str">
        <f t="shared" si="27"/>
        <v/>
      </c>
    </row>
    <row r="99" spans="7:7">
      <c r="G99" s="5" t="str">
        <f t="shared" si="27"/>
        <v/>
      </c>
    </row>
    <row r="100" spans="7:7">
      <c r="G100" s="5" t="str">
        <f t="shared" si="27"/>
        <v/>
      </c>
    </row>
    <row r="101" spans="7:7">
      <c r="G101" s="5" t="str">
        <f t="shared" si="27"/>
        <v/>
      </c>
    </row>
    <row r="102" spans="7:7">
      <c r="G102" s="5" t="str">
        <f t="shared" si="27"/>
        <v/>
      </c>
    </row>
    <row r="103" spans="7:7">
      <c r="G103" s="5" t="str">
        <f t="shared" si="27"/>
        <v/>
      </c>
    </row>
    <row r="104" spans="7:7">
      <c r="G104" s="5" t="str">
        <f t="shared" si="27"/>
        <v/>
      </c>
    </row>
    <row r="105" spans="7:7">
      <c r="G105" s="5" t="str">
        <f t="shared" si="27"/>
        <v/>
      </c>
    </row>
    <row r="106" spans="7:7">
      <c r="G106" s="5" t="str">
        <f t="shared" si="27"/>
        <v/>
      </c>
    </row>
    <row r="107" spans="7:7">
      <c r="G107" s="5" t="str">
        <f t="shared" si="27"/>
        <v/>
      </c>
    </row>
    <row r="108" spans="7:7">
      <c r="G108" s="5" t="str">
        <f t="shared" si="27"/>
        <v/>
      </c>
    </row>
    <row r="109" spans="7:7">
      <c r="G109" s="5" t="str">
        <f t="shared" si="27"/>
        <v/>
      </c>
    </row>
    <row r="110" spans="7:7">
      <c r="G110" s="5" t="str">
        <f t="shared" si="27"/>
        <v/>
      </c>
    </row>
    <row r="111" spans="7:7">
      <c r="G111" s="5" t="str">
        <f t="shared" si="27"/>
        <v/>
      </c>
    </row>
    <row r="112" spans="7:7">
      <c r="G112" s="5" t="str">
        <f t="shared" si="27"/>
        <v/>
      </c>
    </row>
    <row r="113" spans="7:7">
      <c r="G113" s="5" t="str">
        <f t="shared" si="27"/>
        <v/>
      </c>
    </row>
    <row r="114" spans="7:7">
      <c r="G114" s="5" t="str">
        <f t="shared" si="27"/>
        <v/>
      </c>
    </row>
    <row r="115" spans="7:7">
      <c r="G115" s="5" t="str">
        <f t="shared" si="27"/>
        <v/>
      </c>
    </row>
    <row r="116" spans="7:7">
      <c r="G116" s="5" t="str">
        <f t="shared" si="27"/>
        <v/>
      </c>
    </row>
    <row r="117" spans="7:7">
      <c r="G117" s="5" t="str">
        <f t="shared" si="27"/>
        <v/>
      </c>
    </row>
    <row r="118" spans="7:7">
      <c r="G118" s="5" t="str">
        <f t="shared" si="27"/>
        <v/>
      </c>
    </row>
    <row r="119" spans="7:7">
      <c r="G119" s="5" t="str">
        <f t="shared" si="27"/>
        <v/>
      </c>
    </row>
    <row r="120" spans="7:7">
      <c r="G120" s="5" t="str">
        <f t="shared" si="27"/>
        <v/>
      </c>
    </row>
    <row r="121" spans="7:7">
      <c r="G121" s="5" t="str">
        <f t="shared" si="27"/>
        <v/>
      </c>
    </row>
    <row r="122" spans="7:7">
      <c r="G122" s="5" t="str">
        <f t="shared" si="27"/>
        <v/>
      </c>
    </row>
    <row r="123" spans="7:7">
      <c r="G123" s="5" t="str">
        <f t="shared" si="27"/>
        <v/>
      </c>
    </row>
    <row r="124" spans="7:7">
      <c r="G124" s="5" t="str">
        <f t="shared" si="27"/>
        <v/>
      </c>
    </row>
    <row r="125" spans="7:7">
      <c r="G125" s="5" t="str">
        <f t="shared" ref="G125:G188" si="28">IF(B125&lt;&gt;"",SUM(C125:F125),"")</f>
        <v/>
      </c>
    </row>
    <row r="126" spans="7:7">
      <c r="G126" s="5" t="str">
        <f t="shared" si="28"/>
        <v/>
      </c>
    </row>
    <row r="127" spans="7:7">
      <c r="G127" s="5" t="str">
        <f t="shared" si="28"/>
        <v/>
      </c>
    </row>
    <row r="128" spans="7:7">
      <c r="G128" s="5" t="str">
        <f t="shared" si="28"/>
        <v/>
      </c>
    </row>
    <row r="129" spans="7:7">
      <c r="G129" s="5" t="str">
        <f t="shared" si="28"/>
        <v/>
      </c>
    </row>
    <row r="130" spans="7:7">
      <c r="G130" s="5" t="str">
        <f t="shared" si="28"/>
        <v/>
      </c>
    </row>
    <row r="131" spans="7:7">
      <c r="G131" s="5" t="str">
        <f t="shared" si="28"/>
        <v/>
      </c>
    </row>
    <row r="132" spans="7:7">
      <c r="G132" s="5" t="str">
        <f t="shared" si="28"/>
        <v/>
      </c>
    </row>
    <row r="133" spans="7:7">
      <c r="G133" s="5" t="str">
        <f t="shared" si="28"/>
        <v/>
      </c>
    </row>
    <row r="134" spans="7:7">
      <c r="G134" s="5" t="str">
        <f t="shared" si="28"/>
        <v/>
      </c>
    </row>
    <row r="135" spans="7:7">
      <c r="G135" s="5" t="str">
        <f t="shared" si="28"/>
        <v/>
      </c>
    </row>
    <row r="136" spans="7:7">
      <c r="G136" s="5" t="str">
        <f t="shared" si="28"/>
        <v/>
      </c>
    </row>
    <row r="137" spans="7:7">
      <c r="G137" s="5" t="str">
        <f t="shared" si="28"/>
        <v/>
      </c>
    </row>
    <row r="138" spans="7:7">
      <c r="G138" s="5" t="str">
        <f t="shared" si="28"/>
        <v/>
      </c>
    </row>
    <row r="139" spans="7:7">
      <c r="G139" s="5" t="str">
        <f t="shared" si="28"/>
        <v/>
      </c>
    </row>
    <row r="140" spans="7:7">
      <c r="G140" s="5" t="str">
        <f t="shared" si="28"/>
        <v/>
      </c>
    </row>
    <row r="141" spans="7:7">
      <c r="G141" s="5" t="str">
        <f t="shared" si="28"/>
        <v/>
      </c>
    </row>
    <row r="142" spans="7:7">
      <c r="G142" s="5" t="str">
        <f t="shared" si="28"/>
        <v/>
      </c>
    </row>
    <row r="143" spans="7:7">
      <c r="G143" s="5" t="str">
        <f t="shared" si="28"/>
        <v/>
      </c>
    </row>
    <row r="144" spans="7:7">
      <c r="G144" s="5" t="str">
        <f t="shared" si="28"/>
        <v/>
      </c>
    </row>
    <row r="145" spans="7:7">
      <c r="G145" s="5" t="str">
        <f t="shared" si="28"/>
        <v/>
      </c>
    </row>
    <row r="146" spans="7:7">
      <c r="G146" s="5" t="str">
        <f t="shared" si="28"/>
        <v/>
      </c>
    </row>
    <row r="147" spans="7:7">
      <c r="G147" s="5" t="str">
        <f t="shared" si="28"/>
        <v/>
      </c>
    </row>
    <row r="148" spans="7:7">
      <c r="G148" s="5" t="str">
        <f t="shared" si="28"/>
        <v/>
      </c>
    </row>
    <row r="149" spans="7:7">
      <c r="G149" s="5" t="str">
        <f t="shared" si="28"/>
        <v/>
      </c>
    </row>
    <row r="150" spans="7:7">
      <c r="G150" s="5" t="str">
        <f t="shared" si="28"/>
        <v/>
      </c>
    </row>
    <row r="151" spans="7:7">
      <c r="G151" s="5" t="str">
        <f t="shared" si="28"/>
        <v/>
      </c>
    </row>
    <row r="152" spans="7:7">
      <c r="G152" s="5" t="str">
        <f t="shared" si="28"/>
        <v/>
      </c>
    </row>
    <row r="153" spans="7:7">
      <c r="G153" s="5" t="str">
        <f t="shared" si="28"/>
        <v/>
      </c>
    </row>
    <row r="154" spans="7:7">
      <c r="G154" s="5" t="str">
        <f t="shared" si="28"/>
        <v/>
      </c>
    </row>
    <row r="155" spans="7:7">
      <c r="G155" s="5" t="str">
        <f t="shared" si="28"/>
        <v/>
      </c>
    </row>
    <row r="156" spans="7:7">
      <c r="G156" s="5" t="str">
        <f t="shared" si="28"/>
        <v/>
      </c>
    </row>
    <row r="157" spans="7:7">
      <c r="G157" s="5" t="str">
        <f t="shared" si="28"/>
        <v/>
      </c>
    </row>
    <row r="158" spans="7:7">
      <c r="G158" s="5" t="str">
        <f t="shared" si="28"/>
        <v/>
      </c>
    </row>
    <row r="159" spans="7:7">
      <c r="G159" s="5" t="str">
        <f t="shared" si="28"/>
        <v/>
      </c>
    </row>
    <row r="160" spans="7:7">
      <c r="G160" s="5" t="str">
        <f t="shared" si="28"/>
        <v/>
      </c>
    </row>
    <row r="161" spans="7:7">
      <c r="G161" s="5" t="str">
        <f t="shared" si="28"/>
        <v/>
      </c>
    </row>
    <row r="162" spans="7:7">
      <c r="G162" s="5" t="str">
        <f t="shared" si="28"/>
        <v/>
      </c>
    </row>
    <row r="163" spans="7:7">
      <c r="G163" s="5" t="str">
        <f t="shared" si="28"/>
        <v/>
      </c>
    </row>
    <row r="164" spans="7:7">
      <c r="G164" s="5" t="str">
        <f t="shared" si="28"/>
        <v/>
      </c>
    </row>
    <row r="165" spans="7:7">
      <c r="G165" s="5" t="str">
        <f t="shared" si="28"/>
        <v/>
      </c>
    </row>
    <row r="166" spans="7:7">
      <c r="G166" s="5" t="str">
        <f t="shared" si="28"/>
        <v/>
      </c>
    </row>
    <row r="167" spans="7:7">
      <c r="G167" s="5" t="str">
        <f t="shared" si="28"/>
        <v/>
      </c>
    </row>
    <row r="168" spans="7:7">
      <c r="G168" s="5" t="str">
        <f t="shared" si="28"/>
        <v/>
      </c>
    </row>
    <row r="169" spans="7:7">
      <c r="G169" s="5" t="str">
        <f t="shared" si="28"/>
        <v/>
      </c>
    </row>
    <row r="170" spans="7:7">
      <c r="G170" s="5" t="str">
        <f t="shared" si="28"/>
        <v/>
      </c>
    </row>
    <row r="171" spans="7:7">
      <c r="G171" s="5" t="str">
        <f t="shared" si="28"/>
        <v/>
      </c>
    </row>
    <row r="172" spans="7:7">
      <c r="G172" s="5" t="str">
        <f t="shared" si="28"/>
        <v/>
      </c>
    </row>
    <row r="173" spans="7:7">
      <c r="G173" s="5" t="str">
        <f t="shared" si="28"/>
        <v/>
      </c>
    </row>
    <row r="174" spans="7:7">
      <c r="G174" s="5" t="str">
        <f t="shared" si="28"/>
        <v/>
      </c>
    </row>
    <row r="175" spans="7:7">
      <c r="G175" s="5" t="str">
        <f t="shared" si="28"/>
        <v/>
      </c>
    </row>
    <row r="176" spans="7:7">
      <c r="G176" s="5" t="str">
        <f t="shared" si="28"/>
        <v/>
      </c>
    </row>
    <row r="177" spans="7:7">
      <c r="G177" s="5" t="str">
        <f t="shared" si="28"/>
        <v/>
      </c>
    </row>
    <row r="178" spans="7:7">
      <c r="G178" s="5" t="str">
        <f t="shared" si="28"/>
        <v/>
      </c>
    </row>
    <row r="179" spans="7:7">
      <c r="G179" s="5" t="str">
        <f t="shared" si="28"/>
        <v/>
      </c>
    </row>
    <row r="180" spans="7:7">
      <c r="G180" s="5" t="str">
        <f t="shared" si="28"/>
        <v/>
      </c>
    </row>
    <row r="181" spans="7:7">
      <c r="G181" s="5" t="str">
        <f t="shared" si="28"/>
        <v/>
      </c>
    </row>
    <row r="182" spans="7:7">
      <c r="G182" s="5" t="str">
        <f t="shared" si="28"/>
        <v/>
      </c>
    </row>
    <row r="183" spans="7:7">
      <c r="G183" s="5" t="str">
        <f t="shared" si="28"/>
        <v/>
      </c>
    </row>
    <row r="184" spans="7:7">
      <c r="G184" s="5" t="str">
        <f t="shared" si="28"/>
        <v/>
      </c>
    </row>
    <row r="185" spans="7:7">
      <c r="G185" s="5" t="str">
        <f t="shared" si="28"/>
        <v/>
      </c>
    </row>
    <row r="186" spans="7:7">
      <c r="G186" s="5" t="str">
        <f t="shared" si="28"/>
        <v/>
      </c>
    </row>
    <row r="187" spans="7:7">
      <c r="G187" s="5" t="str">
        <f t="shared" si="28"/>
        <v/>
      </c>
    </row>
    <row r="188" spans="7:7">
      <c r="G188" s="5" t="str">
        <f t="shared" si="28"/>
        <v/>
      </c>
    </row>
    <row r="189" spans="7:7">
      <c r="G189" s="5" t="str">
        <f t="shared" ref="G189:G252" si="29">IF(B189&lt;&gt;"",SUM(C189:F189),"")</f>
        <v/>
      </c>
    </row>
    <row r="190" spans="7:7">
      <c r="G190" s="5" t="str">
        <f t="shared" si="29"/>
        <v/>
      </c>
    </row>
    <row r="191" spans="7:7">
      <c r="G191" s="5" t="str">
        <f t="shared" si="29"/>
        <v/>
      </c>
    </row>
    <row r="192" spans="7:7">
      <c r="G192" s="5" t="str">
        <f t="shared" si="29"/>
        <v/>
      </c>
    </row>
    <row r="193" spans="7:7">
      <c r="G193" s="5" t="str">
        <f t="shared" si="29"/>
        <v/>
      </c>
    </row>
    <row r="194" spans="7:7">
      <c r="G194" s="5" t="str">
        <f t="shared" si="29"/>
        <v/>
      </c>
    </row>
    <row r="195" spans="7:7">
      <c r="G195" s="5" t="str">
        <f t="shared" si="29"/>
        <v/>
      </c>
    </row>
    <row r="196" spans="7:7">
      <c r="G196" s="5" t="str">
        <f t="shared" si="29"/>
        <v/>
      </c>
    </row>
    <row r="197" spans="7:7">
      <c r="G197" s="5" t="str">
        <f t="shared" si="29"/>
        <v/>
      </c>
    </row>
    <row r="198" spans="7:7">
      <c r="G198" s="5" t="str">
        <f t="shared" si="29"/>
        <v/>
      </c>
    </row>
    <row r="199" spans="7:7">
      <c r="G199" s="5" t="str">
        <f t="shared" si="29"/>
        <v/>
      </c>
    </row>
    <row r="200" spans="7:7">
      <c r="G200" s="5" t="str">
        <f t="shared" si="29"/>
        <v/>
      </c>
    </row>
    <row r="201" spans="7:7">
      <c r="G201" s="5" t="str">
        <f t="shared" si="29"/>
        <v/>
      </c>
    </row>
    <row r="202" spans="7:7">
      <c r="G202" s="5" t="str">
        <f t="shared" si="29"/>
        <v/>
      </c>
    </row>
    <row r="203" spans="7:7">
      <c r="G203" s="5" t="str">
        <f t="shared" si="29"/>
        <v/>
      </c>
    </row>
    <row r="204" spans="7:7">
      <c r="G204" s="5" t="str">
        <f t="shared" si="29"/>
        <v/>
      </c>
    </row>
    <row r="205" spans="7:7">
      <c r="G205" s="5" t="str">
        <f t="shared" si="29"/>
        <v/>
      </c>
    </row>
    <row r="206" spans="7:7">
      <c r="G206" s="5" t="str">
        <f t="shared" si="29"/>
        <v/>
      </c>
    </row>
    <row r="207" spans="7:7">
      <c r="G207" s="5" t="str">
        <f t="shared" si="29"/>
        <v/>
      </c>
    </row>
    <row r="208" spans="7:7">
      <c r="G208" s="5" t="str">
        <f t="shared" si="29"/>
        <v/>
      </c>
    </row>
    <row r="209" spans="7:7">
      <c r="G209" s="5" t="str">
        <f t="shared" si="29"/>
        <v/>
      </c>
    </row>
    <row r="210" spans="7:7">
      <c r="G210" s="5" t="str">
        <f t="shared" si="29"/>
        <v/>
      </c>
    </row>
    <row r="211" spans="7:7">
      <c r="G211" s="5" t="str">
        <f t="shared" si="29"/>
        <v/>
      </c>
    </row>
    <row r="212" spans="7:7">
      <c r="G212" s="5" t="str">
        <f t="shared" si="29"/>
        <v/>
      </c>
    </row>
    <row r="213" spans="7:7">
      <c r="G213" s="5" t="str">
        <f t="shared" si="29"/>
        <v/>
      </c>
    </row>
    <row r="214" spans="7:7">
      <c r="G214" s="5" t="str">
        <f t="shared" si="29"/>
        <v/>
      </c>
    </row>
    <row r="215" spans="7:7">
      <c r="G215" s="5" t="str">
        <f t="shared" si="29"/>
        <v/>
      </c>
    </row>
    <row r="216" spans="7:7">
      <c r="G216" s="5" t="str">
        <f t="shared" si="29"/>
        <v/>
      </c>
    </row>
    <row r="217" spans="7:7">
      <c r="G217" s="5" t="str">
        <f t="shared" si="29"/>
        <v/>
      </c>
    </row>
    <row r="218" spans="7:7">
      <c r="G218" s="5" t="str">
        <f t="shared" si="29"/>
        <v/>
      </c>
    </row>
    <row r="219" spans="7:7">
      <c r="G219" s="5" t="str">
        <f t="shared" si="29"/>
        <v/>
      </c>
    </row>
    <row r="220" spans="7:7">
      <c r="G220" s="5" t="str">
        <f t="shared" si="29"/>
        <v/>
      </c>
    </row>
    <row r="221" spans="7:7">
      <c r="G221" s="5" t="str">
        <f t="shared" si="29"/>
        <v/>
      </c>
    </row>
    <row r="222" spans="7:7">
      <c r="G222" s="5" t="str">
        <f t="shared" si="29"/>
        <v/>
      </c>
    </row>
    <row r="223" spans="7:7">
      <c r="G223" s="5" t="str">
        <f t="shared" si="29"/>
        <v/>
      </c>
    </row>
    <row r="224" spans="7:7">
      <c r="G224" s="5" t="str">
        <f t="shared" si="29"/>
        <v/>
      </c>
    </row>
    <row r="225" spans="7:7">
      <c r="G225" s="5" t="str">
        <f t="shared" si="29"/>
        <v/>
      </c>
    </row>
    <row r="226" spans="7:7">
      <c r="G226" s="5" t="str">
        <f t="shared" si="29"/>
        <v/>
      </c>
    </row>
    <row r="227" spans="7:7">
      <c r="G227" s="5" t="str">
        <f t="shared" si="29"/>
        <v/>
      </c>
    </row>
    <row r="228" spans="7:7">
      <c r="G228" s="5" t="str">
        <f t="shared" si="29"/>
        <v/>
      </c>
    </row>
    <row r="229" spans="7:7">
      <c r="G229" s="5" t="str">
        <f t="shared" si="29"/>
        <v/>
      </c>
    </row>
    <row r="230" spans="7:7">
      <c r="G230" s="5" t="str">
        <f t="shared" si="29"/>
        <v/>
      </c>
    </row>
    <row r="231" spans="7:7">
      <c r="G231" s="5" t="str">
        <f t="shared" si="29"/>
        <v/>
      </c>
    </row>
    <row r="232" spans="7:7">
      <c r="G232" s="5" t="str">
        <f t="shared" si="29"/>
        <v/>
      </c>
    </row>
    <row r="233" spans="7:7">
      <c r="G233" s="5" t="str">
        <f t="shared" si="29"/>
        <v/>
      </c>
    </row>
    <row r="234" spans="7:7">
      <c r="G234" s="5" t="str">
        <f t="shared" si="29"/>
        <v/>
      </c>
    </row>
    <row r="235" spans="7:7">
      <c r="G235" s="5" t="str">
        <f t="shared" si="29"/>
        <v/>
      </c>
    </row>
    <row r="236" spans="7:7">
      <c r="G236" s="5" t="str">
        <f t="shared" si="29"/>
        <v/>
      </c>
    </row>
    <row r="237" spans="7:7">
      <c r="G237" s="5" t="str">
        <f t="shared" si="29"/>
        <v/>
      </c>
    </row>
    <row r="238" spans="7:7">
      <c r="G238" s="5" t="str">
        <f t="shared" si="29"/>
        <v/>
      </c>
    </row>
    <row r="239" spans="7:7">
      <c r="G239" s="5" t="str">
        <f t="shared" si="29"/>
        <v/>
      </c>
    </row>
    <row r="240" spans="7:7">
      <c r="G240" s="5" t="str">
        <f t="shared" si="29"/>
        <v/>
      </c>
    </row>
    <row r="241" spans="7:7">
      <c r="G241" s="5" t="str">
        <f t="shared" si="29"/>
        <v/>
      </c>
    </row>
    <row r="242" spans="7:7">
      <c r="G242" s="5" t="str">
        <f t="shared" si="29"/>
        <v/>
      </c>
    </row>
    <row r="243" spans="7:7">
      <c r="G243" s="5" t="str">
        <f t="shared" si="29"/>
        <v/>
      </c>
    </row>
    <row r="244" spans="7:7">
      <c r="G244" s="5" t="str">
        <f t="shared" si="29"/>
        <v/>
      </c>
    </row>
    <row r="245" spans="7:7">
      <c r="G245" s="5" t="str">
        <f t="shared" si="29"/>
        <v/>
      </c>
    </row>
    <row r="246" spans="7:7">
      <c r="G246" s="5" t="str">
        <f t="shared" si="29"/>
        <v/>
      </c>
    </row>
    <row r="247" spans="7:7">
      <c r="G247" s="5" t="str">
        <f t="shared" si="29"/>
        <v/>
      </c>
    </row>
    <row r="248" spans="7:7">
      <c r="G248" s="5" t="str">
        <f t="shared" si="29"/>
        <v/>
      </c>
    </row>
    <row r="249" spans="7:7">
      <c r="G249" s="5" t="str">
        <f t="shared" si="29"/>
        <v/>
      </c>
    </row>
    <row r="250" spans="7:7">
      <c r="G250" s="5" t="str">
        <f t="shared" si="29"/>
        <v/>
      </c>
    </row>
    <row r="251" spans="7:7">
      <c r="G251" s="5" t="str">
        <f t="shared" si="29"/>
        <v/>
      </c>
    </row>
    <row r="252" spans="7:7">
      <c r="G252" s="5" t="str">
        <f t="shared" si="29"/>
        <v/>
      </c>
    </row>
    <row r="253" spans="7:7">
      <c r="G253" s="5" t="str">
        <f t="shared" ref="G253:G316" si="30">IF(B253&lt;&gt;"",SUM(C253:F253),"")</f>
        <v/>
      </c>
    </row>
    <row r="254" spans="7:7">
      <c r="G254" s="5" t="str">
        <f t="shared" si="30"/>
        <v/>
      </c>
    </row>
    <row r="255" spans="7:7">
      <c r="G255" s="5" t="str">
        <f t="shared" si="30"/>
        <v/>
      </c>
    </row>
    <row r="256" spans="7:7">
      <c r="G256" s="5" t="str">
        <f t="shared" si="30"/>
        <v/>
      </c>
    </row>
    <row r="257" spans="7:7">
      <c r="G257" s="5" t="str">
        <f t="shared" si="30"/>
        <v/>
      </c>
    </row>
    <row r="258" spans="7:7">
      <c r="G258" s="5" t="str">
        <f t="shared" si="30"/>
        <v/>
      </c>
    </row>
    <row r="259" spans="7:7">
      <c r="G259" s="5" t="str">
        <f t="shared" si="30"/>
        <v/>
      </c>
    </row>
    <row r="260" spans="7:7">
      <c r="G260" s="5" t="str">
        <f t="shared" si="30"/>
        <v/>
      </c>
    </row>
    <row r="261" spans="7:7">
      <c r="G261" s="5" t="str">
        <f t="shared" si="30"/>
        <v/>
      </c>
    </row>
    <row r="262" spans="7:7">
      <c r="G262" s="5" t="str">
        <f t="shared" si="30"/>
        <v/>
      </c>
    </row>
    <row r="263" spans="7:7">
      <c r="G263" s="5" t="str">
        <f t="shared" si="30"/>
        <v/>
      </c>
    </row>
    <row r="264" spans="7:7">
      <c r="G264" s="5" t="str">
        <f t="shared" si="30"/>
        <v/>
      </c>
    </row>
    <row r="265" spans="7:7">
      <c r="G265" s="5" t="str">
        <f t="shared" si="30"/>
        <v/>
      </c>
    </row>
    <row r="266" spans="7:7">
      <c r="G266" s="5" t="str">
        <f t="shared" si="30"/>
        <v/>
      </c>
    </row>
    <row r="267" spans="7:7">
      <c r="G267" s="5" t="str">
        <f t="shared" si="30"/>
        <v/>
      </c>
    </row>
    <row r="268" spans="7:7">
      <c r="G268" s="5" t="str">
        <f t="shared" si="30"/>
        <v/>
      </c>
    </row>
    <row r="269" spans="7:7">
      <c r="G269" s="5" t="str">
        <f t="shared" si="30"/>
        <v/>
      </c>
    </row>
    <row r="270" spans="7:7">
      <c r="G270" s="5" t="str">
        <f t="shared" si="30"/>
        <v/>
      </c>
    </row>
    <row r="271" spans="7:7">
      <c r="G271" s="5" t="str">
        <f t="shared" si="30"/>
        <v/>
      </c>
    </row>
    <row r="272" spans="7:7">
      <c r="G272" s="5" t="str">
        <f t="shared" si="30"/>
        <v/>
      </c>
    </row>
    <row r="273" spans="7:7">
      <c r="G273" s="5" t="str">
        <f t="shared" si="30"/>
        <v/>
      </c>
    </row>
    <row r="274" spans="7:7">
      <c r="G274" s="5" t="str">
        <f t="shared" si="30"/>
        <v/>
      </c>
    </row>
    <row r="275" spans="7:7">
      <c r="G275" s="5" t="str">
        <f t="shared" si="30"/>
        <v/>
      </c>
    </row>
    <row r="276" spans="7:7">
      <c r="G276" s="5" t="str">
        <f t="shared" si="30"/>
        <v/>
      </c>
    </row>
    <row r="277" spans="7:7">
      <c r="G277" s="5" t="str">
        <f t="shared" si="30"/>
        <v/>
      </c>
    </row>
    <row r="278" spans="7:7">
      <c r="G278" s="5" t="str">
        <f t="shared" si="30"/>
        <v/>
      </c>
    </row>
    <row r="279" spans="7:7">
      <c r="G279" s="5" t="str">
        <f t="shared" si="30"/>
        <v/>
      </c>
    </row>
    <row r="280" spans="7:7">
      <c r="G280" s="5" t="str">
        <f t="shared" si="30"/>
        <v/>
      </c>
    </row>
    <row r="281" spans="7:7">
      <c r="G281" s="5" t="str">
        <f t="shared" si="30"/>
        <v/>
      </c>
    </row>
    <row r="282" spans="7:7">
      <c r="G282" s="5" t="str">
        <f t="shared" si="30"/>
        <v/>
      </c>
    </row>
    <row r="283" spans="7:7">
      <c r="G283" s="5" t="str">
        <f t="shared" si="30"/>
        <v/>
      </c>
    </row>
    <row r="284" spans="7:7">
      <c r="G284" s="5" t="str">
        <f t="shared" si="30"/>
        <v/>
      </c>
    </row>
    <row r="285" spans="7:7">
      <c r="G285" s="5" t="str">
        <f t="shared" si="30"/>
        <v/>
      </c>
    </row>
    <row r="286" spans="7:7">
      <c r="G286" s="5" t="str">
        <f t="shared" si="30"/>
        <v/>
      </c>
    </row>
    <row r="287" spans="7:7">
      <c r="G287" s="5" t="str">
        <f t="shared" si="30"/>
        <v/>
      </c>
    </row>
    <row r="288" spans="7:7">
      <c r="G288" s="5" t="str">
        <f t="shared" si="30"/>
        <v/>
      </c>
    </row>
    <row r="289" spans="7:7">
      <c r="G289" s="5" t="str">
        <f t="shared" si="30"/>
        <v/>
      </c>
    </row>
    <row r="290" spans="7:7">
      <c r="G290" s="5" t="str">
        <f t="shared" si="30"/>
        <v/>
      </c>
    </row>
    <row r="291" spans="7:7">
      <c r="G291" s="5" t="str">
        <f t="shared" si="30"/>
        <v/>
      </c>
    </row>
    <row r="292" spans="7:7">
      <c r="G292" s="5" t="str">
        <f t="shared" si="30"/>
        <v/>
      </c>
    </row>
    <row r="293" spans="7:7">
      <c r="G293" s="5" t="str">
        <f t="shared" si="30"/>
        <v/>
      </c>
    </row>
    <row r="294" spans="7:7">
      <c r="G294" s="5" t="str">
        <f t="shared" si="30"/>
        <v/>
      </c>
    </row>
    <row r="295" spans="7:7">
      <c r="G295" s="5" t="str">
        <f t="shared" si="30"/>
        <v/>
      </c>
    </row>
    <row r="296" spans="7:7">
      <c r="G296" s="5" t="str">
        <f t="shared" si="30"/>
        <v/>
      </c>
    </row>
    <row r="297" spans="7:7">
      <c r="G297" s="5" t="str">
        <f t="shared" si="30"/>
        <v/>
      </c>
    </row>
    <row r="298" spans="7:7">
      <c r="G298" s="5" t="str">
        <f t="shared" si="30"/>
        <v/>
      </c>
    </row>
    <row r="299" spans="7:7">
      <c r="G299" s="5" t="str">
        <f t="shared" si="30"/>
        <v/>
      </c>
    </row>
    <row r="300" spans="7:7">
      <c r="G300" s="5" t="str">
        <f t="shared" si="30"/>
        <v/>
      </c>
    </row>
    <row r="301" spans="7:7">
      <c r="G301" s="5" t="str">
        <f t="shared" si="30"/>
        <v/>
      </c>
    </row>
    <row r="302" spans="7:7">
      <c r="G302" s="5" t="str">
        <f t="shared" si="30"/>
        <v/>
      </c>
    </row>
    <row r="303" spans="7:7">
      <c r="G303" s="5" t="str">
        <f t="shared" si="30"/>
        <v/>
      </c>
    </row>
    <row r="304" spans="7:7">
      <c r="G304" s="5" t="str">
        <f t="shared" si="30"/>
        <v/>
      </c>
    </row>
    <row r="305" spans="7:7">
      <c r="G305" s="5" t="str">
        <f t="shared" si="30"/>
        <v/>
      </c>
    </row>
    <row r="306" spans="7:7">
      <c r="G306" s="5" t="str">
        <f t="shared" si="30"/>
        <v/>
      </c>
    </row>
    <row r="307" spans="7:7">
      <c r="G307" s="5" t="str">
        <f t="shared" si="30"/>
        <v/>
      </c>
    </row>
    <row r="308" spans="7:7">
      <c r="G308" s="5" t="str">
        <f t="shared" si="30"/>
        <v/>
      </c>
    </row>
    <row r="309" spans="7:7">
      <c r="G309" s="5" t="str">
        <f t="shared" si="30"/>
        <v/>
      </c>
    </row>
    <row r="310" spans="7:7">
      <c r="G310" s="5" t="str">
        <f t="shared" si="30"/>
        <v/>
      </c>
    </row>
    <row r="311" spans="7:7">
      <c r="G311" s="5" t="str">
        <f t="shared" si="30"/>
        <v/>
      </c>
    </row>
    <row r="312" spans="7:7">
      <c r="G312" s="5" t="str">
        <f t="shared" si="30"/>
        <v/>
      </c>
    </row>
    <row r="313" spans="7:7">
      <c r="G313" s="5" t="str">
        <f t="shared" si="30"/>
        <v/>
      </c>
    </row>
    <row r="314" spans="7:7">
      <c r="G314" s="5" t="str">
        <f t="shared" si="30"/>
        <v/>
      </c>
    </row>
    <row r="315" spans="7:7">
      <c r="G315" s="5" t="str">
        <f t="shared" si="30"/>
        <v/>
      </c>
    </row>
    <row r="316" spans="7:7">
      <c r="G316" s="5" t="str">
        <f t="shared" si="30"/>
        <v/>
      </c>
    </row>
    <row r="317" spans="7:7">
      <c r="G317" s="5" t="str">
        <f t="shared" ref="G317:G380" si="31">IF(B317&lt;&gt;"",SUM(C317:F317),"")</f>
        <v/>
      </c>
    </row>
    <row r="318" spans="7:7">
      <c r="G318" s="5" t="str">
        <f t="shared" si="31"/>
        <v/>
      </c>
    </row>
    <row r="319" spans="7:7">
      <c r="G319" s="5" t="str">
        <f t="shared" si="31"/>
        <v/>
      </c>
    </row>
    <row r="320" spans="7:7">
      <c r="G320" s="5" t="str">
        <f t="shared" si="31"/>
        <v/>
      </c>
    </row>
    <row r="321" spans="7:7">
      <c r="G321" s="5" t="str">
        <f t="shared" si="31"/>
        <v/>
      </c>
    </row>
    <row r="322" spans="7:7">
      <c r="G322" s="5" t="str">
        <f t="shared" si="31"/>
        <v/>
      </c>
    </row>
    <row r="323" spans="7:7">
      <c r="G323" s="5" t="str">
        <f t="shared" si="31"/>
        <v/>
      </c>
    </row>
    <row r="324" spans="7:7">
      <c r="G324" s="5" t="str">
        <f t="shared" si="31"/>
        <v/>
      </c>
    </row>
    <row r="325" spans="7:7">
      <c r="G325" s="5" t="str">
        <f t="shared" si="31"/>
        <v/>
      </c>
    </row>
    <row r="326" spans="7:7">
      <c r="G326" s="5" t="str">
        <f t="shared" si="31"/>
        <v/>
      </c>
    </row>
    <row r="327" spans="7:7">
      <c r="G327" s="5" t="str">
        <f t="shared" si="31"/>
        <v/>
      </c>
    </row>
    <row r="328" spans="7:7">
      <c r="G328" s="5" t="str">
        <f t="shared" si="31"/>
        <v/>
      </c>
    </row>
    <row r="329" spans="7:7">
      <c r="G329" s="5" t="str">
        <f t="shared" si="31"/>
        <v/>
      </c>
    </row>
    <row r="330" spans="7:7">
      <c r="G330" s="5" t="str">
        <f t="shared" si="31"/>
        <v/>
      </c>
    </row>
    <row r="331" spans="7:7">
      <c r="G331" s="5" t="str">
        <f t="shared" si="31"/>
        <v/>
      </c>
    </row>
    <row r="332" spans="7:7">
      <c r="G332" s="5" t="str">
        <f t="shared" si="31"/>
        <v/>
      </c>
    </row>
    <row r="333" spans="7:7">
      <c r="G333" s="5" t="str">
        <f t="shared" si="31"/>
        <v/>
      </c>
    </row>
    <row r="334" spans="7:7">
      <c r="G334" s="5" t="str">
        <f t="shared" si="31"/>
        <v/>
      </c>
    </row>
    <row r="335" spans="7:7">
      <c r="G335" s="5" t="str">
        <f t="shared" si="31"/>
        <v/>
      </c>
    </row>
    <row r="336" spans="7:7">
      <c r="G336" s="5" t="str">
        <f t="shared" si="31"/>
        <v/>
      </c>
    </row>
    <row r="337" spans="7:7">
      <c r="G337" s="5" t="str">
        <f t="shared" si="31"/>
        <v/>
      </c>
    </row>
    <row r="338" spans="7:7">
      <c r="G338" s="5" t="str">
        <f t="shared" si="31"/>
        <v/>
      </c>
    </row>
    <row r="339" spans="7:7">
      <c r="G339" s="5" t="str">
        <f t="shared" si="31"/>
        <v/>
      </c>
    </row>
    <row r="340" spans="7:7">
      <c r="G340" s="5" t="str">
        <f t="shared" si="31"/>
        <v/>
      </c>
    </row>
    <row r="341" spans="7:7">
      <c r="G341" s="5" t="str">
        <f t="shared" si="31"/>
        <v/>
      </c>
    </row>
    <row r="342" spans="7:7">
      <c r="G342" s="5" t="str">
        <f t="shared" si="31"/>
        <v/>
      </c>
    </row>
    <row r="343" spans="7:7">
      <c r="G343" s="5" t="str">
        <f t="shared" si="31"/>
        <v/>
      </c>
    </row>
    <row r="344" spans="7:7">
      <c r="G344" s="5" t="str">
        <f t="shared" si="31"/>
        <v/>
      </c>
    </row>
    <row r="345" spans="7:7">
      <c r="G345" s="5" t="str">
        <f t="shared" si="31"/>
        <v/>
      </c>
    </row>
    <row r="346" spans="7:7">
      <c r="G346" s="5" t="str">
        <f t="shared" si="31"/>
        <v/>
      </c>
    </row>
    <row r="347" spans="7:7">
      <c r="G347" s="5" t="str">
        <f t="shared" si="31"/>
        <v/>
      </c>
    </row>
    <row r="348" spans="7:7">
      <c r="G348" s="5" t="str">
        <f t="shared" si="31"/>
        <v/>
      </c>
    </row>
    <row r="349" spans="7:7">
      <c r="G349" s="5" t="str">
        <f t="shared" si="31"/>
        <v/>
      </c>
    </row>
    <row r="350" spans="7:7">
      <c r="G350" s="5" t="str">
        <f t="shared" si="31"/>
        <v/>
      </c>
    </row>
    <row r="351" spans="7:7">
      <c r="G351" s="5" t="str">
        <f t="shared" si="31"/>
        <v/>
      </c>
    </row>
    <row r="352" spans="7:7">
      <c r="G352" s="5" t="str">
        <f t="shared" si="31"/>
        <v/>
      </c>
    </row>
    <row r="353" spans="7:7">
      <c r="G353" s="5" t="str">
        <f t="shared" si="31"/>
        <v/>
      </c>
    </row>
    <row r="354" spans="7:7">
      <c r="G354" s="5" t="str">
        <f t="shared" si="31"/>
        <v/>
      </c>
    </row>
    <row r="355" spans="7:7">
      <c r="G355" s="5" t="str">
        <f t="shared" si="31"/>
        <v/>
      </c>
    </row>
    <row r="356" spans="7:7">
      <c r="G356" s="5" t="str">
        <f t="shared" si="31"/>
        <v/>
      </c>
    </row>
    <row r="357" spans="7:7">
      <c r="G357" s="5" t="str">
        <f t="shared" si="31"/>
        <v/>
      </c>
    </row>
    <row r="358" spans="7:7">
      <c r="G358" s="5" t="str">
        <f t="shared" si="31"/>
        <v/>
      </c>
    </row>
    <row r="359" spans="7:7">
      <c r="G359" s="5" t="str">
        <f t="shared" si="31"/>
        <v/>
      </c>
    </row>
    <row r="360" spans="7:7">
      <c r="G360" s="5" t="str">
        <f t="shared" si="31"/>
        <v/>
      </c>
    </row>
    <row r="361" spans="7:7">
      <c r="G361" s="5" t="str">
        <f t="shared" si="31"/>
        <v/>
      </c>
    </row>
    <row r="362" spans="7:7">
      <c r="G362" s="5" t="str">
        <f t="shared" si="31"/>
        <v/>
      </c>
    </row>
    <row r="363" spans="7:7">
      <c r="G363" s="5" t="str">
        <f t="shared" si="31"/>
        <v/>
      </c>
    </row>
    <row r="364" spans="7:7">
      <c r="G364" s="5" t="str">
        <f t="shared" si="31"/>
        <v/>
      </c>
    </row>
    <row r="365" spans="7:7">
      <c r="G365" s="5" t="str">
        <f t="shared" si="31"/>
        <v/>
      </c>
    </row>
    <row r="366" spans="7:7">
      <c r="G366" s="5" t="str">
        <f t="shared" si="31"/>
        <v/>
      </c>
    </row>
    <row r="367" spans="7:7">
      <c r="G367" s="5" t="str">
        <f t="shared" si="31"/>
        <v/>
      </c>
    </row>
    <row r="368" spans="7:7">
      <c r="G368" s="5" t="str">
        <f t="shared" si="31"/>
        <v/>
      </c>
    </row>
    <row r="369" spans="7:7">
      <c r="G369" s="5" t="str">
        <f t="shared" si="31"/>
        <v/>
      </c>
    </row>
    <row r="370" spans="7:7">
      <c r="G370" s="5" t="str">
        <f t="shared" si="31"/>
        <v/>
      </c>
    </row>
    <row r="371" spans="7:7">
      <c r="G371" s="5" t="str">
        <f t="shared" si="31"/>
        <v/>
      </c>
    </row>
    <row r="372" spans="7:7">
      <c r="G372" s="5" t="str">
        <f t="shared" si="31"/>
        <v/>
      </c>
    </row>
    <row r="373" spans="7:7">
      <c r="G373" s="5" t="str">
        <f t="shared" si="31"/>
        <v/>
      </c>
    </row>
    <row r="374" spans="7:7">
      <c r="G374" s="5" t="str">
        <f t="shared" si="31"/>
        <v/>
      </c>
    </row>
    <row r="375" spans="7:7">
      <c r="G375" s="5" t="str">
        <f t="shared" si="31"/>
        <v/>
      </c>
    </row>
    <row r="376" spans="7:7">
      <c r="G376" s="5" t="str">
        <f t="shared" si="31"/>
        <v/>
      </c>
    </row>
    <row r="377" spans="7:7">
      <c r="G377" s="5" t="str">
        <f t="shared" si="31"/>
        <v/>
      </c>
    </row>
    <row r="378" spans="7:7">
      <c r="G378" s="5" t="str">
        <f t="shared" si="31"/>
        <v/>
      </c>
    </row>
    <row r="379" spans="7:7">
      <c r="G379" s="5" t="str">
        <f t="shared" si="31"/>
        <v/>
      </c>
    </row>
    <row r="380" spans="7:7">
      <c r="G380" s="5" t="str">
        <f t="shared" si="31"/>
        <v/>
      </c>
    </row>
    <row r="381" spans="7:7">
      <c r="G381" s="5" t="str">
        <f t="shared" ref="G381:G444" si="32">IF(B381&lt;&gt;"",SUM(C381:F381),"")</f>
        <v/>
      </c>
    </row>
    <row r="382" spans="7:7">
      <c r="G382" s="5" t="str">
        <f t="shared" si="32"/>
        <v/>
      </c>
    </row>
    <row r="383" spans="7:7">
      <c r="G383" s="5" t="str">
        <f t="shared" si="32"/>
        <v/>
      </c>
    </row>
    <row r="384" spans="7:7">
      <c r="G384" s="5" t="str">
        <f t="shared" si="32"/>
        <v/>
      </c>
    </row>
    <row r="385" spans="7:7">
      <c r="G385" s="5" t="str">
        <f t="shared" si="32"/>
        <v/>
      </c>
    </row>
    <row r="386" spans="7:7">
      <c r="G386" s="5" t="str">
        <f t="shared" si="32"/>
        <v/>
      </c>
    </row>
    <row r="387" spans="7:7">
      <c r="G387" s="5" t="str">
        <f t="shared" si="32"/>
        <v/>
      </c>
    </row>
    <row r="388" spans="7:7">
      <c r="G388" s="5" t="str">
        <f t="shared" si="32"/>
        <v/>
      </c>
    </row>
    <row r="389" spans="7:7">
      <c r="G389" s="5" t="str">
        <f t="shared" si="32"/>
        <v/>
      </c>
    </row>
    <row r="390" spans="7:7">
      <c r="G390" s="5" t="str">
        <f t="shared" si="32"/>
        <v/>
      </c>
    </row>
    <row r="391" spans="7:7">
      <c r="G391" s="5" t="str">
        <f t="shared" si="32"/>
        <v/>
      </c>
    </row>
    <row r="392" spans="7:7">
      <c r="G392" s="5" t="str">
        <f t="shared" si="32"/>
        <v/>
      </c>
    </row>
    <row r="393" spans="7:7">
      <c r="G393" s="5" t="str">
        <f t="shared" si="32"/>
        <v/>
      </c>
    </row>
    <row r="394" spans="7:7">
      <c r="G394" s="5" t="str">
        <f t="shared" si="32"/>
        <v/>
      </c>
    </row>
    <row r="395" spans="7:7">
      <c r="G395" s="5" t="str">
        <f t="shared" si="32"/>
        <v/>
      </c>
    </row>
    <row r="396" spans="7:7">
      <c r="G396" s="5" t="str">
        <f t="shared" si="32"/>
        <v/>
      </c>
    </row>
    <row r="397" spans="7:7">
      <c r="G397" s="5" t="str">
        <f t="shared" si="32"/>
        <v/>
      </c>
    </row>
    <row r="398" spans="7:7">
      <c r="G398" s="5" t="str">
        <f t="shared" si="32"/>
        <v/>
      </c>
    </row>
    <row r="399" spans="7:7">
      <c r="G399" s="5" t="str">
        <f t="shared" si="32"/>
        <v/>
      </c>
    </row>
    <row r="400" spans="7:7">
      <c r="G400" s="5" t="str">
        <f t="shared" si="32"/>
        <v/>
      </c>
    </row>
    <row r="401" spans="7:7">
      <c r="G401" s="5" t="str">
        <f t="shared" si="32"/>
        <v/>
      </c>
    </row>
    <row r="402" spans="7:7">
      <c r="G402" s="5" t="str">
        <f t="shared" si="32"/>
        <v/>
      </c>
    </row>
    <row r="403" spans="7:7">
      <c r="G403" s="5" t="str">
        <f t="shared" si="32"/>
        <v/>
      </c>
    </row>
    <row r="404" spans="7:7">
      <c r="G404" s="5" t="str">
        <f t="shared" si="32"/>
        <v/>
      </c>
    </row>
    <row r="405" spans="7:7">
      <c r="G405" s="5" t="str">
        <f t="shared" si="32"/>
        <v/>
      </c>
    </row>
    <row r="406" spans="7:7">
      <c r="G406" s="5" t="str">
        <f t="shared" si="32"/>
        <v/>
      </c>
    </row>
    <row r="407" spans="7:7">
      <c r="G407" s="5" t="str">
        <f t="shared" si="32"/>
        <v/>
      </c>
    </row>
    <row r="408" spans="7:7">
      <c r="G408" s="5" t="str">
        <f t="shared" si="32"/>
        <v/>
      </c>
    </row>
    <row r="409" spans="7:7">
      <c r="G409" s="5" t="str">
        <f t="shared" si="32"/>
        <v/>
      </c>
    </row>
    <row r="410" spans="7:7">
      <c r="G410" s="5" t="str">
        <f t="shared" si="32"/>
        <v/>
      </c>
    </row>
    <row r="411" spans="7:7">
      <c r="G411" s="5" t="str">
        <f t="shared" si="32"/>
        <v/>
      </c>
    </row>
    <row r="412" spans="7:7">
      <c r="G412" s="5" t="str">
        <f t="shared" si="32"/>
        <v/>
      </c>
    </row>
    <row r="413" spans="7:7">
      <c r="G413" s="5" t="str">
        <f t="shared" si="32"/>
        <v/>
      </c>
    </row>
    <row r="414" spans="7:7">
      <c r="G414" s="5" t="str">
        <f t="shared" si="32"/>
        <v/>
      </c>
    </row>
    <row r="415" spans="7:7">
      <c r="G415" s="5" t="str">
        <f t="shared" si="32"/>
        <v/>
      </c>
    </row>
    <row r="416" spans="7:7">
      <c r="G416" s="5" t="str">
        <f t="shared" si="32"/>
        <v/>
      </c>
    </row>
    <row r="417" spans="7:7">
      <c r="G417" s="5" t="str">
        <f t="shared" si="32"/>
        <v/>
      </c>
    </row>
    <row r="418" spans="7:7">
      <c r="G418" s="5" t="str">
        <f t="shared" si="32"/>
        <v/>
      </c>
    </row>
    <row r="419" spans="7:7">
      <c r="G419" s="5" t="str">
        <f t="shared" si="32"/>
        <v/>
      </c>
    </row>
    <row r="420" spans="7:7">
      <c r="G420" s="5" t="str">
        <f t="shared" si="32"/>
        <v/>
      </c>
    </row>
    <row r="421" spans="7:7">
      <c r="G421" s="5" t="str">
        <f t="shared" si="32"/>
        <v/>
      </c>
    </row>
    <row r="422" spans="7:7">
      <c r="G422" s="5" t="str">
        <f t="shared" si="32"/>
        <v/>
      </c>
    </row>
    <row r="423" spans="7:7">
      <c r="G423" s="5" t="str">
        <f t="shared" si="32"/>
        <v/>
      </c>
    </row>
    <row r="424" spans="7:7">
      <c r="G424" s="5" t="str">
        <f t="shared" si="32"/>
        <v/>
      </c>
    </row>
    <row r="425" spans="7:7">
      <c r="G425" s="5" t="str">
        <f t="shared" si="32"/>
        <v/>
      </c>
    </row>
    <row r="426" spans="7:7">
      <c r="G426" s="5" t="str">
        <f t="shared" si="32"/>
        <v/>
      </c>
    </row>
    <row r="427" spans="7:7">
      <c r="G427" s="5" t="str">
        <f t="shared" si="32"/>
        <v/>
      </c>
    </row>
    <row r="428" spans="7:7">
      <c r="G428" s="5" t="str">
        <f t="shared" si="32"/>
        <v/>
      </c>
    </row>
    <row r="429" spans="7:7">
      <c r="G429" s="5" t="str">
        <f t="shared" si="32"/>
        <v/>
      </c>
    </row>
    <row r="430" spans="7:7">
      <c r="G430" s="5" t="str">
        <f t="shared" si="32"/>
        <v/>
      </c>
    </row>
    <row r="431" spans="7:7">
      <c r="G431" s="5" t="str">
        <f t="shared" si="32"/>
        <v/>
      </c>
    </row>
    <row r="432" spans="7:7">
      <c r="G432" s="5" t="str">
        <f t="shared" si="32"/>
        <v/>
      </c>
    </row>
    <row r="433" spans="7:7">
      <c r="G433" s="5" t="str">
        <f t="shared" si="32"/>
        <v/>
      </c>
    </row>
    <row r="434" spans="7:7">
      <c r="G434" s="5" t="str">
        <f t="shared" si="32"/>
        <v/>
      </c>
    </row>
    <row r="435" spans="7:7">
      <c r="G435" s="5" t="str">
        <f t="shared" si="32"/>
        <v/>
      </c>
    </row>
    <row r="436" spans="7:7">
      <c r="G436" s="5" t="str">
        <f t="shared" si="32"/>
        <v/>
      </c>
    </row>
    <row r="437" spans="7:7">
      <c r="G437" s="5" t="str">
        <f t="shared" si="32"/>
        <v/>
      </c>
    </row>
    <row r="438" spans="7:7">
      <c r="G438" s="5" t="str">
        <f t="shared" si="32"/>
        <v/>
      </c>
    </row>
    <row r="439" spans="7:7">
      <c r="G439" s="5" t="str">
        <f t="shared" si="32"/>
        <v/>
      </c>
    </row>
    <row r="440" spans="7:7">
      <c r="G440" s="5" t="str">
        <f t="shared" si="32"/>
        <v/>
      </c>
    </row>
    <row r="441" spans="7:7">
      <c r="G441" s="5" t="str">
        <f t="shared" si="32"/>
        <v/>
      </c>
    </row>
    <row r="442" spans="7:7">
      <c r="G442" s="5" t="str">
        <f t="shared" si="32"/>
        <v/>
      </c>
    </row>
    <row r="443" spans="7:7">
      <c r="G443" s="5" t="str">
        <f t="shared" si="32"/>
        <v/>
      </c>
    </row>
    <row r="444" spans="7:7">
      <c r="G444" s="5" t="str">
        <f t="shared" si="32"/>
        <v/>
      </c>
    </row>
    <row r="445" spans="7:7">
      <c r="G445" s="5" t="str">
        <f t="shared" ref="G445:G476" si="33">IF(B445&lt;&gt;"",SUM(C445:F445),"")</f>
        <v/>
      </c>
    </row>
    <row r="446" spans="7:7">
      <c r="G446" s="5" t="str">
        <f t="shared" si="33"/>
        <v/>
      </c>
    </row>
    <row r="447" spans="7:7">
      <c r="G447" s="5" t="str">
        <f t="shared" si="33"/>
        <v/>
      </c>
    </row>
    <row r="448" spans="7:7">
      <c r="G448" s="5" t="str">
        <f t="shared" si="33"/>
        <v/>
      </c>
    </row>
    <row r="449" spans="7:7">
      <c r="G449" s="5" t="str">
        <f t="shared" si="33"/>
        <v/>
      </c>
    </row>
    <row r="450" spans="7:7">
      <c r="G450" s="5" t="str">
        <f t="shared" si="33"/>
        <v/>
      </c>
    </row>
    <row r="451" spans="7:7">
      <c r="G451" s="5" t="str">
        <f t="shared" si="33"/>
        <v/>
      </c>
    </row>
    <row r="452" spans="7:7">
      <c r="G452" s="5" t="str">
        <f t="shared" si="33"/>
        <v/>
      </c>
    </row>
    <row r="453" spans="7:7">
      <c r="G453" s="5" t="str">
        <f t="shared" si="33"/>
        <v/>
      </c>
    </row>
    <row r="454" spans="7:7">
      <c r="G454" s="5" t="str">
        <f t="shared" si="33"/>
        <v/>
      </c>
    </row>
    <row r="455" spans="7:7">
      <c r="G455" s="5" t="str">
        <f t="shared" si="33"/>
        <v/>
      </c>
    </row>
    <row r="456" spans="7:7">
      <c r="G456" s="5" t="str">
        <f t="shared" si="33"/>
        <v/>
      </c>
    </row>
    <row r="457" spans="7:7">
      <c r="G457" s="5" t="str">
        <f t="shared" si="33"/>
        <v/>
      </c>
    </row>
    <row r="458" spans="7:7">
      <c r="G458" s="5" t="str">
        <f t="shared" si="33"/>
        <v/>
      </c>
    </row>
    <row r="459" spans="7:7">
      <c r="G459" s="5" t="str">
        <f t="shared" si="33"/>
        <v/>
      </c>
    </row>
    <row r="460" spans="7:7">
      <c r="G460" s="5" t="str">
        <f t="shared" si="33"/>
        <v/>
      </c>
    </row>
    <row r="461" spans="7:7">
      <c r="G461" s="5" t="str">
        <f t="shared" si="33"/>
        <v/>
      </c>
    </row>
    <row r="462" spans="7:7">
      <c r="G462" s="5" t="str">
        <f t="shared" si="33"/>
        <v/>
      </c>
    </row>
    <row r="463" spans="7:7">
      <c r="G463" s="5" t="str">
        <f t="shared" si="33"/>
        <v/>
      </c>
    </row>
    <row r="464" spans="7:7">
      <c r="G464" s="5" t="str">
        <f t="shared" si="33"/>
        <v/>
      </c>
    </row>
    <row r="465" spans="7:7">
      <c r="G465" s="5" t="str">
        <f t="shared" si="33"/>
        <v/>
      </c>
    </row>
    <row r="466" spans="7:7">
      <c r="G466" s="5" t="str">
        <f t="shared" si="33"/>
        <v/>
      </c>
    </row>
    <row r="467" spans="7:7">
      <c r="G467" s="5" t="str">
        <f t="shared" si="33"/>
        <v/>
      </c>
    </row>
    <row r="468" spans="7:7">
      <c r="G468" s="5" t="str">
        <f t="shared" si="33"/>
        <v/>
      </c>
    </row>
    <row r="469" spans="7:7">
      <c r="G469" s="5" t="str">
        <f t="shared" si="33"/>
        <v/>
      </c>
    </row>
    <row r="470" spans="7:7">
      <c r="G470" s="5" t="str">
        <f t="shared" si="33"/>
        <v/>
      </c>
    </row>
    <row r="471" spans="7:7">
      <c r="G471" s="5" t="str">
        <f t="shared" si="33"/>
        <v/>
      </c>
    </row>
    <row r="472" spans="7:7">
      <c r="G472" s="5" t="str">
        <f t="shared" si="33"/>
        <v/>
      </c>
    </row>
    <row r="473" spans="7:7">
      <c r="G473" s="5" t="str">
        <f t="shared" si="33"/>
        <v/>
      </c>
    </row>
    <row r="474" spans="7:7">
      <c r="G474" s="5" t="str">
        <f t="shared" si="33"/>
        <v/>
      </c>
    </row>
    <row r="475" spans="7:7">
      <c r="G475" s="5" t="str">
        <f t="shared" si="33"/>
        <v/>
      </c>
    </row>
    <row r="476" spans="7:7">
      <c r="G476" s="5" t="str">
        <f t="shared" si="33"/>
        <v/>
      </c>
    </row>
  </sheetData>
  <sheetProtection sort="0" autoFilter="0" pivotTables="0"/>
  <autoFilter ref="H5:H63" xr:uid="{D6AF29A3-0A69-48F7-A6B3-868787C6D755}">
    <filterColumn colId="0">
      <filters blank="1">
        <filter val="12"/>
        <filter val="120"/>
        <filter val="130"/>
        <filter val="180"/>
        <filter val="20"/>
        <filter val="24"/>
        <filter val="256"/>
        <filter val="260"/>
        <filter val="30"/>
        <filter val="324"/>
        <filter val="36"/>
        <filter val="380"/>
        <filter val="416"/>
        <filter val="432"/>
        <filter val="460"/>
        <filter val="72"/>
        <filter val="780"/>
        <filter val="80"/>
        <filter val="96"/>
        <filter val="R$ 64.952,49"/>
      </filters>
    </filterColumn>
  </autoFilter>
  <sortState xmlns:xlrd2="http://schemas.microsoft.com/office/spreadsheetml/2017/richdata2" ref="B6:M60">
    <sortCondition ref="B6:B60"/>
  </sortState>
  <pageMargins left="0.78740157480314965" right="0.78740157480314965" top="0.78740157480314965" bottom="0.78740157480314965" header="0" footer="0"/>
  <pageSetup paperSize="9" scale="78" orientation="landscape" verticalDpi="4294967295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089D-7912-4EB4-BDD6-C210A4AB3D84}">
  <sheetPr codeName="Planilha20" filterMode="1">
    <tabColor rgb="FF006600"/>
    <pageSetUpPr fitToPage="1"/>
  </sheetPr>
  <dimension ref="B1:U484"/>
  <sheetViews>
    <sheetView zoomScaleNormal="100" workbookViewId="0">
      <pane ySplit="5" topLeftCell="A6" activePane="bottomLeft" state="frozen"/>
      <selection pane="bottomLeft" activeCell="C83" sqref="C83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1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20" ht="4.5" customHeight="1">
      <c r="B1" s="1"/>
      <c r="C1" s="4"/>
      <c r="D1" s="4"/>
      <c r="E1" s="4"/>
      <c r="F1" s="4"/>
      <c r="G1" s="4"/>
    </row>
    <row r="2" spans="2:20" ht="59.25" customHeight="1">
      <c r="B2" s="63" t="s">
        <v>38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20" ht="4.5" customHeight="1" thickBot="1">
      <c r="B3" s="1"/>
      <c r="C3" s="4"/>
      <c r="D3" s="4"/>
      <c r="E3" s="4"/>
      <c r="F3" s="4"/>
      <c r="G3" s="4"/>
    </row>
    <row r="4" spans="2:20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194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20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20" hidden="1">
      <c r="B6" s="552" t="s">
        <v>2204</v>
      </c>
      <c r="C6" s="38"/>
      <c r="D6" s="38"/>
      <c r="E6" s="38"/>
      <c r="F6" s="39"/>
      <c r="G6" s="40"/>
      <c r="H6" s="23">
        <f t="shared" ref="H6:H37" si="0">SUM(C6:G6)</f>
        <v>0</v>
      </c>
      <c r="I6" s="464">
        <f t="shared" ref="I6:I37" si="1">L6-(L6*J6)</f>
        <v>36.71</v>
      </c>
      <c r="J6" s="16"/>
      <c r="K6" s="17"/>
      <c r="L6" s="396">
        <v>36.71</v>
      </c>
      <c r="M6" s="197"/>
      <c r="N6" s="25">
        <f t="shared" ref="N6" si="2">I6*C6</f>
        <v>0</v>
      </c>
      <c r="O6" s="25">
        <f t="shared" ref="O6" si="3">I6*D6</f>
        <v>0</v>
      </c>
      <c r="P6" s="25">
        <f t="shared" ref="P6" si="4">I6*E6</f>
        <v>0</v>
      </c>
      <c r="Q6" s="26">
        <f t="shared" ref="Q6" si="5">I6*F6</f>
        <v>0</v>
      </c>
      <c r="R6" s="27">
        <f t="shared" ref="R6" si="6">I6*G6</f>
        <v>0</v>
      </c>
      <c r="S6" s="28">
        <f>SUM(N6:R6)</f>
        <v>0</v>
      </c>
      <c r="T6" s="1" t="s">
        <v>2222</v>
      </c>
    </row>
    <row r="7" spans="2:20">
      <c r="B7" s="552" t="s">
        <v>2205</v>
      </c>
      <c r="C7" s="14"/>
      <c r="D7" s="14"/>
      <c r="E7" s="14">
        <v>24</v>
      </c>
      <c r="F7" s="14"/>
      <c r="G7" s="8"/>
      <c r="H7" s="23">
        <f t="shared" si="0"/>
        <v>24</v>
      </c>
      <c r="I7" s="464">
        <f t="shared" si="1"/>
        <v>50.9</v>
      </c>
      <c r="J7" s="10"/>
      <c r="K7" s="12"/>
      <c r="L7" s="575">
        <v>50.9</v>
      </c>
      <c r="M7" s="197"/>
      <c r="N7" s="25">
        <f t="shared" ref="N7:N67" si="7">I7*C7</f>
        <v>0</v>
      </c>
      <c r="O7" s="25">
        <f t="shared" ref="O7:O67" si="8">I7*D7</f>
        <v>0</v>
      </c>
      <c r="P7" s="25">
        <f t="shared" ref="P7:P67" si="9">I7*E7</f>
        <v>1221.5999999999999</v>
      </c>
      <c r="Q7" s="26">
        <f t="shared" ref="Q7:Q67" si="10">I7*F7</f>
        <v>0</v>
      </c>
      <c r="R7" s="27">
        <f t="shared" ref="R7:R67" si="11">I7*G7</f>
        <v>0</v>
      </c>
      <c r="S7" s="28">
        <f t="shared" ref="S7:S67" si="12">SUM(N7:R7)</f>
        <v>1221.5999999999999</v>
      </c>
      <c r="T7" s="1" t="s">
        <v>2222</v>
      </c>
    </row>
    <row r="8" spans="2:20" hidden="1">
      <c r="B8" s="552" t="s">
        <v>2206</v>
      </c>
      <c r="C8" s="14"/>
      <c r="D8" s="14"/>
      <c r="E8" s="14"/>
      <c r="F8" s="14"/>
      <c r="G8" s="8"/>
      <c r="H8" s="23">
        <f t="shared" si="0"/>
        <v>0</v>
      </c>
      <c r="I8" s="464">
        <f t="shared" si="1"/>
        <v>25.46</v>
      </c>
      <c r="J8" s="10"/>
      <c r="K8" s="12"/>
      <c r="L8" s="396">
        <v>25.46</v>
      </c>
      <c r="M8" s="197"/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  <c r="T8" s="1" t="s">
        <v>2222</v>
      </c>
    </row>
    <row r="9" spans="2:20" hidden="1">
      <c r="B9" s="552" t="s">
        <v>2207</v>
      </c>
      <c r="C9" s="13"/>
      <c r="D9" s="13"/>
      <c r="E9" s="13"/>
      <c r="F9" s="14"/>
      <c r="G9" s="8"/>
      <c r="H9" s="23">
        <f t="shared" si="0"/>
        <v>0</v>
      </c>
      <c r="I9" s="464">
        <f t="shared" si="1"/>
        <v>5.23</v>
      </c>
      <c r="J9" s="10"/>
      <c r="K9" s="12"/>
      <c r="L9" s="398">
        <v>5.23</v>
      </c>
      <c r="M9" s="197"/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  <c r="T9" s="1" t="s">
        <v>2222</v>
      </c>
    </row>
    <row r="10" spans="2:20" hidden="1">
      <c r="B10" s="552" t="s">
        <v>2208</v>
      </c>
      <c r="C10" s="13"/>
      <c r="D10" s="13"/>
      <c r="E10" s="13"/>
      <c r="F10" s="14"/>
      <c r="G10" s="8"/>
      <c r="H10" s="23">
        <f t="shared" si="0"/>
        <v>0</v>
      </c>
      <c r="I10" s="464">
        <f t="shared" si="1"/>
        <v>29.91</v>
      </c>
      <c r="J10" s="10"/>
      <c r="K10" s="12"/>
      <c r="L10" s="396">
        <v>29.91</v>
      </c>
      <c r="M10" s="197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  <c r="T10" s="1" t="s">
        <v>2222</v>
      </c>
    </row>
    <row r="11" spans="2:20" hidden="1">
      <c r="B11" s="552" t="s">
        <v>2209</v>
      </c>
      <c r="C11" s="13"/>
      <c r="D11" s="13"/>
      <c r="E11" s="13"/>
      <c r="F11" s="14"/>
      <c r="G11" s="8"/>
      <c r="H11" s="23">
        <f t="shared" si="0"/>
        <v>0</v>
      </c>
      <c r="I11" s="464">
        <f t="shared" si="1"/>
        <v>51.03</v>
      </c>
      <c r="J11" s="10"/>
      <c r="K11" s="12"/>
      <c r="L11" s="396">
        <v>51.03</v>
      </c>
      <c r="M11" s="197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  <c r="T11" s="1" t="s">
        <v>2222</v>
      </c>
    </row>
    <row r="12" spans="2:20">
      <c r="B12" s="552" t="s">
        <v>2210</v>
      </c>
      <c r="C12" s="13"/>
      <c r="D12" s="13"/>
      <c r="E12" s="13">
        <v>24</v>
      </c>
      <c r="F12" s="14"/>
      <c r="G12" s="8"/>
      <c r="H12" s="23">
        <f t="shared" si="0"/>
        <v>24</v>
      </c>
      <c r="I12" s="464">
        <f t="shared" si="1"/>
        <v>19.59</v>
      </c>
      <c r="J12" s="10"/>
      <c r="K12" s="12"/>
      <c r="L12" s="396">
        <v>19.59</v>
      </c>
      <c r="M12" s="197"/>
      <c r="N12" s="25">
        <f t="shared" si="7"/>
        <v>0</v>
      </c>
      <c r="O12" s="25">
        <f t="shared" si="8"/>
        <v>0</v>
      </c>
      <c r="P12" s="25">
        <f t="shared" si="9"/>
        <v>470.15999999999997</v>
      </c>
      <c r="Q12" s="26">
        <f t="shared" si="10"/>
        <v>0</v>
      </c>
      <c r="R12" s="27">
        <f t="shared" si="11"/>
        <v>0</v>
      </c>
      <c r="S12" s="28">
        <f t="shared" si="12"/>
        <v>470.15999999999997</v>
      </c>
      <c r="T12" s="1" t="s">
        <v>2222</v>
      </c>
    </row>
    <row r="13" spans="2:20" hidden="1">
      <c r="B13" s="552" t="s">
        <v>2211</v>
      </c>
      <c r="C13" s="13"/>
      <c r="D13" s="13"/>
      <c r="E13" s="13"/>
      <c r="F13" s="14"/>
      <c r="G13" s="8"/>
      <c r="H13" s="23">
        <f t="shared" si="0"/>
        <v>0</v>
      </c>
      <c r="I13" s="464">
        <f t="shared" si="1"/>
        <v>28.33</v>
      </c>
      <c r="J13" s="10"/>
      <c r="K13" s="12"/>
      <c r="L13" s="398">
        <v>28.33</v>
      </c>
      <c r="M13" s="197"/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  <c r="T13" s="1" t="s">
        <v>2222</v>
      </c>
    </row>
    <row r="14" spans="2:20" hidden="1">
      <c r="B14" s="552" t="s">
        <v>2212</v>
      </c>
      <c r="C14" s="13"/>
      <c r="D14" s="13"/>
      <c r="E14" s="13"/>
      <c r="F14" s="14"/>
      <c r="G14" s="8"/>
      <c r="H14" s="23">
        <f t="shared" si="0"/>
        <v>0</v>
      </c>
      <c r="I14" s="464">
        <f t="shared" si="1"/>
        <v>24.22</v>
      </c>
      <c r="J14" s="10"/>
      <c r="K14" s="12"/>
      <c r="L14" s="396">
        <v>24.22</v>
      </c>
      <c r="M14" s="197"/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  <c r="T14" s="1" t="s">
        <v>2222</v>
      </c>
    </row>
    <row r="15" spans="2:20" hidden="1">
      <c r="B15" s="552" t="s">
        <v>2213</v>
      </c>
      <c r="C15" s="13"/>
      <c r="D15" s="13"/>
      <c r="E15" s="13"/>
      <c r="F15" s="14"/>
      <c r="G15" s="8"/>
      <c r="H15" s="23">
        <f t="shared" si="0"/>
        <v>0</v>
      </c>
      <c r="I15" s="464">
        <f t="shared" si="1"/>
        <v>16.09</v>
      </c>
      <c r="J15" s="10"/>
      <c r="K15" s="12"/>
      <c r="L15" s="396">
        <v>16.09</v>
      </c>
      <c r="M15" s="197"/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  <c r="T15" s="1" t="s">
        <v>2222</v>
      </c>
    </row>
    <row r="16" spans="2:20" hidden="1">
      <c r="B16" s="552" t="s">
        <v>2214</v>
      </c>
      <c r="C16" s="14"/>
      <c r="D16" s="14"/>
      <c r="E16" s="14"/>
      <c r="F16" s="14"/>
      <c r="G16" s="8"/>
      <c r="H16" s="23">
        <f t="shared" si="0"/>
        <v>0</v>
      </c>
      <c r="I16" s="464">
        <f t="shared" si="1"/>
        <v>142.25</v>
      </c>
      <c r="J16" s="10"/>
      <c r="K16" s="12"/>
      <c r="L16" s="396">
        <v>142.25</v>
      </c>
      <c r="M16" s="197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  <c r="T16" s="1" t="s">
        <v>2222</v>
      </c>
    </row>
    <row r="17" spans="2:21" hidden="1">
      <c r="B17" s="552" t="s">
        <v>2215</v>
      </c>
      <c r="C17" s="13"/>
      <c r="D17" s="13"/>
      <c r="E17" s="13"/>
      <c r="F17" s="14"/>
      <c r="G17" s="8"/>
      <c r="H17" s="23">
        <f t="shared" si="0"/>
        <v>0</v>
      </c>
      <c r="I17" s="464">
        <f t="shared" si="1"/>
        <v>10.23</v>
      </c>
      <c r="J17" s="10"/>
      <c r="K17" s="12"/>
      <c r="L17" s="396">
        <v>10.23</v>
      </c>
      <c r="M17" s="197"/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  <c r="T17" s="1" t="s">
        <v>2222</v>
      </c>
    </row>
    <row r="18" spans="2:21" hidden="1">
      <c r="B18" s="552" t="s">
        <v>2216</v>
      </c>
      <c r="C18" s="13"/>
      <c r="D18" s="13"/>
      <c r="E18" s="13"/>
      <c r="F18" s="14"/>
      <c r="G18" s="8"/>
      <c r="H18" s="23">
        <f t="shared" si="0"/>
        <v>0</v>
      </c>
      <c r="I18" s="464">
        <f t="shared" si="1"/>
        <v>34.119999999999997</v>
      </c>
      <c r="J18" s="10"/>
      <c r="K18" s="12"/>
      <c r="L18" s="398">
        <v>34.119999999999997</v>
      </c>
      <c r="M18" s="197"/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  <c r="T18" s="1" t="s">
        <v>2222</v>
      </c>
    </row>
    <row r="19" spans="2:21" hidden="1">
      <c r="B19" s="552" t="s">
        <v>2217</v>
      </c>
      <c r="C19" s="14"/>
      <c r="D19" s="14"/>
      <c r="E19" s="14"/>
      <c r="F19" s="14"/>
      <c r="G19" s="8"/>
      <c r="H19" s="23">
        <f t="shared" si="0"/>
        <v>0</v>
      </c>
      <c r="I19" s="464">
        <f t="shared" si="1"/>
        <v>23.64</v>
      </c>
      <c r="J19" s="10"/>
      <c r="K19" s="12"/>
      <c r="L19" s="396">
        <v>23.64</v>
      </c>
      <c r="M19" s="197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  <c r="T19" s="1" t="s">
        <v>2222</v>
      </c>
    </row>
    <row r="20" spans="2:21" hidden="1">
      <c r="B20" s="552" t="s">
        <v>2218</v>
      </c>
      <c r="C20" s="14"/>
      <c r="D20" s="14"/>
      <c r="E20" s="14"/>
      <c r="F20" s="14"/>
      <c r="G20" s="8"/>
      <c r="H20" s="23">
        <f t="shared" si="0"/>
        <v>0</v>
      </c>
      <c r="I20" s="464">
        <f t="shared" si="1"/>
        <v>4.04</v>
      </c>
      <c r="J20" s="10"/>
      <c r="K20" s="12"/>
      <c r="L20" s="396">
        <v>4.04</v>
      </c>
      <c r="M20" s="197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  <c r="T20" s="1" t="s">
        <v>2222</v>
      </c>
    </row>
    <row r="21" spans="2:21">
      <c r="B21" s="552" t="s">
        <v>2219</v>
      </c>
      <c r="C21" s="14">
        <v>120</v>
      </c>
      <c r="D21" s="14"/>
      <c r="E21" s="14">
        <v>60</v>
      </c>
      <c r="F21" s="14"/>
      <c r="G21" s="8"/>
      <c r="H21" s="23">
        <f t="shared" si="0"/>
        <v>180</v>
      </c>
      <c r="I21" s="464">
        <f t="shared" si="1"/>
        <v>22.61</v>
      </c>
      <c r="J21" s="10"/>
      <c r="K21" s="12"/>
      <c r="L21" s="576">
        <v>22.61</v>
      </c>
      <c r="M21" s="197"/>
      <c r="N21" s="25">
        <f t="shared" si="7"/>
        <v>2713.2</v>
      </c>
      <c r="O21" s="25">
        <f t="shared" si="8"/>
        <v>0</v>
      </c>
      <c r="P21" s="25">
        <f t="shared" si="9"/>
        <v>1356.6</v>
      </c>
      <c r="Q21" s="26">
        <f t="shared" si="10"/>
        <v>0</v>
      </c>
      <c r="R21" s="27">
        <f t="shared" si="11"/>
        <v>0</v>
      </c>
      <c r="S21" s="28">
        <f t="shared" si="12"/>
        <v>4069.7999999999997</v>
      </c>
      <c r="T21" s="1" t="s">
        <v>2222</v>
      </c>
    </row>
    <row r="22" spans="2:21" hidden="1">
      <c r="B22" s="552" t="s">
        <v>2220</v>
      </c>
      <c r="C22" s="14"/>
      <c r="D22" s="14"/>
      <c r="E22" s="14"/>
      <c r="F22" s="14"/>
      <c r="G22" s="8"/>
      <c r="H22" s="23">
        <f t="shared" si="0"/>
        <v>0</v>
      </c>
      <c r="I22" s="464">
        <f t="shared" si="1"/>
        <v>241.78</v>
      </c>
      <c r="J22" s="10"/>
      <c r="K22" s="12"/>
      <c r="L22" s="396">
        <v>241.78</v>
      </c>
      <c r="M22" s="197"/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  <c r="T22" s="1" t="s">
        <v>2222</v>
      </c>
    </row>
    <row r="23" spans="2:21" hidden="1">
      <c r="B23" s="552" t="s">
        <v>2221</v>
      </c>
      <c r="C23" s="14"/>
      <c r="D23" s="14"/>
      <c r="E23" s="14"/>
      <c r="F23" s="14"/>
      <c r="G23" s="8"/>
      <c r="H23" s="23">
        <f t="shared" si="0"/>
        <v>0</v>
      </c>
      <c r="I23" s="464">
        <f t="shared" si="1"/>
        <v>139.19</v>
      </c>
      <c r="J23" s="10"/>
      <c r="K23" s="12"/>
      <c r="L23" s="396">
        <v>139.19</v>
      </c>
      <c r="M23" s="197"/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  <c r="T23" s="1" t="s">
        <v>2222</v>
      </c>
    </row>
    <row r="24" spans="2:21" hidden="1">
      <c r="B24" s="551" t="s">
        <v>2223</v>
      </c>
      <c r="C24" s="14"/>
      <c r="D24" s="14"/>
      <c r="E24" s="14"/>
      <c r="F24" s="14"/>
      <c r="G24" s="8"/>
      <c r="H24" s="23">
        <f t="shared" si="0"/>
        <v>0</v>
      </c>
      <c r="I24" s="464">
        <f t="shared" si="1"/>
        <v>333.88369999999998</v>
      </c>
      <c r="J24" s="10">
        <v>0.03</v>
      </c>
      <c r="K24" s="12"/>
      <c r="L24" s="396" t="s">
        <v>2228</v>
      </c>
      <c r="M24" s="197"/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21" hidden="1">
      <c r="B25" s="551" t="s">
        <v>2224</v>
      </c>
      <c r="C25" s="14"/>
      <c r="D25" s="14"/>
      <c r="E25" s="14"/>
      <c r="F25" s="14"/>
      <c r="G25" s="8"/>
      <c r="H25" s="23">
        <f t="shared" si="0"/>
        <v>0</v>
      </c>
      <c r="I25" s="464">
        <f t="shared" si="1"/>
        <v>392.04490000000004</v>
      </c>
      <c r="J25" s="10">
        <v>0.03</v>
      </c>
      <c r="K25" s="12"/>
      <c r="L25" s="396" t="s">
        <v>2229</v>
      </c>
      <c r="M25" s="197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21">
      <c r="B26" s="551" t="s">
        <v>2225</v>
      </c>
      <c r="C26" s="14">
        <v>12</v>
      </c>
      <c r="D26" s="14">
        <v>6</v>
      </c>
      <c r="E26" s="14"/>
      <c r="F26" s="14"/>
      <c r="G26" s="8"/>
      <c r="H26" s="23">
        <f t="shared" si="0"/>
        <v>18</v>
      </c>
      <c r="I26" s="464">
        <f t="shared" si="1"/>
        <v>403.0908</v>
      </c>
      <c r="J26" s="10">
        <v>0.06</v>
      </c>
      <c r="K26" s="12"/>
      <c r="L26" s="575">
        <v>428.82</v>
      </c>
      <c r="M26" s="197"/>
      <c r="N26" s="25">
        <f t="shared" si="7"/>
        <v>4837.0896000000002</v>
      </c>
      <c r="O26" s="25">
        <f t="shared" si="8"/>
        <v>2418.5448000000001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7255.6344000000008</v>
      </c>
    </row>
    <row r="27" spans="2:21">
      <c r="B27" s="551" t="s">
        <v>2226</v>
      </c>
      <c r="C27" s="14"/>
      <c r="D27" s="14"/>
      <c r="E27" s="14">
        <v>2</v>
      </c>
      <c r="F27" s="14"/>
      <c r="G27" s="8"/>
      <c r="H27" s="23">
        <f t="shared" si="0"/>
        <v>2</v>
      </c>
      <c r="I27" s="464">
        <f t="shared" si="1"/>
        <v>363.8664</v>
      </c>
      <c r="J27" s="10">
        <v>0.03</v>
      </c>
      <c r="K27" s="12"/>
      <c r="L27" s="576">
        <v>375.12</v>
      </c>
      <c r="M27" s="197"/>
      <c r="N27" s="25">
        <f t="shared" si="7"/>
        <v>0</v>
      </c>
      <c r="O27" s="25">
        <f t="shared" si="8"/>
        <v>0</v>
      </c>
      <c r="P27" s="25">
        <f t="shared" si="9"/>
        <v>727.7328</v>
      </c>
      <c r="Q27" s="26">
        <f t="shared" si="10"/>
        <v>0</v>
      </c>
      <c r="R27" s="27">
        <f t="shared" si="11"/>
        <v>0</v>
      </c>
      <c r="S27" s="28">
        <f t="shared" si="12"/>
        <v>727.7328</v>
      </c>
    </row>
    <row r="28" spans="2:21">
      <c r="B28" s="577" t="s">
        <v>2544</v>
      </c>
      <c r="C28" s="14"/>
      <c r="D28" s="14"/>
      <c r="E28" s="14">
        <v>6</v>
      </c>
      <c r="F28" s="14"/>
      <c r="G28" s="8"/>
      <c r="H28" s="23">
        <f t="shared" si="0"/>
        <v>6</v>
      </c>
      <c r="I28" s="464">
        <f t="shared" si="1"/>
        <v>384.99299999999999</v>
      </c>
      <c r="J28" s="10">
        <v>0.03</v>
      </c>
      <c r="K28" s="12"/>
      <c r="L28" s="398">
        <v>396.9</v>
      </c>
      <c r="M28" s="197"/>
      <c r="N28" s="25">
        <f t="shared" si="7"/>
        <v>0</v>
      </c>
      <c r="O28" s="25">
        <f t="shared" si="8"/>
        <v>0</v>
      </c>
      <c r="P28" s="25">
        <f t="shared" si="9"/>
        <v>2309.9580000000001</v>
      </c>
      <c r="Q28" s="26">
        <f t="shared" si="10"/>
        <v>0</v>
      </c>
      <c r="R28" s="27">
        <f t="shared" si="11"/>
        <v>0</v>
      </c>
      <c r="S28" s="28">
        <f t="shared" si="12"/>
        <v>2309.9580000000001</v>
      </c>
    </row>
    <row r="29" spans="2:21" hidden="1">
      <c r="B29" s="577" t="s">
        <v>2543</v>
      </c>
      <c r="C29" s="14"/>
      <c r="D29" s="14"/>
      <c r="E29" s="14"/>
      <c r="F29" s="14"/>
      <c r="G29" s="8"/>
      <c r="H29" s="23">
        <f t="shared" si="0"/>
        <v>0</v>
      </c>
      <c r="I29" s="464">
        <f t="shared" si="1"/>
        <v>457.452</v>
      </c>
      <c r="J29" s="10">
        <v>0.03</v>
      </c>
      <c r="K29" s="12"/>
      <c r="L29" s="399" t="s">
        <v>2230</v>
      </c>
      <c r="M29" s="197"/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2:21" hidden="1">
      <c r="B30" s="551" t="s">
        <v>2227</v>
      </c>
      <c r="C30" s="14"/>
      <c r="D30" s="14"/>
      <c r="E30" s="14"/>
      <c r="F30" s="14"/>
      <c r="G30" s="8"/>
      <c r="H30" s="23">
        <f t="shared" si="0"/>
        <v>0</v>
      </c>
      <c r="I30" s="464">
        <f t="shared" si="1"/>
        <v>22.998699999999999</v>
      </c>
      <c r="J30" s="10">
        <v>0.03</v>
      </c>
      <c r="K30" s="12"/>
      <c r="L30" s="399" t="s">
        <v>2231</v>
      </c>
      <c r="M30" s="197"/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0</v>
      </c>
    </row>
    <row r="31" spans="2:21" hidden="1">
      <c r="B31" s="553" t="s">
        <v>2204</v>
      </c>
      <c r="C31" s="14"/>
      <c r="D31" s="14"/>
      <c r="E31" s="14"/>
      <c r="F31" s="14"/>
      <c r="G31" s="8"/>
      <c r="H31" s="23">
        <f t="shared" si="0"/>
        <v>0</v>
      </c>
      <c r="I31" s="464">
        <f t="shared" si="1"/>
        <v>40.76</v>
      </c>
      <c r="J31" s="10"/>
      <c r="K31" s="12"/>
      <c r="L31" s="399">
        <v>40.76</v>
      </c>
      <c r="M31" s="197"/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  <c r="T31" s="1" t="s">
        <v>2251</v>
      </c>
      <c r="U31" s="439"/>
    </row>
    <row r="32" spans="2:21" hidden="1">
      <c r="B32" s="553" t="s">
        <v>2205</v>
      </c>
      <c r="C32" s="14"/>
      <c r="D32" s="14"/>
      <c r="E32" s="14"/>
      <c r="F32" s="14"/>
      <c r="G32" s="8"/>
      <c r="H32" s="23">
        <f t="shared" si="0"/>
        <v>0</v>
      </c>
      <c r="I32" s="464">
        <f t="shared" si="1"/>
        <v>48.47</v>
      </c>
      <c r="J32" s="10"/>
      <c r="K32" s="12"/>
      <c r="L32" s="399">
        <v>48.47</v>
      </c>
      <c r="M32" s="197"/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  <c r="T32" s="1" t="s">
        <v>2251</v>
      </c>
    </row>
    <row r="33" spans="2:21" hidden="1">
      <c r="B33" s="553" t="s">
        <v>2232</v>
      </c>
      <c r="C33" s="14"/>
      <c r="D33" s="14"/>
      <c r="E33" s="14"/>
      <c r="F33" s="14"/>
      <c r="G33" s="8"/>
      <c r="H33" s="23">
        <f t="shared" si="0"/>
        <v>0</v>
      </c>
      <c r="I33" s="464">
        <f t="shared" si="1"/>
        <v>479.36</v>
      </c>
      <c r="J33" s="10"/>
      <c r="K33" s="12"/>
      <c r="L33" s="399">
        <v>479.36</v>
      </c>
      <c r="M33" s="197"/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  <c r="T33" s="1" t="s">
        <v>2251</v>
      </c>
      <c r="U33" s="439"/>
    </row>
    <row r="34" spans="2:21" hidden="1">
      <c r="B34" s="553" t="s">
        <v>2233</v>
      </c>
      <c r="C34" s="14"/>
      <c r="D34" s="14"/>
      <c r="E34" s="14"/>
      <c r="F34" s="14"/>
      <c r="G34" s="8"/>
      <c r="H34" s="23">
        <f t="shared" si="0"/>
        <v>0</v>
      </c>
      <c r="I34" s="464">
        <f t="shared" si="1"/>
        <v>470.29</v>
      </c>
      <c r="J34" s="10"/>
      <c r="K34" s="12"/>
      <c r="L34" s="399">
        <v>470.29</v>
      </c>
      <c r="M34" s="197"/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  <c r="T34" s="1" t="s">
        <v>2251</v>
      </c>
      <c r="U34" s="439"/>
    </row>
    <row r="35" spans="2:21" hidden="1">
      <c r="B35" s="553" t="s">
        <v>2234</v>
      </c>
      <c r="C35" s="14"/>
      <c r="D35" s="14"/>
      <c r="E35" s="14"/>
      <c r="F35" s="14"/>
      <c r="G35" s="8"/>
      <c r="H35" s="23">
        <f t="shared" si="0"/>
        <v>0</v>
      </c>
      <c r="I35" s="464">
        <f t="shared" si="1"/>
        <v>622.36</v>
      </c>
      <c r="J35" s="10"/>
      <c r="K35" s="12"/>
      <c r="L35" s="399">
        <v>622.36</v>
      </c>
      <c r="M35" s="197"/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  <c r="T35" s="1" t="s">
        <v>2251</v>
      </c>
      <c r="U35" s="439"/>
    </row>
    <row r="36" spans="2:21" hidden="1">
      <c r="B36" s="553" t="s">
        <v>2235</v>
      </c>
      <c r="C36" s="13"/>
      <c r="D36" s="13"/>
      <c r="E36" s="13"/>
      <c r="F36" s="14"/>
      <c r="G36" s="8"/>
      <c r="H36" s="23">
        <f t="shared" si="0"/>
        <v>0</v>
      </c>
      <c r="I36" s="464">
        <f t="shared" si="1"/>
        <v>70.89</v>
      </c>
      <c r="J36" s="10"/>
      <c r="K36" s="12"/>
      <c r="L36" s="399">
        <v>70.89</v>
      </c>
      <c r="M36" s="197"/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  <c r="T36" s="1" t="s">
        <v>2251</v>
      </c>
      <c r="U36" s="439"/>
    </row>
    <row r="37" spans="2:21" hidden="1">
      <c r="B37" s="553" t="s">
        <v>2236</v>
      </c>
      <c r="C37" s="14"/>
      <c r="D37" s="14"/>
      <c r="E37" s="14"/>
      <c r="F37" s="14"/>
      <c r="G37" s="8"/>
      <c r="H37" s="23">
        <f t="shared" si="0"/>
        <v>0</v>
      </c>
      <c r="I37" s="464">
        <f t="shared" si="1"/>
        <v>435.35</v>
      </c>
      <c r="J37" s="10"/>
      <c r="K37" s="12"/>
      <c r="L37" s="399">
        <v>435.35</v>
      </c>
      <c r="M37" s="197"/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  <c r="T37" s="1" t="s">
        <v>2251</v>
      </c>
      <c r="U37" s="438"/>
    </row>
    <row r="38" spans="2:21" hidden="1">
      <c r="B38" s="553" t="s">
        <v>2237</v>
      </c>
      <c r="C38" s="13"/>
      <c r="D38" s="13"/>
      <c r="E38" s="13"/>
      <c r="F38" s="14"/>
      <c r="G38" s="8"/>
      <c r="H38" s="23">
        <f t="shared" ref="H38:H67" si="13">SUM(C38:G38)</f>
        <v>0</v>
      </c>
      <c r="I38" s="464">
        <f t="shared" ref="I38:I67" si="14">L38-(L38*J38)</f>
        <v>397.58</v>
      </c>
      <c r="J38" s="10"/>
      <c r="K38" s="12"/>
      <c r="L38" s="396">
        <v>397.58</v>
      </c>
      <c r="M38" s="197"/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  <c r="T38" s="1" t="s">
        <v>2251</v>
      </c>
    </row>
    <row r="39" spans="2:21" hidden="1">
      <c r="B39" s="553" t="s">
        <v>2206</v>
      </c>
      <c r="C39" s="13"/>
      <c r="D39" s="13"/>
      <c r="E39" s="13"/>
      <c r="F39" s="14"/>
      <c r="G39" s="8"/>
      <c r="H39" s="23">
        <f t="shared" si="13"/>
        <v>0</v>
      </c>
      <c r="I39" s="464">
        <f t="shared" si="14"/>
        <v>28.29</v>
      </c>
      <c r="J39" s="10"/>
      <c r="K39" s="12"/>
      <c r="L39" s="398">
        <v>28.29</v>
      </c>
      <c r="M39" s="197"/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  <c r="T39" s="1" t="s">
        <v>2251</v>
      </c>
    </row>
    <row r="40" spans="2:21" hidden="1">
      <c r="B40" s="553" t="s">
        <v>2238</v>
      </c>
      <c r="C40" s="14"/>
      <c r="D40" s="14"/>
      <c r="E40" s="14"/>
      <c r="F40" s="14"/>
      <c r="G40" s="8"/>
      <c r="H40" s="23">
        <f t="shared" si="13"/>
        <v>0</v>
      </c>
      <c r="I40" s="464">
        <f t="shared" si="14"/>
        <v>201.7</v>
      </c>
      <c r="J40" s="10"/>
      <c r="K40" s="12"/>
      <c r="L40" s="396">
        <v>201.7</v>
      </c>
      <c r="M40" s="197"/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  <c r="T40" s="1" t="s">
        <v>2251</v>
      </c>
    </row>
    <row r="41" spans="2:21" hidden="1">
      <c r="B41" s="553" t="s">
        <v>2239</v>
      </c>
      <c r="C41" s="14"/>
      <c r="D41" s="14"/>
      <c r="E41" s="14"/>
      <c r="F41" s="14"/>
      <c r="G41" s="8"/>
      <c r="H41" s="23">
        <f t="shared" si="13"/>
        <v>0</v>
      </c>
      <c r="I41" s="464">
        <f t="shared" si="14"/>
        <v>557.05999999999995</v>
      </c>
      <c r="J41" s="10"/>
      <c r="K41" s="12"/>
      <c r="L41" s="398">
        <v>557.05999999999995</v>
      </c>
      <c r="M41" s="197"/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  <c r="T41" s="1" t="s">
        <v>2251</v>
      </c>
    </row>
    <row r="42" spans="2:21" hidden="1">
      <c r="B42" s="553" t="s">
        <v>2240</v>
      </c>
      <c r="C42" s="14"/>
      <c r="D42" s="14"/>
      <c r="E42" s="14"/>
      <c r="F42" s="14"/>
      <c r="G42" s="8"/>
      <c r="H42" s="23">
        <f t="shared" si="13"/>
        <v>0</v>
      </c>
      <c r="I42" s="464">
        <f t="shared" si="14"/>
        <v>286.85000000000002</v>
      </c>
      <c r="J42" s="10"/>
      <c r="K42" s="12"/>
      <c r="L42" s="396">
        <v>286.85000000000002</v>
      </c>
      <c r="M42" s="197"/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  <c r="T42" s="1" t="s">
        <v>2251</v>
      </c>
    </row>
    <row r="43" spans="2:21" hidden="1">
      <c r="B43" s="553" t="s">
        <v>2241</v>
      </c>
      <c r="C43" s="13"/>
      <c r="D43" s="13"/>
      <c r="E43" s="13"/>
      <c r="F43" s="14"/>
      <c r="G43" s="8"/>
      <c r="H43" s="23">
        <f t="shared" si="13"/>
        <v>0</v>
      </c>
      <c r="I43" s="464">
        <f t="shared" si="14"/>
        <v>589.98</v>
      </c>
      <c r="J43" s="10"/>
      <c r="K43" s="12"/>
      <c r="L43" s="398">
        <v>589.98</v>
      </c>
      <c r="M43" s="197"/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  <c r="T43" s="1" t="s">
        <v>2251</v>
      </c>
    </row>
    <row r="44" spans="2:21" hidden="1">
      <c r="B44" s="553" t="s">
        <v>2242</v>
      </c>
      <c r="C44" s="13"/>
      <c r="D44" s="13"/>
      <c r="E44" s="13"/>
      <c r="F44" s="14"/>
      <c r="G44" s="8"/>
      <c r="H44" s="23">
        <f t="shared" si="13"/>
        <v>0</v>
      </c>
      <c r="I44" s="464">
        <f t="shared" si="14"/>
        <v>302.42</v>
      </c>
      <c r="J44" s="10"/>
      <c r="K44" s="12"/>
      <c r="L44" s="396">
        <v>302.42</v>
      </c>
      <c r="M44" s="197"/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  <c r="T44" s="1" t="s">
        <v>2251</v>
      </c>
    </row>
    <row r="45" spans="2:21" hidden="1">
      <c r="B45" s="553" t="s">
        <v>2243</v>
      </c>
      <c r="C45" s="13"/>
      <c r="D45" s="13"/>
      <c r="E45" s="13"/>
      <c r="F45" s="14"/>
      <c r="G45" s="8"/>
      <c r="H45" s="23">
        <f t="shared" si="13"/>
        <v>0</v>
      </c>
      <c r="I45" s="464">
        <f t="shared" si="14"/>
        <v>566.30999999999995</v>
      </c>
      <c r="J45" s="10"/>
      <c r="K45" s="12"/>
      <c r="L45" s="396">
        <v>566.30999999999995</v>
      </c>
      <c r="M45" s="197"/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  <c r="T45" s="1" t="s">
        <v>2251</v>
      </c>
    </row>
    <row r="46" spans="2:21" hidden="1">
      <c r="B46" s="553" t="s">
        <v>2207</v>
      </c>
      <c r="C46" s="13"/>
      <c r="D46" s="13"/>
      <c r="E46" s="13"/>
      <c r="F46" s="14"/>
      <c r="G46" s="8"/>
      <c r="H46" s="23">
        <f t="shared" si="13"/>
        <v>0</v>
      </c>
      <c r="I46" s="464">
        <f t="shared" si="14"/>
        <v>5.82</v>
      </c>
      <c r="J46" s="10"/>
      <c r="K46" s="12"/>
      <c r="L46" s="396">
        <v>5.82</v>
      </c>
      <c r="M46" s="197"/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  <c r="T46" s="1" t="s">
        <v>2251</v>
      </c>
    </row>
    <row r="47" spans="2:21" hidden="1">
      <c r="B47" s="553" t="s">
        <v>2208</v>
      </c>
      <c r="C47" s="13"/>
      <c r="D47" s="13"/>
      <c r="E47" s="13"/>
      <c r="F47" s="14"/>
      <c r="G47" s="8"/>
      <c r="H47" s="23">
        <f t="shared" si="13"/>
        <v>0</v>
      </c>
      <c r="I47" s="464">
        <f t="shared" si="14"/>
        <v>33.229999999999997</v>
      </c>
      <c r="J47" s="10"/>
      <c r="K47" s="12"/>
      <c r="L47" s="398">
        <v>33.229999999999997</v>
      </c>
      <c r="M47" s="197"/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  <c r="T47" s="1" t="s">
        <v>2251</v>
      </c>
    </row>
    <row r="48" spans="2:21" hidden="1">
      <c r="B48" s="553" t="s">
        <v>2209</v>
      </c>
      <c r="C48" s="14"/>
      <c r="D48" s="14"/>
      <c r="E48" s="14"/>
      <c r="F48" s="14"/>
      <c r="G48" s="8"/>
      <c r="H48" s="23">
        <f t="shared" si="13"/>
        <v>0</v>
      </c>
      <c r="I48" s="464">
        <f t="shared" si="14"/>
        <v>56.69</v>
      </c>
      <c r="J48" s="10"/>
      <c r="K48" s="12"/>
      <c r="L48" s="400">
        <v>56.69</v>
      </c>
      <c r="M48" s="197"/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  <c r="T48" s="1" t="s">
        <v>2251</v>
      </c>
    </row>
    <row r="49" spans="2:20" hidden="1">
      <c r="B49" s="553" t="s">
        <v>2210</v>
      </c>
      <c r="C49" s="13"/>
      <c r="D49" s="13"/>
      <c r="E49" s="13"/>
      <c r="F49" s="14"/>
      <c r="G49" s="8"/>
      <c r="H49" s="23">
        <f t="shared" si="13"/>
        <v>0</v>
      </c>
      <c r="I49" s="464">
        <f t="shared" si="14"/>
        <v>0</v>
      </c>
      <c r="J49" s="10"/>
      <c r="K49" s="12"/>
      <c r="L49" s="575"/>
      <c r="M49" s="197"/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  <c r="T49" s="1" t="s">
        <v>2251</v>
      </c>
    </row>
    <row r="50" spans="2:20" hidden="1">
      <c r="B50" s="553" t="s">
        <v>2244</v>
      </c>
      <c r="C50" s="13"/>
      <c r="D50" s="13"/>
      <c r="E50" s="13"/>
      <c r="F50" s="14"/>
      <c r="G50" s="8"/>
      <c r="H50" s="23">
        <f t="shared" si="13"/>
        <v>0</v>
      </c>
      <c r="I50" s="464">
        <f t="shared" si="14"/>
        <v>491.23</v>
      </c>
      <c r="J50" s="10"/>
      <c r="K50" s="12"/>
      <c r="L50" s="396">
        <v>491.23</v>
      </c>
      <c r="M50" s="197"/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  <c r="T50" s="1" t="s">
        <v>2251</v>
      </c>
    </row>
    <row r="51" spans="2:20" hidden="1">
      <c r="B51" s="553" t="s">
        <v>2245</v>
      </c>
      <c r="C51" s="13"/>
      <c r="D51" s="13"/>
      <c r="E51" s="13"/>
      <c r="F51" s="14"/>
      <c r="G51" s="8"/>
      <c r="H51" s="23">
        <f t="shared" si="13"/>
        <v>0</v>
      </c>
      <c r="I51" s="464">
        <f t="shared" si="14"/>
        <v>6.75</v>
      </c>
      <c r="J51" s="10"/>
      <c r="K51" s="12"/>
      <c r="L51" s="398">
        <v>6.75</v>
      </c>
      <c r="M51" s="197"/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  <c r="T51" s="1" t="s">
        <v>2251</v>
      </c>
    </row>
    <row r="52" spans="2:20" hidden="1">
      <c r="B52" s="553" t="s">
        <v>2211</v>
      </c>
      <c r="C52" s="13"/>
      <c r="D52" s="13"/>
      <c r="E52" s="13"/>
      <c r="F52" s="14"/>
      <c r="G52" s="8"/>
      <c r="H52" s="23">
        <f t="shared" si="13"/>
        <v>0</v>
      </c>
      <c r="I52" s="464">
        <f t="shared" si="14"/>
        <v>31.46</v>
      </c>
      <c r="J52" s="10"/>
      <c r="K52" s="12"/>
      <c r="L52" s="396">
        <v>31.46</v>
      </c>
      <c r="M52" s="197"/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  <c r="T52" s="1" t="s">
        <v>2251</v>
      </c>
    </row>
    <row r="53" spans="2:20" hidden="1">
      <c r="B53" s="553" t="s">
        <v>2212</v>
      </c>
      <c r="C53" s="14"/>
      <c r="D53" s="14"/>
      <c r="E53" s="14"/>
      <c r="F53" s="14"/>
      <c r="G53" s="8"/>
      <c r="H53" s="23">
        <f t="shared" si="13"/>
        <v>0</v>
      </c>
      <c r="I53" s="464">
        <f t="shared" si="14"/>
        <v>26.92</v>
      </c>
      <c r="J53" s="10"/>
      <c r="K53" s="12"/>
      <c r="L53" s="398">
        <v>26.92</v>
      </c>
      <c r="M53" s="197"/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  <c r="T53" s="1" t="s">
        <v>2251</v>
      </c>
    </row>
    <row r="54" spans="2:20" hidden="1">
      <c r="B54" s="553" t="s">
        <v>2213</v>
      </c>
      <c r="C54" s="13"/>
      <c r="D54" s="13"/>
      <c r="E54" s="13"/>
      <c r="F54" s="14"/>
      <c r="G54" s="8"/>
      <c r="H54" s="23">
        <f t="shared" si="13"/>
        <v>0</v>
      </c>
      <c r="I54" s="464">
        <f t="shared" si="14"/>
        <v>17.88</v>
      </c>
      <c r="J54" s="10"/>
      <c r="K54" s="12"/>
      <c r="L54" s="396">
        <v>17.88</v>
      </c>
      <c r="M54" s="197"/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  <c r="T54" s="1" t="s">
        <v>2251</v>
      </c>
    </row>
    <row r="55" spans="2:20" hidden="1">
      <c r="B55" s="553" t="s">
        <v>2214</v>
      </c>
      <c r="C55" s="13"/>
      <c r="D55" s="13"/>
      <c r="E55" s="13"/>
      <c r="F55" s="14"/>
      <c r="G55" s="8"/>
      <c r="H55" s="23">
        <f t="shared" si="13"/>
        <v>0</v>
      </c>
      <c r="I55" s="464">
        <f t="shared" si="14"/>
        <v>158.07</v>
      </c>
      <c r="J55" s="10"/>
      <c r="K55" s="12"/>
      <c r="L55" s="398">
        <v>158.07</v>
      </c>
      <c r="M55" s="197"/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  <c r="T55" s="1" t="s">
        <v>2251</v>
      </c>
    </row>
    <row r="56" spans="2:20" hidden="1">
      <c r="B56" s="553" t="s">
        <v>2215</v>
      </c>
      <c r="C56" s="13"/>
      <c r="D56" s="13"/>
      <c r="E56" s="13"/>
      <c r="F56" s="14"/>
      <c r="G56" s="8"/>
      <c r="H56" s="23">
        <f t="shared" si="13"/>
        <v>0</v>
      </c>
      <c r="I56" s="464">
        <f t="shared" si="14"/>
        <v>11.38</v>
      </c>
      <c r="J56" s="10"/>
      <c r="K56" s="12"/>
      <c r="L56" s="396">
        <v>11.38</v>
      </c>
      <c r="M56" s="197"/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  <c r="T56" s="1" t="s">
        <v>2251</v>
      </c>
    </row>
    <row r="57" spans="2:20" hidden="1">
      <c r="B57" s="553" t="s">
        <v>2246</v>
      </c>
      <c r="C57" s="14"/>
      <c r="D57" s="14"/>
      <c r="E57" s="14"/>
      <c r="F57" s="14"/>
      <c r="G57" s="8"/>
      <c r="H57" s="23">
        <f t="shared" si="13"/>
        <v>0</v>
      </c>
      <c r="I57" s="464">
        <f t="shared" si="14"/>
        <v>284.58999999999997</v>
      </c>
      <c r="J57" s="10"/>
      <c r="K57" s="12"/>
      <c r="L57" s="396">
        <v>284.58999999999997</v>
      </c>
      <c r="M57" s="197"/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0</v>
      </c>
      <c r="T57" s="1" t="s">
        <v>2251</v>
      </c>
    </row>
    <row r="58" spans="2:20" hidden="1">
      <c r="B58" s="553" t="s">
        <v>2247</v>
      </c>
      <c r="C58" s="13"/>
      <c r="D58" s="13"/>
      <c r="E58" s="13"/>
      <c r="F58" s="14"/>
      <c r="G58" s="8"/>
      <c r="H58" s="23">
        <f t="shared" si="13"/>
        <v>0</v>
      </c>
      <c r="I58" s="464">
        <f t="shared" si="14"/>
        <v>331.59</v>
      </c>
      <c r="J58" s="10"/>
      <c r="K58" s="12"/>
      <c r="L58" s="396">
        <v>331.59</v>
      </c>
      <c r="M58" s="197"/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  <c r="T58" s="1" t="s">
        <v>2251</v>
      </c>
    </row>
    <row r="59" spans="2:20" hidden="1">
      <c r="B59" s="553" t="s">
        <v>2248</v>
      </c>
      <c r="C59" s="13"/>
      <c r="D59" s="13"/>
      <c r="E59" s="13"/>
      <c r="F59" s="14"/>
      <c r="G59" s="8"/>
      <c r="H59" s="23">
        <f t="shared" si="13"/>
        <v>0</v>
      </c>
      <c r="I59" s="464">
        <f t="shared" si="14"/>
        <v>184.93</v>
      </c>
      <c r="J59" s="10"/>
      <c r="K59" s="12"/>
      <c r="L59" s="396">
        <v>184.93</v>
      </c>
      <c r="M59" s="197"/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  <c r="T59" s="1" t="s">
        <v>2251</v>
      </c>
    </row>
    <row r="60" spans="2:20" hidden="1">
      <c r="B60" s="553" t="s">
        <v>2216</v>
      </c>
      <c r="C60" s="14"/>
      <c r="D60" s="14"/>
      <c r="E60" s="14"/>
      <c r="F60" s="14"/>
      <c r="G60" s="8"/>
      <c r="H60" s="23">
        <f t="shared" si="13"/>
        <v>0</v>
      </c>
      <c r="I60" s="464">
        <f t="shared" si="14"/>
        <v>37.92</v>
      </c>
      <c r="J60" s="10"/>
      <c r="K60" s="12"/>
      <c r="L60" s="396">
        <v>37.92</v>
      </c>
      <c r="M60" s="197"/>
      <c r="N60" s="25">
        <f t="shared" si="7"/>
        <v>0</v>
      </c>
      <c r="O60" s="25">
        <f t="shared" si="8"/>
        <v>0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0</v>
      </c>
      <c r="T60" s="1" t="s">
        <v>2251</v>
      </c>
    </row>
    <row r="61" spans="2:20" hidden="1">
      <c r="B61" s="553" t="s">
        <v>2217</v>
      </c>
      <c r="C61" s="13"/>
      <c r="D61" s="13"/>
      <c r="E61" s="13"/>
      <c r="F61" s="14"/>
      <c r="G61" s="8"/>
      <c r="H61" s="23">
        <f t="shared" si="13"/>
        <v>0</v>
      </c>
      <c r="I61" s="464">
        <f t="shared" si="14"/>
        <v>26.28</v>
      </c>
      <c r="J61" s="10"/>
      <c r="K61" s="12"/>
      <c r="L61" s="397">
        <v>26.28</v>
      </c>
      <c r="M61" s="197"/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0</v>
      </c>
      <c r="R61" s="27">
        <f t="shared" si="11"/>
        <v>0</v>
      </c>
      <c r="S61" s="28">
        <f t="shared" si="12"/>
        <v>0</v>
      </c>
      <c r="T61" s="1" t="s">
        <v>2251</v>
      </c>
    </row>
    <row r="62" spans="2:20" hidden="1">
      <c r="B62" s="553" t="s">
        <v>2249</v>
      </c>
      <c r="C62" s="13"/>
      <c r="D62" s="13"/>
      <c r="E62" s="13"/>
      <c r="F62" s="14"/>
      <c r="G62" s="8"/>
      <c r="H62" s="23">
        <f t="shared" si="13"/>
        <v>0</v>
      </c>
      <c r="I62" s="464">
        <f t="shared" si="14"/>
        <v>131.83000000000001</v>
      </c>
      <c r="J62" s="10"/>
      <c r="K62" s="12"/>
      <c r="L62" s="396">
        <v>131.83000000000001</v>
      </c>
      <c r="M62" s="197"/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0</v>
      </c>
      <c r="R62" s="27">
        <f t="shared" si="11"/>
        <v>0</v>
      </c>
      <c r="S62" s="28">
        <f t="shared" si="12"/>
        <v>0</v>
      </c>
      <c r="T62" s="1" t="s">
        <v>2251</v>
      </c>
    </row>
    <row r="63" spans="2:20" hidden="1">
      <c r="B63" s="553" t="s">
        <v>2218</v>
      </c>
      <c r="C63" s="14"/>
      <c r="D63" s="14"/>
      <c r="E63" s="14"/>
      <c r="F63" s="14"/>
      <c r="G63" s="8"/>
      <c r="H63" s="23">
        <f t="shared" si="13"/>
        <v>0</v>
      </c>
      <c r="I63" s="464">
        <f t="shared" si="14"/>
        <v>4.5199999999999996</v>
      </c>
      <c r="J63" s="10"/>
      <c r="K63" s="12"/>
      <c r="L63" s="398">
        <v>4.5199999999999996</v>
      </c>
      <c r="M63" s="197"/>
      <c r="N63" s="25">
        <f t="shared" si="7"/>
        <v>0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0</v>
      </c>
      <c r="S63" s="28">
        <f t="shared" si="12"/>
        <v>0</v>
      </c>
      <c r="T63" s="1" t="s">
        <v>2251</v>
      </c>
    </row>
    <row r="64" spans="2:20" hidden="1">
      <c r="B64" s="553" t="s">
        <v>2219</v>
      </c>
      <c r="C64" s="14"/>
      <c r="D64" s="14"/>
      <c r="E64" s="14"/>
      <c r="F64" s="14"/>
      <c r="G64" s="8"/>
      <c r="H64" s="23">
        <f t="shared" si="13"/>
        <v>0</v>
      </c>
      <c r="I64" s="464">
        <f t="shared" si="14"/>
        <v>0</v>
      </c>
      <c r="J64" s="10"/>
      <c r="K64" s="12"/>
      <c r="L64" s="576"/>
      <c r="M64" s="197"/>
      <c r="N64" s="25">
        <f t="shared" si="7"/>
        <v>0</v>
      </c>
      <c r="O64" s="25">
        <f t="shared" si="8"/>
        <v>0</v>
      </c>
      <c r="P64" s="25">
        <f t="shared" si="9"/>
        <v>0</v>
      </c>
      <c r="Q64" s="26">
        <f t="shared" si="10"/>
        <v>0</v>
      </c>
      <c r="R64" s="27">
        <f t="shared" si="11"/>
        <v>0</v>
      </c>
      <c r="S64" s="28">
        <f t="shared" si="12"/>
        <v>0</v>
      </c>
      <c r="T64" s="1" t="s">
        <v>2251</v>
      </c>
    </row>
    <row r="65" spans="2:20" hidden="1">
      <c r="B65" s="553" t="s">
        <v>2250</v>
      </c>
      <c r="C65" s="13"/>
      <c r="D65" s="13"/>
      <c r="E65" s="13"/>
      <c r="F65" s="14"/>
      <c r="G65" s="8"/>
      <c r="H65" s="23">
        <f t="shared" si="13"/>
        <v>0</v>
      </c>
      <c r="I65" s="464">
        <f t="shared" si="14"/>
        <v>97.51</v>
      </c>
      <c r="J65" s="10"/>
      <c r="K65" s="12"/>
      <c r="L65" s="398">
        <v>97.51</v>
      </c>
      <c r="M65" s="197"/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  <c r="T65" s="1" t="s">
        <v>2251</v>
      </c>
    </row>
    <row r="66" spans="2:20" hidden="1">
      <c r="B66" s="553" t="s">
        <v>2220</v>
      </c>
      <c r="C66" s="13"/>
      <c r="D66" s="13"/>
      <c r="E66" s="13"/>
      <c r="F66" s="14"/>
      <c r="G66" s="8"/>
      <c r="H66" s="23">
        <f t="shared" si="13"/>
        <v>0</v>
      </c>
      <c r="I66" s="464">
        <f t="shared" si="14"/>
        <v>268.63</v>
      </c>
      <c r="J66" s="10"/>
      <c r="K66" s="12"/>
      <c r="L66" s="396">
        <v>268.63</v>
      </c>
      <c r="M66" s="197"/>
      <c r="N66" s="25">
        <f t="shared" si="7"/>
        <v>0</v>
      </c>
      <c r="O66" s="25">
        <f t="shared" si="8"/>
        <v>0</v>
      </c>
      <c r="P66" s="25">
        <f t="shared" si="9"/>
        <v>0</v>
      </c>
      <c r="Q66" s="26">
        <f t="shared" si="10"/>
        <v>0</v>
      </c>
      <c r="R66" s="27">
        <f t="shared" si="11"/>
        <v>0</v>
      </c>
      <c r="S66" s="28">
        <f t="shared" si="12"/>
        <v>0</v>
      </c>
      <c r="T66" s="1" t="s">
        <v>2251</v>
      </c>
    </row>
    <row r="67" spans="2:20" hidden="1">
      <c r="B67" s="553" t="s">
        <v>2221</v>
      </c>
      <c r="C67" s="14"/>
      <c r="D67" s="14"/>
      <c r="E67" s="14"/>
      <c r="F67" s="14"/>
      <c r="G67" s="8"/>
      <c r="H67" s="23">
        <f t="shared" si="13"/>
        <v>0</v>
      </c>
      <c r="I67" s="464">
        <f t="shared" si="14"/>
        <v>154.63999999999999</v>
      </c>
      <c r="J67" s="10"/>
      <c r="K67" s="12"/>
      <c r="L67" s="398">
        <v>154.63999999999999</v>
      </c>
      <c r="M67" s="197"/>
      <c r="N67" s="25">
        <f t="shared" si="7"/>
        <v>0</v>
      </c>
      <c r="O67" s="25">
        <f t="shared" si="8"/>
        <v>0</v>
      </c>
      <c r="P67" s="25">
        <f t="shared" si="9"/>
        <v>0</v>
      </c>
      <c r="Q67" s="26">
        <f t="shared" si="10"/>
        <v>0</v>
      </c>
      <c r="R67" s="27">
        <f t="shared" si="11"/>
        <v>0</v>
      </c>
      <c r="S67" s="28">
        <f t="shared" si="12"/>
        <v>0</v>
      </c>
      <c r="T67" s="1" t="s">
        <v>2251</v>
      </c>
    </row>
    <row r="68" spans="2:20">
      <c r="B68" s="58" t="s">
        <v>13</v>
      </c>
      <c r="C68" s="544">
        <f t="shared" ref="C68" si="15">N68</f>
        <v>7550.2896000000001</v>
      </c>
      <c r="D68" s="544">
        <f t="shared" ref="D68" si="16">O68</f>
        <v>2418.5448000000001</v>
      </c>
      <c r="E68" s="544">
        <f t="shared" ref="E68" si="17">P68</f>
        <v>6086.0507999999991</v>
      </c>
      <c r="F68" s="544">
        <f t="shared" ref="F68" si="18">Q68</f>
        <v>0</v>
      </c>
      <c r="G68" s="544">
        <f t="shared" ref="G68" si="19">R68</f>
        <v>0</v>
      </c>
      <c r="H68" s="544">
        <f t="shared" ref="H68" si="20">S68</f>
        <v>16054.885200000001</v>
      </c>
      <c r="N68" s="29">
        <f t="shared" ref="N68:S68" si="21">SUM(N6:N67)</f>
        <v>7550.2896000000001</v>
      </c>
      <c r="O68" s="29">
        <f t="shared" si="21"/>
        <v>2418.5448000000001</v>
      </c>
      <c r="P68" s="29">
        <f t="shared" si="21"/>
        <v>6086.0507999999991</v>
      </c>
      <c r="Q68" s="29">
        <f t="shared" si="21"/>
        <v>0</v>
      </c>
      <c r="R68" s="29">
        <f t="shared" si="21"/>
        <v>0</v>
      </c>
      <c r="S68" s="29">
        <f t="shared" si="21"/>
        <v>16054.885200000001</v>
      </c>
    </row>
    <row r="69" spans="2:20">
      <c r="G69" s="5" t="str">
        <f t="shared" ref="G69:G132" si="22">IF(B69&lt;&gt;"",SUM(C69:F69),"")</f>
        <v/>
      </c>
    </row>
    <row r="70" spans="2:20">
      <c r="B70" s="3" t="s">
        <v>2518</v>
      </c>
      <c r="E70" s="15">
        <v>6</v>
      </c>
      <c r="G70" s="5">
        <f t="shared" si="22"/>
        <v>6</v>
      </c>
    </row>
    <row r="71" spans="2:20">
      <c r="G71" s="5" t="str">
        <f t="shared" si="22"/>
        <v/>
      </c>
    </row>
    <row r="72" spans="2:20">
      <c r="G72" s="5" t="str">
        <f t="shared" si="22"/>
        <v/>
      </c>
    </row>
    <row r="73" spans="2:20">
      <c r="G73" s="5" t="str">
        <f t="shared" si="22"/>
        <v/>
      </c>
    </row>
    <row r="74" spans="2:20">
      <c r="G74" s="5" t="str">
        <f t="shared" si="22"/>
        <v/>
      </c>
    </row>
    <row r="75" spans="2:20">
      <c r="G75" s="5" t="str">
        <f t="shared" si="22"/>
        <v/>
      </c>
    </row>
    <row r="76" spans="2:20">
      <c r="G76" s="5" t="str">
        <f t="shared" si="22"/>
        <v/>
      </c>
    </row>
    <row r="77" spans="2:20">
      <c r="G77" s="5" t="str">
        <f t="shared" si="22"/>
        <v/>
      </c>
    </row>
    <row r="78" spans="2:20">
      <c r="G78" s="5" t="str">
        <f t="shared" si="22"/>
        <v/>
      </c>
    </row>
    <row r="79" spans="2:20">
      <c r="G79" s="5" t="str">
        <f t="shared" si="22"/>
        <v/>
      </c>
    </row>
    <row r="80" spans="2:20">
      <c r="G80" s="5" t="str">
        <f t="shared" si="22"/>
        <v/>
      </c>
    </row>
    <row r="81" spans="7:7">
      <c r="G81" s="5" t="str">
        <f t="shared" si="22"/>
        <v/>
      </c>
    </row>
    <row r="82" spans="7:7">
      <c r="G82" s="5" t="str">
        <f t="shared" si="22"/>
        <v/>
      </c>
    </row>
    <row r="83" spans="7:7">
      <c r="G83" s="5" t="str">
        <f t="shared" si="22"/>
        <v/>
      </c>
    </row>
    <row r="84" spans="7:7">
      <c r="G84" s="5" t="str">
        <f t="shared" si="22"/>
        <v/>
      </c>
    </row>
    <row r="85" spans="7:7">
      <c r="G85" s="5" t="str">
        <f t="shared" si="22"/>
        <v/>
      </c>
    </row>
    <row r="86" spans="7:7">
      <c r="G86" s="5" t="str">
        <f t="shared" si="22"/>
        <v/>
      </c>
    </row>
    <row r="87" spans="7:7">
      <c r="G87" s="5" t="str">
        <f t="shared" si="22"/>
        <v/>
      </c>
    </row>
    <row r="88" spans="7:7">
      <c r="G88" s="5" t="str">
        <f t="shared" si="22"/>
        <v/>
      </c>
    </row>
    <row r="89" spans="7:7">
      <c r="G89" s="5" t="str">
        <f t="shared" si="22"/>
        <v/>
      </c>
    </row>
    <row r="90" spans="7:7">
      <c r="G90" s="5" t="str">
        <f t="shared" si="22"/>
        <v/>
      </c>
    </row>
    <row r="91" spans="7:7">
      <c r="G91" s="5" t="str">
        <f t="shared" si="22"/>
        <v/>
      </c>
    </row>
    <row r="92" spans="7:7">
      <c r="G92" s="5" t="str">
        <f t="shared" si="22"/>
        <v/>
      </c>
    </row>
    <row r="93" spans="7:7">
      <c r="G93" s="5" t="str">
        <f t="shared" si="22"/>
        <v/>
      </c>
    </row>
    <row r="94" spans="7:7">
      <c r="G94" s="5" t="str">
        <f t="shared" si="22"/>
        <v/>
      </c>
    </row>
    <row r="95" spans="7:7">
      <c r="G95" s="5" t="str">
        <f t="shared" si="22"/>
        <v/>
      </c>
    </row>
    <row r="96" spans="7:7">
      <c r="G96" s="5" t="str">
        <f t="shared" si="22"/>
        <v/>
      </c>
    </row>
    <row r="97" spans="7:7">
      <c r="G97" s="5" t="str">
        <f t="shared" si="22"/>
        <v/>
      </c>
    </row>
    <row r="98" spans="7:7">
      <c r="G98" s="5" t="str">
        <f t="shared" si="22"/>
        <v/>
      </c>
    </row>
    <row r="99" spans="7:7">
      <c r="G99" s="5" t="str">
        <f t="shared" si="22"/>
        <v/>
      </c>
    </row>
    <row r="100" spans="7:7">
      <c r="G100" s="5" t="str">
        <f t="shared" si="22"/>
        <v/>
      </c>
    </row>
    <row r="101" spans="7:7">
      <c r="G101" s="5" t="str">
        <f t="shared" si="22"/>
        <v/>
      </c>
    </row>
    <row r="102" spans="7:7">
      <c r="G102" s="5" t="str">
        <f t="shared" si="22"/>
        <v/>
      </c>
    </row>
    <row r="103" spans="7:7">
      <c r="G103" s="5" t="str">
        <f t="shared" si="22"/>
        <v/>
      </c>
    </row>
    <row r="104" spans="7:7">
      <c r="G104" s="5" t="str">
        <f t="shared" si="22"/>
        <v/>
      </c>
    </row>
    <row r="105" spans="7:7">
      <c r="G105" s="5" t="str">
        <f t="shared" si="22"/>
        <v/>
      </c>
    </row>
    <row r="106" spans="7:7">
      <c r="G106" s="5" t="str">
        <f t="shared" si="22"/>
        <v/>
      </c>
    </row>
    <row r="107" spans="7:7">
      <c r="G107" s="5" t="str">
        <f t="shared" si="22"/>
        <v/>
      </c>
    </row>
    <row r="108" spans="7:7">
      <c r="G108" s="5" t="str">
        <f t="shared" si="22"/>
        <v/>
      </c>
    </row>
    <row r="109" spans="7:7">
      <c r="G109" s="5" t="str">
        <f t="shared" si="22"/>
        <v/>
      </c>
    </row>
    <row r="110" spans="7:7">
      <c r="G110" s="5" t="str">
        <f t="shared" si="22"/>
        <v/>
      </c>
    </row>
    <row r="111" spans="7:7">
      <c r="G111" s="5" t="str">
        <f t="shared" si="22"/>
        <v/>
      </c>
    </row>
    <row r="112" spans="7:7">
      <c r="G112" s="5" t="str">
        <f t="shared" si="22"/>
        <v/>
      </c>
    </row>
    <row r="113" spans="7:7">
      <c r="G113" s="5" t="str">
        <f t="shared" si="22"/>
        <v/>
      </c>
    </row>
    <row r="114" spans="7:7">
      <c r="G114" s="5" t="str">
        <f t="shared" si="22"/>
        <v/>
      </c>
    </row>
    <row r="115" spans="7:7">
      <c r="G115" s="5" t="str">
        <f t="shared" si="22"/>
        <v/>
      </c>
    </row>
    <row r="116" spans="7:7">
      <c r="G116" s="5" t="str">
        <f t="shared" si="22"/>
        <v/>
      </c>
    </row>
    <row r="117" spans="7:7">
      <c r="G117" s="5" t="str">
        <f t="shared" si="22"/>
        <v/>
      </c>
    </row>
    <row r="118" spans="7:7">
      <c r="G118" s="5" t="str">
        <f t="shared" si="22"/>
        <v/>
      </c>
    </row>
    <row r="119" spans="7:7">
      <c r="G119" s="5" t="str">
        <f t="shared" si="22"/>
        <v/>
      </c>
    </row>
    <row r="120" spans="7:7">
      <c r="G120" s="5" t="str">
        <f t="shared" si="22"/>
        <v/>
      </c>
    </row>
    <row r="121" spans="7:7">
      <c r="G121" s="5" t="str">
        <f t="shared" si="22"/>
        <v/>
      </c>
    </row>
    <row r="122" spans="7:7">
      <c r="G122" s="5" t="str">
        <f t="shared" si="22"/>
        <v/>
      </c>
    </row>
    <row r="123" spans="7:7">
      <c r="G123" s="5" t="str">
        <f t="shared" si="22"/>
        <v/>
      </c>
    </row>
    <row r="124" spans="7:7">
      <c r="G124" s="5" t="str">
        <f t="shared" si="22"/>
        <v/>
      </c>
    </row>
    <row r="125" spans="7:7">
      <c r="G125" s="5" t="str">
        <f t="shared" si="22"/>
        <v/>
      </c>
    </row>
    <row r="126" spans="7:7">
      <c r="G126" s="5" t="str">
        <f t="shared" si="22"/>
        <v/>
      </c>
    </row>
    <row r="127" spans="7:7">
      <c r="G127" s="5" t="str">
        <f t="shared" si="22"/>
        <v/>
      </c>
    </row>
    <row r="128" spans="7:7">
      <c r="G128" s="5" t="str">
        <f t="shared" si="22"/>
        <v/>
      </c>
    </row>
    <row r="129" spans="7:7">
      <c r="G129" s="5" t="str">
        <f t="shared" si="22"/>
        <v/>
      </c>
    </row>
    <row r="130" spans="7:7">
      <c r="G130" s="5" t="str">
        <f t="shared" si="22"/>
        <v/>
      </c>
    </row>
    <row r="131" spans="7:7">
      <c r="G131" s="5" t="str">
        <f t="shared" si="22"/>
        <v/>
      </c>
    </row>
    <row r="132" spans="7:7">
      <c r="G132" s="5" t="str">
        <f t="shared" si="22"/>
        <v/>
      </c>
    </row>
    <row r="133" spans="7:7">
      <c r="G133" s="5" t="str">
        <f t="shared" ref="G133:G196" si="23">IF(B133&lt;&gt;"",SUM(C133:F133),"")</f>
        <v/>
      </c>
    </row>
    <row r="134" spans="7:7">
      <c r="G134" s="5" t="str">
        <f t="shared" si="23"/>
        <v/>
      </c>
    </row>
    <row r="135" spans="7:7">
      <c r="G135" s="5" t="str">
        <f t="shared" si="23"/>
        <v/>
      </c>
    </row>
    <row r="136" spans="7:7">
      <c r="G136" s="5" t="str">
        <f t="shared" si="23"/>
        <v/>
      </c>
    </row>
    <row r="137" spans="7:7">
      <c r="G137" s="5" t="str">
        <f t="shared" si="23"/>
        <v/>
      </c>
    </row>
    <row r="138" spans="7:7">
      <c r="G138" s="5" t="str">
        <f t="shared" si="23"/>
        <v/>
      </c>
    </row>
    <row r="139" spans="7:7">
      <c r="G139" s="5" t="str">
        <f t="shared" si="23"/>
        <v/>
      </c>
    </row>
    <row r="140" spans="7:7">
      <c r="G140" s="5" t="str">
        <f t="shared" si="23"/>
        <v/>
      </c>
    </row>
    <row r="141" spans="7:7">
      <c r="G141" s="5" t="str">
        <f t="shared" si="23"/>
        <v/>
      </c>
    </row>
    <row r="142" spans="7:7">
      <c r="G142" s="5" t="str">
        <f t="shared" si="23"/>
        <v/>
      </c>
    </row>
    <row r="143" spans="7:7">
      <c r="G143" s="5" t="str">
        <f t="shared" si="23"/>
        <v/>
      </c>
    </row>
    <row r="144" spans="7:7">
      <c r="G144" s="5" t="str">
        <f t="shared" si="23"/>
        <v/>
      </c>
    </row>
    <row r="145" spans="7:7">
      <c r="G145" s="5" t="str">
        <f t="shared" si="23"/>
        <v/>
      </c>
    </row>
    <row r="146" spans="7:7">
      <c r="G146" s="5" t="str">
        <f t="shared" si="23"/>
        <v/>
      </c>
    </row>
    <row r="147" spans="7:7">
      <c r="G147" s="5" t="str">
        <f t="shared" si="23"/>
        <v/>
      </c>
    </row>
    <row r="148" spans="7:7">
      <c r="G148" s="5" t="str">
        <f t="shared" si="23"/>
        <v/>
      </c>
    </row>
    <row r="149" spans="7:7">
      <c r="G149" s="5" t="str">
        <f t="shared" si="23"/>
        <v/>
      </c>
    </row>
    <row r="150" spans="7:7">
      <c r="G150" s="5" t="str">
        <f t="shared" si="23"/>
        <v/>
      </c>
    </row>
    <row r="151" spans="7:7">
      <c r="G151" s="5" t="str">
        <f t="shared" si="23"/>
        <v/>
      </c>
    </row>
    <row r="152" spans="7:7">
      <c r="G152" s="5" t="str">
        <f t="shared" si="23"/>
        <v/>
      </c>
    </row>
    <row r="153" spans="7:7">
      <c r="G153" s="5" t="str">
        <f t="shared" si="23"/>
        <v/>
      </c>
    </row>
    <row r="154" spans="7:7">
      <c r="G154" s="5" t="str">
        <f t="shared" si="23"/>
        <v/>
      </c>
    </row>
    <row r="155" spans="7:7">
      <c r="G155" s="5" t="str">
        <f t="shared" si="23"/>
        <v/>
      </c>
    </row>
    <row r="156" spans="7:7">
      <c r="G156" s="5" t="str">
        <f t="shared" si="23"/>
        <v/>
      </c>
    </row>
    <row r="157" spans="7:7">
      <c r="G157" s="5" t="str">
        <f t="shared" si="23"/>
        <v/>
      </c>
    </row>
    <row r="158" spans="7:7">
      <c r="G158" s="5" t="str">
        <f t="shared" si="23"/>
        <v/>
      </c>
    </row>
    <row r="159" spans="7:7">
      <c r="G159" s="5" t="str">
        <f t="shared" si="23"/>
        <v/>
      </c>
    </row>
    <row r="160" spans="7:7">
      <c r="G160" s="5" t="str">
        <f t="shared" si="23"/>
        <v/>
      </c>
    </row>
    <row r="161" spans="7:7">
      <c r="G161" s="5" t="str">
        <f t="shared" si="23"/>
        <v/>
      </c>
    </row>
    <row r="162" spans="7:7">
      <c r="G162" s="5" t="str">
        <f t="shared" si="23"/>
        <v/>
      </c>
    </row>
    <row r="163" spans="7:7">
      <c r="G163" s="5" t="str">
        <f t="shared" si="23"/>
        <v/>
      </c>
    </row>
    <row r="164" spans="7:7">
      <c r="G164" s="5" t="str">
        <f t="shared" si="23"/>
        <v/>
      </c>
    </row>
    <row r="165" spans="7:7">
      <c r="G165" s="5" t="str">
        <f t="shared" si="23"/>
        <v/>
      </c>
    </row>
    <row r="166" spans="7:7">
      <c r="G166" s="5" t="str">
        <f t="shared" si="23"/>
        <v/>
      </c>
    </row>
    <row r="167" spans="7:7">
      <c r="G167" s="5" t="str">
        <f t="shared" si="23"/>
        <v/>
      </c>
    </row>
    <row r="168" spans="7:7">
      <c r="G168" s="5" t="str">
        <f t="shared" si="23"/>
        <v/>
      </c>
    </row>
    <row r="169" spans="7:7">
      <c r="G169" s="5" t="str">
        <f t="shared" si="23"/>
        <v/>
      </c>
    </row>
    <row r="170" spans="7:7">
      <c r="G170" s="5" t="str">
        <f t="shared" si="23"/>
        <v/>
      </c>
    </row>
    <row r="171" spans="7:7">
      <c r="G171" s="5" t="str">
        <f t="shared" si="23"/>
        <v/>
      </c>
    </row>
    <row r="172" spans="7:7">
      <c r="G172" s="5" t="str">
        <f t="shared" si="23"/>
        <v/>
      </c>
    </row>
    <row r="173" spans="7:7">
      <c r="G173" s="5" t="str">
        <f t="shared" si="23"/>
        <v/>
      </c>
    </row>
    <row r="174" spans="7:7">
      <c r="G174" s="5" t="str">
        <f t="shared" si="23"/>
        <v/>
      </c>
    </row>
    <row r="175" spans="7:7">
      <c r="G175" s="5" t="str">
        <f t="shared" si="23"/>
        <v/>
      </c>
    </row>
    <row r="176" spans="7:7">
      <c r="G176" s="5" t="str">
        <f t="shared" si="23"/>
        <v/>
      </c>
    </row>
    <row r="177" spans="7:7">
      <c r="G177" s="5" t="str">
        <f t="shared" si="23"/>
        <v/>
      </c>
    </row>
    <row r="178" spans="7:7">
      <c r="G178" s="5" t="str">
        <f t="shared" si="23"/>
        <v/>
      </c>
    </row>
    <row r="179" spans="7:7">
      <c r="G179" s="5" t="str">
        <f t="shared" si="23"/>
        <v/>
      </c>
    </row>
    <row r="180" spans="7:7">
      <c r="G180" s="5" t="str">
        <f t="shared" si="23"/>
        <v/>
      </c>
    </row>
    <row r="181" spans="7:7">
      <c r="G181" s="5" t="str">
        <f t="shared" si="23"/>
        <v/>
      </c>
    </row>
    <row r="182" spans="7:7">
      <c r="G182" s="5" t="str">
        <f t="shared" si="23"/>
        <v/>
      </c>
    </row>
    <row r="183" spans="7:7">
      <c r="G183" s="5" t="str">
        <f t="shared" si="23"/>
        <v/>
      </c>
    </row>
    <row r="184" spans="7:7">
      <c r="G184" s="5" t="str">
        <f t="shared" si="23"/>
        <v/>
      </c>
    </row>
    <row r="185" spans="7:7">
      <c r="G185" s="5" t="str">
        <f t="shared" si="23"/>
        <v/>
      </c>
    </row>
    <row r="186" spans="7:7">
      <c r="G186" s="5" t="str">
        <f t="shared" si="23"/>
        <v/>
      </c>
    </row>
    <row r="187" spans="7:7">
      <c r="G187" s="5" t="str">
        <f t="shared" si="23"/>
        <v/>
      </c>
    </row>
    <row r="188" spans="7:7">
      <c r="G188" s="5" t="str">
        <f t="shared" si="23"/>
        <v/>
      </c>
    </row>
    <row r="189" spans="7:7">
      <c r="G189" s="5" t="str">
        <f t="shared" si="23"/>
        <v/>
      </c>
    </row>
    <row r="190" spans="7:7">
      <c r="G190" s="5" t="str">
        <f t="shared" si="23"/>
        <v/>
      </c>
    </row>
    <row r="191" spans="7:7">
      <c r="G191" s="5" t="str">
        <f t="shared" si="23"/>
        <v/>
      </c>
    </row>
    <row r="192" spans="7:7">
      <c r="G192" s="5" t="str">
        <f t="shared" si="23"/>
        <v/>
      </c>
    </row>
    <row r="193" spans="7:7">
      <c r="G193" s="5" t="str">
        <f t="shared" si="23"/>
        <v/>
      </c>
    </row>
    <row r="194" spans="7:7">
      <c r="G194" s="5" t="str">
        <f t="shared" si="23"/>
        <v/>
      </c>
    </row>
    <row r="195" spans="7:7">
      <c r="G195" s="5" t="str">
        <f t="shared" si="23"/>
        <v/>
      </c>
    </row>
    <row r="196" spans="7:7">
      <c r="G196" s="5" t="str">
        <f t="shared" si="23"/>
        <v/>
      </c>
    </row>
    <row r="197" spans="7:7">
      <c r="G197" s="5" t="str">
        <f t="shared" ref="G197:G260" si="24">IF(B197&lt;&gt;"",SUM(C197:F197),"")</f>
        <v/>
      </c>
    </row>
    <row r="198" spans="7:7">
      <c r="G198" s="5" t="str">
        <f t="shared" si="24"/>
        <v/>
      </c>
    </row>
    <row r="199" spans="7:7">
      <c r="G199" s="5" t="str">
        <f t="shared" si="24"/>
        <v/>
      </c>
    </row>
    <row r="200" spans="7:7">
      <c r="G200" s="5" t="str">
        <f t="shared" si="24"/>
        <v/>
      </c>
    </row>
    <row r="201" spans="7:7">
      <c r="G201" s="5" t="str">
        <f t="shared" si="24"/>
        <v/>
      </c>
    </row>
    <row r="202" spans="7:7">
      <c r="G202" s="5" t="str">
        <f t="shared" si="24"/>
        <v/>
      </c>
    </row>
    <row r="203" spans="7:7">
      <c r="G203" s="5" t="str">
        <f t="shared" si="24"/>
        <v/>
      </c>
    </row>
    <row r="204" spans="7:7">
      <c r="G204" s="5" t="str">
        <f t="shared" si="24"/>
        <v/>
      </c>
    </row>
    <row r="205" spans="7:7">
      <c r="G205" s="5" t="str">
        <f t="shared" si="24"/>
        <v/>
      </c>
    </row>
    <row r="206" spans="7:7">
      <c r="G206" s="5" t="str">
        <f t="shared" si="24"/>
        <v/>
      </c>
    </row>
    <row r="207" spans="7:7">
      <c r="G207" s="5" t="str">
        <f t="shared" si="24"/>
        <v/>
      </c>
    </row>
    <row r="208" spans="7:7">
      <c r="G208" s="5" t="str">
        <f t="shared" si="24"/>
        <v/>
      </c>
    </row>
    <row r="209" spans="7:7">
      <c r="G209" s="5" t="str">
        <f t="shared" si="24"/>
        <v/>
      </c>
    </row>
    <row r="210" spans="7:7">
      <c r="G210" s="5" t="str">
        <f t="shared" si="24"/>
        <v/>
      </c>
    </row>
    <row r="211" spans="7:7">
      <c r="G211" s="5" t="str">
        <f t="shared" si="24"/>
        <v/>
      </c>
    </row>
    <row r="212" spans="7:7">
      <c r="G212" s="5" t="str">
        <f t="shared" si="24"/>
        <v/>
      </c>
    </row>
    <row r="213" spans="7:7">
      <c r="G213" s="5" t="str">
        <f t="shared" si="24"/>
        <v/>
      </c>
    </row>
    <row r="214" spans="7:7">
      <c r="G214" s="5" t="str">
        <f t="shared" si="24"/>
        <v/>
      </c>
    </row>
    <row r="215" spans="7:7">
      <c r="G215" s="5" t="str">
        <f t="shared" si="24"/>
        <v/>
      </c>
    </row>
    <row r="216" spans="7:7">
      <c r="G216" s="5" t="str">
        <f t="shared" si="24"/>
        <v/>
      </c>
    </row>
    <row r="217" spans="7:7">
      <c r="G217" s="5" t="str">
        <f t="shared" si="24"/>
        <v/>
      </c>
    </row>
    <row r="218" spans="7:7">
      <c r="G218" s="5" t="str">
        <f t="shared" si="24"/>
        <v/>
      </c>
    </row>
    <row r="219" spans="7:7">
      <c r="G219" s="5" t="str">
        <f t="shared" si="24"/>
        <v/>
      </c>
    </row>
    <row r="220" spans="7:7">
      <c r="G220" s="5" t="str">
        <f t="shared" si="24"/>
        <v/>
      </c>
    </row>
    <row r="221" spans="7:7">
      <c r="G221" s="5" t="str">
        <f t="shared" si="24"/>
        <v/>
      </c>
    </row>
    <row r="222" spans="7:7">
      <c r="G222" s="5" t="str">
        <f t="shared" si="24"/>
        <v/>
      </c>
    </row>
    <row r="223" spans="7:7">
      <c r="G223" s="5" t="str">
        <f t="shared" si="24"/>
        <v/>
      </c>
    </row>
    <row r="224" spans="7:7">
      <c r="G224" s="5" t="str">
        <f t="shared" si="24"/>
        <v/>
      </c>
    </row>
    <row r="225" spans="7:7">
      <c r="G225" s="5" t="str">
        <f t="shared" si="24"/>
        <v/>
      </c>
    </row>
    <row r="226" spans="7:7">
      <c r="G226" s="5" t="str">
        <f t="shared" si="24"/>
        <v/>
      </c>
    </row>
    <row r="227" spans="7:7">
      <c r="G227" s="5" t="str">
        <f t="shared" si="24"/>
        <v/>
      </c>
    </row>
    <row r="228" spans="7:7">
      <c r="G228" s="5" t="str">
        <f t="shared" si="24"/>
        <v/>
      </c>
    </row>
    <row r="229" spans="7:7">
      <c r="G229" s="5" t="str">
        <f t="shared" si="24"/>
        <v/>
      </c>
    </row>
    <row r="230" spans="7:7">
      <c r="G230" s="5" t="str">
        <f t="shared" si="24"/>
        <v/>
      </c>
    </row>
    <row r="231" spans="7:7">
      <c r="G231" s="5" t="str">
        <f t="shared" si="24"/>
        <v/>
      </c>
    </row>
    <row r="232" spans="7:7">
      <c r="G232" s="5" t="str">
        <f t="shared" si="24"/>
        <v/>
      </c>
    </row>
    <row r="233" spans="7:7">
      <c r="G233" s="5" t="str">
        <f t="shared" si="24"/>
        <v/>
      </c>
    </row>
    <row r="234" spans="7:7">
      <c r="G234" s="5" t="str">
        <f t="shared" si="24"/>
        <v/>
      </c>
    </row>
    <row r="235" spans="7:7">
      <c r="G235" s="5" t="str">
        <f t="shared" si="24"/>
        <v/>
      </c>
    </row>
    <row r="236" spans="7:7">
      <c r="G236" s="5" t="str">
        <f t="shared" si="24"/>
        <v/>
      </c>
    </row>
    <row r="237" spans="7:7">
      <c r="G237" s="5" t="str">
        <f t="shared" si="24"/>
        <v/>
      </c>
    </row>
    <row r="238" spans="7:7">
      <c r="G238" s="5" t="str">
        <f t="shared" si="24"/>
        <v/>
      </c>
    </row>
    <row r="239" spans="7:7">
      <c r="G239" s="5" t="str">
        <f t="shared" si="24"/>
        <v/>
      </c>
    </row>
    <row r="240" spans="7:7">
      <c r="G240" s="5" t="str">
        <f t="shared" si="24"/>
        <v/>
      </c>
    </row>
    <row r="241" spans="7:7">
      <c r="G241" s="5" t="str">
        <f t="shared" si="24"/>
        <v/>
      </c>
    </row>
    <row r="242" spans="7:7">
      <c r="G242" s="5" t="str">
        <f t="shared" si="24"/>
        <v/>
      </c>
    </row>
    <row r="243" spans="7:7">
      <c r="G243" s="5" t="str">
        <f t="shared" si="24"/>
        <v/>
      </c>
    </row>
    <row r="244" spans="7:7">
      <c r="G244" s="5" t="str">
        <f t="shared" si="24"/>
        <v/>
      </c>
    </row>
    <row r="245" spans="7:7">
      <c r="G245" s="5" t="str">
        <f t="shared" si="24"/>
        <v/>
      </c>
    </row>
    <row r="246" spans="7:7">
      <c r="G246" s="5" t="str">
        <f t="shared" si="24"/>
        <v/>
      </c>
    </row>
    <row r="247" spans="7:7">
      <c r="G247" s="5" t="str">
        <f t="shared" si="24"/>
        <v/>
      </c>
    </row>
    <row r="248" spans="7:7">
      <c r="G248" s="5" t="str">
        <f t="shared" si="24"/>
        <v/>
      </c>
    </row>
    <row r="249" spans="7:7">
      <c r="G249" s="5" t="str">
        <f t="shared" si="24"/>
        <v/>
      </c>
    </row>
    <row r="250" spans="7:7">
      <c r="G250" s="5" t="str">
        <f t="shared" si="24"/>
        <v/>
      </c>
    </row>
    <row r="251" spans="7:7">
      <c r="G251" s="5" t="str">
        <f t="shared" si="24"/>
        <v/>
      </c>
    </row>
    <row r="252" spans="7:7">
      <c r="G252" s="5" t="str">
        <f t="shared" si="24"/>
        <v/>
      </c>
    </row>
    <row r="253" spans="7:7">
      <c r="G253" s="5" t="str">
        <f t="shared" si="24"/>
        <v/>
      </c>
    </row>
    <row r="254" spans="7:7">
      <c r="G254" s="5" t="str">
        <f t="shared" si="24"/>
        <v/>
      </c>
    </row>
    <row r="255" spans="7:7">
      <c r="G255" s="5" t="str">
        <f t="shared" si="24"/>
        <v/>
      </c>
    </row>
    <row r="256" spans="7:7">
      <c r="G256" s="5" t="str">
        <f t="shared" si="24"/>
        <v/>
      </c>
    </row>
    <row r="257" spans="7:7">
      <c r="G257" s="5" t="str">
        <f t="shared" si="24"/>
        <v/>
      </c>
    </row>
    <row r="258" spans="7:7">
      <c r="G258" s="5" t="str">
        <f t="shared" si="24"/>
        <v/>
      </c>
    </row>
    <row r="259" spans="7:7">
      <c r="G259" s="5" t="str">
        <f t="shared" si="24"/>
        <v/>
      </c>
    </row>
    <row r="260" spans="7:7">
      <c r="G260" s="5" t="str">
        <f t="shared" si="24"/>
        <v/>
      </c>
    </row>
    <row r="261" spans="7:7">
      <c r="G261" s="5" t="str">
        <f t="shared" ref="G261:G324" si="25">IF(B261&lt;&gt;"",SUM(C261:F261),"")</f>
        <v/>
      </c>
    </row>
    <row r="262" spans="7:7">
      <c r="G262" s="5" t="str">
        <f t="shared" si="25"/>
        <v/>
      </c>
    </row>
    <row r="263" spans="7:7">
      <c r="G263" s="5" t="str">
        <f t="shared" si="25"/>
        <v/>
      </c>
    </row>
    <row r="264" spans="7:7">
      <c r="G264" s="5" t="str">
        <f t="shared" si="25"/>
        <v/>
      </c>
    </row>
    <row r="265" spans="7:7">
      <c r="G265" s="5" t="str">
        <f t="shared" si="25"/>
        <v/>
      </c>
    </row>
    <row r="266" spans="7:7">
      <c r="G266" s="5" t="str">
        <f t="shared" si="25"/>
        <v/>
      </c>
    </row>
    <row r="267" spans="7:7">
      <c r="G267" s="5" t="str">
        <f t="shared" si="25"/>
        <v/>
      </c>
    </row>
    <row r="268" spans="7:7">
      <c r="G268" s="5" t="str">
        <f t="shared" si="25"/>
        <v/>
      </c>
    </row>
    <row r="269" spans="7:7">
      <c r="G269" s="5" t="str">
        <f t="shared" si="25"/>
        <v/>
      </c>
    </row>
    <row r="270" spans="7:7">
      <c r="G270" s="5" t="str">
        <f t="shared" si="25"/>
        <v/>
      </c>
    </row>
    <row r="271" spans="7:7">
      <c r="G271" s="5" t="str">
        <f t="shared" si="25"/>
        <v/>
      </c>
    </row>
    <row r="272" spans="7:7">
      <c r="G272" s="5" t="str">
        <f t="shared" si="25"/>
        <v/>
      </c>
    </row>
    <row r="273" spans="7:7">
      <c r="G273" s="5" t="str">
        <f t="shared" si="25"/>
        <v/>
      </c>
    </row>
    <row r="274" spans="7:7">
      <c r="G274" s="5" t="str">
        <f t="shared" si="25"/>
        <v/>
      </c>
    </row>
    <row r="275" spans="7:7">
      <c r="G275" s="5" t="str">
        <f t="shared" si="25"/>
        <v/>
      </c>
    </row>
    <row r="276" spans="7:7">
      <c r="G276" s="5" t="str">
        <f t="shared" si="25"/>
        <v/>
      </c>
    </row>
    <row r="277" spans="7:7">
      <c r="G277" s="5" t="str">
        <f t="shared" si="25"/>
        <v/>
      </c>
    </row>
    <row r="278" spans="7:7">
      <c r="G278" s="5" t="str">
        <f t="shared" si="25"/>
        <v/>
      </c>
    </row>
    <row r="279" spans="7:7">
      <c r="G279" s="5" t="str">
        <f t="shared" si="25"/>
        <v/>
      </c>
    </row>
    <row r="280" spans="7:7">
      <c r="G280" s="5" t="str">
        <f t="shared" si="25"/>
        <v/>
      </c>
    </row>
    <row r="281" spans="7:7">
      <c r="G281" s="5" t="str">
        <f t="shared" si="25"/>
        <v/>
      </c>
    </row>
    <row r="282" spans="7:7">
      <c r="G282" s="5" t="str">
        <f t="shared" si="25"/>
        <v/>
      </c>
    </row>
    <row r="283" spans="7:7">
      <c r="G283" s="5" t="str">
        <f t="shared" si="25"/>
        <v/>
      </c>
    </row>
    <row r="284" spans="7:7">
      <c r="G284" s="5" t="str">
        <f t="shared" si="25"/>
        <v/>
      </c>
    </row>
    <row r="285" spans="7:7">
      <c r="G285" s="5" t="str">
        <f t="shared" si="25"/>
        <v/>
      </c>
    </row>
    <row r="286" spans="7:7">
      <c r="G286" s="5" t="str">
        <f t="shared" si="25"/>
        <v/>
      </c>
    </row>
    <row r="287" spans="7:7">
      <c r="G287" s="5" t="str">
        <f t="shared" si="25"/>
        <v/>
      </c>
    </row>
    <row r="288" spans="7:7">
      <c r="G288" s="5" t="str">
        <f t="shared" si="25"/>
        <v/>
      </c>
    </row>
    <row r="289" spans="7:7">
      <c r="G289" s="5" t="str">
        <f t="shared" si="25"/>
        <v/>
      </c>
    </row>
    <row r="290" spans="7:7">
      <c r="G290" s="5" t="str">
        <f t="shared" si="25"/>
        <v/>
      </c>
    </row>
    <row r="291" spans="7:7">
      <c r="G291" s="5" t="str">
        <f t="shared" si="25"/>
        <v/>
      </c>
    </row>
    <row r="292" spans="7:7">
      <c r="G292" s="5" t="str">
        <f t="shared" si="25"/>
        <v/>
      </c>
    </row>
    <row r="293" spans="7:7">
      <c r="G293" s="5" t="str">
        <f t="shared" si="25"/>
        <v/>
      </c>
    </row>
    <row r="294" spans="7:7">
      <c r="G294" s="5" t="str">
        <f t="shared" si="25"/>
        <v/>
      </c>
    </row>
    <row r="295" spans="7:7">
      <c r="G295" s="5" t="str">
        <f t="shared" si="25"/>
        <v/>
      </c>
    </row>
    <row r="296" spans="7:7">
      <c r="G296" s="5" t="str">
        <f t="shared" si="25"/>
        <v/>
      </c>
    </row>
    <row r="297" spans="7:7">
      <c r="G297" s="5" t="str">
        <f t="shared" si="25"/>
        <v/>
      </c>
    </row>
    <row r="298" spans="7:7">
      <c r="G298" s="5" t="str">
        <f t="shared" si="25"/>
        <v/>
      </c>
    </row>
    <row r="299" spans="7:7">
      <c r="G299" s="5" t="str">
        <f t="shared" si="25"/>
        <v/>
      </c>
    </row>
    <row r="300" spans="7:7">
      <c r="G300" s="5" t="str">
        <f t="shared" si="25"/>
        <v/>
      </c>
    </row>
    <row r="301" spans="7:7">
      <c r="G301" s="5" t="str">
        <f t="shared" si="25"/>
        <v/>
      </c>
    </row>
    <row r="302" spans="7:7">
      <c r="G302" s="5" t="str">
        <f t="shared" si="25"/>
        <v/>
      </c>
    </row>
    <row r="303" spans="7:7">
      <c r="G303" s="5" t="str">
        <f t="shared" si="25"/>
        <v/>
      </c>
    </row>
    <row r="304" spans="7:7">
      <c r="G304" s="5" t="str">
        <f t="shared" si="25"/>
        <v/>
      </c>
    </row>
    <row r="305" spans="7:7">
      <c r="G305" s="5" t="str">
        <f t="shared" si="25"/>
        <v/>
      </c>
    </row>
    <row r="306" spans="7:7">
      <c r="G306" s="5" t="str">
        <f t="shared" si="25"/>
        <v/>
      </c>
    </row>
    <row r="307" spans="7:7">
      <c r="G307" s="5" t="str">
        <f t="shared" si="25"/>
        <v/>
      </c>
    </row>
    <row r="308" spans="7:7">
      <c r="G308" s="5" t="str">
        <f t="shared" si="25"/>
        <v/>
      </c>
    </row>
    <row r="309" spans="7:7">
      <c r="G309" s="5" t="str">
        <f t="shared" si="25"/>
        <v/>
      </c>
    </row>
    <row r="310" spans="7:7">
      <c r="G310" s="5" t="str">
        <f t="shared" si="25"/>
        <v/>
      </c>
    </row>
    <row r="311" spans="7:7">
      <c r="G311" s="5" t="str">
        <f t="shared" si="25"/>
        <v/>
      </c>
    </row>
    <row r="312" spans="7:7">
      <c r="G312" s="5" t="str">
        <f t="shared" si="25"/>
        <v/>
      </c>
    </row>
    <row r="313" spans="7:7">
      <c r="G313" s="5" t="str">
        <f t="shared" si="25"/>
        <v/>
      </c>
    </row>
    <row r="314" spans="7:7">
      <c r="G314" s="5" t="str">
        <f t="shared" si="25"/>
        <v/>
      </c>
    </row>
    <row r="315" spans="7:7">
      <c r="G315" s="5" t="str">
        <f t="shared" si="25"/>
        <v/>
      </c>
    </row>
    <row r="316" spans="7:7">
      <c r="G316" s="5" t="str">
        <f t="shared" si="25"/>
        <v/>
      </c>
    </row>
    <row r="317" spans="7:7">
      <c r="G317" s="5" t="str">
        <f t="shared" si="25"/>
        <v/>
      </c>
    </row>
    <row r="318" spans="7:7">
      <c r="G318" s="5" t="str">
        <f t="shared" si="25"/>
        <v/>
      </c>
    </row>
    <row r="319" spans="7:7">
      <c r="G319" s="5" t="str">
        <f t="shared" si="25"/>
        <v/>
      </c>
    </row>
    <row r="320" spans="7:7">
      <c r="G320" s="5" t="str">
        <f t="shared" si="25"/>
        <v/>
      </c>
    </row>
    <row r="321" spans="7:7">
      <c r="G321" s="5" t="str">
        <f t="shared" si="25"/>
        <v/>
      </c>
    </row>
    <row r="322" spans="7:7">
      <c r="G322" s="5" t="str">
        <f t="shared" si="25"/>
        <v/>
      </c>
    </row>
    <row r="323" spans="7:7">
      <c r="G323" s="5" t="str">
        <f t="shared" si="25"/>
        <v/>
      </c>
    </row>
    <row r="324" spans="7:7">
      <c r="G324" s="5" t="str">
        <f t="shared" si="25"/>
        <v/>
      </c>
    </row>
    <row r="325" spans="7:7">
      <c r="G325" s="5" t="str">
        <f t="shared" ref="G325:G388" si="26">IF(B325&lt;&gt;"",SUM(C325:F325),"")</f>
        <v/>
      </c>
    </row>
    <row r="326" spans="7:7">
      <c r="G326" s="5" t="str">
        <f t="shared" si="26"/>
        <v/>
      </c>
    </row>
    <row r="327" spans="7:7">
      <c r="G327" s="5" t="str">
        <f t="shared" si="26"/>
        <v/>
      </c>
    </row>
    <row r="328" spans="7:7">
      <c r="G328" s="5" t="str">
        <f t="shared" si="26"/>
        <v/>
      </c>
    </row>
    <row r="329" spans="7:7">
      <c r="G329" s="5" t="str">
        <f t="shared" si="26"/>
        <v/>
      </c>
    </row>
    <row r="330" spans="7:7">
      <c r="G330" s="5" t="str">
        <f t="shared" si="26"/>
        <v/>
      </c>
    </row>
    <row r="331" spans="7:7">
      <c r="G331" s="5" t="str">
        <f t="shared" si="26"/>
        <v/>
      </c>
    </row>
    <row r="332" spans="7:7">
      <c r="G332" s="5" t="str">
        <f t="shared" si="26"/>
        <v/>
      </c>
    </row>
    <row r="333" spans="7:7">
      <c r="G333" s="5" t="str">
        <f t="shared" si="26"/>
        <v/>
      </c>
    </row>
    <row r="334" spans="7:7">
      <c r="G334" s="5" t="str">
        <f t="shared" si="26"/>
        <v/>
      </c>
    </row>
    <row r="335" spans="7:7">
      <c r="G335" s="5" t="str">
        <f t="shared" si="26"/>
        <v/>
      </c>
    </row>
    <row r="336" spans="7:7">
      <c r="G336" s="5" t="str">
        <f t="shared" si="26"/>
        <v/>
      </c>
    </row>
    <row r="337" spans="7:7">
      <c r="G337" s="5" t="str">
        <f t="shared" si="26"/>
        <v/>
      </c>
    </row>
    <row r="338" spans="7:7">
      <c r="G338" s="5" t="str">
        <f t="shared" si="26"/>
        <v/>
      </c>
    </row>
    <row r="339" spans="7:7">
      <c r="G339" s="5" t="str">
        <f t="shared" si="26"/>
        <v/>
      </c>
    </row>
    <row r="340" spans="7:7">
      <c r="G340" s="5" t="str">
        <f t="shared" si="26"/>
        <v/>
      </c>
    </row>
    <row r="341" spans="7:7">
      <c r="G341" s="5" t="str">
        <f t="shared" si="26"/>
        <v/>
      </c>
    </row>
    <row r="342" spans="7:7">
      <c r="G342" s="5" t="str">
        <f t="shared" si="26"/>
        <v/>
      </c>
    </row>
    <row r="343" spans="7:7">
      <c r="G343" s="5" t="str">
        <f t="shared" si="26"/>
        <v/>
      </c>
    </row>
    <row r="344" spans="7:7">
      <c r="G344" s="5" t="str">
        <f t="shared" si="26"/>
        <v/>
      </c>
    </row>
    <row r="345" spans="7:7">
      <c r="G345" s="5" t="str">
        <f t="shared" si="26"/>
        <v/>
      </c>
    </row>
    <row r="346" spans="7:7">
      <c r="G346" s="5" t="str">
        <f t="shared" si="26"/>
        <v/>
      </c>
    </row>
    <row r="347" spans="7:7">
      <c r="G347" s="5" t="str">
        <f t="shared" si="26"/>
        <v/>
      </c>
    </row>
    <row r="348" spans="7:7">
      <c r="G348" s="5" t="str">
        <f t="shared" si="26"/>
        <v/>
      </c>
    </row>
    <row r="349" spans="7:7">
      <c r="G349" s="5" t="str">
        <f t="shared" si="26"/>
        <v/>
      </c>
    </row>
    <row r="350" spans="7:7">
      <c r="G350" s="5" t="str">
        <f t="shared" si="26"/>
        <v/>
      </c>
    </row>
    <row r="351" spans="7:7">
      <c r="G351" s="5" t="str">
        <f t="shared" si="26"/>
        <v/>
      </c>
    </row>
    <row r="352" spans="7:7">
      <c r="G352" s="5" t="str">
        <f t="shared" si="26"/>
        <v/>
      </c>
    </row>
    <row r="353" spans="7:7">
      <c r="G353" s="5" t="str">
        <f t="shared" si="26"/>
        <v/>
      </c>
    </row>
    <row r="354" spans="7:7">
      <c r="G354" s="5" t="str">
        <f t="shared" si="26"/>
        <v/>
      </c>
    </row>
    <row r="355" spans="7:7">
      <c r="G355" s="5" t="str">
        <f t="shared" si="26"/>
        <v/>
      </c>
    </row>
    <row r="356" spans="7:7">
      <c r="G356" s="5" t="str">
        <f t="shared" si="26"/>
        <v/>
      </c>
    </row>
    <row r="357" spans="7:7">
      <c r="G357" s="5" t="str">
        <f t="shared" si="26"/>
        <v/>
      </c>
    </row>
    <row r="358" spans="7:7">
      <c r="G358" s="5" t="str">
        <f t="shared" si="26"/>
        <v/>
      </c>
    </row>
    <row r="359" spans="7:7">
      <c r="G359" s="5" t="str">
        <f t="shared" si="26"/>
        <v/>
      </c>
    </row>
    <row r="360" spans="7:7">
      <c r="G360" s="5" t="str">
        <f t="shared" si="26"/>
        <v/>
      </c>
    </row>
    <row r="361" spans="7:7">
      <c r="G361" s="5" t="str">
        <f t="shared" si="26"/>
        <v/>
      </c>
    </row>
    <row r="362" spans="7:7">
      <c r="G362" s="5" t="str">
        <f t="shared" si="26"/>
        <v/>
      </c>
    </row>
    <row r="363" spans="7:7">
      <c r="G363" s="5" t="str">
        <f t="shared" si="26"/>
        <v/>
      </c>
    </row>
    <row r="364" spans="7:7">
      <c r="G364" s="5" t="str">
        <f t="shared" si="26"/>
        <v/>
      </c>
    </row>
    <row r="365" spans="7:7">
      <c r="G365" s="5" t="str">
        <f t="shared" si="26"/>
        <v/>
      </c>
    </row>
    <row r="366" spans="7:7">
      <c r="G366" s="5" t="str">
        <f t="shared" si="26"/>
        <v/>
      </c>
    </row>
    <row r="367" spans="7:7">
      <c r="G367" s="5" t="str">
        <f t="shared" si="26"/>
        <v/>
      </c>
    </row>
    <row r="368" spans="7:7">
      <c r="G368" s="5" t="str">
        <f t="shared" si="26"/>
        <v/>
      </c>
    </row>
    <row r="369" spans="7:7">
      <c r="G369" s="5" t="str">
        <f t="shared" si="26"/>
        <v/>
      </c>
    </row>
    <row r="370" spans="7:7">
      <c r="G370" s="5" t="str">
        <f t="shared" si="26"/>
        <v/>
      </c>
    </row>
    <row r="371" spans="7:7">
      <c r="G371" s="5" t="str">
        <f t="shared" si="26"/>
        <v/>
      </c>
    </row>
    <row r="372" spans="7:7">
      <c r="G372" s="5" t="str">
        <f t="shared" si="26"/>
        <v/>
      </c>
    </row>
    <row r="373" spans="7:7">
      <c r="G373" s="5" t="str">
        <f t="shared" si="26"/>
        <v/>
      </c>
    </row>
    <row r="374" spans="7:7">
      <c r="G374" s="5" t="str">
        <f t="shared" si="26"/>
        <v/>
      </c>
    </row>
    <row r="375" spans="7:7">
      <c r="G375" s="5" t="str">
        <f t="shared" si="26"/>
        <v/>
      </c>
    </row>
    <row r="376" spans="7:7">
      <c r="G376" s="5" t="str">
        <f t="shared" si="26"/>
        <v/>
      </c>
    </row>
    <row r="377" spans="7:7">
      <c r="G377" s="5" t="str">
        <f t="shared" si="26"/>
        <v/>
      </c>
    </row>
    <row r="378" spans="7:7">
      <c r="G378" s="5" t="str">
        <f t="shared" si="26"/>
        <v/>
      </c>
    </row>
    <row r="379" spans="7:7">
      <c r="G379" s="5" t="str">
        <f t="shared" si="26"/>
        <v/>
      </c>
    </row>
    <row r="380" spans="7:7">
      <c r="G380" s="5" t="str">
        <f t="shared" si="26"/>
        <v/>
      </c>
    </row>
    <row r="381" spans="7:7">
      <c r="G381" s="5" t="str">
        <f t="shared" si="26"/>
        <v/>
      </c>
    </row>
    <row r="382" spans="7:7">
      <c r="G382" s="5" t="str">
        <f t="shared" si="26"/>
        <v/>
      </c>
    </row>
    <row r="383" spans="7:7">
      <c r="G383" s="5" t="str">
        <f t="shared" si="26"/>
        <v/>
      </c>
    </row>
    <row r="384" spans="7:7">
      <c r="G384" s="5" t="str">
        <f t="shared" si="26"/>
        <v/>
      </c>
    </row>
    <row r="385" spans="7:7">
      <c r="G385" s="5" t="str">
        <f t="shared" si="26"/>
        <v/>
      </c>
    </row>
    <row r="386" spans="7:7">
      <c r="G386" s="5" t="str">
        <f t="shared" si="26"/>
        <v/>
      </c>
    </row>
    <row r="387" spans="7:7">
      <c r="G387" s="5" t="str">
        <f t="shared" si="26"/>
        <v/>
      </c>
    </row>
    <row r="388" spans="7:7">
      <c r="G388" s="5" t="str">
        <f t="shared" si="26"/>
        <v/>
      </c>
    </row>
    <row r="389" spans="7:7">
      <c r="G389" s="5" t="str">
        <f t="shared" ref="G389:G452" si="27">IF(B389&lt;&gt;"",SUM(C389:F389),"")</f>
        <v/>
      </c>
    </row>
    <row r="390" spans="7:7">
      <c r="G390" s="5" t="str">
        <f t="shared" si="27"/>
        <v/>
      </c>
    </row>
    <row r="391" spans="7:7">
      <c r="G391" s="5" t="str">
        <f t="shared" si="27"/>
        <v/>
      </c>
    </row>
    <row r="392" spans="7:7">
      <c r="G392" s="5" t="str">
        <f t="shared" si="27"/>
        <v/>
      </c>
    </row>
    <row r="393" spans="7:7">
      <c r="G393" s="5" t="str">
        <f t="shared" si="27"/>
        <v/>
      </c>
    </row>
    <row r="394" spans="7:7">
      <c r="G394" s="5" t="str">
        <f t="shared" si="27"/>
        <v/>
      </c>
    </row>
    <row r="395" spans="7:7">
      <c r="G395" s="5" t="str">
        <f t="shared" si="27"/>
        <v/>
      </c>
    </row>
    <row r="396" spans="7:7">
      <c r="G396" s="5" t="str">
        <f t="shared" si="27"/>
        <v/>
      </c>
    </row>
    <row r="397" spans="7:7">
      <c r="G397" s="5" t="str">
        <f t="shared" si="27"/>
        <v/>
      </c>
    </row>
    <row r="398" spans="7:7">
      <c r="G398" s="5" t="str">
        <f t="shared" si="27"/>
        <v/>
      </c>
    </row>
    <row r="399" spans="7:7">
      <c r="G399" s="5" t="str">
        <f t="shared" si="27"/>
        <v/>
      </c>
    </row>
    <row r="400" spans="7:7">
      <c r="G400" s="5" t="str">
        <f t="shared" si="27"/>
        <v/>
      </c>
    </row>
    <row r="401" spans="7:7">
      <c r="G401" s="5" t="str">
        <f t="shared" si="27"/>
        <v/>
      </c>
    </row>
    <row r="402" spans="7:7">
      <c r="G402" s="5" t="str">
        <f t="shared" si="27"/>
        <v/>
      </c>
    </row>
    <row r="403" spans="7:7">
      <c r="G403" s="5" t="str">
        <f t="shared" si="27"/>
        <v/>
      </c>
    </row>
    <row r="404" spans="7:7">
      <c r="G404" s="5" t="str">
        <f t="shared" si="27"/>
        <v/>
      </c>
    </row>
    <row r="405" spans="7:7">
      <c r="G405" s="5" t="str">
        <f t="shared" si="27"/>
        <v/>
      </c>
    </row>
    <row r="406" spans="7:7">
      <c r="G406" s="5" t="str">
        <f t="shared" si="27"/>
        <v/>
      </c>
    </row>
    <row r="407" spans="7:7">
      <c r="G407" s="5" t="str">
        <f t="shared" si="27"/>
        <v/>
      </c>
    </row>
    <row r="408" spans="7:7">
      <c r="G408" s="5" t="str">
        <f t="shared" si="27"/>
        <v/>
      </c>
    </row>
    <row r="409" spans="7:7">
      <c r="G409" s="5" t="str">
        <f t="shared" si="27"/>
        <v/>
      </c>
    </row>
    <row r="410" spans="7:7">
      <c r="G410" s="5" t="str">
        <f t="shared" si="27"/>
        <v/>
      </c>
    </row>
    <row r="411" spans="7:7">
      <c r="G411" s="5" t="str">
        <f t="shared" si="27"/>
        <v/>
      </c>
    </row>
    <row r="412" spans="7:7">
      <c r="G412" s="5" t="str">
        <f t="shared" si="27"/>
        <v/>
      </c>
    </row>
    <row r="413" spans="7:7">
      <c r="G413" s="5" t="str">
        <f t="shared" si="27"/>
        <v/>
      </c>
    </row>
    <row r="414" spans="7:7">
      <c r="G414" s="5" t="str">
        <f t="shared" si="27"/>
        <v/>
      </c>
    </row>
    <row r="415" spans="7:7">
      <c r="G415" s="5" t="str">
        <f t="shared" si="27"/>
        <v/>
      </c>
    </row>
    <row r="416" spans="7:7">
      <c r="G416" s="5" t="str">
        <f t="shared" si="27"/>
        <v/>
      </c>
    </row>
    <row r="417" spans="7:7">
      <c r="G417" s="5" t="str">
        <f t="shared" si="27"/>
        <v/>
      </c>
    </row>
    <row r="418" spans="7:7">
      <c r="G418" s="5" t="str">
        <f t="shared" si="27"/>
        <v/>
      </c>
    </row>
    <row r="419" spans="7:7">
      <c r="G419" s="5" t="str">
        <f t="shared" si="27"/>
        <v/>
      </c>
    </row>
    <row r="420" spans="7:7">
      <c r="G420" s="5" t="str">
        <f t="shared" si="27"/>
        <v/>
      </c>
    </row>
    <row r="421" spans="7:7">
      <c r="G421" s="5" t="str">
        <f t="shared" si="27"/>
        <v/>
      </c>
    </row>
    <row r="422" spans="7:7">
      <c r="G422" s="5" t="str">
        <f t="shared" si="27"/>
        <v/>
      </c>
    </row>
    <row r="423" spans="7:7">
      <c r="G423" s="5" t="str">
        <f t="shared" si="27"/>
        <v/>
      </c>
    </row>
    <row r="424" spans="7:7">
      <c r="G424" s="5" t="str">
        <f t="shared" si="27"/>
        <v/>
      </c>
    </row>
    <row r="425" spans="7:7">
      <c r="G425" s="5" t="str">
        <f t="shared" si="27"/>
        <v/>
      </c>
    </row>
    <row r="426" spans="7:7">
      <c r="G426" s="5" t="str">
        <f t="shared" si="27"/>
        <v/>
      </c>
    </row>
    <row r="427" spans="7:7">
      <c r="G427" s="5" t="str">
        <f t="shared" si="27"/>
        <v/>
      </c>
    </row>
    <row r="428" spans="7:7">
      <c r="G428" s="5" t="str">
        <f t="shared" si="27"/>
        <v/>
      </c>
    </row>
    <row r="429" spans="7:7">
      <c r="G429" s="5" t="str">
        <f t="shared" si="27"/>
        <v/>
      </c>
    </row>
    <row r="430" spans="7:7">
      <c r="G430" s="5" t="str">
        <f t="shared" si="27"/>
        <v/>
      </c>
    </row>
    <row r="431" spans="7:7">
      <c r="G431" s="5" t="str">
        <f t="shared" si="27"/>
        <v/>
      </c>
    </row>
    <row r="432" spans="7:7">
      <c r="G432" s="5" t="str">
        <f t="shared" si="27"/>
        <v/>
      </c>
    </row>
    <row r="433" spans="7:7">
      <c r="G433" s="5" t="str">
        <f t="shared" si="27"/>
        <v/>
      </c>
    </row>
    <row r="434" spans="7:7">
      <c r="G434" s="5" t="str">
        <f t="shared" si="27"/>
        <v/>
      </c>
    </row>
    <row r="435" spans="7:7">
      <c r="G435" s="5" t="str">
        <f t="shared" si="27"/>
        <v/>
      </c>
    </row>
    <row r="436" spans="7:7">
      <c r="G436" s="5" t="str">
        <f t="shared" si="27"/>
        <v/>
      </c>
    </row>
    <row r="437" spans="7:7">
      <c r="G437" s="5" t="str">
        <f t="shared" si="27"/>
        <v/>
      </c>
    </row>
    <row r="438" spans="7:7">
      <c r="G438" s="5" t="str">
        <f t="shared" si="27"/>
        <v/>
      </c>
    </row>
    <row r="439" spans="7:7">
      <c r="G439" s="5" t="str">
        <f t="shared" si="27"/>
        <v/>
      </c>
    </row>
    <row r="440" spans="7:7">
      <c r="G440" s="5" t="str">
        <f t="shared" si="27"/>
        <v/>
      </c>
    </row>
    <row r="441" spans="7:7">
      <c r="G441" s="5" t="str">
        <f t="shared" si="27"/>
        <v/>
      </c>
    </row>
    <row r="442" spans="7:7">
      <c r="G442" s="5" t="str">
        <f t="shared" si="27"/>
        <v/>
      </c>
    </row>
    <row r="443" spans="7:7">
      <c r="G443" s="5" t="str">
        <f t="shared" si="27"/>
        <v/>
      </c>
    </row>
    <row r="444" spans="7:7">
      <c r="G444" s="5" t="str">
        <f t="shared" si="27"/>
        <v/>
      </c>
    </row>
    <row r="445" spans="7:7">
      <c r="G445" s="5" t="str">
        <f t="shared" si="27"/>
        <v/>
      </c>
    </row>
    <row r="446" spans="7:7">
      <c r="G446" s="5" t="str">
        <f t="shared" si="27"/>
        <v/>
      </c>
    </row>
    <row r="447" spans="7:7">
      <c r="G447" s="5" t="str">
        <f t="shared" si="27"/>
        <v/>
      </c>
    </row>
    <row r="448" spans="7:7">
      <c r="G448" s="5" t="str">
        <f t="shared" si="27"/>
        <v/>
      </c>
    </row>
    <row r="449" spans="7:7">
      <c r="G449" s="5" t="str">
        <f t="shared" si="27"/>
        <v/>
      </c>
    </row>
    <row r="450" spans="7:7">
      <c r="G450" s="5" t="str">
        <f t="shared" si="27"/>
        <v/>
      </c>
    </row>
    <row r="451" spans="7:7">
      <c r="G451" s="5" t="str">
        <f t="shared" si="27"/>
        <v/>
      </c>
    </row>
    <row r="452" spans="7:7">
      <c r="G452" s="5" t="str">
        <f t="shared" si="27"/>
        <v/>
      </c>
    </row>
    <row r="453" spans="7:7">
      <c r="G453" s="5" t="str">
        <f t="shared" ref="G453:G484" si="28">IF(B453&lt;&gt;"",SUM(C453:F453),"")</f>
        <v/>
      </c>
    </row>
    <row r="454" spans="7:7">
      <c r="G454" s="5" t="str">
        <f t="shared" si="28"/>
        <v/>
      </c>
    </row>
    <row r="455" spans="7:7">
      <c r="G455" s="5" t="str">
        <f t="shared" si="28"/>
        <v/>
      </c>
    </row>
    <row r="456" spans="7:7">
      <c r="G456" s="5" t="str">
        <f t="shared" si="28"/>
        <v/>
      </c>
    </row>
    <row r="457" spans="7:7">
      <c r="G457" s="5" t="str">
        <f t="shared" si="28"/>
        <v/>
      </c>
    </row>
    <row r="458" spans="7:7">
      <c r="G458" s="5" t="str">
        <f t="shared" si="28"/>
        <v/>
      </c>
    </row>
    <row r="459" spans="7:7">
      <c r="G459" s="5" t="str">
        <f t="shared" si="28"/>
        <v/>
      </c>
    </row>
    <row r="460" spans="7:7">
      <c r="G460" s="5" t="str">
        <f t="shared" si="28"/>
        <v/>
      </c>
    </row>
    <row r="461" spans="7:7">
      <c r="G461" s="5" t="str">
        <f t="shared" si="28"/>
        <v/>
      </c>
    </row>
    <row r="462" spans="7:7">
      <c r="G462" s="5" t="str">
        <f t="shared" si="28"/>
        <v/>
      </c>
    </row>
    <row r="463" spans="7:7">
      <c r="G463" s="5" t="str">
        <f t="shared" si="28"/>
        <v/>
      </c>
    </row>
    <row r="464" spans="7:7">
      <c r="G464" s="5" t="str">
        <f t="shared" si="28"/>
        <v/>
      </c>
    </row>
    <row r="465" spans="7:7">
      <c r="G465" s="5" t="str">
        <f t="shared" si="28"/>
        <v/>
      </c>
    </row>
    <row r="466" spans="7:7">
      <c r="G466" s="5" t="str">
        <f t="shared" si="28"/>
        <v/>
      </c>
    </row>
    <row r="467" spans="7:7">
      <c r="G467" s="5" t="str">
        <f t="shared" si="28"/>
        <v/>
      </c>
    </row>
    <row r="468" spans="7:7">
      <c r="G468" s="5" t="str">
        <f t="shared" si="28"/>
        <v/>
      </c>
    </row>
    <row r="469" spans="7:7">
      <c r="G469" s="5" t="str">
        <f t="shared" si="28"/>
        <v/>
      </c>
    </row>
    <row r="470" spans="7:7">
      <c r="G470" s="5" t="str">
        <f t="shared" si="28"/>
        <v/>
      </c>
    </row>
    <row r="471" spans="7:7">
      <c r="G471" s="5" t="str">
        <f t="shared" si="28"/>
        <v/>
      </c>
    </row>
    <row r="472" spans="7:7">
      <c r="G472" s="5" t="str">
        <f t="shared" si="28"/>
        <v/>
      </c>
    </row>
    <row r="473" spans="7:7">
      <c r="G473" s="5" t="str">
        <f t="shared" si="28"/>
        <v/>
      </c>
    </row>
    <row r="474" spans="7:7">
      <c r="G474" s="5" t="str">
        <f t="shared" si="28"/>
        <v/>
      </c>
    </row>
    <row r="475" spans="7:7">
      <c r="G475" s="5" t="str">
        <f t="shared" si="28"/>
        <v/>
      </c>
    </row>
    <row r="476" spans="7:7">
      <c r="G476" s="5" t="str">
        <f t="shared" si="28"/>
        <v/>
      </c>
    </row>
    <row r="477" spans="7:7">
      <c r="G477" s="5" t="str">
        <f t="shared" si="28"/>
        <v/>
      </c>
    </row>
    <row r="478" spans="7:7">
      <c r="G478" s="5" t="str">
        <f t="shared" si="28"/>
        <v/>
      </c>
    </row>
    <row r="479" spans="7:7">
      <c r="G479" s="5" t="str">
        <f t="shared" si="28"/>
        <v/>
      </c>
    </row>
    <row r="480" spans="7:7">
      <c r="G480" s="5" t="str">
        <f t="shared" si="28"/>
        <v/>
      </c>
    </row>
    <row r="481" spans="7:7">
      <c r="G481" s="5" t="str">
        <f t="shared" si="28"/>
        <v/>
      </c>
    </row>
    <row r="482" spans="7:7">
      <c r="G482" s="5" t="str">
        <f t="shared" si="28"/>
        <v/>
      </c>
    </row>
    <row r="483" spans="7:7">
      <c r="G483" s="5" t="str">
        <f t="shared" si="28"/>
        <v/>
      </c>
    </row>
    <row r="484" spans="7:7">
      <c r="G484" s="5" t="str">
        <f t="shared" si="28"/>
        <v/>
      </c>
    </row>
  </sheetData>
  <sheetProtection sort="0" autoFilter="0" pivotTables="0"/>
  <autoFilter ref="H5:H484" xr:uid="{9D3F1EF8-75E1-4964-A7DA-91E846328A59}">
    <filterColumn colId="0">
      <filters blank="1">
        <filter val="18"/>
        <filter val="24"/>
        <filter val="240"/>
        <filter val="3"/>
        <filter val="6"/>
        <filter val="72"/>
        <filter val="R$ 21.104,26"/>
      </filters>
    </filterColumn>
  </autoFilter>
  <sortState xmlns:xlrd2="http://schemas.microsoft.com/office/spreadsheetml/2017/richdata2" ref="B6:M67">
    <sortCondition ref="B6:B67"/>
  </sortState>
  <pageMargins left="0.78740157480314965" right="0.78740157480314965" top="0.78740157480314965" bottom="0.78740157480314965" header="0" footer="0"/>
  <pageSetup paperSize="9" scale="10" orientation="landscape" verticalDpi="4294967295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BBB2C-B43C-4E3F-9259-CFAF432E1B52}">
  <sheetPr codeName="Planilha21">
    <tabColor rgb="FFFFC000"/>
    <pageSetUpPr fitToPage="1"/>
  </sheetPr>
  <dimension ref="B1:S507"/>
  <sheetViews>
    <sheetView workbookViewId="0">
      <pane ySplit="5" topLeftCell="A6" activePane="bottomLeft" state="frozen"/>
      <selection pane="bottomLeft" activeCell="F88" sqref="F88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28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72" t="s">
        <v>340</v>
      </c>
      <c r="C6" s="38"/>
      <c r="D6" s="38"/>
      <c r="E6" s="38">
        <v>720</v>
      </c>
      <c r="F6" s="39">
        <v>3600</v>
      </c>
      <c r="G6" s="40"/>
      <c r="H6" s="23">
        <f>SUM(C6:G6)</f>
        <v>4320</v>
      </c>
      <c r="I6" s="464">
        <f t="shared" ref="I6:I34" si="0">L6-(L6*J6)</f>
        <v>9.2899999999999991</v>
      </c>
      <c r="J6" s="16"/>
      <c r="K6" s="17"/>
      <c r="L6" s="71">
        <v>9.2899999999999991</v>
      </c>
      <c r="M6" s="31">
        <v>16</v>
      </c>
      <c r="N6" s="25">
        <f t="shared" ref="N6:N34" si="1">I6*C6</f>
        <v>0</v>
      </c>
      <c r="O6" s="25">
        <f t="shared" ref="O6:O34" si="2">I6*D6</f>
        <v>0</v>
      </c>
      <c r="P6" s="25">
        <f t="shared" ref="P6:P34" si="3">I6*E6</f>
        <v>6688.7999999999993</v>
      </c>
      <c r="Q6" s="26">
        <f t="shared" ref="Q6:Q34" si="4">I6*F6</f>
        <v>33444</v>
      </c>
      <c r="R6" s="27">
        <f t="shared" ref="R6:R34" si="5">I6*G6</f>
        <v>0</v>
      </c>
      <c r="S6" s="28">
        <f>SUM(N6:R6)</f>
        <v>40132.800000000003</v>
      </c>
    </row>
    <row r="7" spans="2:19">
      <c r="B7" s="72" t="s">
        <v>341</v>
      </c>
      <c r="C7" s="13"/>
      <c r="D7" s="13"/>
      <c r="E7" s="13">
        <v>480</v>
      </c>
      <c r="F7" s="14"/>
      <c r="G7" s="8"/>
      <c r="H7" s="24">
        <f t="shared" ref="H7:H70" si="6">SUM(C7:G7)</f>
        <v>480</v>
      </c>
      <c r="I7" s="456">
        <f t="shared" si="0"/>
        <v>5.99</v>
      </c>
      <c r="J7" s="10"/>
      <c r="K7" s="12"/>
      <c r="L7" s="71">
        <v>5.99</v>
      </c>
      <c r="M7" s="32">
        <v>30</v>
      </c>
      <c r="N7" s="25">
        <f t="shared" si="1"/>
        <v>0</v>
      </c>
      <c r="O7" s="25">
        <f t="shared" si="2"/>
        <v>0</v>
      </c>
      <c r="P7" s="25">
        <f t="shared" si="3"/>
        <v>2875.2000000000003</v>
      </c>
      <c r="Q7" s="26">
        <f t="shared" si="4"/>
        <v>0</v>
      </c>
      <c r="R7" s="27">
        <f t="shared" si="5"/>
        <v>0</v>
      </c>
      <c r="S7" s="28">
        <f t="shared" ref="S7:S70" si="7">SUM(N7:R7)</f>
        <v>2875.2000000000003</v>
      </c>
    </row>
    <row r="8" spans="2:19">
      <c r="B8" s="72" t="s">
        <v>342</v>
      </c>
      <c r="C8" s="13"/>
      <c r="D8" s="13"/>
      <c r="E8" s="13"/>
      <c r="F8" s="14"/>
      <c r="G8" s="8"/>
      <c r="H8" s="24">
        <f t="shared" si="6"/>
        <v>0</v>
      </c>
      <c r="I8" s="456">
        <f t="shared" si="0"/>
        <v>10.99</v>
      </c>
      <c r="J8" s="10"/>
      <c r="K8" s="12"/>
      <c r="L8" s="71">
        <v>10.99</v>
      </c>
      <c r="M8" s="32">
        <v>16</v>
      </c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72" t="s">
        <v>343</v>
      </c>
      <c r="C9" s="13"/>
      <c r="D9" s="13"/>
      <c r="E9" s="13"/>
      <c r="F9" s="14"/>
      <c r="G9" s="8"/>
      <c r="H9" s="24">
        <f t="shared" si="6"/>
        <v>0</v>
      </c>
      <c r="I9" s="456">
        <f t="shared" si="0"/>
        <v>5.99</v>
      </c>
      <c r="J9" s="10"/>
      <c r="K9" s="12"/>
      <c r="L9" s="71">
        <v>5.99</v>
      </c>
      <c r="M9" s="32">
        <v>30</v>
      </c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72" t="s">
        <v>344</v>
      </c>
      <c r="C10" s="13"/>
      <c r="D10" s="13">
        <v>1200</v>
      </c>
      <c r="E10" s="13">
        <v>1200</v>
      </c>
      <c r="F10" s="14">
        <v>3600</v>
      </c>
      <c r="G10" s="8"/>
      <c r="H10" s="24">
        <f t="shared" si="6"/>
        <v>6000</v>
      </c>
      <c r="I10" s="456">
        <f t="shared" si="0"/>
        <v>9.6999999999999993</v>
      </c>
      <c r="J10" s="10"/>
      <c r="K10" s="12"/>
      <c r="L10" s="71">
        <v>9.6999999999999993</v>
      </c>
      <c r="M10" s="32">
        <v>16</v>
      </c>
      <c r="N10" s="25">
        <f t="shared" si="1"/>
        <v>0</v>
      </c>
      <c r="O10" s="25">
        <f t="shared" si="2"/>
        <v>11640</v>
      </c>
      <c r="P10" s="25">
        <f t="shared" si="3"/>
        <v>11640</v>
      </c>
      <c r="Q10" s="26">
        <f t="shared" si="4"/>
        <v>34920</v>
      </c>
      <c r="R10" s="27">
        <f t="shared" si="5"/>
        <v>0</v>
      </c>
      <c r="S10" s="28">
        <f t="shared" si="7"/>
        <v>58200</v>
      </c>
    </row>
    <row r="11" spans="2:19">
      <c r="B11" s="72" t="s">
        <v>345</v>
      </c>
      <c r="C11" s="13"/>
      <c r="D11" s="13">
        <v>500</v>
      </c>
      <c r="E11" s="13">
        <v>150</v>
      </c>
      <c r="F11" s="14"/>
      <c r="G11" s="8"/>
      <c r="H11" s="24">
        <f t="shared" si="6"/>
        <v>650</v>
      </c>
      <c r="I11" s="456">
        <f t="shared" si="0"/>
        <v>9.2100000000000009</v>
      </c>
      <c r="J11" s="10"/>
      <c r="K11" s="12"/>
      <c r="L11" s="71">
        <v>9.2100000000000009</v>
      </c>
      <c r="M11" s="32">
        <v>30</v>
      </c>
      <c r="N11" s="25">
        <f t="shared" si="1"/>
        <v>0</v>
      </c>
      <c r="O11" s="25">
        <f t="shared" si="2"/>
        <v>4605</v>
      </c>
      <c r="P11" s="25">
        <f t="shared" si="3"/>
        <v>1381.5000000000002</v>
      </c>
      <c r="Q11" s="26">
        <f t="shared" si="4"/>
        <v>0</v>
      </c>
      <c r="R11" s="27">
        <f t="shared" si="5"/>
        <v>0</v>
      </c>
      <c r="S11" s="28">
        <f t="shared" si="7"/>
        <v>5986.5</v>
      </c>
    </row>
    <row r="12" spans="2:19" hidden="1">
      <c r="B12" s="7"/>
      <c r="C12" s="13"/>
      <c r="D12" s="13"/>
      <c r="E12" s="13"/>
      <c r="F12" s="14"/>
      <c r="G12" s="8"/>
      <c r="H12" s="24">
        <f t="shared" si="6"/>
        <v>0</v>
      </c>
      <c r="I12" s="34">
        <f t="shared" si="0"/>
        <v>0</v>
      </c>
      <c r="J12" s="10"/>
      <c r="K12" s="12"/>
      <c r="L12" s="11"/>
      <c r="M12" s="32"/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 hidden="1">
      <c r="B13" s="7"/>
      <c r="C13" s="13"/>
      <c r="D13" s="13"/>
      <c r="E13" s="13"/>
      <c r="F13" s="14"/>
      <c r="G13" s="8"/>
      <c r="H13" s="24">
        <f t="shared" si="6"/>
        <v>0</v>
      </c>
      <c r="I13" s="34">
        <f t="shared" si="0"/>
        <v>0</v>
      </c>
      <c r="J13" s="10"/>
      <c r="K13" s="12"/>
      <c r="L13" s="11"/>
      <c r="M13" s="32"/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 hidden="1">
      <c r="B14" s="7"/>
      <c r="C14" s="13"/>
      <c r="D14" s="13"/>
      <c r="E14" s="13"/>
      <c r="F14" s="14"/>
      <c r="G14" s="8"/>
      <c r="H14" s="24">
        <f t="shared" si="6"/>
        <v>0</v>
      </c>
      <c r="I14" s="34">
        <f t="shared" si="0"/>
        <v>0</v>
      </c>
      <c r="J14" s="10"/>
      <c r="K14" s="12"/>
      <c r="L14" s="11"/>
      <c r="M14" s="32"/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 hidden="1">
      <c r="B15" s="7"/>
      <c r="C15" s="13"/>
      <c r="D15" s="13"/>
      <c r="E15" s="13"/>
      <c r="F15" s="14"/>
      <c r="G15" s="8"/>
      <c r="H15" s="24">
        <f t="shared" si="6"/>
        <v>0</v>
      </c>
      <c r="I15" s="34">
        <f t="shared" si="0"/>
        <v>0</v>
      </c>
      <c r="J15" s="10"/>
      <c r="K15" s="12"/>
      <c r="L15" s="11"/>
      <c r="M15" s="32"/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 hidden="1">
      <c r="B16" s="7"/>
      <c r="C16" s="13"/>
      <c r="D16" s="13"/>
      <c r="E16" s="13"/>
      <c r="F16" s="14"/>
      <c r="G16" s="8"/>
      <c r="H16" s="24">
        <f t="shared" si="6"/>
        <v>0</v>
      </c>
      <c r="I16" s="34">
        <f t="shared" si="0"/>
        <v>0</v>
      </c>
      <c r="J16" s="10"/>
      <c r="K16" s="12"/>
      <c r="L16" s="11"/>
      <c r="M16" s="32"/>
      <c r="N16" s="25">
        <f t="shared" si="1"/>
        <v>0</v>
      </c>
      <c r="O16" s="25">
        <f t="shared" si="2"/>
        <v>0</v>
      </c>
      <c r="P16" s="25">
        <f t="shared" si="3"/>
        <v>0</v>
      </c>
      <c r="Q16" s="26">
        <f t="shared" si="4"/>
        <v>0</v>
      </c>
      <c r="R16" s="27">
        <f t="shared" si="5"/>
        <v>0</v>
      </c>
      <c r="S16" s="28">
        <f t="shared" si="7"/>
        <v>0</v>
      </c>
    </row>
    <row r="17" spans="2:19" hidden="1">
      <c r="B17" s="7"/>
      <c r="C17" s="13"/>
      <c r="D17" s="13"/>
      <c r="E17" s="13"/>
      <c r="F17" s="14"/>
      <c r="G17" s="8"/>
      <c r="H17" s="24">
        <f t="shared" si="6"/>
        <v>0</v>
      </c>
      <c r="I17" s="34">
        <f t="shared" si="0"/>
        <v>0</v>
      </c>
      <c r="J17" s="10"/>
      <c r="K17" s="12"/>
      <c r="L17" s="11"/>
      <c r="M17" s="32"/>
      <c r="N17" s="25">
        <f t="shared" si="1"/>
        <v>0</v>
      </c>
      <c r="O17" s="25">
        <f t="shared" si="2"/>
        <v>0</v>
      </c>
      <c r="P17" s="25">
        <f t="shared" si="3"/>
        <v>0</v>
      </c>
      <c r="Q17" s="26">
        <f t="shared" si="4"/>
        <v>0</v>
      </c>
      <c r="R17" s="27">
        <f t="shared" si="5"/>
        <v>0</v>
      </c>
      <c r="S17" s="28">
        <f t="shared" si="7"/>
        <v>0</v>
      </c>
    </row>
    <row r="18" spans="2:19" hidden="1">
      <c r="B18" s="7"/>
      <c r="C18" s="13"/>
      <c r="D18" s="13"/>
      <c r="E18" s="13"/>
      <c r="F18" s="14"/>
      <c r="G18" s="8"/>
      <c r="H18" s="24">
        <f t="shared" si="6"/>
        <v>0</v>
      </c>
      <c r="I18" s="34">
        <f t="shared" si="0"/>
        <v>0</v>
      </c>
      <c r="J18" s="10"/>
      <c r="K18" s="12"/>
      <c r="L18" s="11"/>
      <c r="M18" s="32"/>
      <c r="N18" s="25">
        <f t="shared" si="1"/>
        <v>0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0</v>
      </c>
      <c r="S18" s="28">
        <f t="shared" si="7"/>
        <v>0</v>
      </c>
    </row>
    <row r="19" spans="2:19" hidden="1">
      <c r="B19" s="7"/>
      <c r="C19" s="13"/>
      <c r="D19" s="13"/>
      <c r="E19" s="13"/>
      <c r="F19" s="14"/>
      <c r="G19" s="8"/>
      <c r="H19" s="24">
        <f t="shared" si="6"/>
        <v>0</v>
      </c>
      <c r="I19" s="34">
        <f t="shared" si="0"/>
        <v>0</v>
      </c>
      <c r="J19" s="10"/>
      <c r="K19" s="12"/>
      <c r="L19" s="11"/>
      <c r="M19" s="32"/>
      <c r="N19" s="25">
        <f t="shared" si="1"/>
        <v>0</v>
      </c>
      <c r="O19" s="25">
        <f t="shared" si="2"/>
        <v>0</v>
      </c>
      <c r="P19" s="25">
        <f t="shared" si="3"/>
        <v>0</v>
      </c>
      <c r="Q19" s="26">
        <f t="shared" si="4"/>
        <v>0</v>
      </c>
      <c r="R19" s="27">
        <f t="shared" si="5"/>
        <v>0</v>
      </c>
      <c r="S19" s="28">
        <f t="shared" si="7"/>
        <v>0</v>
      </c>
    </row>
    <row r="20" spans="2:19" hidden="1">
      <c r="B20" s="7"/>
      <c r="C20" s="13"/>
      <c r="D20" s="13"/>
      <c r="E20" s="13"/>
      <c r="F20" s="14"/>
      <c r="G20" s="8"/>
      <c r="H20" s="24">
        <f t="shared" si="6"/>
        <v>0</v>
      </c>
      <c r="I20" s="34">
        <f t="shared" si="0"/>
        <v>0</v>
      </c>
      <c r="J20" s="10"/>
      <c r="K20" s="12"/>
      <c r="L20" s="11"/>
      <c r="M20" s="32"/>
      <c r="N20" s="25">
        <f t="shared" si="1"/>
        <v>0</v>
      </c>
      <c r="O20" s="25">
        <f t="shared" si="2"/>
        <v>0</v>
      </c>
      <c r="P20" s="25">
        <f t="shared" si="3"/>
        <v>0</v>
      </c>
      <c r="Q20" s="26">
        <f t="shared" si="4"/>
        <v>0</v>
      </c>
      <c r="R20" s="27">
        <f t="shared" si="5"/>
        <v>0</v>
      </c>
      <c r="S20" s="28">
        <f t="shared" si="7"/>
        <v>0</v>
      </c>
    </row>
    <row r="21" spans="2:19" hidden="1">
      <c r="B21" s="7"/>
      <c r="C21" s="13"/>
      <c r="D21" s="13"/>
      <c r="E21" s="13"/>
      <c r="F21" s="14"/>
      <c r="G21" s="8"/>
      <c r="H21" s="24">
        <f t="shared" si="6"/>
        <v>0</v>
      </c>
      <c r="I21" s="34">
        <f t="shared" si="0"/>
        <v>0</v>
      </c>
      <c r="J21" s="10"/>
      <c r="K21" s="12"/>
      <c r="L21" s="11"/>
      <c r="M21" s="32"/>
      <c r="N21" s="25">
        <f t="shared" si="1"/>
        <v>0</v>
      </c>
      <c r="O21" s="25">
        <f t="shared" si="2"/>
        <v>0</v>
      </c>
      <c r="P21" s="25">
        <f t="shared" si="3"/>
        <v>0</v>
      </c>
      <c r="Q21" s="26">
        <f t="shared" si="4"/>
        <v>0</v>
      </c>
      <c r="R21" s="27">
        <f t="shared" si="5"/>
        <v>0</v>
      </c>
      <c r="S21" s="28">
        <f t="shared" si="7"/>
        <v>0</v>
      </c>
    </row>
    <row r="22" spans="2:19" hidden="1">
      <c r="B22" s="7"/>
      <c r="C22" s="13"/>
      <c r="D22" s="13"/>
      <c r="E22" s="13"/>
      <c r="F22" s="14"/>
      <c r="G22" s="8"/>
      <c r="H22" s="24">
        <f t="shared" si="6"/>
        <v>0</v>
      </c>
      <c r="I22" s="34">
        <f t="shared" si="0"/>
        <v>0</v>
      </c>
      <c r="J22" s="10"/>
      <c r="K22" s="12"/>
      <c r="L22" s="11"/>
      <c r="M22" s="32"/>
      <c r="N22" s="25">
        <f t="shared" si="1"/>
        <v>0</v>
      </c>
      <c r="O22" s="25">
        <f t="shared" si="2"/>
        <v>0</v>
      </c>
      <c r="P22" s="25">
        <f t="shared" si="3"/>
        <v>0</v>
      </c>
      <c r="Q22" s="26">
        <f t="shared" si="4"/>
        <v>0</v>
      </c>
      <c r="R22" s="27">
        <f t="shared" si="5"/>
        <v>0</v>
      </c>
      <c r="S22" s="28">
        <f t="shared" si="7"/>
        <v>0</v>
      </c>
    </row>
    <row r="23" spans="2:19" hidden="1">
      <c r="B23" s="7"/>
      <c r="C23" s="13"/>
      <c r="D23" s="13"/>
      <c r="E23" s="13"/>
      <c r="F23" s="14"/>
      <c r="G23" s="8"/>
      <c r="H23" s="24">
        <f t="shared" si="6"/>
        <v>0</v>
      </c>
      <c r="I23" s="34">
        <f t="shared" si="0"/>
        <v>0</v>
      </c>
      <c r="J23" s="10"/>
      <c r="K23" s="12"/>
      <c r="L23" s="11"/>
      <c r="M23" s="32"/>
      <c r="N23" s="25">
        <f t="shared" si="1"/>
        <v>0</v>
      </c>
      <c r="O23" s="25">
        <f t="shared" si="2"/>
        <v>0</v>
      </c>
      <c r="P23" s="25">
        <f t="shared" si="3"/>
        <v>0</v>
      </c>
      <c r="Q23" s="26">
        <f t="shared" si="4"/>
        <v>0</v>
      </c>
      <c r="R23" s="27">
        <f t="shared" si="5"/>
        <v>0</v>
      </c>
      <c r="S23" s="28">
        <f t="shared" si="7"/>
        <v>0</v>
      </c>
    </row>
    <row r="24" spans="2:19" hidden="1">
      <c r="B24" s="7"/>
      <c r="C24" s="13"/>
      <c r="D24" s="13"/>
      <c r="E24" s="13"/>
      <c r="F24" s="14"/>
      <c r="G24" s="8"/>
      <c r="H24" s="24">
        <f t="shared" si="6"/>
        <v>0</v>
      </c>
      <c r="I24" s="34">
        <f t="shared" si="0"/>
        <v>0</v>
      </c>
      <c r="J24" s="10"/>
      <c r="K24" s="12"/>
      <c r="L24" s="11"/>
      <c r="M24" s="32"/>
      <c r="N24" s="25">
        <f t="shared" si="1"/>
        <v>0</v>
      </c>
      <c r="O24" s="25">
        <f t="shared" si="2"/>
        <v>0</v>
      </c>
      <c r="P24" s="25">
        <f t="shared" si="3"/>
        <v>0</v>
      </c>
      <c r="Q24" s="26">
        <f t="shared" si="4"/>
        <v>0</v>
      </c>
      <c r="R24" s="27">
        <f t="shared" si="5"/>
        <v>0</v>
      </c>
      <c r="S24" s="28">
        <f t="shared" si="7"/>
        <v>0</v>
      </c>
    </row>
    <row r="25" spans="2:19" hidden="1">
      <c r="B25" s="7"/>
      <c r="C25" s="13"/>
      <c r="D25" s="13"/>
      <c r="E25" s="13"/>
      <c r="F25" s="14"/>
      <c r="G25" s="8"/>
      <c r="H25" s="24">
        <f t="shared" si="6"/>
        <v>0</v>
      </c>
      <c r="I25" s="34">
        <f t="shared" si="0"/>
        <v>0</v>
      </c>
      <c r="J25" s="10"/>
      <c r="K25" s="12"/>
      <c r="L25" s="11"/>
      <c r="M25" s="32"/>
      <c r="N25" s="25">
        <f t="shared" si="1"/>
        <v>0</v>
      </c>
      <c r="O25" s="25">
        <f t="shared" si="2"/>
        <v>0</v>
      </c>
      <c r="P25" s="25">
        <f t="shared" si="3"/>
        <v>0</v>
      </c>
      <c r="Q25" s="26">
        <f t="shared" si="4"/>
        <v>0</v>
      </c>
      <c r="R25" s="27">
        <f t="shared" si="5"/>
        <v>0</v>
      </c>
      <c r="S25" s="28">
        <f t="shared" si="7"/>
        <v>0</v>
      </c>
    </row>
    <row r="26" spans="2:19" hidden="1">
      <c r="B26" s="7"/>
      <c r="C26" s="14"/>
      <c r="D26" s="14"/>
      <c r="E26" s="14"/>
      <c r="F26" s="14"/>
      <c r="G26" s="8"/>
      <c r="H26" s="24">
        <f t="shared" si="6"/>
        <v>0</v>
      </c>
      <c r="I26" s="34">
        <f t="shared" si="0"/>
        <v>0</v>
      </c>
      <c r="J26" s="10"/>
      <c r="K26" s="12"/>
      <c r="L26" s="11"/>
      <c r="M26" s="32"/>
      <c r="N26" s="25">
        <f t="shared" si="1"/>
        <v>0</v>
      </c>
      <c r="O26" s="25">
        <f t="shared" si="2"/>
        <v>0</v>
      </c>
      <c r="P26" s="25">
        <f t="shared" si="3"/>
        <v>0</v>
      </c>
      <c r="Q26" s="26">
        <f t="shared" si="4"/>
        <v>0</v>
      </c>
      <c r="R26" s="27">
        <f t="shared" si="5"/>
        <v>0</v>
      </c>
      <c r="S26" s="28">
        <f t="shared" si="7"/>
        <v>0</v>
      </c>
    </row>
    <row r="27" spans="2:19" hidden="1">
      <c r="B27" s="7"/>
      <c r="C27" s="14"/>
      <c r="D27" s="14"/>
      <c r="E27" s="14"/>
      <c r="F27" s="14"/>
      <c r="G27" s="8"/>
      <c r="H27" s="24">
        <f t="shared" si="6"/>
        <v>0</v>
      </c>
      <c r="I27" s="34">
        <f t="shared" si="0"/>
        <v>0</v>
      </c>
      <c r="J27" s="10"/>
      <c r="K27" s="12"/>
      <c r="L27" s="11"/>
      <c r="M27" s="32"/>
      <c r="N27" s="25">
        <f t="shared" si="1"/>
        <v>0</v>
      </c>
      <c r="O27" s="25">
        <f t="shared" si="2"/>
        <v>0</v>
      </c>
      <c r="P27" s="25">
        <f t="shared" si="3"/>
        <v>0</v>
      </c>
      <c r="Q27" s="26">
        <f t="shared" si="4"/>
        <v>0</v>
      </c>
      <c r="R27" s="27">
        <f t="shared" si="5"/>
        <v>0</v>
      </c>
      <c r="S27" s="28">
        <f t="shared" si="7"/>
        <v>0</v>
      </c>
    </row>
    <row r="28" spans="2:19" hidden="1">
      <c r="B28" s="7"/>
      <c r="C28" s="14"/>
      <c r="D28" s="14"/>
      <c r="E28" s="14"/>
      <c r="F28" s="14"/>
      <c r="G28" s="8"/>
      <c r="H28" s="24">
        <f t="shared" si="6"/>
        <v>0</v>
      </c>
      <c r="I28" s="34">
        <f t="shared" si="0"/>
        <v>0</v>
      </c>
      <c r="J28" s="10"/>
      <c r="K28" s="12"/>
      <c r="L28" s="11"/>
      <c r="M28" s="32"/>
      <c r="N28" s="25">
        <f t="shared" si="1"/>
        <v>0</v>
      </c>
      <c r="O28" s="25">
        <f t="shared" si="2"/>
        <v>0</v>
      </c>
      <c r="P28" s="25">
        <f t="shared" si="3"/>
        <v>0</v>
      </c>
      <c r="Q28" s="26">
        <f t="shared" si="4"/>
        <v>0</v>
      </c>
      <c r="R28" s="27">
        <f t="shared" si="5"/>
        <v>0</v>
      </c>
      <c r="S28" s="28">
        <f t="shared" si="7"/>
        <v>0</v>
      </c>
    </row>
    <row r="29" spans="2:19" hidden="1">
      <c r="B29" s="7"/>
      <c r="C29" s="14"/>
      <c r="D29" s="14"/>
      <c r="E29" s="14"/>
      <c r="F29" s="14"/>
      <c r="G29" s="8"/>
      <c r="H29" s="24">
        <f t="shared" si="6"/>
        <v>0</v>
      </c>
      <c r="I29" s="34">
        <f t="shared" si="0"/>
        <v>0</v>
      </c>
      <c r="J29" s="10"/>
      <c r="K29" s="12"/>
      <c r="L29" s="11"/>
      <c r="M29" s="32"/>
      <c r="N29" s="25">
        <f t="shared" si="1"/>
        <v>0</v>
      </c>
      <c r="O29" s="25">
        <f t="shared" si="2"/>
        <v>0</v>
      </c>
      <c r="P29" s="25">
        <f t="shared" si="3"/>
        <v>0</v>
      </c>
      <c r="Q29" s="26">
        <f t="shared" si="4"/>
        <v>0</v>
      </c>
      <c r="R29" s="27">
        <f t="shared" si="5"/>
        <v>0</v>
      </c>
      <c r="S29" s="28">
        <f t="shared" si="7"/>
        <v>0</v>
      </c>
    </row>
    <row r="30" spans="2:19" hidden="1">
      <c r="B30" s="7"/>
      <c r="C30" s="14"/>
      <c r="D30" s="14"/>
      <c r="E30" s="14"/>
      <c r="F30" s="14"/>
      <c r="G30" s="8"/>
      <c r="H30" s="24">
        <f t="shared" si="6"/>
        <v>0</v>
      </c>
      <c r="I30" s="34">
        <f t="shared" si="0"/>
        <v>0</v>
      </c>
      <c r="J30" s="10"/>
      <c r="K30" s="12"/>
      <c r="L30" s="11"/>
      <c r="M30" s="32"/>
      <c r="N30" s="25">
        <f t="shared" si="1"/>
        <v>0</v>
      </c>
      <c r="O30" s="25">
        <f t="shared" si="2"/>
        <v>0</v>
      </c>
      <c r="P30" s="25">
        <f t="shared" si="3"/>
        <v>0</v>
      </c>
      <c r="Q30" s="26">
        <f t="shared" si="4"/>
        <v>0</v>
      </c>
      <c r="R30" s="27">
        <f t="shared" si="5"/>
        <v>0</v>
      </c>
      <c r="S30" s="28">
        <f t="shared" si="7"/>
        <v>0</v>
      </c>
    </row>
    <row r="31" spans="2:19" hidden="1">
      <c r="B31" s="7"/>
      <c r="C31" s="14"/>
      <c r="D31" s="14"/>
      <c r="E31" s="14"/>
      <c r="F31" s="14"/>
      <c r="G31" s="8"/>
      <c r="H31" s="24">
        <f t="shared" si="6"/>
        <v>0</v>
      </c>
      <c r="I31" s="34">
        <f t="shared" si="0"/>
        <v>0</v>
      </c>
      <c r="J31" s="10"/>
      <c r="K31" s="12"/>
      <c r="L31" s="11"/>
      <c r="M31" s="32"/>
      <c r="N31" s="25">
        <f t="shared" si="1"/>
        <v>0</v>
      </c>
      <c r="O31" s="25">
        <f t="shared" si="2"/>
        <v>0</v>
      </c>
      <c r="P31" s="25">
        <f t="shared" si="3"/>
        <v>0</v>
      </c>
      <c r="Q31" s="26">
        <f t="shared" si="4"/>
        <v>0</v>
      </c>
      <c r="R31" s="27">
        <f t="shared" si="5"/>
        <v>0</v>
      </c>
      <c r="S31" s="28">
        <f t="shared" si="7"/>
        <v>0</v>
      </c>
    </row>
    <row r="32" spans="2:19" hidden="1">
      <c r="B32" s="7"/>
      <c r="C32" s="14"/>
      <c r="D32" s="14"/>
      <c r="E32" s="14"/>
      <c r="F32" s="14"/>
      <c r="G32" s="8"/>
      <c r="H32" s="24">
        <f t="shared" si="6"/>
        <v>0</v>
      </c>
      <c r="I32" s="34">
        <f t="shared" si="0"/>
        <v>0</v>
      </c>
      <c r="J32" s="10"/>
      <c r="K32" s="12"/>
      <c r="L32" s="11"/>
      <c r="M32" s="32"/>
      <c r="N32" s="25">
        <f t="shared" si="1"/>
        <v>0</v>
      </c>
      <c r="O32" s="25">
        <f t="shared" si="2"/>
        <v>0</v>
      </c>
      <c r="P32" s="25">
        <f t="shared" si="3"/>
        <v>0</v>
      </c>
      <c r="Q32" s="26">
        <f t="shared" si="4"/>
        <v>0</v>
      </c>
      <c r="R32" s="27">
        <f t="shared" si="5"/>
        <v>0</v>
      </c>
      <c r="S32" s="28">
        <f t="shared" si="7"/>
        <v>0</v>
      </c>
    </row>
    <row r="33" spans="2:19" hidden="1">
      <c r="B33" s="7"/>
      <c r="C33" s="14"/>
      <c r="D33" s="14"/>
      <c r="E33" s="14"/>
      <c r="F33" s="14"/>
      <c r="G33" s="8"/>
      <c r="H33" s="24">
        <f t="shared" si="6"/>
        <v>0</v>
      </c>
      <c r="I33" s="34">
        <f t="shared" si="0"/>
        <v>0</v>
      </c>
      <c r="J33" s="10"/>
      <c r="K33" s="12"/>
      <c r="L33" s="11"/>
      <c r="M33" s="32"/>
      <c r="N33" s="25">
        <f t="shared" si="1"/>
        <v>0</v>
      </c>
      <c r="O33" s="25">
        <f t="shared" si="2"/>
        <v>0</v>
      </c>
      <c r="P33" s="25">
        <f t="shared" si="3"/>
        <v>0</v>
      </c>
      <c r="Q33" s="26">
        <f t="shared" si="4"/>
        <v>0</v>
      </c>
      <c r="R33" s="27">
        <f t="shared" si="5"/>
        <v>0</v>
      </c>
      <c r="S33" s="28">
        <f t="shared" si="7"/>
        <v>0</v>
      </c>
    </row>
    <row r="34" spans="2:19" hidden="1">
      <c r="B34" s="7"/>
      <c r="C34" s="14"/>
      <c r="D34" s="14"/>
      <c r="E34" s="14"/>
      <c r="F34" s="14"/>
      <c r="G34" s="8"/>
      <c r="H34" s="24">
        <f t="shared" si="6"/>
        <v>0</v>
      </c>
      <c r="I34" s="34">
        <f t="shared" si="0"/>
        <v>0</v>
      </c>
      <c r="J34" s="10"/>
      <c r="K34" s="12"/>
      <c r="L34" s="11"/>
      <c r="M34" s="32"/>
      <c r="N34" s="25">
        <f t="shared" si="1"/>
        <v>0</v>
      </c>
      <c r="O34" s="25">
        <f t="shared" si="2"/>
        <v>0</v>
      </c>
      <c r="P34" s="25">
        <f t="shared" si="3"/>
        <v>0</v>
      </c>
      <c r="Q34" s="26">
        <f t="shared" si="4"/>
        <v>0</v>
      </c>
      <c r="R34" s="27">
        <f t="shared" si="5"/>
        <v>0</v>
      </c>
      <c r="S34" s="28">
        <f t="shared" si="7"/>
        <v>0</v>
      </c>
    </row>
    <row r="35" spans="2:19" hidden="1">
      <c r="B35" s="7"/>
      <c r="C35" s="14"/>
      <c r="D35" s="14"/>
      <c r="E35" s="14"/>
      <c r="F35" s="14"/>
      <c r="G35" s="8"/>
      <c r="H35" s="24">
        <f t="shared" si="6"/>
        <v>0</v>
      </c>
      <c r="I35" s="34">
        <f t="shared" ref="I35:I79" si="8">L35-(L35*J35)</f>
        <v>0</v>
      </c>
      <c r="J35" s="10"/>
      <c r="K35" s="12"/>
      <c r="L35" s="11"/>
      <c r="M35" s="32"/>
      <c r="N35" s="25">
        <f t="shared" ref="N35:N79" si="9">I35*C35</f>
        <v>0</v>
      </c>
      <c r="O35" s="25">
        <f t="shared" ref="O35:O79" si="10">I35*D35</f>
        <v>0</v>
      </c>
      <c r="P35" s="25">
        <f t="shared" ref="P35:P79" si="11">I35*E35</f>
        <v>0</v>
      </c>
      <c r="Q35" s="26">
        <f t="shared" ref="Q35:Q79" si="12">I35*F35</f>
        <v>0</v>
      </c>
      <c r="R35" s="27">
        <f t="shared" ref="R35:R79" si="13">I35*G35</f>
        <v>0</v>
      </c>
      <c r="S35" s="28">
        <f t="shared" si="7"/>
        <v>0</v>
      </c>
    </row>
    <row r="36" spans="2:19" hidden="1">
      <c r="B36" s="7"/>
      <c r="C36" s="14"/>
      <c r="D36" s="14"/>
      <c r="E36" s="14"/>
      <c r="F36" s="14"/>
      <c r="G36" s="8"/>
      <c r="H36" s="24">
        <f t="shared" si="6"/>
        <v>0</v>
      </c>
      <c r="I36" s="34">
        <f t="shared" si="8"/>
        <v>0</v>
      </c>
      <c r="J36" s="10"/>
      <c r="K36" s="12"/>
      <c r="L36" s="11"/>
      <c r="M36" s="32"/>
      <c r="N36" s="25">
        <f t="shared" si="9"/>
        <v>0</v>
      </c>
      <c r="O36" s="25">
        <f t="shared" si="10"/>
        <v>0</v>
      </c>
      <c r="P36" s="25">
        <f t="shared" si="11"/>
        <v>0</v>
      </c>
      <c r="Q36" s="26">
        <f t="shared" si="12"/>
        <v>0</v>
      </c>
      <c r="R36" s="27">
        <f t="shared" si="13"/>
        <v>0</v>
      </c>
      <c r="S36" s="28">
        <f t="shared" si="7"/>
        <v>0</v>
      </c>
    </row>
    <row r="37" spans="2:19" hidden="1">
      <c r="B37" s="7"/>
      <c r="C37" s="14"/>
      <c r="D37" s="14"/>
      <c r="E37" s="14"/>
      <c r="F37" s="14"/>
      <c r="G37" s="8"/>
      <c r="H37" s="24">
        <f t="shared" si="6"/>
        <v>0</v>
      </c>
      <c r="I37" s="34">
        <f t="shared" si="8"/>
        <v>0</v>
      </c>
      <c r="J37" s="10"/>
      <c r="K37" s="12"/>
      <c r="L37" s="11"/>
      <c r="M37" s="32"/>
      <c r="N37" s="25">
        <f t="shared" si="9"/>
        <v>0</v>
      </c>
      <c r="O37" s="25">
        <f t="shared" si="10"/>
        <v>0</v>
      </c>
      <c r="P37" s="25">
        <f t="shared" si="11"/>
        <v>0</v>
      </c>
      <c r="Q37" s="26">
        <f t="shared" si="12"/>
        <v>0</v>
      </c>
      <c r="R37" s="27">
        <f t="shared" si="13"/>
        <v>0</v>
      </c>
      <c r="S37" s="28">
        <f t="shared" si="7"/>
        <v>0</v>
      </c>
    </row>
    <row r="38" spans="2:19" hidden="1">
      <c r="B38" s="7"/>
      <c r="C38" s="14"/>
      <c r="D38" s="14"/>
      <c r="E38" s="14"/>
      <c r="F38" s="14"/>
      <c r="G38" s="8"/>
      <c r="H38" s="24">
        <f t="shared" si="6"/>
        <v>0</v>
      </c>
      <c r="I38" s="34">
        <f t="shared" si="8"/>
        <v>0</v>
      </c>
      <c r="J38" s="10"/>
      <c r="K38" s="12"/>
      <c r="L38" s="11"/>
      <c r="M38" s="32"/>
      <c r="N38" s="25">
        <f t="shared" si="9"/>
        <v>0</v>
      </c>
      <c r="O38" s="25">
        <f t="shared" si="10"/>
        <v>0</v>
      </c>
      <c r="P38" s="25">
        <f t="shared" si="11"/>
        <v>0</v>
      </c>
      <c r="Q38" s="26">
        <f t="shared" si="12"/>
        <v>0</v>
      </c>
      <c r="R38" s="27">
        <f t="shared" si="13"/>
        <v>0</v>
      </c>
      <c r="S38" s="28">
        <f t="shared" si="7"/>
        <v>0</v>
      </c>
    </row>
    <row r="39" spans="2:19" hidden="1">
      <c r="B39" s="7"/>
      <c r="C39" s="14"/>
      <c r="D39" s="14"/>
      <c r="E39" s="14"/>
      <c r="F39" s="14"/>
      <c r="G39" s="8"/>
      <c r="H39" s="24">
        <f t="shared" si="6"/>
        <v>0</v>
      </c>
      <c r="I39" s="34">
        <f t="shared" si="8"/>
        <v>0</v>
      </c>
      <c r="J39" s="10"/>
      <c r="K39" s="12"/>
      <c r="L39" s="11"/>
      <c r="M39" s="32"/>
      <c r="N39" s="25">
        <f t="shared" si="9"/>
        <v>0</v>
      </c>
      <c r="O39" s="25">
        <f t="shared" si="10"/>
        <v>0</v>
      </c>
      <c r="P39" s="25">
        <f t="shared" si="11"/>
        <v>0</v>
      </c>
      <c r="Q39" s="26">
        <f t="shared" si="12"/>
        <v>0</v>
      </c>
      <c r="R39" s="27">
        <f t="shared" si="13"/>
        <v>0</v>
      </c>
      <c r="S39" s="28">
        <f t="shared" si="7"/>
        <v>0</v>
      </c>
    </row>
    <row r="40" spans="2:19" hidden="1">
      <c r="B40" s="7"/>
      <c r="C40" s="14"/>
      <c r="D40" s="14"/>
      <c r="E40" s="14"/>
      <c r="F40" s="14"/>
      <c r="G40" s="8"/>
      <c r="H40" s="24">
        <f t="shared" si="6"/>
        <v>0</v>
      </c>
      <c r="I40" s="34">
        <f t="shared" si="8"/>
        <v>0</v>
      </c>
      <c r="J40" s="10"/>
      <c r="K40" s="12"/>
      <c r="L40" s="11"/>
      <c r="M40" s="32"/>
      <c r="N40" s="25">
        <f t="shared" si="9"/>
        <v>0</v>
      </c>
      <c r="O40" s="25">
        <f t="shared" si="10"/>
        <v>0</v>
      </c>
      <c r="P40" s="25">
        <f t="shared" si="11"/>
        <v>0</v>
      </c>
      <c r="Q40" s="26">
        <f t="shared" si="12"/>
        <v>0</v>
      </c>
      <c r="R40" s="27">
        <f t="shared" si="13"/>
        <v>0</v>
      </c>
      <c r="S40" s="28">
        <f t="shared" si="7"/>
        <v>0</v>
      </c>
    </row>
    <row r="41" spans="2:19" hidden="1">
      <c r="B41" s="7"/>
      <c r="C41" s="14"/>
      <c r="D41" s="14"/>
      <c r="E41" s="14"/>
      <c r="F41" s="14"/>
      <c r="G41" s="8"/>
      <c r="H41" s="24">
        <f t="shared" si="6"/>
        <v>0</v>
      </c>
      <c r="I41" s="34">
        <f t="shared" si="8"/>
        <v>0</v>
      </c>
      <c r="J41" s="10"/>
      <c r="K41" s="12"/>
      <c r="L41" s="11"/>
      <c r="M41" s="32"/>
      <c r="N41" s="25">
        <f t="shared" si="9"/>
        <v>0</v>
      </c>
      <c r="O41" s="25">
        <f t="shared" si="10"/>
        <v>0</v>
      </c>
      <c r="P41" s="25">
        <f t="shared" si="11"/>
        <v>0</v>
      </c>
      <c r="Q41" s="26">
        <f t="shared" si="12"/>
        <v>0</v>
      </c>
      <c r="R41" s="27">
        <f t="shared" si="13"/>
        <v>0</v>
      </c>
      <c r="S41" s="28">
        <f t="shared" si="7"/>
        <v>0</v>
      </c>
    </row>
    <row r="42" spans="2:19" hidden="1">
      <c r="B42" s="7"/>
      <c r="C42" s="14"/>
      <c r="D42" s="14"/>
      <c r="E42" s="14"/>
      <c r="F42" s="14"/>
      <c r="G42" s="8"/>
      <c r="H42" s="24">
        <f t="shared" si="6"/>
        <v>0</v>
      </c>
      <c r="I42" s="34">
        <f t="shared" si="8"/>
        <v>0</v>
      </c>
      <c r="J42" s="10"/>
      <c r="K42" s="12"/>
      <c r="L42" s="11"/>
      <c r="M42" s="32"/>
      <c r="N42" s="25">
        <f t="shared" si="9"/>
        <v>0</v>
      </c>
      <c r="O42" s="25">
        <f t="shared" si="10"/>
        <v>0</v>
      </c>
      <c r="P42" s="25">
        <f t="shared" si="11"/>
        <v>0</v>
      </c>
      <c r="Q42" s="26">
        <f t="shared" si="12"/>
        <v>0</v>
      </c>
      <c r="R42" s="27">
        <f t="shared" si="13"/>
        <v>0</v>
      </c>
      <c r="S42" s="28">
        <f t="shared" si="7"/>
        <v>0</v>
      </c>
    </row>
    <row r="43" spans="2:19" hidden="1">
      <c r="B43" s="7"/>
      <c r="C43" s="14"/>
      <c r="D43" s="14"/>
      <c r="E43" s="14"/>
      <c r="F43" s="14"/>
      <c r="G43" s="8"/>
      <c r="H43" s="24">
        <f t="shared" si="6"/>
        <v>0</v>
      </c>
      <c r="I43" s="34">
        <f t="shared" si="8"/>
        <v>0</v>
      </c>
      <c r="J43" s="10"/>
      <c r="K43" s="12"/>
      <c r="L43" s="11"/>
      <c r="M43" s="32"/>
      <c r="N43" s="25">
        <f t="shared" si="9"/>
        <v>0</v>
      </c>
      <c r="O43" s="25">
        <f t="shared" si="10"/>
        <v>0</v>
      </c>
      <c r="P43" s="25">
        <f t="shared" si="11"/>
        <v>0</v>
      </c>
      <c r="Q43" s="26">
        <f t="shared" si="12"/>
        <v>0</v>
      </c>
      <c r="R43" s="27">
        <f t="shared" si="13"/>
        <v>0</v>
      </c>
      <c r="S43" s="28">
        <f t="shared" si="7"/>
        <v>0</v>
      </c>
    </row>
    <row r="44" spans="2:19" hidden="1">
      <c r="B44" s="7"/>
      <c r="C44" s="14"/>
      <c r="D44" s="14"/>
      <c r="E44" s="14"/>
      <c r="F44" s="14"/>
      <c r="G44" s="8"/>
      <c r="H44" s="24">
        <f t="shared" si="6"/>
        <v>0</v>
      </c>
      <c r="I44" s="34">
        <f t="shared" si="8"/>
        <v>0</v>
      </c>
      <c r="J44" s="10"/>
      <c r="K44" s="12"/>
      <c r="L44" s="11"/>
      <c r="M44" s="32"/>
      <c r="N44" s="25">
        <f t="shared" si="9"/>
        <v>0</v>
      </c>
      <c r="O44" s="25">
        <f t="shared" si="10"/>
        <v>0</v>
      </c>
      <c r="P44" s="25">
        <f t="shared" si="11"/>
        <v>0</v>
      </c>
      <c r="Q44" s="26">
        <f t="shared" si="12"/>
        <v>0</v>
      </c>
      <c r="R44" s="27">
        <f t="shared" si="13"/>
        <v>0</v>
      </c>
      <c r="S44" s="28">
        <f t="shared" si="7"/>
        <v>0</v>
      </c>
    </row>
    <row r="45" spans="2:19" hidden="1">
      <c r="B45" s="7"/>
      <c r="C45" s="14"/>
      <c r="D45" s="14"/>
      <c r="E45" s="14"/>
      <c r="F45" s="14"/>
      <c r="G45" s="8"/>
      <c r="H45" s="24">
        <f t="shared" si="6"/>
        <v>0</v>
      </c>
      <c r="I45" s="34">
        <f t="shared" si="8"/>
        <v>0</v>
      </c>
      <c r="J45" s="10"/>
      <c r="K45" s="12"/>
      <c r="L45" s="11"/>
      <c r="M45" s="32"/>
      <c r="N45" s="25">
        <f t="shared" si="9"/>
        <v>0</v>
      </c>
      <c r="O45" s="25">
        <f t="shared" si="10"/>
        <v>0</v>
      </c>
      <c r="P45" s="25">
        <f t="shared" si="11"/>
        <v>0</v>
      </c>
      <c r="Q45" s="26">
        <f t="shared" si="12"/>
        <v>0</v>
      </c>
      <c r="R45" s="27">
        <f t="shared" si="13"/>
        <v>0</v>
      </c>
      <c r="S45" s="28">
        <f t="shared" si="7"/>
        <v>0</v>
      </c>
    </row>
    <row r="46" spans="2:19" hidden="1">
      <c r="B46" s="7"/>
      <c r="C46" s="14"/>
      <c r="D46" s="14"/>
      <c r="E46" s="14"/>
      <c r="F46" s="14"/>
      <c r="G46" s="8"/>
      <c r="H46" s="24">
        <f t="shared" si="6"/>
        <v>0</v>
      </c>
      <c r="I46" s="34">
        <f t="shared" si="8"/>
        <v>0</v>
      </c>
      <c r="J46" s="10"/>
      <c r="K46" s="12"/>
      <c r="L46" s="11"/>
      <c r="M46" s="32"/>
      <c r="N46" s="25">
        <f t="shared" si="9"/>
        <v>0</v>
      </c>
      <c r="O46" s="25">
        <f t="shared" si="10"/>
        <v>0</v>
      </c>
      <c r="P46" s="25">
        <f t="shared" si="11"/>
        <v>0</v>
      </c>
      <c r="Q46" s="26">
        <f t="shared" si="12"/>
        <v>0</v>
      </c>
      <c r="R46" s="27">
        <f t="shared" si="13"/>
        <v>0</v>
      </c>
      <c r="S46" s="28">
        <f t="shared" si="7"/>
        <v>0</v>
      </c>
    </row>
    <row r="47" spans="2:19" hidden="1">
      <c r="B47" s="7"/>
      <c r="C47" s="14"/>
      <c r="D47" s="14"/>
      <c r="E47" s="14"/>
      <c r="F47" s="14"/>
      <c r="G47" s="8"/>
      <c r="H47" s="24">
        <f t="shared" si="6"/>
        <v>0</v>
      </c>
      <c r="I47" s="34">
        <f t="shared" si="8"/>
        <v>0</v>
      </c>
      <c r="J47" s="10"/>
      <c r="K47" s="12"/>
      <c r="L47" s="11"/>
      <c r="M47" s="32"/>
      <c r="N47" s="25">
        <f t="shared" si="9"/>
        <v>0</v>
      </c>
      <c r="O47" s="25">
        <f t="shared" si="10"/>
        <v>0</v>
      </c>
      <c r="P47" s="25">
        <f t="shared" si="11"/>
        <v>0</v>
      </c>
      <c r="Q47" s="26">
        <f t="shared" si="12"/>
        <v>0</v>
      </c>
      <c r="R47" s="27">
        <f t="shared" si="13"/>
        <v>0</v>
      </c>
      <c r="S47" s="28">
        <f t="shared" si="7"/>
        <v>0</v>
      </c>
    </row>
    <row r="48" spans="2:19" hidden="1">
      <c r="B48" s="7"/>
      <c r="C48" s="14"/>
      <c r="D48" s="14"/>
      <c r="E48" s="14"/>
      <c r="F48" s="14"/>
      <c r="G48" s="8"/>
      <c r="H48" s="24">
        <f t="shared" si="6"/>
        <v>0</v>
      </c>
      <c r="I48" s="34">
        <f t="shared" si="8"/>
        <v>0</v>
      </c>
      <c r="J48" s="10"/>
      <c r="K48" s="12"/>
      <c r="L48" s="11"/>
      <c r="M48" s="32"/>
      <c r="N48" s="25">
        <f t="shared" si="9"/>
        <v>0</v>
      </c>
      <c r="O48" s="25">
        <f t="shared" si="10"/>
        <v>0</v>
      </c>
      <c r="P48" s="25">
        <f t="shared" si="11"/>
        <v>0</v>
      </c>
      <c r="Q48" s="26">
        <f t="shared" si="12"/>
        <v>0</v>
      </c>
      <c r="R48" s="27">
        <f t="shared" si="13"/>
        <v>0</v>
      </c>
      <c r="S48" s="28">
        <f t="shared" si="7"/>
        <v>0</v>
      </c>
    </row>
    <row r="49" spans="2:19" hidden="1">
      <c r="B49" s="7"/>
      <c r="C49" s="14"/>
      <c r="D49" s="14"/>
      <c r="E49" s="14"/>
      <c r="F49" s="14"/>
      <c r="G49" s="8"/>
      <c r="H49" s="24">
        <f t="shared" si="6"/>
        <v>0</v>
      </c>
      <c r="I49" s="34">
        <f t="shared" si="8"/>
        <v>0</v>
      </c>
      <c r="J49" s="10"/>
      <c r="K49" s="12"/>
      <c r="L49" s="11"/>
      <c r="M49" s="32"/>
      <c r="N49" s="25">
        <f t="shared" si="9"/>
        <v>0</v>
      </c>
      <c r="O49" s="25">
        <f t="shared" si="10"/>
        <v>0</v>
      </c>
      <c r="P49" s="25">
        <f t="shared" si="11"/>
        <v>0</v>
      </c>
      <c r="Q49" s="26">
        <f t="shared" si="12"/>
        <v>0</v>
      </c>
      <c r="R49" s="27">
        <f t="shared" si="13"/>
        <v>0</v>
      </c>
      <c r="S49" s="28">
        <f t="shared" si="7"/>
        <v>0</v>
      </c>
    </row>
    <row r="50" spans="2:19" hidden="1">
      <c r="B50" s="7"/>
      <c r="C50" s="14"/>
      <c r="D50" s="14"/>
      <c r="E50" s="14"/>
      <c r="F50" s="14"/>
      <c r="G50" s="8"/>
      <c r="H50" s="24">
        <f t="shared" si="6"/>
        <v>0</v>
      </c>
      <c r="I50" s="34">
        <f t="shared" si="8"/>
        <v>0</v>
      </c>
      <c r="J50" s="10"/>
      <c r="K50" s="12"/>
      <c r="L50" s="11"/>
      <c r="M50" s="32"/>
      <c r="N50" s="25">
        <f t="shared" si="9"/>
        <v>0</v>
      </c>
      <c r="O50" s="25">
        <f t="shared" si="10"/>
        <v>0</v>
      </c>
      <c r="P50" s="25">
        <f t="shared" si="11"/>
        <v>0</v>
      </c>
      <c r="Q50" s="26">
        <f t="shared" si="12"/>
        <v>0</v>
      </c>
      <c r="R50" s="27">
        <f t="shared" si="13"/>
        <v>0</v>
      </c>
      <c r="S50" s="28">
        <f t="shared" si="7"/>
        <v>0</v>
      </c>
    </row>
    <row r="51" spans="2:19" hidden="1">
      <c r="B51" s="7"/>
      <c r="C51" s="14"/>
      <c r="D51" s="14"/>
      <c r="E51" s="14"/>
      <c r="F51" s="14"/>
      <c r="G51" s="8"/>
      <c r="H51" s="24">
        <f t="shared" si="6"/>
        <v>0</v>
      </c>
      <c r="I51" s="34">
        <f t="shared" si="8"/>
        <v>0</v>
      </c>
      <c r="J51" s="10"/>
      <c r="K51" s="12"/>
      <c r="L51" s="11"/>
      <c r="M51" s="32"/>
      <c r="N51" s="25">
        <f t="shared" si="9"/>
        <v>0</v>
      </c>
      <c r="O51" s="25">
        <f t="shared" si="10"/>
        <v>0</v>
      </c>
      <c r="P51" s="25">
        <f t="shared" si="11"/>
        <v>0</v>
      </c>
      <c r="Q51" s="26">
        <f t="shared" si="12"/>
        <v>0</v>
      </c>
      <c r="R51" s="27">
        <f t="shared" si="13"/>
        <v>0</v>
      </c>
      <c r="S51" s="28">
        <f t="shared" si="7"/>
        <v>0</v>
      </c>
    </row>
    <row r="52" spans="2:19" hidden="1">
      <c r="B52" s="7"/>
      <c r="C52" s="14"/>
      <c r="D52" s="14"/>
      <c r="E52" s="14"/>
      <c r="F52" s="14"/>
      <c r="G52" s="8"/>
      <c r="H52" s="24">
        <f t="shared" si="6"/>
        <v>0</v>
      </c>
      <c r="I52" s="34">
        <f t="shared" si="8"/>
        <v>0</v>
      </c>
      <c r="J52" s="10"/>
      <c r="K52" s="12"/>
      <c r="L52" s="11"/>
      <c r="M52" s="32"/>
      <c r="N52" s="25">
        <f t="shared" si="9"/>
        <v>0</v>
      </c>
      <c r="O52" s="25">
        <f t="shared" si="10"/>
        <v>0</v>
      </c>
      <c r="P52" s="25">
        <f t="shared" si="11"/>
        <v>0</v>
      </c>
      <c r="Q52" s="26">
        <f t="shared" si="12"/>
        <v>0</v>
      </c>
      <c r="R52" s="27">
        <f t="shared" si="13"/>
        <v>0</v>
      </c>
      <c r="S52" s="28">
        <f t="shared" si="7"/>
        <v>0</v>
      </c>
    </row>
    <row r="53" spans="2:19" hidden="1">
      <c r="B53" s="7"/>
      <c r="C53" s="14"/>
      <c r="D53" s="14"/>
      <c r="E53" s="14"/>
      <c r="F53" s="14"/>
      <c r="G53" s="8"/>
      <c r="H53" s="24">
        <f t="shared" si="6"/>
        <v>0</v>
      </c>
      <c r="I53" s="34">
        <f t="shared" si="8"/>
        <v>0</v>
      </c>
      <c r="J53" s="10"/>
      <c r="K53" s="12"/>
      <c r="L53" s="11"/>
      <c r="M53" s="32"/>
      <c r="N53" s="25">
        <f t="shared" si="9"/>
        <v>0</v>
      </c>
      <c r="O53" s="25">
        <f t="shared" si="10"/>
        <v>0</v>
      </c>
      <c r="P53" s="25">
        <f t="shared" si="11"/>
        <v>0</v>
      </c>
      <c r="Q53" s="26">
        <f t="shared" si="12"/>
        <v>0</v>
      </c>
      <c r="R53" s="27">
        <f t="shared" si="13"/>
        <v>0</v>
      </c>
      <c r="S53" s="28">
        <f t="shared" si="7"/>
        <v>0</v>
      </c>
    </row>
    <row r="54" spans="2:19" hidden="1">
      <c r="B54" s="7"/>
      <c r="C54" s="14"/>
      <c r="D54" s="14"/>
      <c r="E54" s="14"/>
      <c r="F54" s="14"/>
      <c r="G54" s="8"/>
      <c r="H54" s="24">
        <f t="shared" si="6"/>
        <v>0</v>
      </c>
      <c r="I54" s="34">
        <f t="shared" si="8"/>
        <v>0</v>
      </c>
      <c r="J54" s="10"/>
      <c r="K54" s="12"/>
      <c r="L54" s="11"/>
      <c r="M54" s="32"/>
      <c r="N54" s="25">
        <f t="shared" si="9"/>
        <v>0</v>
      </c>
      <c r="O54" s="25">
        <f t="shared" si="10"/>
        <v>0</v>
      </c>
      <c r="P54" s="25">
        <f t="shared" si="11"/>
        <v>0</v>
      </c>
      <c r="Q54" s="26">
        <f t="shared" si="12"/>
        <v>0</v>
      </c>
      <c r="R54" s="27">
        <f t="shared" si="13"/>
        <v>0</v>
      </c>
      <c r="S54" s="28">
        <f t="shared" si="7"/>
        <v>0</v>
      </c>
    </row>
    <row r="55" spans="2:19" hidden="1">
      <c r="B55" s="7"/>
      <c r="C55" s="14"/>
      <c r="D55" s="14"/>
      <c r="E55" s="14"/>
      <c r="F55" s="14"/>
      <c r="G55" s="8"/>
      <c r="H55" s="24">
        <f t="shared" si="6"/>
        <v>0</v>
      </c>
      <c r="I55" s="34">
        <f t="shared" si="8"/>
        <v>0</v>
      </c>
      <c r="J55" s="10"/>
      <c r="K55" s="12"/>
      <c r="L55" s="11"/>
      <c r="M55" s="32"/>
      <c r="N55" s="25">
        <f t="shared" si="9"/>
        <v>0</v>
      </c>
      <c r="O55" s="25">
        <f t="shared" si="10"/>
        <v>0</v>
      </c>
      <c r="P55" s="25">
        <f t="shared" si="11"/>
        <v>0</v>
      </c>
      <c r="Q55" s="26">
        <f t="shared" si="12"/>
        <v>0</v>
      </c>
      <c r="R55" s="27">
        <f t="shared" si="13"/>
        <v>0</v>
      </c>
      <c r="S55" s="28">
        <f t="shared" si="7"/>
        <v>0</v>
      </c>
    </row>
    <row r="56" spans="2:19" hidden="1">
      <c r="B56" s="7"/>
      <c r="C56" s="14"/>
      <c r="D56" s="14"/>
      <c r="E56" s="14"/>
      <c r="F56" s="14"/>
      <c r="G56" s="8"/>
      <c r="H56" s="24">
        <f t="shared" si="6"/>
        <v>0</v>
      </c>
      <c r="I56" s="34">
        <f t="shared" si="8"/>
        <v>0</v>
      </c>
      <c r="J56" s="10"/>
      <c r="K56" s="12"/>
      <c r="L56" s="11"/>
      <c r="M56" s="32"/>
      <c r="N56" s="25">
        <f t="shared" si="9"/>
        <v>0</v>
      </c>
      <c r="O56" s="25">
        <f t="shared" si="10"/>
        <v>0</v>
      </c>
      <c r="P56" s="25">
        <f t="shared" si="11"/>
        <v>0</v>
      </c>
      <c r="Q56" s="26">
        <f t="shared" si="12"/>
        <v>0</v>
      </c>
      <c r="R56" s="27">
        <f t="shared" si="13"/>
        <v>0</v>
      </c>
      <c r="S56" s="28">
        <f t="shared" si="7"/>
        <v>0</v>
      </c>
    </row>
    <row r="57" spans="2:19" hidden="1">
      <c r="B57" s="7"/>
      <c r="C57" s="14"/>
      <c r="D57" s="14"/>
      <c r="E57" s="14"/>
      <c r="F57" s="14"/>
      <c r="G57" s="8"/>
      <c r="H57" s="24">
        <f t="shared" si="6"/>
        <v>0</v>
      </c>
      <c r="I57" s="34">
        <f t="shared" si="8"/>
        <v>0</v>
      </c>
      <c r="J57" s="10"/>
      <c r="K57" s="12"/>
      <c r="L57" s="11"/>
      <c r="M57" s="32"/>
      <c r="N57" s="25">
        <f t="shared" si="9"/>
        <v>0</v>
      </c>
      <c r="O57" s="25">
        <f t="shared" si="10"/>
        <v>0</v>
      </c>
      <c r="P57" s="25">
        <f t="shared" si="11"/>
        <v>0</v>
      </c>
      <c r="Q57" s="26">
        <f t="shared" si="12"/>
        <v>0</v>
      </c>
      <c r="R57" s="27">
        <f t="shared" si="13"/>
        <v>0</v>
      </c>
      <c r="S57" s="28">
        <f t="shared" si="7"/>
        <v>0</v>
      </c>
    </row>
    <row r="58" spans="2:19" hidden="1">
      <c r="B58" s="7"/>
      <c r="C58" s="14"/>
      <c r="D58" s="14"/>
      <c r="E58" s="14"/>
      <c r="F58" s="14"/>
      <c r="G58" s="8"/>
      <c r="H58" s="24">
        <f t="shared" si="6"/>
        <v>0</v>
      </c>
      <c r="I58" s="34">
        <f t="shared" si="8"/>
        <v>0</v>
      </c>
      <c r="J58" s="10"/>
      <c r="K58" s="12"/>
      <c r="L58" s="11"/>
      <c r="M58" s="32"/>
      <c r="N58" s="25">
        <f t="shared" si="9"/>
        <v>0</v>
      </c>
      <c r="O58" s="25">
        <f t="shared" si="10"/>
        <v>0</v>
      </c>
      <c r="P58" s="25">
        <f t="shared" si="11"/>
        <v>0</v>
      </c>
      <c r="Q58" s="26">
        <f t="shared" si="12"/>
        <v>0</v>
      </c>
      <c r="R58" s="27">
        <f t="shared" si="13"/>
        <v>0</v>
      </c>
      <c r="S58" s="28">
        <f t="shared" si="7"/>
        <v>0</v>
      </c>
    </row>
    <row r="59" spans="2:19" hidden="1">
      <c r="B59" s="7"/>
      <c r="C59" s="14"/>
      <c r="D59" s="14"/>
      <c r="E59" s="14"/>
      <c r="F59" s="14"/>
      <c r="G59" s="8"/>
      <c r="H59" s="24">
        <f t="shared" si="6"/>
        <v>0</v>
      </c>
      <c r="I59" s="34">
        <f t="shared" si="8"/>
        <v>0</v>
      </c>
      <c r="J59" s="10"/>
      <c r="K59" s="12"/>
      <c r="L59" s="11"/>
      <c r="M59" s="32"/>
      <c r="N59" s="25">
        <f t="shared" si="9"/>
        <v>0</v>
      </c>
      <c r="O59" s="25">
        <f t="shared" si="10"/>
        <v>0</v>
      </c>
      <c r="P59" s="25">
        <f t="shared" si="11"/>
        <v>0</v>
      </c>
      <c r="Q59" s="26">
        <f t="shared" si="12"/>
        <v>0</v>
      </c>
      <c r="R59" s="27">
        <f t="shared" si="13"/>
        <v>0</v>
      </c>
      <c r="S59" s="28">
        <f t="shared" si="7"/>
        <v>0</v>
      </c>
    </row>
    <row r="60" spans="2:19" hidden="1">
      <c r="B60" s="7"/>
      <c r="C60" s="14"/>
      <c r="D60" s="14"/>
      <c r="E60" s="14"/>
      <c r="F60" s="14"/>
      <c r="G60" s="8"/>
      <c r="H60" s="24">
        <f t="shared" si="6"/>
        <v>0</v>
      </c>
      <c r="I60" s="34">
        <f t="shared" si="8"/>
        <v>0</v>
      </c>
      <c r="J60" s="10"/>
      <c r="K60" s="12"/>
      <c r="L60" s="11"/>
      <c r="M60" s="32"/>
      <c r="N60" s="25">
        <f t="shared" si="9"/>
        <v>0</v>
      </c>
      <c r="O60" s="25">
        <f t="shared" si="10"/>
        <v>0</v>
      </c>
      <c r="P60" s="25">
        <f t="shared" si="11"/>
        <v>0</v>
      </c>
      <c r="Q60" s="26">
        <f t="shared" si="12"/>
        <v>0</v>
      </c>
      <c r="R60" s="27">
        <f t="shared" si="13"/>
        <v>0</v>
      </c>
      <c r="S60" s="28">
        <f t="shared" si="7"/>
        <v>0</v>
      </c>
    </row>
    <row r="61" spans="2:19" hidden="1">
      <c r="B61" s="7"/>
      <c r="C61" s="14"/>
      <c r="D61" s="14"/>
      <c r="E61" s="14"/>
      <c r="F61" s="14"/>
      <c r="G61" s="8"/>
      <c r="H61" s="24">
        <f t="shared" si="6"/>
        <v>0</v>
      </c>
      <c r="I61" s="34">
        <f t="shared" si="8"/>
        <v>0</v>
      </c>
      <c r="J61" s="10"/>
      <c r="K61" s="12"/>
      <c r="L61" s="11"/>
      <c r="M61" s="32"/>
      <c r="N61" s="25">
        <f t="shared" si="9"/>
        <v>0</v>
      </c>
      <c r="O61" s="25">
        <f t="shared" si="10"/>
        <v>0</v>
      </c>
      <c r="P61" s="25">
        <f t="shared" si="11"/>
        <v>0</v>
      </c>
      <c r="Q61" s="26">
        <f t="shared" si="12"/>
        <v>0</v>
      </c>
      <c r="R61" s="27">
        <f t="shared" si="13"/>
        <v>0</v>
      </c>
      <c r="S61" s="28">
        <f t="shared" si="7"/>
        <v>0</v>
      </c>
    </row>
    <row r="62" spans="2:19" hidden="1">
      <c r="B62" s="7"/>
      <c r="C62" s="14"/>
      <c r="D62" s="14"/>
      <c r="E62" s="14"/>
      <c r="F62" s="14"/>
      <c r="G62" s="8"/>
      <c r="H62" s="24">
        <f t="shared" si="6"/>
        <v>0</v>
      </c>
      <c r="I62" s="34">
        <f t="shared" si="8"/>
        <v>0</v>
      </c>
      <c r="J62" s="10"/>
      <c r="K62" s="12"/>
      <c r="L62" s="11"/>
      <c r="M62" s="32"/>
      <c r="N62" s="25">
        <f t="shared" si="9"/>
        <v>0</v>
      </c>
      <c r="O62" s="25">
        <f t="shared" si="10"/>
        <v>0</v>
      </c>
      <c r="P62" s="25">
        <f t="shared" si="11"/>
        <v>0</v>
      </c>
      <c r="Q62" s="26">
        <f t="shared" si="12"/>
        <v>0</v>
      </c>
      <c r="R62" s="27">
        <f t="shared" si="13"/>
        <v>0</v>
      </c>
      <c r="S62" s="28">
        <f t="shared" si="7"/>
        <v>0</v>
      </c>
    </row>
    <row r="63" spans="2:19" hidden="1">
      <c r="B63" s="7"/>
      <c r="C63" s="14"/>
      <c r="D63" s="14"/>
      <c r="E63" s="14"/>
      <c r="F63" s="14"/>
      <c r="G63" s="8"/>
      <c r="H63" s="24">
        <f t="shared" si="6"/>
        <v>0</v>
      </c>
      <c r="I63" s="34">
        <f t="shared" si="8"/>
        <v>0</v>
      </c>
      <c r="J63" s="10"/>
      <c r="K63" s="12"/>
      <c r="L63" s="11"/>
      <c r="M63" s="32"/>
      <c r="N63" s="25">
        <f t="shared" si="9"/>
        <v>0</v>
      </c>
      <c r="O63" s="25">
        <f t="shared" si="10"/>
        <v>0</v>
      </c>
      <c r="P63" s="25">
        <f t="shared" si="11"/>
        <v>0</v>
      </c>
      <c r="Q63" s="26">
        <f t="shared" si="12"/>
        <v>0</v>
      </c>
      <c r="R63" s="27">
        <f t="shared" si="13"/>
        <v>0</v>
      </c>
      <c r="S63" s="28">
        <f t="shared" si="7"/>
        <v>0</v>
      </c>
    </row>
    <row r="64" spans="2:19" hidden="1">
      <c r="B64" s="7"/>
      <c r="C64" s="14"/>
      <c r="D64" s="14"/>
      <c r="E64" s="14"/>
      <c r="F64" s="14"/>
      <c r="G64" s="8"/>
      <c r="H64" s="24">
        <f t="shared" si="6"/>
        <v>0</v>
      </c>
      <c r="I64" s="34">
        <f t="shared" si="8"/>
        <v>0</v>
      </c>
      <c r="J64" s="10"/>
      <c r="K64" s="12"/>
      <c r="L64" s="11"/>
      <c r="M64" s="32"/>
      <c r="N64" s="25">
        <f t="shared" si="9"/>
        <v>0</v>
      </c>
      <c r="O64" s="25">
        <f t="shared" si="10"/>
        <v>0</v>
      </c>
      <c r="P64" s="25">
        <f t="shared" si="11"/>
        <v>0</v>
      </c>
      <c r="Q64" s="26">
        <f t="shared" si="12"/>
        <v>0</v>
      </c>
      <c r="R64" s="27">
        <f t="shared" si="13"/>
        <v>0</v>
      </c>
      <c r="S64" s="28">
        <f t="shared" si="7"/>
        <v>0</v>
      </c>
    </row>
    <row r="65" spans="2:19" hidden="1">
      <c r="B65" s="7"/>
      <c r="C65" s="14"/>
      <c r="D65" s="14"/>
      <c r="E65" s="14"/>
      <c r="F65" s="14"/>
      <c r="G65" s="8"/>
      <c r="H65" s="24">
        <f t="shared" si="6"/>
        <v>0</v>
      </c>
      <c r="I65" s="34">
        <f t="shared" si="8"/>
        <v>0</v>
      </c>
      <c r="J65" s="10"/>
      <c r="K65" s="12"/>
      <c r="L65" s="11"/>
      <c r="M65" s="32"/>
      <c r="N65" s="25">
        <f t="shared" si="9"/>
        <v>0</v>
      </c>
      <c r="O65" s="25">
        <f t="shared" si="10"/>
        <v>0</v>
      </c>
      <c r="P65" s="25">
        <f t="shared" si="11"/>
        <v>0</v>
      </c>
      <c r="Q65" s="26">
        <f t="shared" si="12"/>
        <v>0</v>
      </c>
      <c r="R65" s="27">
        <f t="shared" si="13"/>
        <v>0</v>
      </c>
      <c r="S65" s="28">
        <f t="shared" si="7"/>
        <v>0</v>
      </c>
    </row>
    <row r="66" spans="2:19" hidden="1">
      <c r="B66" s="7"/>
      <c r="C66" s="14"/>
      <c r="D66" s="14"/>
      <c r="E66" s="14"/>
      <c r="F66" s="14"/>
      <c r="G66" s="8"/>
      <c r="H66" s="24">
        <f t="shared" si="6"/>
        <v>0</v>
      </c>
      <c r="I66" s="34">
        <f t="shared" si="8"/>
        <v>0</v>
      </c>
      <c r="J66" s="10"/>
      <c r="K66" s="12"/>
      <c r="L66" s="11"/>
      <c r="M66" s="32"/>
      <c r="N66" s="25">
        <f t="shared" si="9"/>
        <v>0</v>
      </c>
      <c r="O66" s="25">
        <f t="shared" si="10"/>
        <v>0</v>
      </c>
      <c r="P66" s="25">
        <f t="shared" si="11"/>
        <v>0</v>
      </c>
      <c r="Q66" s="26">
        <f t="shared" si="12"/>
        <v>0</v>
      </c>
      <c r="R66" s="27">
        <f t="shared" si="13"/>
        <v>0</v>
      </c>
      <c r="S66" s="28">
        <f t="shared" si="7"/>
        <v>0</v>
      </c>
    </row>
    <row r="67" spans="2:19" hidden="1">
      <c r="B67" s="7"/>
      <c r="C67" s="14"/>
      <c r="D67" s="14"/>
      <c r="E67" s="14"/>
      <c r="F67" s="14"/>
      <c r="G67" s="8"/>
      <c r="H67" s="24">
        <f t="shared" si="6"/>
        <v>0</v>
      </c>
      <c r="I67" s="34">
        <f t="shared" si="8"/>
        <v>0</v>
      </c>
      <c r="J67" s="10"/>
      <c r="K67" s="12"/>
      <c r="L67" s="11"/>
      <c r="M67" s="32"/>
      <c r="N67" s="25">
        <f t="shared" si="9"/>
        <v>0</v>
      </c>
      <c r="O67" s="25">
        <f t="shared" si="10"/>
        <v>0</v>
      </c>
      <c r="P67" s="25">
        <f t="shared" si="11"/>
        <v>0</v>
      </c>
      <c r="Q67" s="26">
        <f t="shared" si="12"/>
        <v>0</v>
      </c>
      <c r="R67" s="27">
        <f t="shared" si="13"/>
        <v>0</v>
      </c>
      <c r="S67" s="28">
        <f t="shared" si="7"/>
        <v>0</v>
      </c>
    </row>
    <row r="68" spans="2:19" hidden="1">
      <c r="B68" s="7"/>
      <c r="C68" s="14"/>
      <c r="D68" s="14"/>
      <c r="E68" s="14"/>
      <c r="F68" s="14"/>
      <c r="G68" s="8"/>
      <c r="H68" s="24">
        <f t="shared" si="6"/>
        <v>0</v>
      </c>
      <c r="I68" s="34">
        <f t="shared" si="8"/>
        <v>0</v>
      </c>
      <c r="J68" s="10"/>
      <c r="K68" s="12"/>
      <c r="L68" s="11"/>
      <c r="M68" s="32"/>
      <c r="N68" s="25">
        <f t="shared" si="9"/>
        <v>0</v>
      </c>
      <c r="O68" s="25">
        <f t="shared" si="10"/>
        <v>0</v>
      </c>
      <c r="P68" s="25">
        <f t="shared" si="11"/>
        <v>0</v>
      </c>
      <c r="Q68" s="26">
        <f t="shared" si="12"/>
        <v>0</v>
      </c>
      <c r="R68" s="27">
        <f t="shared" si="13"/>
        <v>0</v>
      </c>
      <c r="S68" s="28">
        <f t="shared" si="7"/>
        <v>0</v>
      </c>
    </row>
    <row r="69" spans="2:19" hidden="1">
      <c r="B69" s="7"/>
      <c r="C69" s="14"/>
      <c r="D69" s="14"/>
      <c r="E69" s="14"/>
      <c r="F69" s="14"/>
      <c r="G69" s="8"/>
      <c r="H69" s="24">
        <f t="shared" si="6"/>
        <v>0</v>
      </c>
      <c r="I69" s="34">
        <f t="shared" si="8"/>
        <v>0</v>
      </c>
      <c r="J69" s="10"/>
      <c r="K69" s="12"/>
      <c r="L69" s="11"/>
      <c r="M69" s="32"/>
      <c r="N69" s="25">
        <f t="shared" si="9"/>
        <v>0</v>
      </c>
      <c r="O69" s="25">
        <f t="shared" si="10"/>
        <v>0</v>
      </c>
      <c r="P69" s="25">
        <f t="shared" si="11"/>
        <v>0</v>
      </c>
      <c r="Q69" s="26">
        <f t="shared" si="12"/>
        <v>0</v>
      </c>
      <c r="R69" s="27">
        <f t="shared" si="13"/>
        <v>0</v>
      </c>
      <c r="S69" s="28">
        <f t="shared" si="7"/>
        <v>0</v>
      </c>
    </row>
    <row r="70" spans="2:19" hidden="1">
      <c r="B70" s="7"/>
      <c r="C70" s="14"/>
      <c r="D70" s="14"/>
      <c r="E70" s="14"/>
      <c r="F70" s="14"/>
      <c r="G70" s="8"/>
      <c r="H70" s="24">
        <f t="shared" si="6"/>
        <v>0</v>
      </c>
      <c r="I70" s="34">
        <f t="shared" si="8"/>
        <v>0</v>
      </c>
      <c r="J70" s="10"/>
      <c r="K70" s="12"/>
      <c r="L70" s="11"/>
      <c r="M70" s="32"/>
      <c r="N70" s="25">
        <f t="shared" si="9"/>
        <v>0</v>
      </c>
      <c r="O70" s="25">
        <f t="shared" si="10"/>
        <v>0</v>
      </c>
      <c r="P70" s="25">
        <f t="shared" si="11"/>
        <v>0</v>
      </c>
      <c r="Q70" s="26">
        <f t="shared" si="12"/>
        <v>0</v>
      </c>
      <c r="R70" s="27">
        <f t="shared" si="13"/>
        <v>0</v>
      </c>
      <c r="S70" s="28">
        <f t="shared" si="7"/>
        <v>0</v>
      </c>
    </row>
    <row r="71" spans="2:19" hidden="1">
      <c r="B71" s="7"/>
      <c r="C71" s="14"/>
      <c r="D71" s="14"/>
      <c r="E71" s="14"/>
      <c r="F71" s="14"/>
      <c r="G71" s="8"/>
      <c r="H71" s="24">
        <f t="shared" ref="H71:H79" si="14">SUM(C71:G71)</f>
        <v>0</v>
      </c>
      <c r="I71" s="34">
        <f t="shared" si="8"/>
        <v>0</v>
      </c>
      <c r="J71" s="10"/>
      <c r="K71" s="12"/>
      <c r="L71" s="11"/>
      <c r="M71" s="32"/>
      <c r="N71" s="25">
        <f t="shared" si="9"/>
        <v>0</v>
      </c>
      <c r="O71" s="25">
        <f t="shared" si="10"/>
        <v>0</v>
      </c>
      <c r="P71" s="25">
        <f t="shared" si="11"/>
        <v>0</v>
      </c>
      <c r="Q71" s="26">
        <f t="shared" si="12"/>
        <v>0</v>
      </c>
      <c r="R71" s="27">
        <f t="shared" si="13"/>
        <v>0</v>
      </c>
      <c r="S71" s="28">
        <f t="shared" ref="S71:S79" si="15">SUM(N71:R71)</f>
        <v>0</v>
      </c>
    </row>
    <row r="72" spans="2:19" hidden="1">
      <c r="B72" s="7"/>
      <c r="C72" s="14"/>
      <c r="D72" s="14"/>
      <c r="E72" s="14"/>
      <c r="F72" s="14"/>
      <c r="G72" s="8"/>
      <c r="H72" s="24">
        <f t="shared" si="14"/>
        <v>0</v>
      </c>
      <c r="I72" s="34">
        <f t="shared" si="8"/>
        <v>0</v>
      </c>
      <c r="J72" s="10"/>
      <c r="K72" s="12"/>
      <c r="L72" s="11"/>
      <c r="M72" s="32"/>
      <c r="N72" s="25">
        <f t="shared" si="9"/>
        <v>0</v>
      </c>
      <c r="O72" s="25">
        <f t="shared" si="10"/>
        <v>0</v>
      </c>
      <c r="P72" s="25">
        <f t="shared" si="11"/>
        <v>0</v>
      </c>
      <c r="Q72" s="26">
        <f t="shared" si="12"/>
        <v>0</v>
      </c>
      <c r="R72" s="27">
        <f t="shared" si="13"/>
        <v>0</v>
      </c>
      <c r="S72" s="28">
        <f t="shared" si="15"/>
        <v>0</v>
      </c>
    </row>
    <row r="73" spans="2:19" hidden="1">
      <c r="B73" s="7"/>
      <c r="C73" s="14"/>
      <c r="D73" s="14"/>
      <c r="E73" s="14"/>
      <c r="F73" s="14"/>
      <c r="G73" s="8"/>
      <c r="H73" s="24">
        <f t="shared" si="14"/>
        <v>0</v>
      </c>
      <c r="I73" s="34">
        <f t="shared" si="8"/>
        <v>0</v>
      </c>
      <c r="J73" s="10"/>
      <c r="K73" s="12"/>
      <c r="L73" s="11"/>
      <c r="M73" s="32"/>
      <c r="N73" s="25">
        <f t="shared" si="9"/>
        <v>0</v>
      </c>
      <c r="O73" s="25">
        <f t="shared" si="10"/>
        <v>0</v>
      </c>
      <c r="P73" s="25">
        <f t="shared" si="11"/>
        <v>0</v>
      </c>
      <c r="Q73" s="26">
        <f t="shared" si="12"/>
        <v>0</v>
      </c>
      <c r="R73" s="27">
        <f t="shared" si="13"/>
        <v>0</v>
      </c>
      <c r="S73" s="28">
        <f t="shared" si="15"/>
        <v>0</v>
      </c>
    </row>
    <row r="74" spans="2:19" hidden="1">
      <c r="B74" s="7"/>
      <c r="C74" s="14"/>
      <c r="D74" s="14"/>
      <c r="E74" s="14"/>
      <c r="F74" s="14"/>
      <c r="G74" s="8"/>
      <c r="H74" s="24">
        <f t="shared" si="14"/>
        <v>0</v>
      </c>
      <c r="I74" s="34">
        <f t="shared" si="8"/>
        <v>0</v>
      </c>
      <c r="J74" s="10"/>
      <c r="K74" s="12"/>
      <c r="L74" s="11"/>
      <c r="M74" s="32"/>
      <c r="N74" s="25">
        <f t="shared" si="9"/>
        <v>0</v>
      </c>
      <c r="O74" s="25">
        <f t="shared" si="10"/>
        <v>0</v>
      </c>
      <c r="P74" s="25">
        <f t="shared" si="11"/>
        <v>0</v>
      </c>
      <c r="Q74" s="26">
        <f t="shared" si="12"/>
        <v>0</v>
      </c>
      <c r="R74" s="27">
        <f t="shared" si="13"/>
        <v>0</v>
      </c>
      <c r="S74" s="28">
        <f t="shared" si="15"/>
        <v>0</v>
      </c>
    </row>
    <row r="75" spans="2:19" hidden="1">
      <c r="B75" s="7"/>
      <c r="C75" s="14"/>
      <c r="D75" s="14"/>
      <c r="E75" s="14"/>
      <c r="F75" s="14"/>
      <c r="G75" s="8"/>
      <c r="H75" s="24">
        <f t="shared" si="14"/>
        <v>0</v>
      </c>
      <c r="I75" s="34">
        <f t="shared" si="8"/>
        <v>0</v>
      </c>
      <c r="J75" s="10"/>
      <c r="K75" s="12"/>
      <c r="L75" s="11"/>
      <c r="M75" s="32"/>
      <c r="N75" s="25">
        <f t="shared" si="9"/>
        <v>0</v>
      </c>
      <c r="O75" s="25">
        <f t="shared" si="10"/>
        <v>0</v>
      </c>
      <c r="P75" s="25">
        <f t="shared" si="11"/>
        <v>0</v>
      </c>
      <c r="Q75" s="26">
        <f t="shared" si="12"/>
        <v>0</v>
      </c>
      <c r="R75" s="27">
        <f t="shared" si="13"/>
        <v>0</v>
      </c>
      <c r="S75" s="28">
        <f t="shared" si="15"/>
        <v>0</v>
      </c>
    </row>
    <row r="76" spans="2:19" hidden="1">
      <c r="B76" s="7"/>
      <c r="C76" s="14"/>
      <c r="D76" s="14"/>
      <c r="E76" s="14"/>
      <c r="F76" s="14"/>
      <c r="G76" s="8"/>
      <c r="H76" s="24">
        <f t="shared" si="14"/>
        <v>0</v>
      </c>
      <c r="I76" s="34">
        <f t="shared" si="8"/>
        <v>0</v>
      </c>
      <c r="J76" s="10"/>
      <c r="K76" s="12"/>
      <c r="L76" s="11"/>
      <c r="M76" s="32"/>
      <c r="N76" s="25">
        <f t="shared" si="9"/>
        <v>0</v>
      </c>
      <c r="O76" s="25">
        <f t="shared" si="10"/>
        <v>0</v>
      </c>
      <c r="P76" s="25">
        <f t="shared" si="11"/>
        <v>0</v>
      </c>
      <c r="Q76" s="26">
        <f t="shared" si="12"/>
        <v>0</v>
      </c>
      <c r="R76" s="27">
        <f t="shared" si="13"/>
        <v>0</v>
      </c>
      <c r="S76" s="28">
        <f t="shared" si="15"/>
        <v>0</v>
      </c>
    </row>
    <row r="77" spans="2:19" hidden="1">
      <c r="B77" s="7"/>
      <c r="C77" s="14"/>
      <c r="D77" s="14"/>
      <c r="E77" s="14"/>
      <c r="F77" s="14"/>
      <c r="G77" s="8"/>
      <c r="H77" s="24">
        <f t="shared" si="14"/>
        <v>0</v>
      </c>
      <c r="I77" s="34">
        <f t="shared" si="8"/>
        <v>0</v>
      </c>
      <c r="J77" s="10"/>
      <c r="K77" s="12"/>
      <c r="L77" s="11"/>
      <c r="M77" s="32"/>
      <c r="N77" s="25">
        <f t="shared" si="9"/>
        <v>0</v>
      </c>
      <c r="O77" s="25">
        <f t="shared" si="10"/>
        <v>0</v>
      </c>
      <c r="P77" s="25">
        <f t="shared" si="11"/>
        <v>0</v>
      </c>
      <c r="Q77" s="26">
        <f t="shared" si="12"/>
        <v>0</v>
      </c>
      <c r="R77" s="27">
        <f t="shared" si="13"/>
        <v>0</v>
      </c>
      <c r="S77" s="28">
        <f t="shared" si="15"/>
        <v>0</v>
      </c>
    </row>
    <row r="78" spans="2:19" hidden="1">
      <c r="B78" s="7"/>
      <c r="C78" s="14"/>
      <c r="D78" s="14"/>
      <c r="E78" s="14"/>
      <c r="F78" s="14"/>
      <c r="G78" s="8"/>
      <c r="H78" s="24">
        <f t="shared" si="14"/>
        <v>0</v>
      </c>
      <c r="I78" s="34">
        <f t="shared" si="8"/>
        <v>0</v>
      </c>
      <c r="J78" s="10"/>
      <c r="K78" s="12"/>
      <c r="L78" s="11"/>
      <c r="M78" s="32"/>
      <c r="N78" s="25">
        <f t="shared" si="9"/>
        <v>0</v>
      </c>
      <c r="O78" s="25">
        <f t="shared" si="10"/>
        <v>0</v>
      </c>
      <c r="P78" s="25">
        <f t="shared" si="11"/>
        <v>0</v>
      </c>
      <c r="Q78" s="26">
        <f t="shared" si="12"/>
        <v>0</v>
      </c>
      <c r="R78" s="27">
        <f t="shared" si="13"/>
        <v>0</v>
      </c>
      <c r="S78" s="28">
        <f t="shared" si="15"/>
        <v>0</v>
      </c>
    </row>
    <row r="79" spans="2:19" hidden="1">
      <c r="B79" s="7"/>
      <c r="C79" s="14"/>
      <c r="D79" s="14"/>
      <c r="E79" s="14"/>
      <c r="F79" s="14"/>
      <c r="G79" s="8"/>
      <c r="H79" s="24">
        <f t="shared" si="14"/>
        <v>0</v>
      </c>
      <c r="I79" s="34">
        <f t="shared" si="8"/>
        <v>0</v>
      </c>
      <c r="J79" s="10"/>
      <c r="K79" s="12"/>
      <c r="L79" s="11"/>
      <c r="M79" s="32"/>
      <c r="N79" s="25">
        <f t="shared" si="9"/>
        <v>0</v>
      </c>
      <c r="O79" s="25">
        <f t="shared" si="10"/>
        <v>0</v>
      </c>
      <c r="P79" s="25">
        <f t="shared" si="11"/>
        <v>0</v>
      </c>
      <c r="Q79" s="26">
        <f t="shared" si="12"/>
        <v>0</v>
      </c>
      <c r="R79" s="27">
        <f t="shared" si="13"/>
        <v>0</v>
      </c>
      <c r="S79" s="28">
        <f t="shared" si="15"/>
        <v>0</v>
      </c>
    </row>
    <row r="80" spans="2:19">
      <c r="B80" s="58" t="s">
        <v>13</v>
      </c>
      <c r="C80" s="288">
        <v>0</v>
      </c>
      <c r="D80" s="288">
        <v>16245</v>
      </c>
      <c r="E80" s="288">
        <f t="shared" ref="E80" si="16">P80</f>
        <v>22585.5</v>
      </c>
      <c r="F80" s="288">
        <v>68364</v>
      </c>
      <c r="G80" s="288">
        <f t="shared" ref="G80" si="17">R80</f>
        <v>0</v>
      </c>
      <c r="H80" s="288">
        <f t="shared" ref="H80" si="18">S80</f>
        <v>107194.5</v>
      </c>
      <c r="N80" s="29">
        <f>SUM(N6:N79)</f>
        <v>0</v>
      </c>
      <c r="O80" s="29">
        <f t="shared" ref="O80:R80" si="19">SUM(O6:O79)</f>
        <v>16245</v>
      </c>
      <c r="P80" s="29">
        <f t="shared" si="19"/>
        <v>22585.5</v>
      </c>
      <c r="Q80" s="29">
        <f t="shared" si="19"/>
        <v>68364</v>
      </c>
      <c r="R80" s="29">
        <f t="shared" si="19"/>
        <v>0</v>
      </c>
      <c r="S80" s="29">
        <f>SUM(S6:S79)</f>
        <v>107194.5</v>
      </c>
    </row>
    <row r="81" spans="2:7">
      <c r="B81" s="59" t="s">
        <v>46</v>
      </c>
    </row>
    <row r="82" spans="2:7" ht="16.5" thickBot="1">
      <c r="B82" s="2"/>
    </row>
    <row r="83" spans="2:7">
      <c r="B83" s="60" t="s">
        <v>47</v>
      </c>
    </row>
    <row r="84" spans="2:7">
      <c r="B84" s="61" t="s">
        <v>19</v>
      </c>
    </row>
    <row r="85" spans="2:7">
      <c r="B85" s="61" t="s">
        <v>17</v>
      </c>
    </row>
    <row r="86" spans="2:7" ht="16.5" thickBot="1">
      <c r="B86" s="62" t="s">
        <v>18</v>
      </c>
    </row>
    <row r="87" spans="2:7">
      <c r="B87" s="2"/>
    </row>
    <row r="88" spans="2:7">
      <c r="B88" s="30" t="s">
        <v>20</v>
      </c>
    </row>
    <row r="89" spans="2:7">
      <c r="B89" s="35"/>
    </row>
    <row r="90" spans="2:7">
      <c r="B90" s="35"/>
    </row>
    <row r="91" spans="2:7">
      <c r="B91" s="2"/>
      <c r="G91" s="5" t="str">
        <f>IF(B91&lt;&gt;"",SUM(C91:F91),"")</f>
        <v/>
      </c>
    </row>
    <row r="92" spans="2:7">
      <c r="G92" s="5" t="str">
        <f t="shared" ref="G92:G155" si="20">IF(B92&lt;&gt;"",SUM(C92:F92),"")</f>
        <v/>
      </c>
    </row>
    <row r="93" spans="2:7">
      <c r="G93" s="5" t="str">
        <f t="shared" si="20"/>
        <v/>
      </c>
    </row>
    <row r="94" spans="2:7">
      <c r="G94" s="5" t="str">
        <f t="shared" si="20"/>
        <v/>
      </c>
    </row>
    <row r="95" spans="2:7">
      <c r="G95" s="5" t="str">
        <f t="shared" si="20"/>
        <v/>
      </c>
    </row>
    <row r="96" spans="2:7">
      <c r="G96" s="5" t="str">
        <f t="shared" si="20"/>
        <v/>
      </c>
    </row>
    <row r="97" spans="7:7">
      <c r="G97" s="5" t="str">
        <f t="shared" si="20"/>
        <v/>
      </c>
    </row>
    <row r="98" spans="7:7">
      <c r="G98" s="5" t="str">
        <f t="shared" si="20"/>
        <v/>
      </c>
    </row>
    <row r="99" spans="7:7">
      <c r="G99" s="5" t="str">
        <f t="shared" si="20"/>
        <v/>
      </c>
    </row>
    <row r="100" spans="7:7">
      <c r="G100" s="5" t="str">
        <f t="shared" si="20"/>
        <v/>
      </c>
    </row>
    <row r="101" spans="7:7">
      <c r="G101" s="5" t="str">
        <f t="shared" si="20"/>
        <v/>
      </c>
    </row>
    <row r="102" spans="7:7">
      <c r="G102" s="5" t="str">
        <f t="shared" si="20"/>
        <v/>
      </c>
    </row>
    <row r="103" spans="7:7">
      <c r="G103" s="5" t="str">
        <f t="shared" si="20"/>
        <v/>
      </c>
    </row>
    <row r="104" spans="7:7">
      <c r="G104" s="5" t="str">
        <f t="shared" si="20"/>
        <v/>
      </c>
    </row>
    <row r="105" spans="7:7">
      <c r="G105" s="5" t="str">
        <f t="shared" si="20"/>
        <v/>
      </c>
    </row>
    <row r="106" spans="7:7">
      <c r="G106" s="5" t="str">
        <f t="shared" si="20"/>
        <v/>
      </c>
    </row>
    <row r="107" spans="7:7">
      <c r="G107" s="5" t="str">
        <f t="shared" si="20"/>
        <v/>
      </c>
    </row>
    <row r="108" spans="7:7">
      <c r="G108" s="5" t="str">
        <f t="shared" si="20"/>
        <v/>
      </c>
    </row>
    <row r="109" spans="7:7">
      <c r="G109" s="5" t="str">
        <f t="shared" si="20"/>
        <v/>
      </c>
    </row>
    <row r="110" spans="7:7">
      <c r="G110" s="5" t="str">
        <f t="shared" si="20"/>
        <v/>
      </c>
    </row>
    <row r="111" spans="7:7">
      <c r="G111" s="5" t="str">
        <f t="shared" si="20"/>
        <v/>
      </c>
    </row>
    <row r="112" spans="7:7">
      <c r="G112" s="5" t="str">
        <f t="shared" si="20"/>
        <v/>
      </c>
    </row>
    <row r="113" spans="7:7">
      <c r="G113" s="5" t="str">
        <f t="shared" si="20"/>
        <v/>
      </c>
    </row>
    <row r="114" spans="7:7">
      <c r="G114" s="5" t="str">
        <f t="shared" si="20"/>
        <v/>
      </c>
    </row>
    <row r="115" spans="7:7">
      <c r="G115" s="5" t="str">
        <f t="shared" si="20"/>
        <v/>
      </c>
    </row>
    <row r="116" spans="7:7">
      <c r="G116" s="5" t="str">
        <f t="shared" si="20"/>
        <v/>
      </c>
    </row>
    <row r="117" spans="7:7">
      <c r="G117" s="5" t="str">
        <f t="shared" si="20"/>
        <v/>
      </c>
    </row>
    <row r="118" spans="7:7">
      <c r="G118" s="5" t="str">
        <f t="shared" si="20"/>
        <v/>
      </c>
    </row>
    <row r="119" spans="7:7">
      <c r="G119" s="5" t="str">
        <f t="shared" si="20"/>
        <v/>
      </c>
    </row>
    <row r="120" spans="7:7">
      <c r="G120" s="5" t="str">
        <f t="shared" si="20"/>
        <v/>
      </c>
    </row>
    <row r="121" spans="7:7">
      <c r="G121" s="5" t="str">
        <f t="shared" si="20"/>
        <v/>
      </c>
    </row>
    <row r="122" spans="7:7">
      <c r="G122" s="5" t="str">
        <f t="shared" si="20"/>
        <v/>
      </c>
    </row>
    <row r="123" spans="7:7">
      <c r="G123" s="5" t="str">
        <f t="shared" si="20"/>
        <v/>
      </c>
    </row>
    <row r="124" spans="7:7">
      <c r="G124" s="5" t="str">
        <f t="shared" si="20"/>
        <v/>
      </c>
    </row>
    <row r="125" spans="7:7">
      <c r="G125" s="5" t="str">
        <f t="shared" si="20"/>
        <v/>
      </c>
    </row>
    <row r="126" spans="7:7">
      <c r="G126" s="5" t="str">
        <f t="shared" si="20"/>
        <v/>
      </c>
    </row>
    <row r="127" spans="7:7">
      <c r="G127" s="5" t="str">
        <f t="shared" si="20"/>
        <v/>
      </c>
    </row>
    <row r="128" spans="7:7">
      <c r="G128" s="5" t="str">
        <f t="shared" si="20"/>
        <v/>
      </c>
    </row>
    <row r="129" spans="7:7">
      <c r="G129" s="5" t="str">
        <f t="shared" si="20"/>
        <v/>
      </c>
    </row>
    <row r="130" spans="7:7">
      <c r="G130" s="5" t="str">
        <f t="shared" si="20"/>
        <v/>
      </c>
    </row>
    <row r="131" spans="7:7">
      <c r="G131" s="5" t="str">
        <f t="shared" si="20"/>
        <v/>
      </c>
    </row>
    <row r="132" spans="7:7">
      <c r="G132" s="5" t="str">
        <f t="shared" si="20"/>
        <v/>
      </c>
    </row>
    <row r="133" spans="7:7">
      <c r="G133" s="5" t="str">
        <f t="shared" si="20"/>
        <v/>
      </c>
    </row>
    <row r="134" spans="7:7">
      <c r="G134" s="5" t="str">
        <f t="shared" si="20"/>
        <v/>
      </c>
    </row>
    <row r="135" spans="7:7">
      <c r="G135" s="5" t="str">
        <f t="shared" si="20"/>
        <v/>
      </c>
    </row>
    <row r="136" spans="7:7">
      <c r="G136" s="5" t="str">
        <f t="shared" si="20"/>
        <v/>
      </c>
    </row>
    <row r="137" spans="7:7">
      <c r="G137" s="5" t="str">
        <f t="shared" si="20"/>
        <v/>
      </c>
    </row>
    <row r="138" spans="7:7">
      <c r="G138" s="5" t="str">
        <f t="shared" si="20"/>
        <v/>
      </c>
    </row>
    <row r="139" spans="7:7">
      <c r="G139" s="5" t="str">
        <f t="shared" si="20"/>
        <v/>
      </c>
    </row>
    <row r="140" spans="7:7">
      <c r="G140" s="5" t="str">
        <f t="shared" si="20"/>
        <v/>
      </c>
    </row>
    <row r="141" spans="7:7">
      <c r="G141" s="5" t="str">
        <f t="shared" si="20"/>
        <v/>
      </c>
    </row>
    <row r="142" spans="7:7">
      <c r="G142" s="5" t="str">
        <f t="shared" si="20"/>
        <v/>
      </c>
    </row>
    <row r="143" spans="7:7">
      <c r="G143" s="5" t="str">
        <f t="shared" si="20"/>
        <v/>
      </c>
    </row>
    <row r="144" spans="7:7">
      <c r="G144" s="5" t="str">
        <f t="shared" si="20"/>
        <v/>
      </c>
    </row>
    <row r="145" spans="7:7">
      <c r="G145" s="5" t="str">
        <f t="shared" si="20"/>
        <v/>
      </c>
    </row>
    <row r="146" spans="7:7">
      <c r="G146" s="5" t="str">
        <f t="shared" si="20"/>
        <v/>
      </c>
    </row>
    <row r="147" spans="7:7">
      <c r="G147" s="5" t="str">
        <f t="shared" si="20"/>
        <v/>
      </c>
    </row>
    <row r="148" spans="7:7">
      <c r="G148" s="5" t="str">
        <f t="shared" si="20"/>
        <v/>
      </c>
    </row>
    <row r="149" spans="7:7">
      <c r="G149" s="5" t="str">
        <f t="shared" si="20"/>
        <v/>
      </c>
    </row>
    <row r="150" spans="7:7">
      <c r="G150" s="5" t="str">
        <f t="shared" si="20"/>
        <v/>
      </c>
    </row>
    <row r="151" spans="7:7">
      <c r="G151" s="5" t="str">
        <f t="shared" si="20"/>
        <v/>
      </c>
    </row>
    <row r="152" spans="7:7">
      <c r="G152" s="5" t="str">
        <f t="shared" si="20"/>
        <v/>
      </c>
    </row>
    <row r="153" spans="7:7">
      <c r="G153" s="5" t="str">
        <f t="shared" si="20"/>
        <v/>
      </c>
    </row>
    <row r="154" spans="7:7">
      <c r="G154" s="5" t="str">
        <f t="shared" si="20"/>
        <v/>
      </c>
    </row>
    <row r="155" spans="7:7">
      <c r="G155" s="5" t="str">
        <f t="shared" si="20"/>
        <v/>
      </c>
    </row>
    <row r="156" spans="7:7">
      <c r="G156" s="5" t="str">
        <f t="shared" ref="G156:G219" si="21">IF(B156&lt;&gt;"",SUM(C156:F156),"")</f>
        <v/>
      </c>
    </row>
    <row r="157" spans="7:7">
      <c r="G157" s="5" t="str">
        <f t="shared" si="21"/>
        <v/>
      </c>
    </row>
    <row r="158" spans="7:7">
      <c r="G158" s="5" t="str">
        <f t="shared" si="21"/>
        <v/>
      </c>
    </row>
    <row r="159" spans="7:7">
      <c r="G159" s="5" t="str">
        <f t="shared" si="21"/>
        <v/>
      </c>
    </row>
    <row r="160" spans="7:7">
      <c r="G160" s="5" t="str">
        <f t="shared" si="21"/>
        <v/>
      </c>
    </row>
    <row r="161" spans="7:7">
      <c r="G161" s="5" t="str">
        <f t="shared" si="21"/>
        <v/>
      </c>
    </row>
    <row r="162" spans="7:7">
      <c r="G162" s="5" t="str">
        <f t="shared" si="21"/>
        <v/>
      </c>
    </row>
    <row r="163" spans="7:7">
      <c r="G163" s="5" t="str">
        <f t="shared" si="21"/>
        <v/>
      </c>
    </row>
    <row r="164" spans="7:7">
      <c r="G164" s="5" t="str">
        <f t="shared" si="21"/>
        <v/>
      </c>
    </row>
    <row r="165" spans="7:7">
      <c r="G165" s="5" t="str">
        <f t="shared" si="21"/>
        <v/>
      </c>
    </row>
    <row r="166" spans="7:7">
      <c r="G166" s="5" t="str">
        <f t="shared" si="21"/>
        <v/>
      </c>
    </row>
    <row r="167" spans="7:7">
      <c r="G167" s="5" t="str">
        <f t="shared" si="21"/>
        <v/>
      </c>
    </row>
    <row r="168" spans="7:7">
      <c r="G168" s="5" t="str">
        <f t="shared" si="21"/>
        <v/>
      </c>
    </row>
    <row r="169" spans="7:7">
      <c r="G169" s="5" t="str">
        <f t="shared" si="21"/>
        <v/>
      </c>
    </row>
    <row r="170" spans="7:7">
      <c r="G170" s="5" t="str">
        <f t="shared" si="21"/>
        <v/>
      </c>
    </row>
    <row r="171" spans="7:7">
      <c r="G171" s="5" t="str">
        <f t="shared" si="21"/>
        <v/>
      </c>
    </row>
    <row r="172" spans="7:7">
      <c r="G172" s="5" t="str">
        <f t="shared" si="21"/>
        <v/>
      </c>
    </row>
    <row r="173" spans="7:7">
      <c r="G173" s="5" t="str">
        <f t="shared" si="21"/>
        <v/>
      </c>
    </row>
    <row r="174" spans="7:7">
      <c r="G174" s="5" t="str">
        <f t="shared" si="21"/>
        <v/>
      </c>
    </row>
    <row r="175" spans="7:7">
      <c r="G175" s="5" t="str">
        <f t="shared" si="21"/>
        <v/>
      </c>
    </row>
    <row r="176" spans="7:7">
      <c r="G176" s="5" t="str">
        <f t="shared" si="21"/>
        <v/>
      </c>
    </row>
    <row r="177" spans="7:7">
      <c r="G177" s="5" t="str">
        <f t="shared" si="21"/>
        <v/>
      </c>
    </row>
    <row r="178" spans="7:7">
      <c r="G178" s="5" t="str">
        <f t="shared" si="21"/>
        <v/>
      </c>
    </row>
    <row r="179" spans="7:7">
      <c r="G179" s="5" t="str">
        <f t="shared" si="21"/>
        <v/>
      </c>
    </row>
    <row r="180" spans="7:7">
      <c r="G180" s="5" t="str">
        <f t="shared" si="21"/>
        <v/>
      </c>
    </row>
    <row r="181" spans="7:7">
      <c r="G181" s="5" t="str">
        <f t="shared" si="21"/>
        <v/>
      </c>
    </row>
    <row r="182" spans="7:7">
      <c r="G182" s="5" t="str">
        <f t="shared" si="21"/>
        <v/>
      </c>
    </row>
    <row r="183" spans="7:7">
      <c r="G183" s="5" t="str">
        <f t="shared" si="21"/>
        <v/>
      </c>
    </row>
    <row r="184" spans="7:7">
      <c r="G184" s="5" t="str">
        <f t="shared" si="21"/>
        <v/>
      </c>
    </row>
    <row r="185" spans="7:7">
      <c r="G185" s="5" t="str">
        <f t="shared" si="21"/>
        <v/>
      </c>
    </row>
    <row r="186" spans="7:7">
      <c r="G186" s="5" t="str">
        <f t="shared" si="21"/>
        <v/>
      </c>
    </row>
    <row r="187" spans="7:7">
      <c r="G187" s="5" t="str">
        <f t="shared" si="21"/>
        <v/>
      </c>
    </row>
    <row r="188" spans="7:7">
      <c r="G188" s="5" t="str">
        <f t="shared" si="21"/>
        <v/>
      </c>
    </row>
    <row r="189" spans="7:7">
      <c r="G189" s="5" t="str">
        <f t="shared" si="21"/>
        <v/>
      </c>
    </row>
    <row r="190" spans="7:7">
      <c r="G190" s="5" t="str">
        <f t="shared" si="21"/>
        <v/>
      </c>
    </row>
    <row r="191" spans="7:7">
      <c r="G191" s="5" t="str">
        <f t="shared" si="21"/>
        <v/>
      </c>
    </row>
    <row r="192" spans="7:7">
      <c r="G192" s="5" t="str">
        <f t="shared" si="21"/>
        <v/>
      </c>
    </row>
    <row r="193" spans="7:7">
      <c r="G193" s="5" t="str">
        <f t="shared" si="21"/>
        <v/>
      </c>
    </row>
    <row r="194" spans="7:7">
      <c r="G194" s="5" t="str">
        <f t="shared" si="21"/>
        <v/>
      </c>
    </row>
    <row r="195" spans="7:7">
      <c r="G195" s="5" t="str">
        <f t="shared" si="21"/>
        <v/>
      </c>
    </row>
    <row r="196" spans="7:7">
      <c r="G196" s="5" t="str">
        <f t="shared" si="21"/>
        <v/>
      </c>
    </row>
    <row r="197" spans="7:7">
      <c r="G197" s="5" t="str">
        <f t="shared" si="21"/>
        <v/>
      </c>
    </row>
    <row r="198" spans="7:7">
      <c r="G198" s="5" t="str">
        <f t="shared" si="21"/>
        <v/>
      </c>
    </row>
    <row r="199" spans="7:7">
      <c r="G199" s="5" t="str">
        <f t="shared" si="21"/>
        <v/>
      </c>
    </row>
    <row r="200" spans="7:7">
      <c r="G200" s="5" t="str">
        <f t="shared" si="21"/>
        <v/>
      </c>
    </row>
    <row r="201" spans="7:7">
      <c r="G201" s="5" t="str">
        <f t="shared" si="21"/>
        <v/>
      </c>
    </row>
    <row r="202" spans="7:7">
      <c r="G202" s="5" t="str">
        <f t="shared" si="21"/>
        <v/>
      </c>
    </row>
    <row r="203" spans="7:7">
      <c r="G203" s="5" t="str">
        <f t="shared" si="21"/>
        <v/>
      </c>
    </row>
    <row r="204" spans="7:7">
      <c r="G204" s="5" t="str">
        <f t="shared" si="21"/>
        <v/>
      </c>
    </row>
    <row r="205" spans="7:7">
      <c r="G205" s="5" t="str">
        <f t="shared" si="21"/>
        <v/>
      </c>
    </row>
    <row r="206" spans="7:7">
      <c r="G206" s="5" t="str">
        <f t="shared" si="21"/>
        <v/>
      </c>
    </row>
    <row r="207" spans="7:7">
      <c r="G207" s="5" t="str">
        <f t="shared" si="21"/>
        <v/>
      </c>
    </row>
    <row r="208" spans="7:7">
      <c r="G208" s="5" t="str">
        <f t="shared" si="21"/>
        <v/>
      </c>
    </row>
    <row r="209" spans="7:7">
      <c r="G209" s="5" t="str">
        <f t="shared" si="21"/>
        <v/>
      </c>
    </row>
    <row r="210" spans="7:7">
      <c r="G210" s="5" t="str">
        <f t="shared" si="21"/>
        <v/>
      </c>
    </row>
    <row r="211" spans="7:7">
      <c r="G211" s="5" t="str">
        <f t="shared" si="21"/>
        <v/>
      </c>
    </row>
    <row r="212" spans="7:7">
      <c r="G212" s="5" t="str">
        <f t="shared" si="21"/>
        <v/>
      </c>
    </row>
    <row r="213" spans="7:7">
      <c r="G213" s="5" t="str">
        <f t="shared" si="21"/>
        <v/>
      </c>
    </row>
    <row r="214" spans="7:7">
      <c r="G214" s="5" t="str">
        <f t="shared" si="21"/>
        <v/>
      </c>
    </row>
    <row r="215" spans="7:7">
      <c r="G215" s="5" t="str">
        <f t="shared" si="21"/>
        <v/>
      </c>
    </row>
    <row r="216" spans="7:7">
      <c r="G216" s="5" t="str">
        <f t="shared" si="21"/>
        <v/>
      </c>
    </row>
    <row r="217" spans="7:7">
      <c r="G217" s="5" t="str">
        <f t="shared" si="21"/>
        <v/>
      </c>
    </row>
    <row r="218" spans="7:7">
      <c r="G218" s="5" t="str">
        <f t="shared" si="21"/>
        <v/>
      </c>
    </row>
    <row r="219" spans="7:7">
      <c r="G219" s="5" t="str">
        <f t="shared" si="21"/>
        <v/>
      </c>
    </row>
    <row r="220" spans="7:7">
      <c r="G220" s="5" t="str">
        <f t="shared" ref="G220:G283" si="22">IF(B220&lt;&gt;"",SUM(C220:F220),"")</f>
        <v/>
      </c>
    </row>
    <row r="221" spans="7:7">
      <c r="G221" s="5" t="str">
        <f t="shared" si="22"/>
        <v/>
      </c>
    </row>
    <row r="222" spans="7:7">
      <c r="G222" s="5" t="str">
        <f t="shared" si="22"/>
        <v/>
      </c>
    </row>
    <row r="223" spans="7:7">
      <c r="G223" s="5" t="str">
        <f t="shared" si="22"/>
        <v/>
      </c>
    </row>
    <row r="224" spans="7:7">
      <c r="G224" s="5" t="str">
        <f t="shared" si="22"/>
        <v/>
      </c>
    </row>
    <row r="225" spans="7:7">
      <c r="G225" s="5" t="str">
        <f t="shared" si="22"/>
        <v/>
      </c>
    </row>
    <row r="226" spans="7:7">
      <c r="G226" s="5" t="str">
        <f t="shared" si="22"/>
        <v/>
      </c>
    </row>
    <row r="227" spans="7:7">
      <c r="G227" s="5" t="str">
        <f t="shared" si="22"/>
        <v/>
      </c>
    </row>
    <row r="228" spans="7:7">
      <c r="G228" s="5" t="str">
        <f t="shared" si="22"/>
        <v/>
      </c>
    </row>
    <row r="229" spans="7:7">
      <c r="G229" s="5" t="str">
        <f t="shared" si="22"/>
        <v/>
      </c>
    </row>
    <row r="230" spans="7:7">
      <c r="G230" s="5" t="str">
        <f t="shared" si="22"/>
        <v/>
      </c>
    </row>
    <row r="231" spans="7:7">
      <c r="G231" s="5" t="str">
        <f t="shared" si="22"/>
        <v/>
      </c>
    </row>
    <row r="232" spans="7:7">
      <c r="G232" s="5" t="str">
        <f t="shared" si="22"/>
        <v/>
      </c>
    </row>
    <row r="233" spans="7:7">
      <c r="G233" s="5" t="str">
        <f t="shared" si="22"/>
        <v/>
      </c>
    </row>
    <row r="234" spans="7:7">
      <c r="G234" s="5" t="str">
        <f t="shared" si="22"/>
        <v/>
      </c>
    </row>
    <row r="235" spans="7:7">
      <c r="G235" s="5" t="str">
        <f t="shared" si="22"/>
        <v/>
      </c>
    </row>
    <row r="236" spans="7:7">
      <c r="G236" s="5" t="str">
        <f t="shared" si="22"/>
        <v/>
      </c>
    </row>
    <row r="237" spans="7:7">
      <c r="G237" s="5" t="str">
        <f t="shared" si="22"/>
        <v/>
      </c>
    </row>
    <row r="238" spans="7:7">
      <c r="G238" s="5" t="str">
        <f t="shared" si="22"/>
        <v/>
      </c>
    </row>
    <row r="239" spans="7:7">
      <c r="G239" s="5" t="str">
        <f t="shared" si="22"/>
        <v/>
      </c>
    </row>
    <row r="240" spans="7:7">
      <c r="G240" s="5" t="str">
        <f t="shared" si="22"/>
        <v/>
      </c>
    </row>
    <row r="241" spans="7:7">
      <c r="G241" s="5" t="str">
        <f t="shared" si="22"/>
        <v/>
      </c>
    </row>
    <row r="242" spans="7:7">
      <c r="G242" s="5" t="str">
        <f t="shared" si="22"/>
        <v/>
      </c>
    </row>
    <row r="243" spans="7:7">
      <c r="G243" s="5" t="str">
        <f t="shared" si="22"/>
        <v/>
      </c>
    </row>
    <row r="244" spans="7:7">
      <c r="G244" s="5" t="str">
        <f t="shared" si="22"/>
        <v/>
      </c>
    </row>
    <row r="245" spans="7:7">
      <c r="G245" s="5" t="str">
        <f t="shared" si="22"/>
        <v/>
      </c>
    </row>
    <row r="246" spans="7:7">
      <c r="G246" s="5" t="str">
        <f t="shared" si="22"/>
        <v/>
      </c>
    </row>
    <row r="247" spans="7:7">
      <c r="G247" s="5" t="str">
        <f t="shared" si="22"/>
        <v/>
      </c>
    </row>
    <row r="248" spans="7:7">
      <c r="G248" s="5" t="str">
        <f t="shared" si="22"/>
        <v/>
      </c>
    </row>
    <row r="249" spans="7:7">
      <c r="G249" s="5" t="str">
        <f t="shared" si="22"/>
        <v/>
      </c>
    </row>
    <row r="250" spans="7:7">
      <c r="G250" s="5" t="str">
        <f t="shared" si="22"/>
        <v/>
      </c>
    </row>
    <row r="251" spans="7:7">
      <c r="G251" s="5" t="str">
        <f t="shared" si="22"/>
        <v/>
      </c>
    </row>
    <row r="252" spans="7:7">
      <c r="G252" s="5" t="str">
        <f t="shared" si="22"/>
        <v/>
      </c>
    </row>
    <row r="253" spans="7:7">
      <c r="G253" s="5" t="str">
        <f t="shared" si="22"/>
        <v/>
      </c>
    </row>
    <row r="254" spans="7:7">
      <c r="G254" s="5" t="str">
        <f t="shared" si="22"/>
        <v/>
      </c>
    </row>
    <row r="255" spans="7:7">
      <c r="G255" s="5" t="str">
        <f t="shared" si="22"/>
        <v/>
      </c>
    </row>
    <row r="256" spans="7:7">
      <c r="G256" s="5" t="str">
        <f t="shared" si="22"/>
        <v/>
      </c>
    </row>
    <row r="257" spans="7:7">
      <c r="G257" s="5" t="str">
        <f t="shared" si="22"/>
        <v/>
      </c>
    </row>
    <row r="258" spans="7:7">
      <c r="G258" s="5" t="str">
        <f t="shared" si="22"/>
        <v/>
      </c>
    </row>
    <row r="259" spans="7:7">
      <c r="G259" s="5" t="str">
        <f t="shared" si="22"/>
        <v/>
      </c>
    </row>
    <row r="260" spans="7:7">
      <c r="G260" s="5" t="str">
        <f t="shared" si="22"/>
        <v/>
      </c>
    </row>
    <row r="261" spans="7:7">
      <c r="G261" s="5" t="str">
        <f t="shared" si="22"/>
        <v/>
      </c>
    </row>
    <row r="262" spans="7:7">
      <c r="G262" s="5" t="str">
        <f t="shared" si="22"/>
        <v/>
      </c>
    </row>
    <row r="263" spans="7:7">
      <c r="G263" s="5" t="str">
        <f t="shared" si="22"/>
        <v/>
      </c>
    </row>
    <row r="264" spans="7:7">
      <c r="G264" s="5" t="str">
        <f t="shared" si="22"/>
        <v/>
      </c>
    </row>
    <row r="265" spans="7:7">
      <c r="G265" s="5" t="str">
        <f t="shared" si="22"/>
        <v/>
      </c>
    </row>
    <row r="266" spans="7:7">
      <c r="G266" s="5" t="str">
        <f t="shared" si="22"/>
        <v/>
      </c>
    </row>
    <row r="267" spans="7:7">
      <c r="G267" s="5" t="str">
        <f t="shared" si="22"/>
        <v/>
      </c>
    </row>
    <row r="268" spans="7:7">
      <c r="G268" s="5" t="str">
        <f t="shared" si="22"/>
        <v/>
      </c>
    </row>
    <row r="269" spans="7:7">
      <c r="G269" s="5" t="str">
        <f t="shared" si="22"/>
        <v/>
      </c>
    </row>
    <row r="270" spans="7:7">
      <c r="G270" s="5" t="str">
        <f t="shared" si="22"/>
        <v/>
      </c>
    </row>
    <row r="271" spans="7:7">
      <c r="G271" s="5" t="str">
        <f t="shared" si="22"/>
        <v/>
      </c>
    </row>
    <row r="272" spans="7:7">
      <c r="G272" s="5" t="str">
        <f t="shared" si="22"/>
        <v/>
      </c>
    </row>
    <row r="273" spans="7:7">
      <c r="G273" s="5" t="str">
        <f t="shared" si="22"/>
        <v/>
      </c>
    </row>
    <row r="274" spans="7:7">
      <c r="G274" s="5" t="str">
        <f t="shared" si="22"/>
        <v/>
      </c>
    </row>
    <row r="275" spans="7:7">
      <c r="G275" s="5" t="str">
        <f t="shared" si="22"/>
        <v/>
      </c>
    </row>
    <row r="276" spans="7:7">
      <c r="G276" s="5" t="str">
        <f t="shared" si="22"/>
        <v/>
      </c>
    </row>
    <row r="277" spans="7:7">
      <c r="G277" s="5" t="str">
        <f t="shared" si="22"/>
        <v/>
      </c>
    </row>
    <row r="278" spans="7:7">
      <c r="G278" s="5" t="str">
        <f t="shared" si="22"/>
        <v/>
      </c>
    </row>
    <row r="279" spans="7:7">
      <c r="G279" s="5" t="str">
        <f t="shared" si="22"/>
        <v/>
      </c>
    </row>
    <row r="280" spans="7:7">
      <c r="G280" s="5" t="str">
        <f t="shared" si="22"/>
        <v/>
      </c>
    </row>
    <row r="281" spans="7:7">
      <c r="G281" s="5" t="str">
        <f t="shared" si="22"/>
        <v/>
      </c>
    </row>
    <row r="282" spans="7:7">
      <c r="G282" s="5" t="str">
        <f t="shared" si="22"/>
        <v/>
      </c>
    </row>
    <row r="283" spans="7:7">
      <c r="G283" s="5" t="str">
        <f t="shared" si="22"/>
        <v/>
      </c>
    </row>
    <row r="284" spans="7:7">
      <c r="G284" s="5" t="str">
        <f t="shared" ref="G284:G347" si="23">IF(B284&lt;&gt;"",SUM(C284:F284),"")</f>
        <v/>
      </c>
    </row>
    <row r="285" spans="7:7">
      <c r="G285" s="5" t="str">
        <f t="shared" si="23"/>
        <v/>
      </c>
    </row>
    <row r="286" spans="7:7">
      <c r="G286" s="5" t="str">
        <f t="shared" si="23"/>
        <v/>
      </c>
    </row>
    <row r="287" spans="7:7">
      <c r="G287" s="5" t="str">
        <f t="shared" si="23"/>
        <v/>
      </c>
    </row>
    <row r="288" spans="7:7">
      <c r="G288" s="5" t="str">
        <f t="shared" si="23"/>
        <v/>
      </c>
    </row>
    <row r="289" spans="7:7">
      <c r="G289" s="5" t="str">
        <f t="shared" si="23"/>
        <v/>
      </c>
    </row>
    <row r="290" spans="7:7">
      <c r="G290" s="5" t="str">
        <f t="shared" si="23"/>
        <v/>
      </c>
    </row>
    <row r="291" spans="7:7">
      <c r="G291" s="5" t="str">
        <f t="shared" si="23"/>
        <v/>
      </c>
    </row>
    <row r="292" spans="7:7">
      <c r="G292" s="5" t="str">
        <f t="shared" si="23"/>
        <v/>
      </c>
    </row>
    <row r="293" spans="7:7">
      <c r="G293" s="5" t="str">
        <f t="shared" si="23"/>
        <v/>
      </c>
    </row>
    <row r="294" spans="7:7">
      <c r="G294" s="5" t="str">
        <f t="shared" si="23"/>
        <v/>
      </c>
    </row>
    <row r="295" spans="7:7">
      <c r="G295" s="5" t="str">
        <f t="shared" si="23"/>
        <v/>
      </c>
    </row>
    <row r="296" spans="7:7">
      <c r="G296" s="5" t="str">
        <f t="shared" si="23"/>
        <v/>
      </c>
    </row>
    <row r="297" spans="7:7">
      <c r="G297" s="5" t="str">
        <f t="shared" si="23"/>
        <v/>
      </c>
    </row>
    <row r="298" spans="7:7">
      <c r="G298" s="5" t="str">
        <f t="shared" si="23"/>
        <v/>
      </c>
    </row>
    <row r="299" spans="7:7">
      <c r="G299" s="5" t="str">
        <f t="shared" si="23"/>
        <v/>
      </c>
    </row>
    <row r="300" spans="7:7">
      <c r="G300" s="5" t="str">
        <f t="shared" si="23"/>
        <v/>
      </c>
    </row>
    <row r="301" spans="7:7">
      <c r="G301" s="5" t="str">
        <f t="shared" si="23"/>
        <v/>
      </c>
    </row>
    <row r="302" spans="7:7">
      <c r="G302" s="5" t="str">
        <f t="shared" si="23"/>
        <v/>
      </c>
    </row>
    <row r="303" spans="7:7">
      <c r="G303" s="5" t="str">
        <f t="shared" si="23"/>
        <v/>
      </c>
    </row>
    <row r="304" spans="7:7">
      <c r="G304" s="5" t="str">
        <f t="shared" si="23"/>
        <v/>
      </c>
    </row>
    <row r="305" spans="7:7">
      <c r="G305" s="5" t="str">
        <f t="shared" si="23"/>
        <v/>
      </c>
    </row>
    <row r="306" spans="7:7">
      <c r="G306" s="5" t="str">
        <f t="shared" si="23"/>
        <v/>
      </c>
    </row>
    <row r="307" spans="7:7">
      <c r="G307" s="5" t="str">
        <f t="shared" si="23"/>
        <v/>
      </c>
    </row>
    <row r="308" spans="7:7">
      <c r="G308" s="5" t="str">
        <f t="shared" si="23"/>
        <v/>
      </c>
    </row>
    <row r="309" spans="7:7">
      <c r="G309" s="5" t="str">
        <f t="shared" si="23"/>
        <v/>
      </c>
    </row>
    <row r="310" spans="7:7">
      <c r="G310" s="5" t="str">
        <f t="shared" si="23"/>
        <v/>
      </c>
    </row>
    <row r="311" spans="7:7">
      <c r="G311" s="5" t="str">
        <f t="shared" si="23"/>
        <v/>
      </c>
    </row>
    <row r="312" spans="7:7">
      <c r="G312" s="5" t="str">
        <f t="shared" si="23"/>
        <v/>
      </c>
    </row>
    <row r="313" spans="7:7">
      <c r="G313" s="5" t="str">
        <f t="shared" si="23"/>
        <v/>
      </c>
    </row>
    <row r="314" spans="7:7">
      <c r="G314" s="5" t="str">
        <f t="shared" si="23"/>
        <v/>
      </c>
    </row>
    <row r="315" spans="7:7">
      <c r="G315" s="5" t="str">
        <f t="shared" si="23"/>
        <v/>
      </c>
    </row>
    <row r="316" spans="7:7">
      <c r="G316" s="5" t="str">
        <f t="shared" si="23"/>
        <v/>
      </c>
    </row>
    <row r="317" spans="7:7">
      <c r="G317" s="5" t="str">
        <f t="shared" si="23"/>
        <v/>
      </c>
    </row>
    <row r="318" spans="7:7">
      <c r="G318" s="5" t="str">
        <f t="shared" si="23"/>
        <v/>
      </c>
    </row>
    <row r="319" spans="7:7">
      <c r="G319" s="5" t="str">
        <f t="shared" si="23"/>
        <v/>
      </c>
    </row>
    <row r="320" spans="7:7">
      <c r="G320" s="5" t="str">
        <f t="shared" si="23"/>
        <v/>
      </c>
    </row>
    <row r="321" spans="7:7">
      <c r="G321" s="5" t="str">
        <f t="shared" si="23"/>
        <v/>
      </c>
    </row>
    <row r="322" spans="7:7">
      <c r="G322" s="5" t="str">
        <f t="shared" si="23"/>
        <v/>
      </c>
    </row>
    <row r="323" spans="7:7">
      <c r="G323" s="5" t="str">
        <f t="shared" si="23"/>
        <v/>
      </c>
    </row>
    <row r="324" spans="7:7">
      <c r="G324" s="5" t="str">
        <f t="shared" si="23"/>
        <v/>
      </c>
    </row>
    <row r="325" spans="7:7">
      <c r="G325" s="5" t="str">
        <f t="shared" si="23"/>
        <v/>
      </c>
    </row>
    <row r="326" spans="7:7">
      <c r="G326" s="5" t="str">
        <f t="shared" si="23"/>
        <v/>
      </c>
    </row>
    <row r="327" spans="7:7">
      <c r="G327" s="5" t="str">
        <f t="shared" si="23"/>
        <v/>
      </c>
    </row>
    <row r="328" spans="7:7">
      <c r="G328" s="5" t="str">
        <f t="shared" si="23"/>
        <v/>
      </c>
    </row>
    <row r="329" spans="7:7">
      <c r="G329" s="5" t="str">
        <f t="shared" si="23"/>
        <v/>
      </c>
    </row>
    <row r="330" spans="7:7">
      <c r="G330" s="5" t="str">
        <f t="shared" si="23"/>
        <v/>
      </c>
    </row>
    <row r="331" spans="7:7">
      <c r="G331" s="5" t="str">
        <f t="shared" si="23"/>
        <v/>
      </c>
    </row>
    <row r="332" spans="7:7">
      <c r="G332" s="5" t="str">
        <f t="shared" si="23"/>
        <v/>
      </c>
    </row>
    <row r="333" spans="7:7">
      <c r="G333" s="5" t="str">
        <f t="shared" si="23"/>
        <v/>
      </c>
    </row>
    <row r="334" spans="7:7">
      <c r="G334" s="5" t="str">
        <f t="shared" si="23"/>
        <v/>
      </c>
    </row>
    <row r="335" spans="7:7">
      <c r="G335" s="5" t="str">
        <f t="shared" si="23"/>
        <v/>
      </c>
    </row>
    <row r="336" spans="7:7">
      <c r="G336" s="5" t="str">
        <f t="shared" si="23"/>
        <v/>
      </c>
    </row>
    <row r="337" spans="7:7">
      <c r="G337" s="5" t="str">
        <f t="shared" si="23"/>
        <v/>
      </c>
    </row>
    <row r="338" spans="7:7">
      <c r="G338" s="5" t="str">
        <f t="shared" si="23"/>
        <v/>
      </c>
    </row>
    <row r="339" spans="7:7">
      <c r="G339" s="5" t="str">
        <f t="shared" si="23"/>
        <v/>
      </c>
    </row>
    <row r="340" spans="7:7">
      <c r="G340" s="5" t="str">
        <f t="shared" si="23"/>
        <v/>
      </c>
    </row>
    <row r="341" spans="7:7">
      <c r="G341" s="5" t="str">
        <f t="shared" si="23"/>
        <v/>
      </c>
    </row>
    <row r="342" spans="7:7">
      <c r="G342" s="5" t="str">
        <f t="shared" si="23"/>
        <v/>
      </c>
    </row>
    <row r="343" spans="7:7">
      <c r="G343" s="5" t="str">
        <f t="shared" si="23"/>
        <v/>
      </c>
    </row>
    <row r="344" spans="7:7">
      <c r="G344" s="5" t="str">
        <f t="shared" si="23"/>
        <v/>
      </c>
    </row>
    <row r="345" spans="7:7">
      <c r="G345" s="5" t="str">
        <f t="shared" si="23"/>
        <v/>
      </c>
    </row>
    <row r="346" spans="7:7">
      <c r="G346" s="5" t="str">
        <f t="shared" si="23"/>
        <v/>
      </c>
    </row>
    <row r="347" spans="7:7">
      <c r="G347" s="5" t="str">
        <f t="shared" si="23"/>
        <v/>
      </c>
    </row>
    <row r="348" spans="7:7">
      <c r="G348" s="5" t="str">
        <f t="shared" ref="G348:G411" si="24">IF(B348&lt;&gt;"",SUM(C348:F348),"")</f>
        <v/>
      </c>
    </row>
    <row r="349" spans="7:7">
      <c r="G349" s="5" t="str">
        <f t="shared" si="24"/>
        <v/>
      </c>
    </row>
    <row r="350" spans="7:7">
      <c r="G350" s="5" t="str">
        <f t="shared" si="24"/>
        <v/>
      </c>
    </row>
    <row r="351" spans="7:7">
      <c r="G351" s="5" t="str">
        <f t="shared" si="24"/>
        <v/>
      </c>
    </row>
    <row r="352" spans="7:7">
      <c r="G352" s="5" t="str">
        <f t="shared" si="24"/>
        <v/>
      </c>
    </row>
    <row r="353" spans="7:7">
      <c r="G353" s="5" t="str">
        <f t="shared" si="24"/>
        <v/>
      </c>
    </row>
    <row r="354" spans="7:7">
      <c r="G354" s="5" t="str">
        <f t="shared" si="24"/>
        <v/>
      </c>
    </row>
    <row r="355" spans="7:7">
      <c r="G355" s="5" t="str">
        <f t="shared" si="24"/>
        <v/>
      </c>
    </row>
    <row r="356" spans="7:7">
      <c r="G356" s="5" t="str">
        <f t="shared" si="24"/>
        <v/>
      </c>
    </row>
    <row r="357" spans="7:7">
      <c r="G357" s="5" t="str">
        <f t="shared" si="24"/>
        <v/>
      </c>
    </row>
    <row r="358" spans="7:7">
      <c r="G358" s="5" t="str">
        <f t="shared" si="24"/>
        <v/>
      </c>
    </row>
    <row r="359" spans="7:7">
      <c r="G359" s="5" t="str">
        <f t="shared" si="24"/>
        <v/>
      </c>
    </row>
    <row r="360" spans="7:7">
      <c r="G360" s="5" t="str">
        <f t="shared" si="24"/>
        <v/>
      </c>
    </row>
    <row r="361" spans="7:7">
      <c r="G361" s="5" t="str">
        <f t="shared" si="24"/>
        <v/>
      </c>
    </row>
    <row r="362" spans="7:7">
      <c r="G362" s="5" t="str">
        <f t="shared" si="24"/>
        <v/>
      </c>
    </row>
    <row r="363" spans="7:7">
      <c r="G363" s="5" t="str">
        <f t="shared" si="24"/>
        <v/>
      </c>
    </row>
    <row r="364" spans="7:7">
      <c r="G364" s="5" t="str">
        <f t="shared" si="24"/>
        <v/>
      </c>
    </row>
    <row r="365" spans="7:7">
      <c r="G365" s="5" t="str">
        <f t="shared" si="24"/>
        <v/>
      </c>
    </row>
    <row r="366" spans="7:7">
      <c r="G366" s="5" t="str">
        <f t="shared" si="24"/>
        <v/>
      </c>
    </row>
    <row r="367" spans="7:7">
      <c r="G367" s="5" t="str">
        <f t="shared" si="24"/>
        <v/>
      </c>
    </row>
    <row r="368" spans="7:7">
      <c r="G368" s="5" t="str">
        <f t="shared" si="24"/>
        <v/>
      </c>
    </row>
    <row r="369" spans="7:7">
      <c r="G369" s="5" t="str">
        <f t="shared" si="24"/>
        <v/>
      </c>
    </row>
    <row r="370" spans="7:7">
      <c r="G370" s="5" t="str">
        <f t="shared" si="24"/>
        <v/>
      </c>
    </row>
    <row r="371" spans="7:7">
      <c r="G371" s="5" t="str">
        <f t="shared" si="24"/>
        <v/>
      </c>
    </row>
    <row r="372" spans="7:7">
      <c r="G372" s="5" t="str">
        <f t="shared" si="24"/>
        <v/>
      </c>
    </row>
    <row r="373" spans="7:7">
      <c r="G373" s="5" t="str">
        <f t="shared" si="24"/>
        <v/>
      </c>
    </row>
    <row r="374" spans="7:7">
      <c r="G374" s="5" t="str">
        <f t="shared" si="24"/>
        <v/>
      </c>
    </row>
    <row r="375" spans="7:7">
      <c r="G375" s="5" t="str">
        <f t="shared" si="24"/>
        <v/>
      </c>
    </row>
    <row r="376" spans="7:7">
      <c r="G376" s="5" t="str">
        <f t="shared" si="24"/>
        <v/>
      </c>
    </row>
    <row r="377" spans="7:7">
      <c r="G377" s="5" t="str">
        <f t="shared" si="24"/>
        <v/>
      </c>
    </row>
    <row r="378" spans="7:7">
      <c r="G378" s="5" t="str">
        <f t="shared" si="24"/>
        <v/>
      </c>
    </row>
    <row r="379" spans="7:7">
      <c r="G379" s="5" t="str">
        <f t="shared" si="24"/>
        <v/>
      </c>
    </row>
    <row r="380" spans="7:7">
      <c r="G380" s="5" t="str">
        <f t="shared" si="24"/>
        <v/>
      </c>
    </row>
    <row r="381" spans="7:7">
      <c r="G381" s="5" t="str">
        <f t="shared" si="24"/>
        <v/>
      </c>
    </row>
    <row r="382" spans="7:7">
      <c r="G382" s="5" t="str">
        <f t="shared" si="24"/>
        <v/>
      </c>
    </row>
    <row r="383" spans="7:7">
      <c r="G383" s="5" t="str">
        <f t="shared" si="24"/>
        <v/>
      </c>
    </row>
    <row r="384" spans="7:7">
      <c r="G384" s="5" t="str">
        <f t="shared" si="24"/>
        <v/>
      </c>
    </row>
    <row r="385" spans="7:7">
      <c r="G385" s="5" t="str">
        <f t="shared" si="24"/>
        <v/>
      </c>
    </row>
    <row r="386" spans="7:7">
      <c r="G386" s="5" t="str">
        <f t="shared" si="24"/>
        <v/>
      </c>
    </row>
    <row r="387" spans="7:7">
      <c r="G387" s="5" t="str">
        <f t="shared" si="24"/>
        <v/>
      </c>
    </row>
    <row r="388" spans="7:7">
      <c r="G388" s="5" t="str">
        <f t="shared" si="24"/>
        <v/>
      </c>
    </row>
    <row r="389" spans="7:7">
      <c r="G389" s="5" t="str">
        <f t="shared" si="24"/>
        <v/>
      </c>
    </row>
    <row r="390" spans="7:7">
      <c r="G390" s="5" t="str">
        <f t="shared" si="24"/>
        <v/>
      </c>
    </row>
    <row r="391" spans="7:7">
      <c r="G391" s="5" t="str">
        <f t="shared" si="24"/>
        <v/>
      </c>
    </row>
    <row r="392" spans="7:7">
      <c r="G392" s="5" t="str">
        <f t="shared" si="24"/>
        <v/>
      </c>
    </row>
    <row r="393" spans="7:7">
      <c r="G393" s="5" t="str">
        <f t="shared" si="24"/>
        <v/>
      </c>
    </row>
    <row r="394" spans="7:7">
      <c r="G394" s="5" t="str">
        <f t="shared" si="24"/>
        <v/>
      </c>
    </row>
    <row r="395" spans="7:7">
      <c r="G395" s="5" t="str">
        <f t="shared" si="24"/>
        <v/>
      </c>
    </row>
    <row r="396" spans="7:7">
      <c r="G396" s="5" t="str">
        <f t="shared" si="24"/>
        <v/>
      </c>
    </row>
    <row r="397" spans="7:7">
      <c r="G397" s="5" t="str">
        <f t="shared" si="24"/>
        <v/>
      </c>
    </row>
    <row r="398" spans="7:7">
      <c r="G398" s="5" t="str">
        <f t="shared" si="24"/>
        <v/>
      </c>
    </row>
    <row r="399" spans="7:7">
      <c r="G399" s="5" t="str">
        <f t="shared" si="24"/>
        <v/>
      </c>
    </row>
    <row r="400" spans="7:7">
      <c r="G400" s="5" t="str">
        <f t="shared" si="24"/>
        <v/>
      </c>
    </row>
    <row r="401" spans="7:7">
      <c r="G401" s="5" t="str">
        <f t="shared" si="24"/>
        <v/>
      </c>
    </row>
    <row r="402" spans="7:7">
      <c r="G402" s="5" t="str">
        <f t="shared" si="24"/>
        <v/>
      </c>
    </row>
    <row r="403" spans="7:7">
      <c r="G403" s="5" t="str">
        <f t="shared" si="24"/>
        <v/>
      </c>
    </row>
    <row r="404" spans="7:7">
      <c r="G404" s="5" t="str">
        <f t="shared" si="24"/>
        <v/>
      </c>
    </row>
    <row r="405" spans="7:7">
      <c r="G405" s="5" t="str">
        <f t="shared" si="24"/>
        <v/>
      </c>
    </row>
    <row r="406" spans="7:7">
      <c r="G406" s="5" t="str">
        <f t="shared" si="24"/>
        <v/>
      </c>
    </row>
    <row r="407" spans="7:7">
      <c r="G407" s="5" t="str">
        <f t="shared" si="24"/>
        <v/>
      </c>
    </row>
    <row r="408" spans="7:7">
      <c r="G408" s="5" t="str">
        <f t="shared" si="24"/>
        <v/>
      </c>
    </row>
    <row r="409" spans="7:7">
      <c r="G409" s="5" t="str">
        <f t="shared" si="24"/>
        <v/>
      </c>
    </row>
    <row r="410" spans="7:7">
      <c r="G410" s="5" t="str">
        <f t="shared" si="24"/>
        <v/>
      </c>
    </row>
    <row r="411" spans="7:7">
      <c r="G411" s="5" t="str">
        <f t="shared" si="24"/>
        <v/>
      </c>
    </row>
    <row r="412" spans="7:7">
      <c r="G412" s="5" t="str">
        <f t="shared" ref="G412:G475" si="25">IF(B412&lt;&gt;"",SUM(C412:F412),"")</f>
        <v/>
      </c>
    </row>
    <row r="413" spans="7:7">
      <c r="G413" s="5" t="str">
        <f t="shared" si="25"/>
        <v/>
      </c>
    </row>
    <row r="414" spans="7:7">
      <c r="G414" s="5" t="str">
        <f t="shared" si="25"/>
        <v/>
      </c>
    </row>
    <row r="415" spans="7:7">
      <c r="G415" s="5" t="str">
        <f t="shared" si="25"/>
        <v/>
      </c>
    </row>
    <row r="416" spans="7:7">
      <c r="G416" s="5" t="str">
        <f t="shared" si="25"/>
        <v/>
      </c>
    </row>
    <row r="417" spans="7:7">
      <c r="G417" s="5" t="str">
        <f t="shared" si="25"/>
        <v/>
      </c>
    </row>
    <row r="418" spans="7:7">
      <c r="G418" s="5" t="str">
        <f t="shared" si="25"/>
        <v/>
      </c>
    </row>
    <row r="419" spans="7:7">
      <c r="G419" s="5" t="str">
        <f t="shared" si="25"/>
        <v/>
      </c>
    </row>
    <row r="420" spans="7:7">
      <c r="G420" s="5" t="str">
        <f t="shared" si="25"/>
        <v/>
      </c>
    </row>
    <row r="421" spans="7:7">
      <c r="G421" s="5" t="str">
        <f t="shared" si="25"/>
        <v/>
      </c>
    </row>
    <row r="422" spans="7:7">
      <c r="G422" s="5" t="str">
        <f t="shared" si="25"/>
        <v/>
      </c>
    </row>
    <row r="423" spans="7:7">
      <c r="G423" s="5" t="str">
        <f t="shared" si="25"/>
        <v/>
      </c>
    </row>
    <row r="424" spans="7:7">
      <c r="G424" s="5" t="str">
        <f t="shared" si="25"/>
        <v/>
      </c>
    </row>
    <row r="425" spans="7:7">
      <c r="G425" s="5" t="str">
        <f t="shared" si="25"/>
        <v/>
      </c>
    </row>
    <row r="426" spans="7:7">
      <c r="G426" s="5" t="str">
        <f t="shared" si="25"/>
        <v/>
      </c>
    </row>
    <row r="427" spans="7:7">
      <c r="G427" s="5" t="str">
        <f t="shared" si="25"/>
        <v/>
      </c>
    </row>
    <row r="428" spans="7:7">
      <c r="G428" s="5" t="str">
        <f t="shared" si="25"/>
        <v/>
      </c>
    </row>
    <row r="429" spans="7:7">
      <c r="G429" s="5" t="str">
        <f t="shared" si="25"/>
        <v/>
      </c>
    </row>
    <row r="430" spans="7:7">
      <c r="G430" s="5" t="str">
        <f t="shared" si="25"/>
        <v/>
      </c>
    </row>
    <row r="431" spans="7:7">
      <c r="G431" s="5" t="str">
        <f t="shared" si="25"/>
        <v/>
      </c>
    </row>
    <row r="432" spans="7:7">
      <c r="G432" s="5" t="str">
        <f t="shared" si="25"/>
        <v/>
      </c>
    </row>
    <row r="433" spans="7:7">
      <c r="G433" s="5" t="str">
        <f t="shared" si="25"/>
        <v/>
      </c>
    </row>
    <row r="434" spans="7:7">
      <c r="G434" s="5" t="str">
        <f t="shared" si="25"/>
        <v/>
      </c>
    </row>
    <row r="435" spans="7:7">
      <c r="G435" s="5" t="str">
        <f t="shared" si="25"/>
        <v/>
      </c>
    </row>
    <row r="436" spans="7:7">
      <c r="G436" s="5" t="str">
        <f t="shared" si="25"/>
        <v/>
      </c>
    </row>
    <row r="437" spans="7:7">
      <c r="G437" s="5" t="str">
        <f t="shared" si="25"/>
        <v/>
      </c>
    </row>
    <row r="438" spans="7:7">
      <c r="G438" s="5" t="str">
        <f t="shared" si="25"/>
        <v/>
      </c>
    </row>
    <row r="439" spans="7:7">
      <c r="G439" s="5" t="str">
        <f t="shared" si="25"/>
        <v/>
      </c>
    </row>
    <row r="440" spans="7:7">
      <c r="G440" s="5" t="str">
        <f t="shared" si="25"/>
        <v/>
      </c>
    </row>
    <row r="441" spans="7:7">
      <c r="G441" s="5" t="str">
        <f t="shared" si="25"/>
        <v/>
      </c>
    </row>
    <row r="442" spans="7:7">
      <c r="G442" s="5" t="str">
        <f t="shared" si="25"/>
        <v/>
      </c>
    </row>
    <row r="443" spans="7:7">
      <c r="G443" s="5" t="str">
        <f t="shared" si="25"/>
        <v/>
      </c>
    </row>
    <row r="444" spans="7:7">
      <c r="G444" s="5" t="str">
        <f t="shared" si="25"/>
        <v/>
      </c>
    </row>
    <row r="445" spans="7:7">
      <c r="G445" s="5" t="str">
        <f t="shared" si="25"/>
        <v/>
      </c>
    </row>
    <row r="446" spans="7:7">
      <c r="G446" s="5" t="str">
        <f t="shared" si="25"/>
        <v/>
      </c>
    </row>
    <row r="447" spans="7:7">
      <c r="G447" s="5" t="str">
        <f t="shared" si="25"/>
        <v/>
      </c>
    </row>
    <row r="448" spans="7:7">
      <c r="G448" s="5" t="str">
        <f t="shared" si="25"/>
        <v/>
      </c>
    </row>
    <row r="449" spans="7:7">
      <c r="G449" s="5" t="str">
        <f t="shared" si="25"/>
        <v/>
      </c>
    </row>
    <row r="450" spans="7:7">
      <c r="G450" s="5" t="str">
        <f t="shared" si="25"/>
        <v/>
      </c>
    </row>
    <row r="451" spans="7:7">
      <c r="G451" s="5" t="str">
        <f t="shared" si="25"/>
        <v/>
      </c>
    </row>
    <row r="452" spans="7:7">
      <c r="G452" s="5" t="str">
        <f t="shared" si="25"/>
        <v/>
      </c>
    </row>
    <row r="453" spans="7:7">
      <c r="G453" s="5" t="str">
        <f t="shared" si="25"/>
        <v/>
      </c>
    </row>
    <row r="454" spans="7:7">
      <c r="G454" s="5" t="str">
        <f t="shared" si="25"/>
        <v/>
      </c>
    </row>
    <row r="455" spans="7:7">
      <c r="G455" s="5" t="str">
        <f t="shared" si="25"/>
        <v/>
      </c>
    </row>
    <row r="456" spans="7:7">
      <c r="G456" s="5" t="str">
        <f t="shared" si="25"/>
        <v/>
      </c>
    </row>
    <row r="457" spans="7:7">
      <c r="G457" s="5" t="str">
        <f t="shared" si="25"/>
        <v/>
      </c>
    </row>
    <row r="458" spans="7:7">
      <c r="G458" s="5" t="str">
        <f t="shared" si="25"/>
        <v/>
      </c>
    </row>
    <row r="459" spans="7:7">
      <c r="G459" s="5" t="str">
        <f t="shared" si="25"/>
        <v/>
      </c>
    </row>
    <row r="460" spans="7:7">
      <c r="G460" s="5" t="str">
        <f t="shared" si="25"/>
        <v/>
      </c>
    </row>
    <row r="461" spans="7:7">
      <c r="G461" s="5" t="str">
        <f t="shared" si="25"/>
        <v/>
      </c>
    </row>
    <row r="462" spans="7:7">
      <c r="G462" s="5" t="str">
        <f t="shared" si="25"/>
        <v/>
      </c>
    </row>
    <row r="463" spans="7:7">
      <c r="G463" s="5" t="str">
        <f t="shared" si="25"/>
        <v/>
      </c>
    </row>
    <row r="464" spans="7:7">
      <c r="G464" s="5" t="str">
        <f t="shared" si="25"/>
        <v/>
      </c>
    </row>
    <row r="465" spans="7:7">
      <c r="G465" s="5" t="str">
        <f t="shared" si="25"/>
        <v/>
      </c>
    </row>
    <row r="466" spans="7:7">
      <c r="G466" s="5" t="str">
        <f t="shared" si="25"/>
        <v/>
      </c>
    </row>
    <row r="467" spans="7:7">
      <c r="G467" s="5" t="str">
        <f t="shared" si="25"/>
        <v/>
      </c>
    </row>
    <row r="468" spans="7:7">
      <c r="G468" s="5" t="str">
        <f t="shared" si="25"/>
        <v/>
      </c>
    </row>
    <row r="469" spans="7:7">
      <c r="G469" s="5" t="str">
        <f t="shared" si="25"/>
        <v/>
      </c>
    </row>
    <row r="470" spans="7:7">
      <c r="G470" s="5" t="str">
        <f t="shared" si="25"/>
        <v/>
      </c>
    </row>
    <row r="471" spans="7:7">
      <c r="G471" s="5" t="str">
        <f t="shared" si="25"/>
        <v/>
      </c>
    </row>
    <row r="472" spans="7:7">
      <c r="G472" s="5" t="str">
        <f t="shared" si="25"/>
        <v/>
      </c>
    </row>
    <row r="473" spans="7:7">
      <c r="G473" s="5" t="str">
        <f t="shared" si="25"/>
        <v/>
      </c>
    </row>
    <row r="474" spans="7:7">
      <c r="G474" s="5" t="str">
        <f t="shared" si="25"/>
        <v/>
      </c>
    </row>
    <row r="475" spans="7:7">
      <c r="G475" s="5" t="str">
        <f t="shared" si="25"/>
        <v/>
      </c>
    </row>
    <row r="476" spans="7:7">
      <c r="G476" s="5" t="str">
        <f t="shared" ref="G476:G507" si="26">IF(B476&lt;&gt;"",SUM(C476:F476),"")</f>
        <v/>
      </c>
    </row>
    <row r="477" spans="7:7">
      <c r="G477" s="5" t="str">
        <f t="shared" si="26"/>
        <v/>
      </c>
    </row>
    <row r="478" spans="7:7">
      <c r="G478" s="5" t="str">
        <f t="shared" si="26"/>
        <v/>
      </c>
    </row>
    <row r="479" spans="7:7">
      <c r="G479" s="5" t="str">
        <f t="shared" si="26"/>
        <v/>
      </c>
    </row>
    <row r="480" spans="7:7">
      <c r="G480" s="5" t="str">
        <f t="shared" si="26"/>
        <v/>
      </c>
    </row>
    <row r="481" spans="7:7">
      <c r="G481" s="5" t="str">
        <f t="shared" si="26"/>
        <v/>
      </c>
    </row>
    <row r="482" spans="7:7">
      <c r="G482" s="5" t="str">
        <f t="shared" si="26"/>
        <v/>
      </c>
    </row>
    <row r="483" spans="7:7">
      <c r="G483" s="5" t="str">
        <f t="shared" si="26"/>
        <v/>
      </c>
    </row>
    <row r="484" spans="7:7">
      <c r="G484" s="5" t="str">
        <f t="shared" si="26"/>
        <v/>
      </c>
    </row>
    <row r="485" spans="7:7">
      <c r="G485" s="5" t="str">
        <f t="shared" si="26"/>
        <v/>
      </c>
    </row>
    <row r="486" spans="7:7">
      <c r="G486" s="5" t="str">
        <f t="shared" si="26"/>
        <v/>
      </c>
    </row>
    <row r="487" spans="7:7">
      <c r="G487" s="5" t="str">
        <f t="shared" si="26"/>
        <v/>
      </c>
    </row>
    <row r="488" spans="7:7">
      <c r="G488" s="5" t="str">
        <f t="shared" si="26"/>
        <v/>
      </c>
    </row>
    <row r="489" spans="7:7">
      <c r="G489" s="5" t="str">
        <f t="shared" si="26"/>
        <v/>
      </c>
    </row>
    <row r="490" spans="7:7">
      <c r="G490" s="5" t="str">
        <f t="shared" si="26"/>
        <v/>
      </c>
    </row>
    <row r="491" spans="7:7">
      <c r="G491" s="5" t="str">
        <f t="shared" si="26"/>
        <v/>
      </c>
    </row>
    <row r="492" spans="7:7">
      <c r="G492" s="5" t="str">
        <f t="shared" si="26"/>
        <v/>
      </c>
    </row>
    <row r="493" spans="7:7">
      <c r="G493" s="5" t="str">
        <f t="shared" si="26"/>
        <v/>
      </c>
    </row>
    <row r="494" spans="7:7">
      <c r="G494" s="5" t="str">
        <f t="shared" si="26"/>
        <v/>
      </c>
    </row>
    <row r="495" spans="7:7">
      <c r="G495" s="5" t="str">
        <f t="shared" si="26"/>
        <v/>
      </c>
    </row>
    <row r="496" spans="7:7">
      <c r="G496" s="5" t="str">
        <f t="shared" si="26"/>
        <v/>
      </c>
    </row>
    <row r="497" spans="7:7">
      <c r="G497" s="5" t="str">
        <f t="shared" si="26"/>
        <v/>
      </c>
    </row>
    <row r="498" spans="7:7">
      <c r="G498" s="5" t="str">
        <f t="shared" si="26"/>
        <v/>
      </c>
    </row>
    <row r="499" spans="7:7">
      <c r="G499" s="5" t="str">
        <f t="shared" si="26"/>
        <v/>
      </c>
    </row>
    <row r="500" spans="7:7">
      <c r="G500" s="5" t="str">
        <f t="shared" si="26"/>
        <v/>
      </c>
    </row>
    <row r="501" spans="7:7">
      <c r="G501" s="5" t="str">
        <f t="shared" si="26"/>
        <v/>
      </c>
    </row>
    <row r="502" spans="7:7">
      <c r="G502" s="5" t="str">
        <f t="shared" si="26"/>
        <v/>
      </c>
    </row>
    <row r="503" spans="7:7">
      <c r="G503" s="5" t="str">
        <f t="shared" si="26"/>
        <v/>
      </c>
    </row>
    <row r="504" spans="7:7">
      <c r="G504" s="5" t="str">
        <f t="shared" si="26"/>
        <v/>
      </c>
    </row>
    <row r="505" spans="7:7">
      <c r="G505" s="5" t="str">
        <f t="shared" si="26"/>
        <v/>
      </c>
    </row>
    <row r="506" spans="7:7">
      <c r="G506" s="5" t="str">
        <f t="shared" si="26"/>
        <v/>
      </c>
    </row>
    <row r="507" spans="7:7">
      <c r="G507" s="5" t="str">
        <f t="shared" si="26"/>
        <v/>
      </c>
    </row>
  </sheetData>
  <sheetProtection algorithmName="SHA-512" hashValue="0MRFl/SynhommQI36//2iFiSvx2xCUbg6obmfFUC5rIg1wpzX9CS9BTGavNr03h3OATCdY8DbHcrJBC+eVGOhg==" saltValue="hq7HAbV3FagjiJTIZL+zFQ==" spinCount="100000" sheet="1" sort="0" autoFilter="0" pivotTables="0"/>
  <autoFilter ref="H5:H80" xr:uid="{9850D3B8-467B-4302-9712-36B7C07CCA6E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0857B-FF20-4004-9C3A-1C67856EBBE2}">
  <sheetPr codeName="Planilha22" filterMode="1">
    <tabColor rgb="FF006600"/>
    <pageSetUpPr fitToPage="1"/>
  </sheetPr>
  <dimension ref="A1:S599"/>
  <sheetViews>
    <sheetView zoomScaleNormal="100" workbookViewId="0">
      <pane ySplit="5" topLeftCell="A6" activePane="bottomLeft" state="frozen"/>
      <selection activeCell="H9" sqref="H9"/>
      <selection pane="bottomLeft" activeCell="G254" sqref="G254"/>
    </sheetView>
  </sheetViews>
  <sheetFormatPr defaultColWidth="9.140625" defaultRowHeight="15.75"/>
  <cols>
    <col min="1" max="1" width="0.5703125" style="1" customWidth="1"/>
    <col min="2" max="2" width="76.28515625" style="3" customWidth="1"/>
    <col min="3" max="4" width="13.5703125" style="15" customWidth="1"/>
    <col min="5" max="6" width="15" style="15" bestFit="1" customWidth="1"/>
    <col min="7" max="7" width="17" style="5" customWidth="1"/>
    <col min="8" max="8" width="14.5703125" style="1" customWidth="1"/>
    <col min="9" max="9" width="13" style="1" customWidth="1"/>
    <col min="10" max="11" width="9.5703125" style="9" customWidth="1"/>
    <col min="12" max="12" width="11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29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655" t="s">
        <v>6</v>
      </c>
      <c r="C4" s="602"/>
      <c r="D4" s="602"/>
      <c r="E4" s="602"/>
      <c r="F4" s="603"/>
      <c r="G4" s="604"/>
      <c r="H4" s="618"/>
      <c r="I4" s="618" t="s">
        <v>48</v>
      </c>
      <c r="J4" s="619" t="s">
        <v>9</v>
      </c>
      <c r="K4" s="619" t="s">
        <v>9</v>
      </c>
      <c r="L4" s="656">
        <v>4.7619047619047616E-2</v>
      </c>
      <c r="M4" s="624" t="s">
        <v>15</v>
      </c>
      <c r="N4" s="36"/>
      <c r="O4" s="19"/>
      <c r="P4" s="19"/>
      <c r="Q4" s="19"/>
      <c r="R4" s="19"/>
      <c r="S4" s="19"/>
    </row>
    <row r="5" spans="2:19">
      <c r="B5" s="657" t="s">
        <v>5</v>
      </c>
      <c r="C5" s="658" t="s">
        <v>0</v>
      </c>
      <c r="D5" s="658" t="s">
        <v>12</v>
      </c>
      <c r="E5" s="658" t="s">
        <v>2</v>
      </c>
      <c r="F5" s="658" t="s">
        <v>3</v>
      </c>
      <c r="G5" s="659" t="s">
        <v>1</v>
      </c>
      <c r="H5" s="660" t="s">
        <v>4</v>
      </c>
      <c r="I5" s="660" t="s">
        <v>7</v>
      </c>
      <c r="J5" s="661" t="s">
        <v>8</v>
      </c>
      <c r="K5" s="661" t="s">
        <v>10</v>
      </c>
      <c r="L5" s="662" t="s">
        <v>11</v>
      </c>
      <c r="M5" s="663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664" t="s">
        <v>1096</v>
      </c>
      <c r="C6" s="636"/>
      <c r="D6" s="636"/>
      <c r="E6" s="636"/>
      <c r="F6" s="637"/>
      <c r="G6" s="638"/>
      <c r="H6" s="626">
        <f t="shared" ref="H6:H69" si="0">SUM(C6:G6)</f>
        <v>0</v>
      </c>
      <c r="I6" s="631">
        <f t="shared" ref="I6:I67" si="1">L6-(L6*J6)</f>
        <v>28.512499999999999</v>
      </c>
      <c r="J6" s="627"/>
      <c r="K6" s="665"/>
      <c r="L6" s="666">
        <v>28.512499999999999</v>
      </c>
      <c r="M6" s="111">
        <v>12</v>
      </c>
      <c r="N6" s="25">
        <f t="shared" ref="N6" si="2">I6*C6</f>
        <v>0</v>
      </c>
      <c r="O6" s="25">
        <f t="shared" ref="O6" si="3">I6*D6</f>
        <v>0</v>
      </c>
      <c r="P6" s="25">
        <f t="shared" ref="P6" si="4">I6*E6</f>
        <v>0</v>
      </c>
      <c r="Q6" s="26">
        <f t="shared" ref="Q6" si="5">I6*F6</f>
        <v>0</v>
      </c>
      <c r="R6" s="27">
        <f t="shared" ref="R6" si="6">I6*G6</f>
        <v>0</v>
      </c>
      <c r="S6" s="28">
        <f>SUM(N6:R6)</f>
        <v>0</v>
      </c>
    </row>
    <row r="7" spans="2:19" hidden="1">
      <c r="B7" s="664" t="s">
        <v>1096</v>
      </c>
      <c r="C7" s="636"/>
      <c r="D7" s="636"/>
      <c r="E7" s="636"/>
      <c r="F7" s="637"/>
      <c r="G7" s="638"/>
      <c r="H7" s="626">
        <f t="shared" si="0"/>
        <v>0</v>
      </c>
      <c r="I7" s="631">
        <f t="shared" si="1"/>
        <v>29.944999999999997</v>
      </c>
      <c r="J7" s="627"/>
      <c r="K7" s="665"/>
      <c r="L7" s="666">
        <v>29.944999999999997</v>
      </c>
      <c r="M7" s="111">
        <v>6</v>
      </c>
      <c r="N7" s="25">
        <f t="shared" ref="N7:N69" si="7">I7*C7</f>
        <v>0</v>
      </c>
      <c r="O7" s="25">
        <f t="shared" ref="O7:O69" si="8">I7*D7</f>
        <v>0</v>
      </c>
      <c r="P7" s="25">
        <f t="shared" ref="P7:P69" si="9">I7*E7</f>
        <v>0</v>
      </c>
      <c r="Q7" s="26">
        <f t="shared" ref="Q7:Q69" si="10">I7*F7</f>
        <v>0</v>
      </c>
      <c r="R7" s="27">
        <f t="shared" ref="R7:R69" si="11">I7*G7</f>
        <v>0</v>
      </c>
      <c r="S7" s="28">
        <f t="shared" ref="S7:S69" si="12">SUM(N7:R7)</f>
        <v>0</v>
      </c>
    </row>
    <row r="8" spans="2:19" hidden="1">
      <c r="B8" s="664" t="s">
        <v>1097</v>
      </c>
      <c r="C8" s="636"/>
      <c r="D8" s="636"/>
      <c r="E8" s="636"/>
      <c r="F8" s="637"/>
      <c r="G8" s="638"/>
      <c r="H8" s="626">
        <f t="shared" si="0"/>
        <v>0</v>
      </c>
      <c r="I8" s="631">
        <f t="shared" si="1"/>
        <v>23.32</v>
      </c>
      <c r="J8" s="627"/>
      <c r="K8" s="665"/>
      <c r="L8" s="666">
        <v>23.32</v>
      </c>
      <c r="M8" s="111">
        <v>9</v>
      </c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2:19">
      <c r="B9" s="664" t="s">
        <v>1098</v>
      </c>
      <c r="C9" s="636"/>
      <c r="D9" s="636"/>
      <c r="E9" s="636">
        <v>48</v>
      </c>
      <c r="F9" s="637"/>
      <c r="G9" s="638"/>
      <c r="H9" s="626">
        <f t="shared" si="0"/>
        <v>48</v>
      </c>
      <c r="I9" s="631">
        <v>6.06</v>
      </c>
      <c r="J9" s="627"/>
      <c r="K9" s="665"/>
      <c r="L9" s="666">
        <v>10.158333333333333</v>
      </c>
      <c r="M9" s="111">
        <v>12</v>
      </c>
      <c r="N9" s="25">
        <f t="shared" si="7"/>
        <v>0</v>
      </c>
      <c r="O9" s="25">
        <f t="shared" si="8"/>
        <v>0</v>
      </c>
      <c r="P9" s="25">
        <f t="shared" si="9"/>
        <v>290.88</v>
      </c>
      <c r="Q9" s="26">
        <f t="shared" si="10"/>
        <v>0</v>
      </c>
      <c r="R9" s="27">
        <f t="shared" si="11"/>
        <v>0</v>
      </c>
      <c r="S9" s="28">
        <f t="shared" si="12"/>
        <v>290.88</v>
      </c>
    </row>
    <row r="10" spans="2:19" hidden="1">
      <c r="B10" s="664" t="s">
        <v>1098</v>
      </c>
      <c r="C10" s="636"/>
      <c r="D10" s="636"/>
      <c r="E10" s="636"/>
      <c r="F10" s="637"/>
      <c r="G10" s="638"/>
      <c r="H10" s="626">
        <f t="shared" si="0"/>
        <v>0</v>
      </c>
      <c r="I10" s="631">
        <f t="shared" si="1"/>
        <v>9.3074999999999992</v>
      </c>
      <c r="J10" s="627"/>
      <c r="K10" s="665"/>
      <c r="L10" s="666">
        <v>9.3074999999999992</v>
      </c>
      <c r="M10" s="111">
        <v>36</v>
      </c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2:19" hidden="1">
      <c r="B11" s="664" t="s">
        <v>1099</v>
      </c>
      <c r="C11" s="636"/>
      <c r="D11" s="636"/>
      <c r="E11" s="636"/>
      <c r="F11" s="637"/>
      <c r="G11" s="638"/>
      <c r="H11" s="626">
        <f t="shared" si="0"/>
        <v>0</v>
      </c>
      <c r="I11" s="631">
        <f t="shared" si="1"/>
        <v>10.1875</v>
      </c>
      <c r="J11" s="627"/>
      <c r="K11" s="665"/>
      <c r="L11" s="666">
        <v>10.1875</v>
      </c>
      <c r="M11" s="111">
        <v>24</v>
      </c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 hidden="1">
      <c r="B12" s="664" t="s">
        <v>1100</v>
      </c>
      <c r="C12" s="636"/>
      <c r="D12" s="636"/>
      <c r="E12" s="636"/>
      <c r="F12" s="637"/>
      <c r="G12" s="638"/>
      <c r="H12" s="626">
        <f t="shared" si="0"/>
        <v>0</v>
      </c>
      <c r="I12" s="631">
        <f t="shared" si="1"/>
        <v>72.096666666666664</v>
      </c>
      <c r="J12" s="627"/>
      <c r="K12" s="665"/>
      <c r="L12" s="666">
        <v>72.096666666666664</v>
      </c>
      <c r="M12" s="111">
        <v>12</v>
      </c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 hidden="1">
      <c r="B13" s="664" t="s">
        <v>1101</v>
      </c>
      <c r="C13" s="636"/>
      <c r="D13" s="636"/>
      <c r="E13" s="636"/>
      <c r="F13" s="637"/>
      <c r="G13" s="638"/>
      <c r="H13" s="626">
        <f t="shared" si="0"/>
        <v>0</v>
      </c>
      <c r="I13" s="631">
        <v>2.79</v>
      </c>
      <c r="J13" s="627"/>
      <c r="K13" s="665"/>
      <c r="L13" s="666">
        <v>4.4313194444444441</v>
      </c>
      <c r="M13" s="111">
        <v>144</v>
      </c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 hidden="1">
      <c r="B14" s="664" t="s">
        <v>1102</v>
      </c>
      <c r="C14" s="636"/>
      <c r="D14" s="636"/>
      <c r="E14" s="636"/>
      <c r="F14" s="637"/>
      <c r="G14" s="638"/>
      <c r="H14" s="626">
        <f t="shared" si="0"/>
        <v>0</v>
      </c>
      <c r="I14" s="631">
        <f t="shared" si="1"/>
        <v>5.2266666666666666</v>
      </c>
      <c r="J14" s="627"/>
      <c r="K14" s="665"/>
      <c r="L14" s="666">
        <v>5.2266666666666666</v>
      </c>
      <c r="M14" s="111">
        <v>12</v>
      </c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</row>
    <row r="15" spans="2:19" hidden="1">
      <c r="B15" s="664" t="s">
        <v>1103</v>
      </c>
      <c r="C15" s="636"/>
      <c r="D15" s="636"/>
      <c r="E15" s="636"/>
      <c r="F15" s="637"/>
      <c r="G15" s="638"/>
      <c r="H15" s="626">
        <f t="shared" si="0"/>
        <v>0</v>
      </c>
      <c r="I15" s="631">
        <f t="shared" si="1"/>
        <v>16.816666666666666</v>
      </c>
      <c r="J15" s="627"/>
      <c r="K15" s="665"/>
      <c r="L15" s="666">
        <v>16.816666666666666</v>
      </c>
      <c r="M15" s="111">
        <v>12</v>
      </c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2:19" hidden="1">
      <c r="B16" s="664" t="s">
        <v>1104</v>
      </c>
      <c r="C16" s="636"/>
      <c r="D16" s="636"/>
      <c r="E16" s="636"/>
      <c r="F16" s="637"/>
      <c r="G16" s="638"/>
      <c r="H16" s="626">
        <f t="shared" si="0"/>
        <v>0</v>
      </c>
      <c r="I16" s="631">
        <f t="shared" si="1"/>
        <v>121.29083333333334</v>
      </c>
      <c r="J16" s="627"/>
      <c r="K16" s="665"/>
      <c r="L16" s="666">
        <v>121.29083333333334</v>
      </c>
      <c r="M16" s="111">
        <v>12</v>
      </c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 hidden="1">
      <c r="B17" s="664" t="s">
        <v>1105</v>
      </c>
      <c r="C17" s="636"/>
      <c r="D17" s="636"/>
      <c r="E17" s="636"/>
      <c r="F17" s="637"/>
      <c r="G17" s="638"/>
      <c r="H17" s="626">
        <f t="shared" si="0"/>
        <v>0</v>
      </c>
      <c r="I17" s="631">
        <f t="shared" si="1"/>
        <v>8.7804166666666656</v>
      </c>
      <c r="J17" s="627"/>
      <c r="K17" s="665"/>
      <c r="L17" s="666">
        <v>8.7804166666666656</v>
      </c>
      <c r="M17" s="111">
        <v>24</v>
      </c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 hidden="1">
      <c r="B18" s="664" t="s">
        <v>1106</v>
      </c>
      <c r="C18" s="636"/>
      <c r="D18" s="636"/>
      <c r="E18" s="636"/>
      <c r="F18" s="637"/>
      <c r="G18" s="638"/>
      <c r="H18" s="626">
        <f t="shared" si="0"/>
        <v>0</v>
      </c>
      <c r="I18" s="631">
        <f t="shared" si="1"/>
        <v>18.470833333333335</v>
      </c>
      <c r="J18" s="627"/>
      <c r="K18" s="665"/>
      <c r="L18" s="666">
        <v>18.470833333333335</v>
      </c>
      <c r="M18" s="111">
        <v>12</v>
      </c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 hidden="1">
      <c r="B19" s="664" t="s">
        <v>588</v>
      </c>
      <c r="C19" s="636"/>
      <c r="D19" s="636"/>
      <c r="E19" s="636"/>
      <c r="F19" s="637"/>
      <c r="G19" s="638"/>
      <c r="H19" s="626">
        <f t="shared" si="0"/>
        <v>0</v>
      </c>
      <c r="I19" s="631">
        <f t="shared" si="1"/>
        <v>22.938333333333333</v>
      </c>
      <c r="J19" s="627"/>
      <c r="K19" s="665"/>
      <c r="L19" s="666">
        <v>22.938333333333333</v>
      </c>
      <c r="M19" s="111">
        <v>12</v>
      </c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 hidden="1">
      <c r="B20" s="664" t="s">
        <v>589</v>
      </c>
      <c r="C20" s="636"/>
      <c r="D20" s="636"/>
      <c r="E20" s="636"/>
      <c r="F20" s="637"/>
      <c r="G20" s="638"/>
      <c r="H20" s="626">
        <f t="shared" si="0"/>
        <v>0</v>
      </c>
      <c r="I20" s="631">
        <f t="shared" si="1"/>
        <v>11.415833333333333</v>
      </c>
      <c r="J20" s="627"/>
      <c r="K20" s="665"/>
      <c r="L20" s="666">
        <v>11.415833333333333</v>
      </c>
      <c r="M20" s="111">
        <v>24</v>
      </c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2:19" hidden="1">
      <c r="B21" s="664" t="s">
        <v>590</v>
      </c>
      <c r="C21" s="636"/>
      <c r="D21" s="636"/>
      <c r="E21" s="636"/>
      <c r="F21" s="637"/>
      <c r="G21" s="638"/>
      <c r="H21" s="626">
        <f t="shared" si="0"/>
        <v>0</v>
      </c>
      <c r="I21" s="631">
        <f t="shared" si="1"/>
        <v>28.338333333333335</v>
      </c>
      <c r="J21" s="627"/>
      <c r="K21" s="665"/>
      <c r="L21" s="666">
        <v>28.338333333333335</v>
      </c>
      <c r="M21" s="111">
        <v>12</v>
      </c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 hidden="1">
      <c r="B22" s="664" t="s">
        <v>591</v>
      </c>
      <c r="C22" s="636"/>
      <c r="D22" s="636"/>
      <c r="E22" s="636"/>
      <c r="F22" s="637"/>
      <c r="G22" s="638"/>
      <c r="H22" s="626">
        <f t="shared" si="0"/>
        <v>0</v>
      </c>
      <c r="I22" s="631">
        <f t="shared" si="1"/>
        <v>13.108333333333334</v>
      </c>
      <c r="J22" s="627"/>
      <c r="K22" s="665"/>
      <c r="L22" s="666">
        <v>13.108333333333334</v>
      </c>
      <c r="M22" s="111">
        <v>12</v>
      </c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2:19" hidden="1">
      <c r="B23" s="664" t="s">
        <v>1107</v>
      </c>
      <c r="C23" s="637"/>
      <c r="D23" s="637"/>
      <c r="E23" s="637"/>
      <c r="F23" s="637"/>
      <c r="G23" s="638"/>
      <c r="H23" s="626">
        <f t="shared" si="0"/>
        <v>0</v>
      </c>
      <c r="I23" s="631">
        <f t="shared" si="1"/>
        <v>20.224999999999998</v>
      </c>
      <c r="J23" s="627"/>
      <c r="K23" s="665"/>
      <c r="L23" s="666">
        <v>20.224999999999998</v>
      </c>
      <c r="M23" s="111">
        <v>12</v>
      </c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2:19" hidden="1">
      <c r="B24" s="664" t="s">
        <v>1108</v>
      </c>
      <c r="C24" s="637"/>
      <c r="D24" s="637"/>
      <c r="E24" s="637"/>
      <c r="F24" s="637"/>
      <c r="G24" s="638"/>
      <c r="H24" s="626">
        <f t="shared" si="0"/>
        <v>0</v>
      </c>
      <c r="I24" s="631">
        <f t="shared" si="1"/>
        <v>26.217500000000001</v>
      </c>
      <c r="J24" s="627"/>
      <c r="K24" s="665"/>
      <c r="L24" s="666">
        <v>26.217500000000001</v>
      </c>
      <c r="M24" s="111">
        <v>12</v>
      </c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 hidden="1">
      <c r="B25" s="664" t="s">
        <v>1109</v>
      </c>
      <c r="C25" s="637"/>
      <c r="D25" s="637"/>
      <c r="E25" s="637"/>
      <c r="F25" s="637"/>
      <c r="G25" s="638"/>
      <c r="H25" s="626">
        <f t="shared" si="0"/>
        <v>0</v>
      </c>
      <c r="I25" s="631">
        <f t="shared" si="1"/>
        <v>14.981250000000001</v>
      </c>
      <c r="J25" s="627"/>
      <c r="K25" s="665"/>
      <c r="L25" s="666">
        <v>14.981250000000001</v>
      </c>
      <c r="M25" s="111">
        <v>24</v>
      </c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 hidden="1">
      <c r="B26" s="664" t="s">
        <v>1110</v>
      </c>
      <c r="C26" s="637"/>
      <c r="D26" s="637"/>
      <c r="E26" s="637"/>
      <c r="F26" s="637"/>
      <c r="G26" s="638"/>
      <c r="H26" s="626">
        <f t="shared" si="0"/>
        <v>0</v>
      </c>
      <c r="I26" s="631">
        <f t="shared" si="1"/>
        <v>28.619999999999997</v>
      </c>
      <c r="J26" s="627"/>
      <c r="K26" s="665"/>
      <c r="L26" s="666">
        <v>28.619999999999997</v>
      </c>
      <c r="M26" s="111">
        <v>9</v>
      </c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 hidden="1">
      <c r="B27" s="664" t="s">
        <v>1111</v>
      </c>
      <c r="C27" s="637"/>
      <c r="D27" s="637"/>
      <c r="E27" s="637"/>
      <c r="F27" s="637"/>
      <c r="G27" s="638"/>
      <c r="H27" s="626">
        <f t="shared" si="0"/>
        <v>0</v>
      </c>
      <c r="I27" s="631">
        <f t="shared" si="1"/>
        <v>17.977499999999999</v>
      </c>
      <c r="J27" s="627"/>
      <c r="K27" s="665"/>
      <c r="L27" s="666">
        <v>17.977499999999999</v>
      </c>
      <c r="M27" s="111">
        <v>12</v>
      </c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 hidden="1">
      <c r="B28" s="664" t="s">
        <v>592</v>
      </c>
      <c r="C28" s="637"/>
      <c r="D28" s="637"/>
      <c r="E28" s="637"/>
      <c r="F28" s="637"/>
      <c r="G28" s="638"/>
      <c r="H28" s="626">
        <f t="shared" si="0"/>
        <v>0</v>
      </c>
      <c r="I28" s="631">
        <f t="shared" si="1"/>
        <v>31.923333333333332</v>
      </c>
      <c r="J28" s="627"/>
      <c r="K28" s="665"/>
      <c r="L28" s="666">
        <v>31.923333333333332</v>
      </c>
      <c r="M28" s="111">
        <v>12</v>
      </c>
      <c r="N28" s="25">
        <f t="shared" si="7"/>
        <v>0</v>
      </c>
      <c r="O28" s="25">
        <f t="shared" si="8"/>
        <v>0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0</v>
      </c>
    </row>
    <row r="29" spans="2:19" hidden="1">
      <c r="B29" s="664" t="s">
        <v>593</v>
      </c>
      <c r="C29" s="637"/>
      <c r="D29" s="637"/>
      <c r="E29" s="637"/>
      <c r="F29" s="637"/>
      <c r="G29" s="638"/>
      <c r="H29" s="626">
        <f t="shared" si="0"/>
        <v>0</v>
      </c>
      <c r="I29" s="631">
        <f t="shared" si="1"/>
        <v>38.604166666666664</v>
      </c>
      <c r="J29" s="627"/>
      <c r="K29" s="665"/>
      <c r="L29" s="666">
        <v>38.604166666666664</v>
      </c>
      <c r="M29" s="111">
        <v>12</v>
      </c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2:19" hidden="1">
      <c r="B30" s="664" t="s">
        <v>594</v>
      </c>
      <c r="C30" s="637"/>
      <c r="D30" s="637"/>
      <c r="E30" s="637"/>
      <c r="F30" s="637"/>
      <c r="G30" s="638"/>
      <c r="H30" s="626">
        <f t="shared" si="0"/>
        <v>0</v>
      </c>
      <c r="I30" s="631">
        <f t="shared" si="1"/>
        <v>21.954166666666666</v>
      </c>
      <c r="J30" s="627"/>
      <c r="K30" s="665"/>
      <c r="L30" s="666">
        <v>21.954166666666666</v>
      </c>
      <c r="M30" s="111">
        <v>24</v>
      </c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0</v>
      </c>
    </row>
    <row r="31" spans="2:19" hidden="1">
      <c r="B31" s="664" t="s">
        <v>595</v>
      </c>
      <c r="C31" s="637"/>
      <c r="D31" s="637"/>
      <c r="E31" s="637"/>
      <c r="F31" s="637"/>
      <c r="G31" s="638"/>
      <c r="H31" s="626">
        <f t="shared" si="0"/>
        <v>0</v>
      </c>
      <c r="I31" s="631">
        <f t="shared" si="1"/>
        <v>49.295555555555559</v>
      </c>
      <c r="J31" s="627"/>
      <c r="K31" s="665"/>
      <c r="L31" s="666">
        <v>49.295555555555559</v>
      </c>
      <c r="M31" s="111">
        <v>9</v>
      </c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2:19" hidden="1">
      <c r="B32" s="664" t="s">
        <v>596</v>
      </c>
      <c r="C32" s="637"/>
      <c r="D32" s="637"/>
      <c r="E32" s="637"/>
      <c r="F32" s="637"/>
      <c r="G32" s="638"/>
      <c r="H32" s="626">
        <f t="shared" si="0"/>
        <v>0</v>
      </c>
      <c r="I32" s="631">
        <f t="shared" si="1"/>
        <v>28.953333333333333</v>
      </c>
      <c r="J32" s="627"/>
      <c r="K32" s="665"/>
      <c r="L32" s="666">
        <v>28.953333333333333</v>
      </c>
      <c r="M32" s="111">
        <v>12</v>
      </c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2:19" hidden="1">
      <c r="B33" s="664" t="s">
        <v>1112</v>
      </c>
      <c r="C33" s="637"/>
      <c r="D33" s="637"/>
      <c r="E33" s="637"/>
      <c r="F33" s="637"/>
      <c r="G33" s="638"/>
      <c r="H33" s="626">
        <f t="shared" si="0"/>
        <v>0</v>
      </c>
      <c r="I33" s="631">
        <f t="shared" si="1"/>
        <v>46.041111111111114</v>
      </c>
      <c r="J33" s="627"/>
      <c r="K33" s="665"/>
      <c r="L33" s="666">
        <v>46.041111111111114</v>
      </c>
      <c r="M33" s="111">
        <v>9</v>
      </c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2:19">
      <c r="B34" s="664" t="s">
        <v>1113</v>
      </c>
      <c r="C34" s="637">
        <v>12</v>
      </c>
      <c r="D34" s="637"/>
      <c r="E34" s="637">
        <v>24</v>
      </c>
      <c r="F34" s="637"/>
      <c r="G34" s="638"/>
      <c r="H34" s="626">
        <f t="shared" si="0"/>
        <v>36</v>
      </c>
      <c r="I34" s="631">
        <v>31.41</v>
      </c>
      <c r="J34" s="627"/>
      <c r="K34" s="665"/>
      <c r="L34" s="666">
        <v>47.974166666666669</v>
      </c>
      <c r="M34" s="111">
        <v>12</v>
      </c>
      <c r="N34" s="25">
        <f t="shared" si="7"/>
        <v>376.92</v>
      </c>
      <c r="O34" s="25">
        <f t="shared" si="8"/>
        <v>0</v>
      </c>
      <c r="P34" s="25">
        <f t="shared" si="9"/>
        <v>753.84</v>
      </c>
      <c r="Q34" s="26">
        <f t="shared" si="10"/>
        <v>0</v>
      </c>
      <c r="R34" s="27">
        <f t="shared" si="11"/>
        <v>0</v>
      </c>
      <c r="S34" s="28">
        <f t="shared" si="12"/>
        <v>1130.76</v>
      </c>
    </row>
    <row r="35" spans="2:19" hidden="1">
      <c r="B35" s="664" t="s">
        <v>1114</v>
      </c>
      <c r="C35" s="637"/>
      <c r="D35" s="637"/>
      <c r="E35" s="637"/>
      <c r="F35" s="637"/>
      <c r="G35" s="638"/>
      <c r="H35" s="626">
        <f t="shared" si="0"/>
        <v>0</v>
      </c>
      <c r="I35" s="631">
        <f t="shared" si="1"/>
        <v>33.575000000000003</v>
      </c>
      <c r="J35" s="627"/>
      <c r="K35" s="665"/>
      <c r="L35" s="666">
        <v>33.575000000000003</v>
      </c>
      <c r="M35" s="111">
        <v>8</v>
      </c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>
      <c r="B36" s="664" t="s">
        <v>1115</v>
      </c>
      <c r="C36" s="637">
        <v>24</v>
      </c>
      <c r="D36" s="637">
        <v>100</v>
      </c>
      <c r="E36" s="637">
        <v>96</v>
      </c>
      <c r="F36" s="637">
        <v>144</v>
      </c>
      <c r="G36" s="638">
        <v>360</v>
      </c>
      <c r="H36" s="626">
        <f t="shared" si="0"/>
        <v>724</v>
      </c>
      <c r="I36" s="631">
        <v>6.05</v>
      </c>
      <c r="J36" s="627"/>
      <c r="K36" s="665"/>
      <c r="L36" s="666">
        <v>9.5841666666666665</v>
      </c>
      <c r="M36" s="111">
        <v>24</v>
      </c>
      <c r="N36" s="25">
        <f t="shared" si="7"/>
        <v>145.19999999999999</v>
      </c>
      <c r="O36" s="25">
        <f t="shared" si="8"/>
        <v>605</v>
      </c>
      <c r="P36" s="25">
        <f t="shared" si="9"/>
        <v>580.79999999999995</v>
      </c>
      <c r="Q36" s="26">
        <f t="shared" si="10"/>
        <v>871.19999999999993</v>
      </c>
      <c r="R36" s="27">
        <f t="shared" si="11"/>
        <v>2178</v>
      </c>
      <c r="S36" s="28">
        <f t="shared" si="12"/>
        <v>4380.2</v>
      </c>
    </row>
    <row r="37" spans="2:19" hidden="1">
      <c r="B37" s="664" t="s">
        <v>1116</v>
      </c>
      <c r="C37" s="637"/>
      <c r="D37" s="637"/>
      <c r="E37" s="637"/>
      <c r="F37" s="637"/>
      <c r="G37" s="638"/>
      <c r="H37" s="626">
        <f t="shared" si="0"/>
        <v>0</v>
      </c>
      <c r="I37" s="631">
        <f t="shared" si="1"/>
        <v>11.040833333333333</v>
      </c>
      <c r="J37" s="627"/>
      <c r="K37" s="665"/>
      <c r="L37" s="666">
        <v>11.040833333333333</v>
      </c>
      <c r="M37" s="111">
        <v>12</v>
      </c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2:19">
      <c r="B38" s="664" t="s">
        <v>1117</v>
      </c>
      <c r="C38" s="637"/>
      <c r="D38" s="637"/>
      <c r="E38" s="637">
        <v>24</v>
      </c>
      <c r="F38" s="637">
        <v>12</v>
      </c>
      <c r="G38" s="638">
        <v>36</v>
      </c>
      <c r="H38" s="626">
        <f t="shared" si="0"/>
        <v>72</v>
      </c>
      <c r="I38" s="631">
        <v>43.6</v>
      </c>
      <c r="J38" s="627"/>
      <c r="K38" s="665"/>
      <c r="L38" s="666">
        <v>63.335000000000001</v>
      </c>
      <c r="M38" s="111">
        <v>12</v>
      </c>
      <c r="N38" s="25">
        <f t="shared" si="7"/>
        <v>0</v>
      </c>
      <c r="O38" s="25">
        <f t="shared" si="8"/>
        <v>0</v>
      </c>
      <c r="P38" s="25">
        <f t="shared" si="9"/>
        <v>1046.4000000000001</v>
      </c>
      <c r="Q38" s="26">
        <f t="shared" si="10"/>
        <v>523.20000000000005</v>
      </c>
      <c r="R38" s="27">
        <f t="shared" si="11"/>
        <v>1569.6000000000001</v>
      </c>
      <c r="S38" s="28">
        <f t="shared" si="12"/>
        <v>3139.2000000000003</v>
      </c>
    </row>
    <row r="39" spans="2:19" hidden="1">
      <c r="B39" s="664" t="s">
        <v>1118</v>
      </c>
      <c r="C39" s="637"/>
      <c r="D39" s="637"/>
      <c r="E39" s="637"/>
      <c r="F39" s="637"/>
      <c r="G39" s="638"/>
      <c r="H39" s="626">
        <f t="shared" si="0"/>
        <v>0</v>
      </c>
      <c r="I39" s="631">
        <f t="shared" si="1"/>
        <v>71.961666666666659</v>
      </c>
      <c r="J39" s="627"/>
      <c r="K39" s="665"/>
      <c r="L39" s="666">
        <v>71.961666666666659</v>
      </c>
      <c r="M39" s="111">
        <v>12</v>
      </c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</row>
    <row r="40" spans="2:19">
      <c r="B40" s="664" t="s">
        <v>1260</v>
      </c>
      <c r="C40" s="636"/>
      <c r="D40" s="636"/>
      <c r="E40" s="636">
        <v>24</v>
      </c>
      <c r="F40" s="637"/>
      <c r="G40" s="638">
        <v>24</v>
      </c>
      <c r="H40" s="626">
        <f t="shared" si="0"/>
        <v>48</v>
      </c>
      <c r="I40" s="631">
        <v>7.06</v>
      </c>
      <c r="J40" s="627"/>
      <c r="K40" s="665"/>
      <c r="L40" s="666">
        <v>10.114166666666668</v>
      </c>
      <c r="M40" s="111">
        <v>24</v>
      </c>
      <c r="N40" s="25">
        <f t="shared" si="7"/>
        <v>0</v>
      </c>
      <c r="O40" s="25">
        <f t="shared" si="8"/>
        <v>0</v>
      </c>
      <c r="P40" s="25">
        <f t="shared" si="9"/>
        <v>169.44</v>
      </c>
      <c r="Q40" s="26">
        <f t="shared" si="10"/>
        <v>0</v>
      </c>
      <c r="R40" s="27">
        <f t="shared" si="11"/>
        <v>169.44</v>
      </c>
      <c r="S40" s="28">
        <f t="shared" si="12"/>
        <v>338.88</v>
      </c>
    </row>
    <row r="41" spans="2:19" hidden="1">
      <c r="B41" s="664" t="s">
        <v>1119</v>
      </c>
      <c r="C41" s="637"/>
      <c r="D41" s="637"/>
      <c r="E41" s="637"/>
      <c r="F41" s="637"/>
      <c r="G41" s="638"/>
      <c r="H41" s="626">
        <f t="shared" si="0"/>
        <v>0</v>
      </c>
      <c r="I41" s="631">
        <f t="shared" si="1"/>
        <v>71.55</v>
      </c>
      <c r="J41" s="627"/>
      <c r="K41" s="665"/>
      <c r="L41" s="666">
        <v>71.55</v>
      </c>
      <c r="M41" s="111">
        <v>4</v>
      </c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2:19" hidden="1">
      <c r="B42" s="664" t="s">
        <v>1119</v>
      </c>
      <c r="C42" s="637"/>
      <c r="D42" s="637"/>
      <c r="E42" s="637"/>
      <c r="F42" s="637"/>
      <c r="G42" s="638"/>
      <c r="H42" s="626">
        <f t="shared" si="0"/>
        <v>0</v>
      </c>
      <c r="I42" s="631">
        <f t="shared" si="1"/>
        <v>69.783333333333331</v>
      </c>
      <c r="J42" s="627"/>
      <c r="K42" s="665"/>
      <c r="L42" s="666">
        <v>69.783333333333331</v>
      </c>
      <c r="M42" s="111">
        <v>6</v>
      </c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2:19" hidden="1">
      <c r="B43" s="664" t="s">
        <v>1119</v>
      </c>
      <c r="C43" s="637"/>
      <c r="D43" s="637"/>
      <c r="E43" s="637"/>
      <c r="F43" s="637"/>
      <c r="G43" s="638"/>
      <c r="H43" s="626">
        <f t="shared" si="0"/>
        <v>0</v>
      </c>
      <c r="I43" s="631">
        <f t="shared" si="1"/>
        <v>66.603333333333339</v>
      </c>
      <c r="J43" s="627"/>
      <c r="K43" s="665"/>
      <c r="L43" s="666">
        <v>66.603333333333339</v>
      </c>
      <c r="M43" s="111">
        <v>12</v>
      </c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2:19" hidden="1">
      <c r="B44" s="664" t="s">
        <v>1120</v>
      </c>
      <c r="C44" s="637"/>
      <c r="D44" s="637"/>
      <c r="E44" s="637"/>
      <c r="F44" s="637"/>
      <c r="G44" s="638"/>
      <c r="H44" s="626">
        <f t="shared" si="0"/>
        <v>0</v>
      </c>
      <c r="I44" s="631">
        <f t="shared" si="1"/>
        <v>10.224583333333333</v>
      </c>
      <c r="J44" s="627"/>
      <c r="K44" s="665"/>
      <c r="L44" s="666">
        <v>10.224583333333333</v>
      </c>
      <c r="M44" s="111">
        <v>24</v>
      </c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 hidden="1">
      <c r="B45" s="664" t="s">
        <v>597</v>
      </c>
      <c r="C45" s="637"/>
      <c r="D45" s="637"/>
      <c r="E45" s="637"/>
      <c r="F45" s="637"/>
      <c r="G45" s="638"/>
      <c r="H45" s="626">
        <f t="shared" si="0"/>
        <v>0</v>
      </c>
      <c r="I45" s="631">
        <v>48.64</v>
      </c>
      <c r="J45" s="627"/>
      <c r="K45" s="665"/>
      <c r="L45" s="666">
        <v>86.589166666666657</v>
      </c>
      <c r="M45" s="111">
        <v>12</v>
      </c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2:19" hidden="1">
      <c r="B46" s="664" t="s">
        <v>598</v>
      </c>
      <c r="C46" s="637"/>
      <c r="D46" s="637"/>
      <c r="E46" s="637"/>
      <c r="F46" s="637"/>
      <c r="G46" s="638"/>
      <c r="H46" s="626">
        <f t="shared" si="0"/>
        <v>0</v>
      </c>
      <c r="I46" s="631">
        <f t="shared" si="1"/>
        <v>46.5075</v>
      </c>
      <c r="J46" s="627"/>
      <c r="K46" s="665"/>
      <c r="L46" s="666">
        <v>46.5075</v>
      </c>
      <c r="M46" s="111">
        <v>24</v>
      </c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 hidden="1">
      <c r="B47" s="664" t="s">
        <v>599</v>
      </c>
      <c r="C47" s="637"/>
      <c r="D47" s="637"/>
      <c r="E47" s="637"/>
      <c r="F47" s="637"/>
      <c r="G47" s="638"/>
      <c r="H47" s="626">
        <f t="shared" si="0"/>
        <v>0</v>
      </c>
      <c r="I47" s="631">
        <f t="shared" si="1"/>
        <v>162.97499999999999</v>
      </c>
      <c r="J47" s="627"/>
      <c r="K47" s="665"/>
      <c r="L47" s="666">
        <v>162.97499999999999</v>
      </c>
      <c r="M47" s="111">
        <v>12</v>
      </c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2:19" hidden="1">
      <c r="B48" s="664" t="s">
        <v>600</v>
      </c>
      <c r="C48" s="637"/>
      <c r="D48" s="637"/>
      <c r="E48" s="637"/>
      <c r="F48" s="637"/>
      <c r="G48" s="638"/>
      <c r="H48" s="626">
        <f t="shared" si="0"/>
        <v>0</v>
      </c>
      <c r="I48" s="631">
        <f t="shared" si="1"/>
        <v>38.748888888888892</v>
      </c>
      <c r="J48" s="627"/>
      <c r="K48" s="665"/>
      <c r="L48" s="666">
        <v>38.748888888888892</v>
      </c>
      <c r="M48" s="111">
        <v>9</v>
      </c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2:19" hidden="1">
      <c r="B49" s="664" t="s">
        <v>601</v>
      </c>
      <c r="C49" s="637"/>
      <c r="D49" s="637"/>
      <c r="E49" s="637"/>
      <c r="F49" s="637"/>
      <c r="G49" s="638"/>
      <c r="H49" s="626">
        <f t="shared" si="0"/>
        <v>0</v>
      </c>
      <c r="I49" s="631">
        <f t="shared" si="1"/>
        <v>84.932500000000005</v>
      </c>
      <c r="J49" s="627"/>
      <c r="K49" s="665"/>
      <c r="L49" s="666">
        <v>84.932500000000005</v>
      </c>
      <c r="M49" s="111">
        <v>4</v>
      </c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19" hidden="1">
      <c r="B50" s="664" t="s">
        <v>602</v>
      </c>
      <c r="C50" s="637"/>
      <c r="D50" s="637"/>
      <c r="E50" s="637"/>
      <c r="F50" s="637"/>
      <c r="G50" s="638"/>
      <c r="H50" s="626">
        <f t="shared" si="0"/>
        <v>0</v>
      </c>
      <c r="I50" s="631">
        <f t="shared" si="1"/>
        <v>12.426250000000001</v>
      </c>
      <c r="J50" s="627"/>
      <c r="K50" s="665"/>
      <c r="L50" s="666">
        <v>12.426250000000001</v>
      </c>
      <c r="M50" s="111">
        <v>24</v>
      </c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19" hidden="1">
      <c r="B51" s="664" t="s">
        <v>1121</v>
      </c>
      <c r="C51" s="637"/>
      <c r="D51" s="637"/>
      <c r="E51" s="637"/>
      <c r="F51" s="637"/>
      <c r="G51" s="638"/>
      <c r="H51" s="626">
        <f t="shared" si="0"/>
        <v>0</v>
      </c>
      <c r="I51" s="631">
        <f t="shared" si="1"/>
        <v>33.625</v>
      </c>
      <c r="J51" s="627"/>
      <c r="K51" s="665"/>
      <c r="L51" s="666">
        <v>33.625</v>
      </c>
      <c r="M51" s="111">
        <v>8</v>
      </c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</row>
    <row r="52" spans="2:19" hidden="1">
      <c r="B52" s="664" t="s">
        <v>1122</v>
      </c>
      <c r="C52" s="637"/>
      <c r="D52" s="637"/>
      <c r="E52" s="637"/>
      <c r="F52" s="637"/>
      <c r="G52" s="638"/>
      <c r="H52" s="626">
        <f t="shared" si="0"/>
        <v>0</v>
      </c>
      <c r="I52" s="631">
        <f t="shared" si="1"/>
        <v>33.625</v>
      </c>
      <c r="J52" s="627"/>
      <c r="K52" s="665"/>
      <c r="L52" s="666">
        <v>33.625</v>
      </c>
      <c r="M52" s="111">
        <v>8</v>
      </c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19" hidden="1">
      <c r="B53" s="664" t="s">
        <v>1123</v>
      </c>
      <c r="C53" s="637"/>
      <c r="D53" s="637"/>
      <c r="E53" s="637"/>
      <c r="F53" s="637"/>
      <c r="G53" s="638"/>
      <c r="H53" s="626">
        <f t="shared" si="0"/>
        <v>0</v>
      </c>
      <c r="I53" s="631">
        <f t="shared" si="1"/>
        <v>33.625</v>
      </c>
      <c r="J53" s="627"/>
      <c r="K53" s="665"/>
      <c r="L53" s="666">
        <v>33.625</v>
      </c>
      <c r="M53" s="111">
        <v>8</v>
      </c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2:19" hidden="1">
      <c r="B54" s="664" t="s">
        <v>1124</v>
      </c>
      <c r="C54" s="637"/>
      <c r="D54" s="637"/>
      <c r="E54" s="637"/>
      <c r="F54" s="637"/>
      <c r="G54" s="638"/>
      <c r="H54" s="626">
        <f t="shared" si="0"/>
        <v>0</v>
      </c>
      <c r="I54" s="631">
        <f t="shared" si="1"/>
        <v>33.625</v>
      </c>
      <c r="J54" s="627"/>
      <c r="K54" s="665"/>
      <c r="L54" s="666">
        <v>33.625</v>
      </c>
      <c r="M54" s="111">
        <v>8</v>
      </c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19">
      <c r="B55" s="664" t="s">
        <v>1125</v>
      </c>
      <c r="C55" s="637"/>
      <c r="D55" s="637"/>
      <c r="E55" s="637"/>
      <c r="F55" s="637">
        <v>24</v>
      </c>
      <c r="G55" s="638"/>
      <c r="H55" s="626">
        <f t="shared" si="0"/>
        <v>24</v>
      </c>
      <c r="I55" s="631"/>
      <c r="J55" s="627"/>
      <c r="K55" s="665"/>
      <c r="L55" s="666">
        <v>10.6</v>
      </c>
      <c r="M55" s="111">
        <v>24</v>
      </c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</row>
    <row r="56" spans="2:19" hidden="1">
      <c r="B56" s="664" t="s">
        <v>1126</v>
      </c>
      <c r="C56" s="637"/>
      <c r="D56" s="637"/>
      <c r="E56" s="637"/>
      <c r="F56" s="637"/>
      <c r="G56" s="638"/>
      <c r="H56" s="626">
        <f t="shared" si="0"/>
        <v>0</v>
      </c>
      <c r="I56" s="631">
        <f t="shared" si="1"/>
        <v>9.5841666666666665</v>
      </c>
      <c r="J56" s="627"/>
      <c r="K56" s="665"/>
      <c r="L56" s="666">
        <v>9.5841666666666665</v>
      </c>
      <c r="M56" s="111">
        <v>24</v>
      </c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2:19" hidden="1">
      <c r="B57" s="664" t="s">
        <v>1127</v>
      </c>
      <c r="C57" s="637"/>
      <c r="D57" s="637"/>
      <c r="E57" s="637"/>
      <c r="F57" s="637"/>
      <c r="G57" s="638"/>
      <c r="H57" s="626">
        <f t="shared" si="0"/>
        <v>0</v>
      </c>
      <c r="I57" s="631">
        <f t="shared" si="1"/>
        <v>63.335000000000001</v>
      </c>
      <c r="J57" s="627"/>
      <c r="K57" s="665"/>
      <c r="L57" s="666">
        <v>63.335000000000001</v>
      </c>
      <c r="M57" s="111">
        <v>12</v>
      </c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0</v>
      </c>
    </row>
    <row r="58" spans="2:19" hidden="1">
      <c r="B58" s="664" t="s">
        <v>1128</v>
      </c>
      <c r="C58" s="637"/>
      <c r="D58" s="637"/>
      <c r="E58" s="637"/>
      <c r="F58" s="637"/>
      <c r="G58" s="638"/>
      <c r="H58" s="626">
        <f t="shared" si="0"/>
        <v>0</v>
      </c>
      <c r="I58" s="631">
        <f t="shared" si="1"/>
        <v>20.449166666666667</v>
      </c>
      <c r="J58" s="627"/>
      <c r="K58" s="665"/>
      <c r="L58" s="666">
        <v>20.449166666666667</v>
      </c>
      <c r="M58" s="111">
        <v>12</v>
      </c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</row>
    <row r="59" spans="2:19" hidden="1">
      <c r="B59" s="664" t="s">
        <v>1129</v>
      </c>
      <c r="C59" s="637"/>
      <c r="D59" s="637"/>
      <c r="E59" s="637"/>
      <c r="F59" s="637"/>
      <c r="G59" s="638"/>
      <c r="H59" s="626">
        <f t="shared" si="0"/>
        <v>0</v>
      </c>
      <c r="I59" s="631">
        <f t="shared" si="1"/>
        <v>86.589166666666657</v>
      </c>
      <c r="J59" s="627"/>
      <c r="K59" s="665"/>
      <c r="L59" s="666">
        <v>86.589166666666657</v>
      </c>
      <c r="M59" s="111">
        <v>12</v>
      </c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2:19" hidden="1">
      <c r="B60" s="664" t="s">
        <v>1130</v>
      </c>
      <c r="C60" s="637"/>
      <c r="D60" s="637"/>
      <c r="E60" s="637"/>
      <c r="F60" s="637"/>
      <c r="G60" s="638"/>
      <c r="H60" s="626">
        <f t="shared" si="0"/>
        <v>0</v>
      </c>
      <c r="I60" s="631">
        <f t="shared" si="1"/>
        <v>10.158333333333333</v>
      </c>
      <c r="J60" s="627"/>
      <c r="K60" s="665"/>
      <c r="L60" s="666">
        <v>10.158333333333333</v>
      </c>
      <c r="M60" s="111">
        <v>12</v>
      </c>
      <c r="N60" s="25">
        <f t="shared" si="7"/>
        <v>0</v>
      </c>
      <c r="O60" s="25">
        <f t="shared" si="8"/>
        <v>0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0</v>
      </c>
    </row>
    <row r="61" spans="2:19">
      <c r="B61" s="664" t="s">
        <v>1130</v>
      </c>
      <c r="C61" s="637"/>
      <c r="D61" s="637"/>
      <c r="E61" s="637"/>
      <c r="F61" s="637">
        <v>36</v>
      </c>
      <c r="G61" s="638"/>
      <c r="H61" s="626">
        <f t="shared" si="0"/>
        <v>36</v>
      </c>
      <c r="I61" s="631">
        <v>6.37</v>
      </c>
      <c r="J61" s="627"/>
      <c r="K61" s="665"/>
      <c r="L61" s="666">
        <v>9.4811111111111117</v>
      </c>
      <c r="M61" s="111">
        <v>36</v>
      </c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229.32</v>
      </c>
      <c r="R61" s="27">
        <f t="shared" si="11"/>
        <v>0</v>
      </c>
      <c r="S61" s="28">
        <f t="shared" si="12"/>
        <v>229.32</v>
      </c>
    </row>
    <row r="62" spans="2:19" hidden="1">
      <c r="B62" s="664" t="s">
        <v>1131</v>
      </c>
      <c r="C62" s="637"/>
      <c r="D62" s="637"/>
      <c r="E62" s="637"/>
      <c r="F62" s="637"/>
      <c r="G62" s="638"/>
      <c r="H62" s="626">
        <f t="shared" si="0"/>
        <v>0</v>
      </c>
      <c r="I62" s="631">
        <f t="shared" si="1"/>
        <v>11.041666666666666</v>
      </c>
      <c r="J62" s="627"/>
      <c r="K62" s="665"/>
      <c r="L62" s="666">
        <v>11.041666666666666</v>
      </c>
      <c r="M62" s="111">
        <v>12</v>
      </c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0</v>
      </c>
      <c r="R62" s="27">
        <f t="shared" si="11"/>
        <v>0</v>
      </c>
      <c r="S62" s="28">
        <f t="shared" si="12"/>
        <v>0</v>
      </c>
    </row>
    <row r="63" spans="2:19" hidden="1">
      <c r="B63" s="664" t="s">
        <v>1131</v>
      </c>
      <c r="C63" s="637"/>
      <c r="D63" s="637"/>
      <c r="E63" s="637"/>
      <c r="F63" s="637"/>
      <c r="G63" s="638"/>
      <c r="H63" s="626">
        <f t="shared" si="0"/>
        <v>0</v>
      </c>
      <c r="I63" s="631">
        <f t="shared" si="1"/>
        <v>10.114166666666668</v>
      </c>
      <c r="J63" s="627"/>
      <c r="K63" s="665"/>
      <c r="L63" s="666">
        <v>10.114166666666668</v>
      </c>
      <c r="M63" s="111">
        <v>24</v>
      </c>
      <c r="N63" s="25">
        <f t="shared" si="7"/>
        <v>0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0</v>
      </c>
      <c r="S63" s="28">
        <f t="shared" si="12"/>
        <v>0</v>
      </c>
    </row>
    <row r="64" spans="2:19" hidden="1">
      <c r="B64" s="664" t="s">
        <v>1132</v>
      </c>
      <c r="C64" s="637"/>
      <c r="D64" s="637"/>
      <c r="E64" s="637"/>
      <c r="F64" s="637"/>
      <c r="G64" s="638"/>
      <c r="H64" s="626">
        <f t="shared" si="0"/>
        <v>0</v>
      </c>
      <c r="I64" s="631">
        <f t="shared" si="1"/>
        <v>66.682500000000005</v>
      </c>
      <c r="J64" s="627"/>
      <c r="K64" s="665"/>
      <c r="L64" s="666">
        <v>66.682500000000005</v>
      </c>
      <c r="M64" s="111">
        <v>12</v>
      </c>
      <c r="N64" s="25">
        <f t="shared" si="7"/>
        <v>0</v>
      </c>
      <c r="O64" s="25">
        <f t="shared" si="8"/>
        <v>0</v>
      </c>
      <c r="P64" s="25">
        <f t="shared" si="9"/>
        <v>0</v>
      </c>
      <c r="Q64" s="26">
        <f t="shared" si="10"/>
        <v>0</v>
      </c>
      <c r="R64" s="27">
        <f t="shared" si="11"/>
        <v>0</v>
      </c>
      <c r="S64" s="28">
        <f t="shared" si="12"/>
        <v>0</v>
      </c>
    </row>
    <row r="65" spans="2:19" hidden="1">
      <c r="B65" s="664" t="s">
        <v>1132</v>
      </c>
      <c r="C65" s="637"/>
      <c r="D65" s="637"/>
      <c r="E65" s="637"/>
      <c r="F65" s="637"/>
      <c r="G65" s="638"/>
      <c r="H65" s="626">
        <f t="shared" si="0"/>
        <v>0</v>
      </c>
      <c r="I65" s="631">
        <f t="shared" si="1"/>
        <v>69.783333333333331</v>
      </c>
      <c r="J65" s="627"/>
      <c r="K65" s="665"/>
      <c r="L65" s="666">
        <v>69.783333333333331</v>
      </c>
      <c r="M65" s="111">
        <v>6</v>
      </c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</row>
    <row r="66" spans="2:19" hidden="1">
      <c r="B66" s="664" t="s">
        <v>1133</v>
      </c>
      <c r="C66" s="637"/>
      <c r="D66" s="637"/>
      <c r="E66" s="637"/>
      <c r="F66" s="637"/>
      <c r="G66" s="638"/>
      <c r="H66" s="626">
        <f t="shared" si="0"/>
        <v>0</v>
      </c>
      <c r="I66" s="631">
        <f t="shared" si="1"/>
        <v>12.057499999999999</v>
      </c>
      <c r="J66" s="627"/>
      <c r="K66" s="665"/>
      <c r="L66" s="666">
        <v>12.057499999999999</v>
      </c>
      <c r="M66" s="111">
        <v>24</v>
      </c>
      <c r="N66" s="25">
        <f t="shared" si="7"/>
        <v>0</v>
      </c>
      <c r="O66" s="25">
        <f t="shared" si="8"/>
        <v>0</v>
      </c>
      <c r="P66" s="25">
        <f t="shared" si="9"/>
        <v>0</v>
      </c>
      <c r="Q66" s="26">
        <f t="shared" si="10"/>
        <v>0</v>
      </c>
      <c r="R66" s="27">
        <f t="shared" si="11"/>
        <v>0</v>
      </c>
      <c r="S66" s="28">
        <f t="shared" si="12"/>
        <v>0</v>
      </c>
    </row>
    <row r="67" spans="2:19" hidden="1">
      <c r="B67" s="664" t="s">
        <v>1134</v>
      </c>
      <c r="C67" s="637"/>
      <c r="D67" s="637"/>
      <c r="E67" s="637"/>
      <c r="F67" s="637"/>
      <c r="G67" s="638"/>
      <c r="H67" s="626">
        <f t="shared" si="0"/>
        <v>0</v>
      </c>
      <c r="I67" s="631">
        <f t="shared" si="1"/>
        <v>62.274999999999999</v>
      </c>
      <c r="J67" s="627"/>
      <c r="K67" s="665"/>
      <c r="L67" s="666">
        <v>62.274999999999999</v>
      </c>
      <c r="M67" s="111">
        <v>12</v>
      </c>
      <c r="N67" s="25">
        <f t="shared" si="7"/>
        <v>0</v>
      </c>
      <c r="O67" s="25">
        <f t="shared" si="8"/>
        <v>0</v>
      </c>
      <c r="P67" s="25">
        <f t="shared" si="9"/>
        <v>0</v>
      </c>
      <c r="Q67" s="26">
        <f t="shared" si="10"/>
        <v>0</v>
      </c>
      <c r="R67" s="27">
        <f t="shared" si="11"/>
        <v>0</v>
      </c>
      <c r="S67" s="28">
        <f t="shared" si="12"/>
        <v>0</v>
      </c>
    </row>
    <row r="68" spans="2:19">
      <c r="B68" s="664" t="s">
        <v>603</v>
      </c>
      <c r="C68" s="637">
        <v>360</v>
      </c>
      <c r="D68" s="637">
        <v>160</v>
      </c>
      <c r="E68" s="637">
        <v>40</v>
      </c>
      <c r="F68" s="637"/>
      <c r="G68" s="638">
        <v>500</v>
      </c>
      <c r="H68" s="626">
        <f t="shared" si="0"/>
        <v>1060</v>
      </c>
      <c r="I68" s="631">
        <v>6.94</v>
      </c>
      <c r="J68" s="627"/>
      <c r="K68" s="665"/>
      <c r="L68" s="666">
        <v>11.129999999999999</v>
      </c>
      <c r="M68" s="111">
        <v>20</v>
      </c>
      <c r="N68" s="25">
        <f t="shared" si="7"/>
        <v>2498.4</v>
      </c>
      <c r="O68" s="25">
        <f t="shared" si="8"/>
        <v>1110.4000000000001</v>
      </c>
      <c r="P68" s="25">
        <f t="shared" si="9"/>
        <v>277.60000000000002</v>
      </c>
      <c r="Q68" s="26">
        <f t="shared" si="10"/>
        <v>0</v>
      </c>
      <c r="R68" s="27">
        <f t="shared" si="11"/>
        <v>3470</v>
      </c>
      <c r="S68" s="28">
        <f t="shared" si="12"/>
        <v>7356.4</v>
      </c>
    </row>
    <row r="69" spans="2:19">
      <c r="B69" s="664" t="s">
        <v>604</v>
      </c>
      <c r="C69" s="637"/>
      <c r="D69" s="637"/>
      <c r="E69" s="637">
        <v>100</v>
      </c>
      <c r="F69" s="637"/>
      <c r="G69" s="638"/>
      <c r="H69" s="626">
        <f t="shared" si="0"/>
        <v>100</v>
      </c>
      <c r="I69" s="631">
        <v>7.74</v>
      </c>
      <c r="J69" s="627"/>
      <c r="K69" s="665"/>
      <c r="L69" s="666">
        <v>12.295999999999999</v>
      </c>
      <c r="M69" s="111">
        <v>20</v>
      </c>
      <c r="N69" s="25">
        <f t="shared" si="7"/>
        <v>0</v>
      </c>
      <c r="O69" s="25">
        <f t="shared" si="8"/>
        <v>0</v>
      </c>
      <c r="P69" s="25">
        <f t="shared" si="9"/>
        <v>774</v>
      </c>
      <c r="Q69" s="26">
        <f t="shared" si="10"/>
        <v>0</v>
      </c>
      <c r="R69" s="27">
        <f t="shared" si="11"/>
        <v>0</v>
      </c>
      <c r="S69" s="28">
        <f t="shared" si="12"/>
        <v>774</v>
      </c>
    </row>
    <row r="70" spans="2:19" hidden="1">
      <c r="B70" s="664" t="s">
        <v>605</v>
      </c>
      <c r="C70" s="637"/>
      <c r="D70" s="637"/>
      <c r="E70" s="637"/>
      <c r="F70" s="637"/>
      <c r="G70" s="638"/>
      <c r="H70" s="626">
        <f t="shared" ref="H70:H133" si="13">SUM(C70:G70)</f>
        <v>0</v>
      </c>
      <c r="I70" s="631">
        <f t="shared" ref="I70:I133" si="14">L70-(L70*J70)</f>
        <v>11.129999999999999</v>
      </c>
      <c r="J70" s="627"/>
      <c r="K70" s="665"/>
      <c r="L70" s="666">
        <v>11.129999999999999</v>
      </c>
      <c r="M70" s="111">
        <v>20</v>
      </c>
      <c r="N70" s="25">
        <f t="shared" ref="N70:N133" si="15">I70*C70</f>
        <v>0</v>
      </c>
      <c r="O70" s="25">
        <f t="shared" ref="O70:O133" si="16">I70*D70</f>
        <v>0</v>
      </c>
      <c r="P70" s="25">
        <f t="shared" ref="P70:P133" si="17">I70*E70</f>
        <v>0</v>
      </c>
      <c r="Q70" s="26">
        <f t="shared" ref="Q70:Q133" si="18">I70*F70</f>
        <v>0</v>
      </c>
      <c r="R70" s="27">
        <f t="shared" ref="R70:R133" si="19">I70*G70</f>
        <v>0</v>
      </c>
      <c r="S70" s="28">
        <f t="shared" ref="S70:S133" si="20">SUM(N70:R70)</f>
        <v>0</v>
      </c>
    </row>
    <row r="71" spans="2:19">
      <c r="B71" s="664" t="s">
        <v>606</v>
      </c>
      <c r="C71" s="637"/>
      <c r="D71" s="637"/>
      <c r="E71" s="637">
        <v>20</v>
      </c>
      <c r="F71" s="637"/>
      <c r="G71" s="638">
        <v>60</v>
      </c>
      <c r="H71" s="626">
        <f t="shared" si="13"/>
        <v>80</v>
      </c>
      <c r="I71" s="631">
        <v>7.27</v>
      </c>
      <c r="J71" s="627"/>
      <c r="K71" s="665"/>
      <c r="L71" s="666">
        <v>11.554</v>
      </c>
      <c r="M71" s="111">
        <v>20</v>
      </c>
      <c r="N71" s="25">
        <f t="shared" si="15"/>
        <v>0</v>
      </c>
      <c r="O71" s="25">
        <f t="shared" si="16"/>
        <v>0</v>
      </c>
      <c r="P71" s="25">
        <f t="shared" si="17"/>
        <v>145.39999999999998</v>
      </c>
      <c r="Q71" s="26">
        <f t="shared" si="18"/>
        <v>0</v>
      </c>
      <c r="R71" s="27">
        <f t="shared" si="19"/>
        <v>436.2</v>
      </c>
      <c r="S71" s="28">
        <f t="shared" si="20"/>
        <v>581.59999999999991</v>
      </c>
    </row>
    <row r="72" spans="2:19" hidden="1">
      <c r="B72" s="664" t="s">
        <v>607</v>
      </c>
      <c r="C72" s="637"/>
      <c r="D72" s="637"/>
      <c r="E72" s="637"/>
      <c r="F72" s="637"/>
      <c r="G72" s="638"/>
      <c r="H72" s="626">
        <f t="shared" si="13"/>
        <v>0</v>
      </c>
      <c r="I72" s="631">
        <f t="shared" si="14"/>
        <v>13.780000000000001</v>
      </c>
      <c r="J72" s="627"/>
      <c r="K72" s="665"/>
      <c r="L72" s="666">
        <v>13.780000000000001</v>
      </c>
      <c r="M72" s="111">
        <v>20</v>
      </c>
      <c r="N72" s="25">
        <f t="shared" si="15"/>
        <v>0</v>
      </c>
      <c r="O72" s="25">
        <f t="shared" si="16"/>
        <v>0</v>
      </c>
      <c r="P72" s="25">
        <f t="shared" si="17"/>
        <v>0</v>
      </c>
      <c r="Q72" s="26">
        <f t="shared" si="18"/>
        <v>0</v>
      </c>
      <c r="R72" s="27">
        <f t="shared" si="19"/>
        <v>0</v>
      </c>
      <c r="S72" s="28">
        <f t="shared" si="20"/>
        <v>0</v>
      </c>
    </row>
    <row r="73" spans="2:19">
      <c r="B73" s="664" t="s">
        <v>608</v>
      </c>
      <c r="C73" s="637"/>
      <c r="D73" s="637"/>
      <c r="E73" s="637">
        <v>20</v>
      </c>
      <c r="F73" s="637"/>
      <c r="G73" s="638"/>
      <c r="H73" s="626">
        <f t="shared" si="13"/>
        <v>20</v>
      </c>
      <c r="I73" s="631">
        <v>8.68</v>
      </c>
      <c r="J73" s="627"/>
      <c r="K73" s="665"/>
      <c r="L73" s="666">
        <v>11.554</v>
      </c>
      <c r="M73" s="111">
        <v>20</v>
      </c>
      <c r="N73" s="25">
        <f t="shared" si="15"/>
        <v>0</v>
      </c>
      <c r="O73" s="25">
        <f t="shared" si="16"/>
        <v>0</v>
      </c>
      <c r="P73" s="25">
        <f t="shared" si="17"/>
        <v>173.6</v>
      </c>
      <c r="Q73" s="26">
        <f t="shared" si="18"/>
        <v>0</v>
      </c>
      <c r="R73" s="27">
        <f t="shared" si="19"/>
        <v>0</v>
      </c>
      <c r="S73" s="28">
        <f t="shared" si="20"/>
        <v>173.6</v>
      </c>
    </row>
    <row r="74" spans="2:19" hidden="1">
      <c r="B74" s="664" t="s">
        <v>609</v>
      </c>
      <c r="C74" s="637"/>
      <c r="D74" s="637"/>
      <c r="E74" s="637"/>
      <c r="F74" s="637"/>
      <c r="G74" s="638"/>
      <c r="H74" s="626">
        <f t="shared" si="13"/>
        <v>0</v>
      </c>
      <c r="I74" s="631">
        <f t="shared" si="14"/>
        <v>12.828749999999999</v>
      </c>
      <c r="J74" s="627"/>
      <c r="K74" s="665"/>
      <c r="L74" s="666">
        <v>12.828749999999999</v>
      </c>
      <c r="M74" s="111">
        <v>24</v>
      </c>
      <c r="N74" s="25">
        <f t="shared" si="15"/>
        <v>0</v>
      </c>
      <c r="O74" s="25">
        <f t="shared" si="16"/>
        <v>0</v>
      </c>
      <c r="P74" s="25">
        <f t="shared" si="17"/>
        <v>0</v>
      </c>
      <c r="Q74" s="26">
        <f t="shared" si="18"/>
        <v>0</v>
      </c>
      <c r="R74" s="27">
        <f t="shared" si="19"/>
        <v>0</v>
      </c>
      <c r="S74" s="28">
        <f t="shared" si="20"/>
        <v>0</v>
      </c>
    </row>
    <row r="75" spans="2:19">
      <c r="B75" s="664" t="s">
        <v>1135</v>
      </c>
      <c r="C75" s="637"/>
      <c r="D75" s="637"/>
      <c r="E75" s="637"/>
      <c r="F75" s="637">
        <v>144</v>
      </c>
      <c r="G75" s="638"/>
      <c r="H75" s="626">
        <f t="shared" si="13"/>
        <v>144</v>
      </c>
      <c r="I75" s="631">
        <v>28.96</v>
      </c>
      <c r="J75" s="627"/>
      <c r="K75" s="665"/>
      <c r="L75" s="666">
        <v>34.008333333333333</v>
      </c>
      <c r="M75" s="111">
        <v>24</v>
      </c>
      <c r="N75" s="25">
        <f t="shared" si="15"/>
        <v>0</v>
      </c>
      <c r="O75" s="25">
        <f t="shared" si="16"/>
        <v>0</v>
      </c>
      <c r="P75" s="25">
        <f t="shared" si="17"/>
        <v>0</v>
      </c>
      <c r="Q75" s="26">
        <f t="shared" si="18"/>
        <v>4170.24</v>
      </c>
      <c r="R75" s="27">
        <f t="shared" si="19"/>
        <v>0</v>
      </c>
      <c r="S75" s="28">
        <f t="shared" si="20"/>
        <v>4170.24</v>
      </c>
    </row>
    <row r="76" spans="2:19" hidden="1">
      <c r="B76" s="664" t="s">
        <v>1136</v>
      </c>
      <c r="C76" s="637"/>
      <c r="D76" s="637"/>
      <c r="E76" s="637"/>
      <c r="F76" s="637"/>
      <c r="G76" s="638"/>
      <c r="H76" s="626">
        <f t="shared" si="13"/>
        <v>0</v>
      </c>
      <c r="I76" s="631">
        <f t="shared" si="14"/>
        <v>157.41</v>
      </c>
      <c r="J76" s="627"/>
      <c r="K76" s="665"/>
      <c r="L76" s="666">
        <v>157.41</v>
      </c>
      <c r="M76" s="111">
        <v>6</v>
      </c>
      <c r="N76" s="25">
        <f t="shared" si="15"/>
        <v>0</v>
      </c>
      <c r="O76" s="25">
        <f t="shared" si="16"/>
        <v>0</v>
      </c>
      <c r="P76" s="25">
        <f t="shared" si="17"/>
        <v>0</v>
      </c>
      <c r="Q76" s="26">
        <f t="shared" si="18"/>
        <v>0</v>
      </c>
      <c r="R76" s="27">
        <f t="shared" si="19"/>
        <v>0</v>
      </c>
      <c r="S76" s="28">
        <f t="shared" si="20"/>
        <v>0</v>
      </c>
    </row>
    <row r="77" spans="2:19">
      <c r="B77" s="664" t="s">
        <v>1137</v>
      </c>
      <c r="C77" s="637">
        <v>12</v>
      </c>
      <c r="D77" s="637"/>
      <c r="E77" s="637">
        <v>12</v>
      </c>
      <c r="F77" s="637">
        <v>72</v>
      </c>
      <c r="G77" s="638"/>
      <c r="H77" s="626">
        <f t="shared" si="13"/>
        <v>96</v>
      </c>
      <c r="I77" s="631">
        <v>81.19</v>
      </c>
      <c r="J77" s="627"/>
      <c r="K77" s="665"/>
      <c r="L77" s="666">
        <v>119.07333333333334</v>
      </c>
      <c r="M77" s="111">
        <v>12</v>
      </c>
      <c r="N77" s="25">
        <f t="shared" si="15"/>
        <v>974.28</v>
      </c>
      <c r="O77" s="25">
        <f t="shared" si="16"/>
        <v>0</v>
      </c>
      <c r="P77" s="25">
        <f t="shared" si="17"/>
        <v>974.28</v>
      </c>
      <c r="Q77" s="26">
        <f t="shared" si="18"/>
        <v>5845.68</v>
      </c>
      <c r="R77" s="27">
        <f t="shared" si="19"/>
        <v>0</v>
      </c>
      <c r="S77" s="28">
        <f t="shared" si="20"/>
        <v>7794.24</v>
      </c>
    </row>
    <row r="78" spans="2:19">
      <c r="B78" s="664" t="s">
        <v>1138</v>
      </c>
      <c r="C78" s="637"/>
      <c r="D78" s="637"/>
      <c r="E78" s="637"/>
      <c r="F78" s="637">
        <v>144</v>
      </c>
      <c r="G78" s="638"/>
      <c r="H78" s="626">
        <f t="shared" si="13"/>
        <v>144</v>
      </c>
      <c r="I78" s="631">
        <v>23.13</v>
      </c>
      <c r="J78" s="627"/>
      <c r="K78" s="665"/>
      <c r="L78" s="666">
        <v>33.56666666666667</v>
      </c>
      <c r="M78" s="111">
        <v>12</v>
      </c>
      <c r="N78" s="25">
        <f t="shared" si="15"/>
        <v>0</v>
      </c>
      <c r="O78" s="25">
        <f t="shared" si="16"/>
        <v>0</v>
      </c>
      <c r="P78" s="25">
        <f t="shared" si="17"/>
        <v>0</v>
      </c>
      <c r="Q78" s="26">
        <f t="shared" si="18"/>
        <v>3330.72</v>
      </c>
      <c r="R78" s="27">
        <f t="shared" si="19"/>
        <v>0</v>
      </c>
      <c r="S78" s="28">
        <f t="shared" si="20"/>
        <v>3330.72</v>
      </c>
    </row>
    <row r="79" spans="2:19">
      <c r="B79" s="664" t="s">
        <v>1139</v>
      </c>
      <c r="C79" s="637">
        <v>96</v>
      </c>
      <c r="D79" s="637"/>
      <c r="E79" s="637">
        <v>48</v>
      </c>
      <c r="F79" s="637"/>
      <c r="G79" s="638">
        <v>240</v>
      </c>
      <c r="H79" s="626">
        <f t="shared" si="13"/>
        <v>384</v>
      </c>
      <c r="I79" s="631">
        <v>5.88</v>
      </c>
      <c r="J79" s="627"/>
      <c r="K79" s="665"/>
      <c r="L79" s="666">
        <v>10.025833333333333</v>
      </c>
      <c r="M79" s="111">
        <v>24</v>
      </c>
      <c r="N79" s="25">
        <f t="shared" si="15"/>
        <v>564.48</v>
      </c>
      <c r="O79" s="25">
        <f t="shared" si="16"/>
        <v>0</v>
      </c>
      <c r="P79" s="25">
        <f t="shared" si="17"/>
        <v>282.24</v>
      </c>
      <c r="Q79" s="26">
        <f t="shared" si="18"/>
        <v>0</v>
      </c>
      <c r="R79" s="27">
        <f t="shared" si="19"/>
        <v>1411.2</v>
      </c>
      <c r="S79" s="28">
        <f t="shared" si="20"/>
        <v>2257.92</v>
      </c>
    </row>
    <row r="80" spans="2:19">
      <c r="B80" s="664" t="s">
        <v>1140</v>
      </c>
      <c r="C80" s="637"/>
      <c r="D80" s="637"/>
      <c r="E80" s="637"/>
      <c r="F80" s="637">
        <v>72</v>
      </c>
      <c r="G80" s="638"/>
      <c r="H80" s="626">
        <f t="shared" si="13"/>
        <v>72</v>
      </c>
      <c r="I80" s="631">
        <v>8.8699999999999992</v>
      </c>
      <c r="J80" s="627"/>
      <c r="K80" s="665"/>
      <c r="L80" s="666">
        <v>17.931666666666668</v>
      </c>
      <c r="M80" s="111">
        <v>24</v>
      </c>
      <c r="N80" s="25">
        <f t="shared" si="15"/>
        <v>0</v>
      </c>
      <c r="O80" s="25">
        <f t="shared" si="16"/>
        <v>0</v>
      </c>
      <c r="P80" s="25">
        <f t="shared" si="17"/>
        <v>0</v>
      </c>
      <c r="Q80" s="26">
        <f t="shared" si="18"/>
        <v>638.64</v>
      </c>
      <c r="R80" s="27">
        <f t="shared" si="19"/>
        <v>0</v>
      </c>
      <c r="S80" s="28">
        <f t="shared" si="20"/>
        <v>638.64</v>
      </c>
    </row>
    <row r="81" spans="2:19" hidden="1">
      <c r="B81" s="664" t="s">
        <v>1141</v>
      </c>
      <c r="C81" s="637"/>
      <c r="D81" s="637"/>
      <c r="E81" s="637"/>
      <c r="F81" s="637"/>
      <c r="G81" s="638"/>
      <c r="H81" s="626">
        <f t="shared" si="13"/>
        <v>0</v>
      </c>
      <c r="I81" s="631">
        <f t="shared" si="14"/>
        <v>20.224999999999998</v>
      </c>
      <c r="J81" s="627"/>
      <c r="K81" s="665"/>
      <c r="L81" s="666">
        <v>20.224999999999998</v>
      </c>
      <c r="M81" s="111">
        <v>12</v>
      </c>
      <c r="N81" s="25">
        <f t="shared" si="15"/>
        <v>0</v>
      </c>
      <c r="O81" s="25">
        <f t="shared" si="16"/>
        <v>0</v>
      </c>
      <c r="P81" s="25">
        <f t="shared" si="17"/>
        <v>0</v>
      </c>
      <c r="Q81" s="26">
        <f t="shared" si="18"/>
        <v>0</v>
      </c>
      <c r="R81" s="27">
        <f t="shared" si="19"/>
        <v>0</v>
      </c>
      <c r="S81" s="28">
        <f t="shared" si="20"/>
        <v>0</v>
      </c>
    </row>
    <row r="82" spans="2:19" hidden="1">
      <c r="B82" s="664" t="s">
        <v>1142</v>
      </c>
      <c r="C82" s="637"/>
      <c r="D82" s="637"/>
      <c r="E82" s="637"/>
      <c r="F82" s="637"/>
      <c r="G82" s="638"/>
      <c r="H82" s="626">
        <f t="shared" si="13"/>
        <v>0</v>
      </c>
      <c r="I82" s="631">
        <f t="shared" si="14"/>
        <v>26.217500000000001</v>
      </c>
      <c r="J82" s="627"/>
      <c r="K82" s="665"/>
      <c r="L82" s="666">
        <v>26.217500000000001</v>
      </c>
      <c r="M82" s="111">
        <v>12</v>
      </c>
      <c r="N82" s="25">
        <f t="shared" si="15"/>
        <v>0</v>
      </c>
      <c r="O82" s="25">
        <f t="shared" si="16"/>
        <v>0</v>
      </c>
      <c r="P82" s="25">
        <f t="shared" si="17"/>
        <v>0</v>
      </c>
      <c r="Q82" s="26">
        <f t="shared" si="18"/>
        <v>0</v>
      </c>
      <c r="R82" s="27">
        <f t="shared" si="19"/>
        <v>0</v>
      </c>
      <c r="S82" s="28">
        <f t="shared" si="20"/>
        <v>0</v>
      </c>
    </row>
    <row r="83" spans="2:19" hidden="1">
      <c r="B83" s="664" t="s">
        <v>1143</v>
      </c>
      <c r="C83" s="637"/>
      <c r="D83" s="637"/>
      <c r="E83" s="637"/>
      <c r="F83" s="637"/>
      <c r="G83" s="638"/>
      <c r="H83" s="626">
        <f t="shared" si="13"/>
        <v>0</v>
      </c>
      <c r="I83" s="631">
        <f t="shared" si="14"/>
        <v>14.981250000000001</v>
      </c>
      <c r="J83" s="627"/>
      <c r="K83" s="665"/>
      <c r="L83" s="666">
        <v>14.981250000000001</v>
      </c>
      <c r="M83" s="111">
        <v>24</v>
      </c>
      <c r="N83" s="25">
        <f t="shared" si="15"/>
        <v>0</v>
      </c>
      <c r="O83" s="25">
        <f t="shared" si="16"/>
        <v>0</v>
      </c>
      <c r="P83" s="25">
        <f t="shared" si="17"/>
        <v>0</v>
      </c>
      <c r="Q83" s="26">
        <f t="shared" si="18"/>
        <v>0</v>
      </c>
      <c r="R83" s="27">
        <f t="shared" si="19"/>
        <v>0</v>
      </c>
      <c r="S83" s="28">
        <f t="shared" si="20"/>
        <v>0</v>
      </c>
    </row>
    <row r="84" spans="2:19" hidden="1">
      <c r="B84" s="664" t="s">
        <v>1144</v>
      </c>
      <c r="C84" s="637"/>
      <c r="D84" s="637"/>
      <c r="E84" s="637"/>
      <c r="F84" s="637"/>
      <c r="G84" s="638"/>
      <c r="H84" s="626">
        <f t="shared" si="13"/>
        <v>0</v>
      </c>
      <c r="I84" s="631">
        <f t="shared" si="14"/>
        <v>28.619999999999997</v>
      </c>
      <c r="J84" s="627"/>
      <c r="K84" s="665"/>
      <c r="L84" s="666">
        <v>28.619999999999997</v>
      </c>
      <c r="M84" s="111">
        <v>9</v>
      </c>
      <c r="N84" s="25">
        <f t="shared" si="15"/>
        <v>0</v>
      </c>
      <c r="O84" s="25">
        <f t="shared" si="16"/>
        <v>0</v>
      </c>
      <c r="P84" s="25">
        <f t="shared" si="17"/>
        <v>0</v>
      </c>
      <c r="Q84" s="26">
        <f t="shared" si="18"/>
        <v>0</v>
      </c>
      <c r="R84" s="27">
        <f t="shared" si="19"/>
        <v>0</v>
      </c>
      <c r="S84" s="28">
        <f t="shared" si="20"/>
        <v>0</v>
      </c>
    </row>
    <row r="85" spans="2:19" hidden="1">
      <c r="B85" s="664" t="s">
        <v>1145</v>
      </c>
      <c r="C85" s="637"/>
      <c r="D85" s="637"/>
      <c r="E85" s="637"/>
      <c r="F85" s="637"/>
      <c r="G85" s="638"/>
      <c r="H85" s="626">
        <f t="shared" si="13"/>
        <v>0</v>
      </c>
      <c r="I85" s="631">
        <f t="shared" si="14"/>
        <v>17.977499999999999</v>
      </c>
      <c r="J85" s="627"/>
      <c r="K85" s="665"/>
      <c r="L85" s="666">
        <v>17.977499999999999</v>
      </c>
      <c r="M85" s="111">
        <v>12</v>
      </c>
      <c r="N85" s="25">
        <f t="shared" si="15"/>
        <v>0</v>
      </c>
      <c r="O85" s="25">
        <f t="shared" si="16"/>
        <v>0</v>
      </c>
      <c r="P85" s="25">
        <f t="shared" si="17"/>
        <v>0</v>
      </c>
      <c r="Q85" s="26">
        <f t="shared" si="18"/>
        <v>0</v>
      </c>
      <c r="R85" s="27">
        <f t="shared" si="19"/>
        <v>0</v>
      </c>
      <c r="S85" s="28">
        <f t="shared" si="20"/>
        <v>0</v>
      </c>
    </row>
    <row r="86" spans="2:19">
      <c r="B86" s="664" t="s">
        <v>1146</v>
      </c>
      <c r="C86" s="637"/>
      <c r="D86" s="637"/>
      <c r="E86" s="637"/>
      <c r="F86" s="637">
        <v>12</v>
      </c>
      <c r="G86" s="638"/>
      <c r="H86" s="626">
        <f t="shared" si="13"/>
        <v>12</v>
      </c>
      <c r="I86" s="631">
        <v>12.46</v>
      </c>
      <c r="J86" s="627"/>
      <c r="K86" s="665"/>
      <c r="L86" s="666">
        <v>34.18555555555556</v>
      </c>
      <c r="M86" s="111">
        <v>9</v>
      </c>
      <c r="N86" s="25">
        <f t="shared" si="15"/>
        <v>0</v>
      </c>
      <c r="O86" s="25">
        <f t="shared" si="16"/>
        <v>0</v>
      </c>
      <c r="P86" s="25">
        <f t="shared" si="17"/>
        <v>0</v>
      </c>
      <c r="Q86" s="26">
        <f t="shared" si="18"/>
        <v>149.52000000000001</v>
      </c>
      <c r="R86" s="27">
        <f t="shared" si="19"/>
        <v>0</v>
      </c>
      <c r="S86" s="28">
        <f t="shared" si="20"/>
        <v>149.52000000000001</v>
      </c>
    </row>
    <row r="87" spans="2:19" hidden="1">
      <c r="B87" s="664" t="s">
        <v>1147</v>
      </c>
      <c r="C87" s="637"/>
      <c r="D87" s="637"/>
      <c r="E87" s="637"/>
      <c r="F87" s="637"/>
      <c r="G87" s="638"/>
      <c r="H87" s="626">
        <f t="shared" si="13"/>
        <v>0</v>
      </c>
      <c r="I87" s="631">
        <f t="shared" si="14"/>
        <v>19.786666666666665</v>
      </c>
      <c r="J87" s="627"/>
      <c r="K87" s="665"/>
      <c r="L87" s="666">
        <v>19.786666666666665</v>
      </c>
      <c r="M87" s="111">
        <v>12</v>
      </c>
      <c r="N87" s="25">
        <f t="shared" si="15"/>
        <v>0</v>
      </c>
      <c r="O87" s="25">
        <f t="shared" si="16"/>
        <v>0</v>
      </c>
      <c r="P87" s="25">
        <f t="shared" si="17"/>
        <v>0</v>
      </c>
      <c r="Q87" s="26">
        <f t="shared" si="18"/>
        <v>0</v>
      </c>
      <c r="R87" s="27">
        <f t="shared" si="19"/>
        <v>0</v>
      </c>
      <c r="S87" s="28">
        <f t="shared" si="20"/>
        <v>0</v>
      </c>
    </row>
    <row r="88" spans="2:19">
      <c r="B88" s="664" t="s">
        <v>1148</v>
      </c>
      <c r="C88" s="637">
        <v>36</v>
      </c>
      <c r="D88" s="637">
        <v>60</v>
      </c>
      <c r="E88" s="637">
        <v>48</v>
      </c>
      <c r="F88" s="637">
        <v>120</v>
      </c>
      <c r="G88" s="638">
        <v>180</v>
      </c>
      <c r="H88" s="626">
        <f t="shared" si="13"/>
        <v>444</v>
      </c>
      <c r="I88" s="631">
        <v>4.88</v>
      </c>
      <c r="J88" s="627"/>
      <c r="K88" s="665"/>
      <c r="L88" s="666">
        <v>7.42</v>
      </c>
      <c r="M88" s="111">
        <v>36</v>
      </c>
      <c r="N88" s="25">
        <f t="shared" si="15"/>
        <v>175.68</v>
      </c>
      <c r="O88" s="25">
        <f t="shared" si="16"/>
        <v>292.8</v>
      </c>
      <c r="P88" s="25">
        <f t="shared" si="17"/>
        <v>234.24</v>
      </c>
      <c r="Q88" s="26">
        <f t="shared" si="18"/>
        <v>585.6</v>
      </c>
      <c r="R88" s="27">
        <f t="shared" si="19"/>
        <v>878.4</v>
      </c>
      <c r="S88" s="28">
        <f t="shared" si="20"/>
        <v>2166.7200000000003</v>
      </c>
    </row>
    <row r="89" spans="2:19" hidden="1">
      <c r="B89" s="664" t="s">
        <v>1148</v>
      </c>
      <c r="C89" s="637"/>
      <c r="D89" s="637"/>
      <c r="E89" s="637"/>
      <c r="F89" s="637"/>
      <c r="G89" s="638"/>
      <c r="H89" s="626">
        <f t="shared" si="13"/>
        <v>0</v>
      </c>
      <c r="I89" s="631">
        <f t="shared" si="14"/>
        <v>8.1266666666666669</v>
      </c>
      <c r="J89" s="627"/>
      <c r="K89" s="665"/>
      <c r="L89" s="666">
        <v>8.1266666666666669</v>
      </c>
      <c r="M89" s="111">
        <v>12</v>
      </c>
      <c r="N89" s="25">
        <f t="shared" si="15"/>
        <v>0</v>
      </c>
      <c r="O89" s="25">
        <f t="shared" si="16"/>
        <v>0</v>
      </c>
      <c r="P89" s="25">
        <f t="shared" si="17"/>
        <v>0</v>
      </c>
      <c r="Q89" s="26">
        <f t="shared" si="18"/>
        <v>0</v>
      </c>
      <c r="R89" s="27">
        <f t="shared" si="19"/>
        <v>0</v>
      </c>
      <c r="S89" s="28">
        <f t="shared" si="20"/>
        <v>0</v>
      </c>
    </row>
    <row r="90" spans="2:19" hidden="1">
      <c r="B90" s="664" t="s">
        <v>1149</v>
      </c>
      <c r="C90" s="637"/>
      <c r="D90" s="637"/>
      <c r="E90" s="637"/>
      <c r="F90" s="637"/>
      <c r="G90" s="638"/>
      <c r="H90" s="626">
        <f t="shared" si="13"/>
        <v>0</v>
      </c>
      <c r="I90" s="631">
        <f t="shared" si="14"/>
        <v>22.724583333333332</v>
      </c>
      <c r="J90" s="627"/>
      <c r="K90" s="665"/>
      <c r="L90" s="666">
        <v>22.724583333333332</v>
      </c>
      <c r="M90" s="111">
        <v>24</v>
      </c>
      <c r="N90" s="25">
        <f t="shared" si="15"/>
        <v>0</v>
      </c>
      <c r="O90" s="25">
        <f t="shared" si="16"/>
        <v>0</v>
      </c>
      <c r="P90" s="25">
        <f t="shared" si="17"/>
        <v>0</v>
      </c>
      <c r="Q90" s="26">
        <f t="shared" si="18"/>
        <v>0</v>
      </c>
      <c r="R90" s="27">
        <f t="shared" si="19"/>
        <v>0</v>
      </c>
      <c r="S90" s="28">
        <f t="shared" si="20"/>
        <v>0</v>
      </c>
    </row>
    <row r="91" spans="2:19">
      <c r="B91" s="664" t="s">
        <v>1150</v>
      </c>
      <c r="C91" s="637">
        <v>96</v>
      </c>
      <c r="D91" s="637"/>
      <c r="E91" s="637"/>
      <c r="F91" s="637">
        <v>288</v>
      </c>
      <c r="G91" s="638">
        <v>288</v>
      </c>
      <c r="H91" s="626">
        <f t="shared" si="13"/>
        <v>672</v>
      </c>
      <c r="I91" s="631">
        <v>4.97</v>
      </c>
      <c r="J91" s="627"/>
      <c r="K91" s="665"/>
      <c r="L91" s="666">
        <v>7.42</v>
      </c>
      <c r="M91" s="111">
        <v>36</v>
      </c>
      <c r="N91" s="25">
        <f t="shared" si="15"/>
        <v>477.12</v>
      </c>
      <c r="O91" s="25">
        <f t="shared" si="16"/>
        <v>0</v>
      </c>
      <c r="P91" s="25">
        <f t="shared" si="17"/>
        <v>0</v>
      </c>
      <c r="Q91" s="26">
        <f t="shared" si="18"/>
        <v>1431.36</v>
      </c>
      <c r="R91" s="27">
        <f t="shared" si="19"/>
        <v>1431.36</v>
      </c>
      <c r="S91" s="28">
        <f t="shared" si="20"/>
        <v>3339.84</v>
      </c>
    </row>
    <row r="92" spans="2:19" hidden="1">
      <c r="B92" s="664" t="s">
        <v>1150</v>
      </c>
      <c r="C92" s="637"/>
      <c r="D92" s="637"/>
      <c r="E92" s="637"/>
      <c r="F92" s="637"/>
      <c r="G92" s="638"/>
      <c r="H92" s="626">
        <f t="shared" si="13"/>
        <v>0</v>
      </c>
      <c r="I92" s="631">
        <f t="shared" si="14"/>
        <v>8.1266666666666669</v>
      </c>
      <c r="J92" s="627"/>
      <c r="K92" s="665"/>
      <c r="L92" s="666">
        <v>8.1266666666666669</v>
      </c>
      <c r="M92" s="111">
        <v>12</v>
      </c>
      <c r="N92" s="25">
        <f t="shared" si="15"/>
        <v>0</v>
      </c>
      <c r="O92" s="25">
        <f t="shared" si="16"/>
        <v>0</v>
      </c>
      <c r="P92" s="25">
        <f t="shared" si="17"/>
        <v>0</v>
      </c>
      <c r="Q92" s="26">
        <f t="shared" si="18"/>
        <v>0</v>
      </c>
      <c r="R92" s="27">
        <f t="shared" si="19"/>
        <v>0</v>
      </c>
      <c r="S92" s="28">
        <f t="shared" si="20"/>
        <v>0</v>
      </c>
    </row>
    <row r="93" spans="2:19" hidden="1">
      <c r="B93" s="664" t="s">
        <v>1151</v>
      </c>
      <c r="C93" s="637"/>
      <c r="D93" s="637"/>
      <c r="E93" s="637"/>
      <c r="F93" s="637"/>
      <c r="G93" s="638"/>
      <c r="H93" s="626">
        <f t="shared" si="13"/>
        <v>0</v>
      </c>
      <c r="I93" s="631">
        <f t="shared" si="14"/>
        <v>21.588333333333335</v>
      </c>
      <c r="J93" s="627"/>
      <c r="K93" s="665"/>
      <c r="L93" s="666">
        <v>21.588333333333335</v>
      </c>
      <c r="M93" s="111">
        <v>24</v>
      </c>
      <c r="N93" s="25">
        <f t="shared" si="15"/>
        <v>0</v>
      </c>
      <c r="O93" s="25">
        <f t="shared" si="16"/>
        <v>0</v>
      </c>
      <c r="P93" s="25">
        <f t="shared" si="17"/>
        <v>0</v>
      </c>
      <c r="Q93" s="26">
        <f t="shared" si="18"/>
        <v>0</v>
      </c>
      <c r="R93" s="27">
        <f t="shared" si="19"/>
        <v>0</v>
      </c>
      <c r="S93" s="28">
        <f t="shared" si="20"/>
        <v>0</v>
      </c>
    </row>
    <row r="94" spans="2:19" hidden="1">
      <c r="B94" s="664" t="s">
        <v>1152</v>
      </c>
      <c r="C94" s="637"/>
      <c r="D94" s="637"/>
      <c r="E94" s="637"/>
      <c r="F94" s="637"/>
      <c r="G94" s="638"/>
      <c r="H94" s="626">
        <f t="shared" si="13"/>
        <v>0</v>
      </c>
      <c r="I94" s="631">
        <f t="shared" si="14"/>
        <v>9.8183333333333334</v>
      </c>
      <c r="J94" s="627"/>
      <c r="K94" s="665"/>
      <c r="L94" s="666">
        <v>9.8183333333333334</v>
      </c>
      <c r="M94" s="111">
        <v>12</v>
      </c>
      <c r="N94" s="25">
        <f t="shared" si="15"/>
        <v>0</v>
      </c>
      <c r="O94" s="25">
        <f t="shared" si="16"/>
        <v>0</v>
      </c>
      <c r="P94" s="25">
        <f t="shared" si="17"/>
        <v>0</v>
      </c>
      <c r="Q94" s="26">
        <f t="shared" si="18"/>
        <v>0</v>
      </c>
      <c r="R94" s="27">
        <f t="shared" si="19"/>
        <v>0</v>
      </c>
      <c r="S94" s="28">
        <f t="shared" si="20"/>
        <v>0</v>
      </c>
    </row>
    <row r="95" spans="2:19" hidden="1">
      <c r="B95" s="664" t="s">
        <v>610</v>
      </c>
      <c r="C95" s="637"/>
      <c r="D95" s="637"/>
      <c r="E95" s="637"/>
      <c r="F95" s="637"/>
      <c r="G95" s="638"/>
      <c r="H95" s="626">
        <f t="shared" si="13"/>
        <v>0</v>
      </c>
      <c r="I95" s="631">
        <f t="shared" si="14"/>
        <v>21.111666666666668</v>
      </c>
      <c r="J95" s="627"/>
      <c r="K95" s="665"/>
      <c r="L95" s="666">
        <v>21.111666666666668</v>
      </c>
      <c r="M95" s="111">
        <v>12</v>
      </c>
      <c r="N95" s="25">
        <f t="shared" si="15"/>
        <v>0</v>
      </c>
      <c r="O95" s="25">
        <f t="shared" si="16"/>
        <v>0</v>
      </c>
      <c r="P95" s="25">
        <f t="shared" si="17"/>
        <v>0</v>
      </c>
      <c r="Q95" s="26">
        <f t="shared" si="18"/>
        <v>0</v>
      </c>
      <c r="R95" s="27">
        <f t="shared" si="19"/>
        <v>0</v>
      </c>
      <c r="S95" s="28">
        <f t="shared" si="20"/>
        <v>0</v>
      </c>
    </row>
    <row r="96" spans="2:19" hidden="1">
      <c r="B96" s="664" t="s">
        <v>1153</v>
      </c>
      <c r="C96" s="637"/>
      <c r="D96" s="637"/>
      <c r="E96" s="637"/>
      <c r="F96" s="637"/>
      <c r="G96" s="638"/>
      <c r="H96" s="626">
        <f t="shared" si="13"/>
        <v>0</v>
      </c>
      <c r="I96" s="631">
        <f t="shared" si="14"/>
        <v>15.9</v>
      </c>
      <c r="J96" s="627"/>
      <c r="K96" s="665"/>
      <c r="L96" s="666">
        <v>15.9</v>
      </c>
      <c r="M96" s="111">
        <v>12</v>
      </c>
      <c r="N96" s="25">
        <f t="shared" si="15"/>
        <v>0</v>
      </c>
      <c r="O96" s="25">
        <f t="shared" si="16"/>
        <v>0</v>
      </c>
      <c r="P96" s="25">
        <f t="shared" si="17"/>
        <v>0</v>
      </c>
      <c r="Q96" s="26">
        <f t="shared" si="18"/>
        <v>0</v>
      </c>
      <c r="R96" s="27">
        <f t="shared" si="19"/>
        <v>0</v>
      </c>
      <c r="S96" s="28">
        <f t="shared" si="20"/>
        <v>0</v>
      </c>
    </row>
    <row r="97" spans="2:19" hidden="1">
      <c r="B97" s="664" t="s">
        <v>611</v>
      </c>
      <c r="C97" s="637"/>
      <c r="D97" s="637"/>
      <c r="E97" s="637"/>
      <c r="F97" s="637"/>
      <c r="G97" s="638"/>
      <c r="H97" s="626">
        <f t="shared" si="13"/>
        <v>0</v>
      </c>
      <c r="I97" s="631">
        <f t="shared" si="14"/>
        <v>8.1708333333333325</v>
      </c>
      <c r="J97" s="627"/>
      <c r="K97" s="665"/>
      <c r="L97" s="666">
        <v>8.1708333333333325</v>
      </c>
      <c r="M97" s="111">
        <v>24</v>
      </c>
      <c r="N97" s="25">
        <f t="shared" si="15"/>
        <v>0</v>
      </c>
      <c r="O97" s="25">
        <f t="shared" si="16"/>
        <v>0</v>
      </c>
      <c r="P97" s="25">
        <f t="shared" si="17"/>
        <v>0</v>
      </c>
      <c r="Q97" s="26">
        <f t="shared" si="18"/>
        <v>0</v>
      </c>
      <c r="R97" s="27">
        <f t="shared" si="19"/>
        <v>0</v>
      </c>
      <c r="S97" s="28">
        <f t="shared" si="20"/>
        <v>0</v>
      </c>
    </row>
    <row r="98" spans="2:19" hidden="1">
      <c r="B98" s="664" t="s">
        <v>1154</v>
      </c>
      <c r="C98" s="637"/>
      <c r="D98" s="637"/>
      <c r="E98" s="637"/>
      <c r="F98" s="637"/>
      <c r="G98" s="638"/>
      <c r="H98" s="626">
        <f t="shared" si="13"/>
        <v>0</v>
      </c>
      <c r="I98" s="631">
        <f t="shared" si="14"/>
        <v>10.9975</v>
      </c>
      <c r="J98" s="627"/>
      <c r="K98" s="665"/>
      <c r="L98" s="666">
        <v>10.9975</v>
      </c>
      <c r="M98" s="111">
        <v>24</v>
      </c>
      <c r="N98" s="25">
        <f t="shared" si="15"/>
        <v>0</v>
      </c>
      <c r="O98" s="25">
        <f t="shared" si="16"/>
        <v>0</v>
      </c>
      <c r="P98" s="25">
        <f t="shared" si="17"/>
        <v>0</v>
      </c>
      <c r="Q98" s="26">
        <f t="shared" si="18"/>
        <v>0</v>
      </c>
      <c r="R98" s="27">
        <f t="shared" si="19"/>
        <v>0</v>
      </c>
      <c r="S98" s="28">
        <f t="shared" si="20"/>
        <v>0</v>
      </c>
    </row>
    <row r="99" spans="2:19" hidden="1">
      <c r="B99" s="664" t="s">
        <v>1154</v>
      </c>
      <c r="C99" s="637"/>
      <c r="D99" s="637"/>
      <c r="E99" s="637"/>
      <c r="F99" s="637"/>
      <c r="G99" s="638"/>
      <c r="H99" s="626">
        <f t="shared" si="13"/>
        <v>0</v>
      </c>
      <c r="I99" s="631">
        <f t="shared" si="14"/>
        <v>11.483333333333334</v>
      </c>
      <c r="J99" s="627"/>
      <c r="K99" s="665"/>
      <c r="L99" s="666">
        <v>11.483333333333334</v>
      </c>
      <c r="M99" s="111">
        <v>12</v>
      </c>
      <c r="N99" s="25">
        <f t="shared" si="15"/>
        <v>0</v>
      </c>
      <c r="O99" s="25">
        <f t="shared" si="16"/>
        <v>0</v>
      </c>
      <c r="P99" s="25">
        <f t="shared" si="17"/>
        <v>0</v>
      </c>
      <c r="Q99" s="26">
        <f t="shared" si="18"/>
        <v>0</v>
      </c>
      <c r="R99" s="27">
        <f t="shared" si="19"/>
        <v>0</v>
      </c>
      <c r="S99" s="28">
        <f t="shared" si="20"/>
        <v>0</v>
      </c>
    </row>
    <row r="100" spans="2:19">
      <c r="B100" s="664" t="s">
        <v>1155</v>
      </c>
      <c r="C100" s="637"/>
      <c r="D100" s="637"/>
      <c r="E100" s="637">
        <v>96</v>
      </c>
      <c r="F100" s="637">
        <v>120</v>
      </c>
      <c r="G100" s="638"/>
      <c r="H100" s="626">
        <f t="shared" si="13"/>
        <v>216</v>
      </c>
      <c r="I100" s="631">
        <v>14.89</v>
      </c>
      <c r="J100" s="627"/>
      <c r="K100" s="665"/>
      <c r="L100" s="666">
        <v>24.998333333333335</v>
      </c>
      <c r="M100" s="111">
        <v>12</v>
      </c>
      <c r="N100" s="25">
        <f t="shared" si="15"/>
        <v>0</v>
      </c>
      <c r="O100" s="25">
        <f t="shared" si="16"/>
        <v>0</v>
      </c>
      <c r="P100" s="25">
        <f t="shared" si="17"/>
        <v>1429.44</v>
      </c>
      <c r="Q100" s="26">
        <f t="shared" si="18"/>
        <v>1786.8000000000002</v>
      </c>
      <c r="R100" s="27">
        <f t="shared" si="19"/>
        <v>0</v>
      </c>
      <c r="S100" s="28">
        <f t="shared" si="20"/>
        <v>3216.2400000000002</v>
      </c>
    </row>
    <row r="101" spans="2:19" hidden="1">
      <c r="B101" s="664" t="s">
        <v>1155</v>
      </c>
      <c r="C101" s="637"/>
      <c r="D101" s="637"/>
      <c r="E101" s="637"/>
      <c r="F101" s="637"/>
      <c r="G101" s="638"/>
      <c r="H101" s="626">
        <f t="shared" si="13"/>
        <v>0</v>
      </c>
      <c r="I101" s="631">
        <f t="shared" si="14"/>
        <v>26.146666666666665</v>
      </c>
      <c r="J101" s="627"/>
      <c r="K101" s="665"/>
      <c r="L101" s="666">
        <v>26.146666666666665</v>
      </c>
      <c r="M101" s="111">
        <v>6</v>
      </c>
      <c r="N101" s="25">
        <f t="shared" si="15"/>
        <v>0</v>
      </c>
      <c r="O101" s="25">
        <f t="shared" si="16"/>
        <v>0</v>
      </c>
      <c r="P101" s="25">
        <f t="shared" si="17"/>
        <v>0</v>
      </c>
      <c r="Q101" s="26">
        <f t="shared" si="18"/>
        <v>0</v>
      </c>
      <c r="R101" s="27">
        <f t="shared" si="19"/>
        <v>0</v>
      </c>
      <c r="S101" s="28">
        <f t="shared" si="20"/>
        <v>0</v>
      </c>
    </row>
    <row r="102" spans="2:19" hidden="1">
      <c r="B102" s="664" t="s">
        <v>1156</v>
      </c>
      <c r="C102" s="637"/>
      <c r="D102" s="637"/>
      <c r="E102" s="637"/>
      <c r="F102" s="637"/>
      <c r="G102" s="638"/>
      <c r="H102" s="626">
        <f t="shared" si="13"/>
        <v>0</v>
      </c>
      <c r="I102" s="631">
        <f t="shared" si="14"/>
        <v>12.984999999999999</v>
      </c>
      <c r="J102" s="627"/>
      <c r="K102" s="665"/>
      <c r="L102" s="666">
        <v>12.984999999999999</v>
      </c>
      <c r="M102" s="111">
        <v>12</v>
      </c>
      <c r="N102" s="25">
        <f t="shared" si="15"/>
        <v>0</v>
      </c>
      <c r="O102" s="25">
        <f t="shared" si="16"/>
        <v>0</v>
      </c>
      <c r="P102" s="25">
        <f t="shared" si="17"/>
        <v>0</v>
      </c>
      <c r="Q102" s="26">
        <f t="shared" si="18"/>
        <v>0</v>
      </c>
      <c r="R102" s="27">
        <f t="shared" si="19"/>
        <v>0</v>
      </c>
      <c r="S102" s="28">
        <f t="shared" si="20"/>
        <v>0</v>
      </c>
    </row>
    <row r="103" spans="2:19" hidden="1">
      <c r="B103" s="664" t="s">
        <v>1156</v>
      </c>
      <c r="C103" s="637"/>
      <c r="D103" s="637"/>
      <c r="E103" s="637"/>
      <c r="F103" s="637"/>
      <c r="G103" s="638"/>
      <c r="H103" s="626">
        <f t="shared" si="13"/>
        <v>0</v>
      </c>
      <c r="I103" s="631">
        <f t="shared" si="14"/>
        <v>12.366666666666667</v>
      </c>
      <c r="J103" s="627"/>
      <c r="K103" s="665"/>
      <c r="L103" s="666">
        <v>12.366666666666667</v>
      </c>
      <c r="M103" s="111">
        <v>24</v>
      </c>
      <c r="N103" s="25">
        <f t="shared" si="15"/>
        <v>0</v>
      </c>
      <c r="O103" s="25">
        <f t="shared" si="16"/>
        <v>0</v>
      </c>
      <c r="P103" s="25">
        <f t="shared" si="17"/>
        <v>0</v>
      </c>
      <c r="Q103" s="26">
        <f t="shared" si="18"/>
        <v>0</v>
      </c>
      <c r="R103" s="27">
        <f t="shared" si="19"/>
        <v>0</v>
      </c>
      <c r="S103" s="28">
        <f t="shared" si="20"/>
        <v>0</v>
      </c>
    </row>
    <row r="104" spans="2:19" hidden="1">
      <c r="B104" s="664" t="s">
        <v>1157</v>
      </c>
      <c r="C104" s="637"/>
      <c r="D104" s="637"/>
      <c r="E104" s="637"/>
      <c r="F104" s="637"/>
      <c r="G104" s="638"/>
      <c r="H104" s="626">
        <f t="shared" si="13"/>
        <v>0</v>
      </c>
      <c r="I104" s="631">
        <f t="shared" si="14"/>
        <v>27.175000000000001</v>
      </c>
      <c r="J104" s="627"/>
      <c r="K104" s="665"/>
      <c r="L104" s="666">
        <v>27.175000000000001</v>
      </c>
      <c r="M104" s="111">
        <v>6</v>
      </c>
      <c r="N104" s="25">
        <f t="shared" si="15"/>
        <v>0</v>
      </c>
      <c r="O104" s="25">
        <f t="shared" si="16"/>
        <v>0</v>
      </c>
      <c r="P104" s="25">
        <f t="shared" si="17"/>
        <v>0</v>
      </c>
      <c r="Q104" s="26">
        <f t="shared" si="18"/>
        <v>0</v>
      </c>
      <c r="R104" s="27">
        <f t="shared" si="19"/>
        <v>0</v>
      </c>
      <c r="S104" s="28">
        <f t="shared" si="20"/>
        <v>0</v>
      </c>
    </row>
    <row r="105" spans="2:19" hidden="1">
      <c r="B105" s="664" t="s">
        <v>1157</v>
      </c>
      <c r="C105" s="637"/>
      <c r="D105" s="637"/>
      <c r="E105" s="637"/>
      <c r="F105" s="637"/>
      <c r="G105" s="638"/>
      <c r="H105" s="626">
        <f t="shared" si="13"/>
        <v>0</v>
      </c>
      <c r="I105" s="631">
        <f t="shared" si="14"/>
        <v>25.881666666666664</v>
      </c>
      <c r="J105" s="627"/>
      <c r="K105" s="665"/>
      <c r="L105" s="666">
        <v>25.881666666666664</v>
      </c>
      <c r="M105" s="111">
        <v>12</v>
      </c>
      <c r="N105" s="25">
        <f t="shared" si="15"/>
        <v>0</v>
      </c>
      <c r="O105" s="25">
        <f t="shared" si="16"/>
        <v>0</v>
      </c>
      <c r="P105" s="25">
        <f t="shared" si="17"/>
        <v>0</v>
      </c>
      <c r="Q105" s="26">
        <f t="shared" si="18"/>
        <v>0</v>
      </c>
      <c r="R105" s="27">
        <f t="shared" si="19"/>
        <v>0</v>
      </c>
      <c r="S105" s="28">
        <f t="shared" si="20"/>
        <v>0</v>
      </c>
    </row>
    <row r="106" spans="2:19" hidden="1">
      <c r="B106" s="664" t="s">
        <v>1158</v>
      </c>
      <c r="C106" s="637"/>
      <c r="D106" s="637"/>
      <c r="E106" s="637"/>
      <c r="F106" s="637"/>
      <c r="G106" s="638"/>
      <c r="H106" s="626">
        <f t="shared" si="13"/>
        <v>0</v>
      </c>
      <c r="I106" s="631">
        <f t="shared" si="14"/>
        <v>17.790416666666669</v>
      </c>
      <c r="J106" s="627"/>
      <c r="K106" s="665"/>
      <c r="L106" s="666">
        <v>17.790416666666669</v>
      </c>
      <c r="M106" s="111">
        <v>24</v>
      </c>
      <c r="N106" s="25">
        <f t="shared" si="15"/>
        <v>0</v>
      </c>
      <c r="O106" s="25">
        <f t="shared" si="16"/>
        <v>0</v>
      </c>
      <c r="P106" s="25">
        <f t="shared" si="17"/>
        <v>0</v>
      </c>
      <c r="Q106" s="26">
        <f t="shared" si="18"/>
        <v>0</v>
      </c>
      <c r="R106" s="27">
        <f t="shared" si="19"/>
        <v>0</v>
      </c>
      <c r="S106" s="28">
        <f t="shared" si="20"/>
        <v>0</v>
      </c>
    </row>
    <row r="107" spans="2:19" hidden="1">
      <c r="B107" s="664" t="s">
        <v>1159</v>
      </c>
      <c r="C107" s="637"/>
      <c r="D107" s="637"/>
      <c r="E107" s="637"/>
      <c r="F107" s="637"/>
      <c r="G107" s="638"/>
      <c r="H107" s="626">
        <f t="shared" si="13"/>
        <v>0</v>
      </c>
      <c r="I107" s="631">
        <f t="shared" si="14"/>
        <v>35.828333333333333</v>
      </c>
      <c r="J107" s="627"/>
      <c r="K107" s="665"/>
      <c r="L107" s="666">
        <v>35.828333333333333</v>
      </c>
      <c r="M107" s="111">
        <v>12</v>
      </c>
      <c r="N107" s="25">
        <f t="shared" si="15"/>
        <v>0</v>
      </c>
      <c r="O107" s="25">
        <f t="shared" si="16"/>
        <v>0</v>
      </c>
      <c r="P107" s="25">
        <f t="shared" si="17"/>
        <v>0</v>
      </c>
      <c r="Q107" s="26">
        <f t="shared" si="18"/>
        <v>0</v>
      </c>
      <c r="R107" s="27">
        <f t="shared" si="19"/>
        <v>0</v>
      </c>
      <c r="S107" s="28">
        <f t="shared" si="20"/>
        <v>0</v>
      </c>
    </row>
    <row r="108" spans="2:19">
      <c r="B108" s="664" t="s">
        <v>1160</v>
      </c>
      <c r="C108" s="637"/>
      <c r="D108" s="637"/>
      <c r="E108" s="637"/>
      <c r="F108" s="637">
        <v>12</v>
      </c>
      <c r="G108" s="638"/>
      <c r="H108" s="626">
        <f t="shared" si="13"/>
        <v>12</v>
      </c>
      <c r="I108" s="631">
        <v>47.43</v>
      </c>
      <c r="J108" s="627"/>
      <c r="K108" s="665"/>
      <c r="L108" s="666">
        <v>55.65</v>
      </c>
      <c r="M108" s="111">
        <v>6</v>
      </c>
      <c r="N108" s="25">
        <f t="shared" si="15"/>
        <v>0</v>
      </c>
      <c r="O108" s="25">
        <f t="shared" si="16"/>
        <v>0</v>
      </c>
      <c r="P108" s="25">
        <f t="shared" si="17"/>
        <v>0</v>
      </c>
      <c r="Q108" s="26">
        <f t="shared" si="18"/>
        <v>569.16</v>
      </c>
      <c r="R108" s="27">
        <f t="shared" si="19"/>
        <v>0</v>
      </c>
      <c r="S108" s="28">
        <f t="shared" si="20"/>
        <v>569.16</v>
      </c>
    </row>
    <row r="109" spans="2:19" hidden="1">
      <c r="B109" s="664" t="s">
        <v>1160</v>
      </c>
      <c r="C109" s="637"/>
      <c r="D109" s="637"/>
      <c r="E109" s="637"/>
      <c r="F109" s="637"/>
      <c r="G109" s="638"/>
      <c r="H109" s="626">
        <f t="shared" si="13"/>
        <v>0</v>
      </c>
      <c r="I109" s="631">
        <f t="shared" si="14"/>
        <v>52.858333333333327</v>
      </c>
      <c r="J109" s="627"/>
      <c r="K109" s="665"/>
      <c r="L109" s="666">
        <v>52.858333333333327</v>
      </c>
      <c r="M109" s="111">
        <v>12</v>
      </c>
      <c r="N109" s="25">
        <f t="shared" si="15"/>
        <v>0</v>
      </c>
      <c r="O109" s="25">
        <f t="shared" si="16"/>
        <v>0</v>
      </c>
      <c r="P109" s="25">
        <f t="shared" si="17"/>
        <v>0</v>
      </c>
      <c r="Q109" s="26">
        <f t="shared" si="18"/>
        <v>0</v>
      </c>
      <c r="R109" s="27">
        <f t="shared" si="19"/>
        <v>0</v>
      </c>
      <c r="S109" s="28">
        <f t="shared" si="20"/>
        <v>0</v>
      </c>
    </row>
    <row r="110" spans="2:19" hidden="1">
      <c r="B110" s="664" t="s">
        <v>1161</v>
      </c>
      <c r="C110" s="637"/>
      <c r="D110" s="637"/>
      <c r="E110" s="637"/>
      <c r="F110" s="637"/>
      <c r="G110" s="638"/>
      <c r="H110" s="626">
        <f t="shared" si="13"/>
        <v>0</v>
      </c>
      <c r="I110" s="631">
        <f t="shared" si="14"/>
        <v>34.974166666666669</v>
      </c>
      <c r="J110" s="627"/>
      <c r="K110" s="665"/>
      <c r="L110" s="666">
        <v>34.974166666666669</v>
      </c>
      <c r="M110" s="111">
        <v>12</v>
      </c>
      <c r="N110" s="25">
        <f t="shared" si="15"/>
        <v>0</v>
      </c>
      <c r="O110" s="25">
        <f t="shared" si="16"/>
        <v>0</v>
      </c>
      <c r="P110" s="25">
        <f t="shared" si="17"/>
        <v>0</v>
      </c>
      <c r="Q110" s="26">
        <f t="shared" si="18"/>
        <v>0</v>
      </c>
      <c r="R110" s="27">
        <f t="shared" si="19"/>
        <v>0</v>
      </c>
      <c r="S110" s="28">
        <f t="shared" si="20"/>
        <v>0</v>
      </c>
    </row>
    <row r="111" spans="2:19" hidden="1">
      <c r="B111" s="664" t="s">
        <v>1162</v>
      </c>
      <c r="C111" s="637"/>
      <c r="D111" s="637"/>
      <c r="E111" s="637"/>
      <c r="F111" s="637"/>
      <c r="G111" s="638"/>
      <c r="H111" s="626">
        <f t="shared" si="13"/>
        <v>0</v>
      </c>
      <c r="I111" s="631">
        <f t="shared" si="14"/>
        <v>69.486666666666665</v>
      </c>
      <c r="J111" s="627"/>
      <c r="K111" s="665"/>
      <c r="L111" s="666">
        <v>69.486666666666665</v>
      </c>
      <c r="M111" s="111">
        <v>12</v>
      </c>
      <c r="N111" s="25">
        <f t="shared" si="15"/>
        <v>0</v>
      </c>
      <c r="O111" s="25">
        <f t="shared" si="16"/>
        <v>0</v>
      </c>
      <c r="P111" s="25">
        <f t="shared" si="17"/>
        <v>0</v>
      </c>
      <c r="Q111" s="26">
        <f t="shared" si="18"/>
        <v>0</v>
      </c>
      <c r="R111" s="27">
        <f t="shared" si="19"/>
        <v>0</v>
      </c>
      <c r="S111" s="28">
        <f t="shared" si="20"/>
        <v>0</v>
      </c>
    </row>
    <row r="112" spans="2:19" hidden="1">
      <c r="B112" s="664" t="s">
        <v>1162</v>
      </c>
      <c r="C112" s="637"/>
      <c r="D112" s="637"/>
      <c r="E112" s="637"/>
      <c r="F112" s="637"/>
      <c r="G112" s="638"/>
      <c r="H112" s="626">
        <f t="shared" si="13"/>
        <v>0</v>
      </c>
      <c r="I112" s="631">
        <f t="shared" si="14"/>
        <v>73.316666666666663</v>
      </c>
      <c r="J112" s="627"/>
      <c r="K112" s="665"/>
      <c r="L112" s="666">
        <v>73.316666666666663</v>
      </c>
      <c r="M112" s="111">
        <v>6</v>
      </c>
      <c r="N112" s="25">
        <f t="shared" si="15"/>
        <v>0</v>
      </c>
      <c r="O112" s="25">
        <f t="shared" si="16"/>
        <v>0</v>
      </c>
      <c r="P112" s="25">
        <f t="shared" si="17"/>
        <v>0</v>
      </c>
      <c r="Q112" s="26">
        <f t="shared" si="18"/>
        <v>0</v>
      </c>
      <c r="R112" s="27">
        <f t="shared" si="19"/>
        <v>0</v>
      </c>
      <c r="S112" s="28">
        <f t="shared" si="20"/>
        <v>0</v>
      </c>
    </row>
    <row r="113" spans="2:19" hidden="1">
      <c r="B113" s="664" t="s">
        <v>1163</v>
      </c>
      <c r="C113" s="637"/>
      <c r="D113" s="637"/>
      <c r="E113" s="637"/>
      <c r="F113" s="637"/>
      <c r="G113" s="638"/>
      <c r="H113" s="626">
        <f t="shared" si="13"/>
        <v>0</v>
      </c>
      <c r="I113" s="631">
        <f t="shared" si="14"/>
        <v>10.9975</v>
      </c>
      <c r="J113" s="627"/>
      <c r="K113" s="665"/>
      <c r="L113" s="666">
        <v>10.9975</v>
      </c>
      <c r="M113" s="111">
        <v>24</v>
      </c>
      <c r="N113" s="25">
        <f t="shared" si="15"/>
        <v>0</v>
      </c>
      <c r="O113" s="25">
        <f t="shared" si="16"/>
        <v>0</v>
      </c>
      <c r="P113" s="25">
        <f t="shared" si="17"/>
        <v>0</v>
      </c>
      <c r="Q113" s="26">
        <f t="shared" si="18"/>
        <v>0</v>
      </c>
      <c r="R113" s="27">
        <f t="shared" si="19"/>
        <v>0</v>
      </c>
      <c r="S113" s="28">
        <f t="shared" si="20"/>
        <v>0</v>
      </c>
    </row>
    <row r="114" spans="2:19" hidden="1">
      <c r="B114" s="664" t="s">
        <v>612</v>
      </c>
      <c r="C114" s="637"/>
      <c r="D114" s="637"/>
      <c r="E114" s="637"/>
      <c r="F114" s="637"/>
      <c r="G114" s="638"/>
      <c r="H114" s="626">
        <f t="shared" si="13"/>
        <v>0</v>
      </c>
      <c r="I114" s="631">
        <f t="shared" si="14"/>
        <v>24.998333333333335</v>
      </c>
      <c r="J114" s="627"/>
      <c r="K114" s="665"/>
      <c r="L114" s="666">
        <v>24.998333333333335</v>
      </c>
      <c r="M114" s="111">
        <v>12</v>
      </c>
      <c r="N114" s="25">
        <f t="shared" si="15"/>
        <v>0</v>
      </c>
      <c r="O114" s="25">
        <f t="shared" si="16"/>
        <v>0</v>
      </c>
      <c r="P114" s="25">
        <f t="shared" si="17"/>
        <v>0</v>
      </c>
      <c r="Q114" s="26">
        <f t="shared" si="18"/>
        <v>0</v>
      </c>
      <c r="R114" s="27">
        <f t="shared" si="19"/>
        <v>0</v>
      </c>
      <c r="S114" s="28">
        <f t="shared" si="20"/>
        <v>0</v>
      </c>
    </row>
    <row r="115" spans="2:19" hidden="1">
      <c r="B115" s="664" t="s">
        <v>613</v>
      </c>
      <c r="C115" s="637"/>
      <c r="D115" s="637"/>
      <c r="E115" s="637"/>
      <c r="F115" s="637"/>
      <c r="G115" s="638"/>
      <c r="H115" s="626">
        <f t="shared" si="13"/>
        <v>0</v>
      </c>
      <c r="I115" s="631">
        <f t="shared" si="14"/>
        <v>7.729166666666667</v>
      </c>
      <c r="J115" s="627"/>
      <c r="K115" s="665"/>
      <c r="L115" s="666">
        <v>7.729166666666667</v>
      </c>
      <c r="M115" s="111">
        <v>24</v>
      </c>
      <c r="N115" s="25">
        <f t="shared" si="15"/>
        <v>0</v>
      </c>
      <c r="O115" s="25">
        <f t="shared" si="16"/>
        <v>0</v>
      </c>
      <c r="P115" s="25">
        <f t="shared" si="17"/>
        <v>0</v>
      </c>
      <c r="Q115" s="26">
        <f t="shared" si="18"/>
        <v>0</v>
      </c>
      <c r="R115" s="27">
        <f t="shared" si="19"/>
        <v>0</v>
      </c>
      <c r="S115" s="28">
        <f t="shared" si="20"/>
        <v>0</v>
      </c>
    </row>
    <row r="116" spans="2:19" hidden="1">
      <c r="B116" s="664" t="s">
        <v>614</v>
      </c>
      <c r="C116" s="637"/>
      <c r="D116" s="637"/>
      <c r="E116" s="637"/>
      <c r="F116" s="637"/>
      <c r="G116" s="638"/>
      <c r="H116" s="626">
        <f t="shared" si="13"/>
        <v>0</v>
      </c>
      <c r="I116" s="631">
        <f t="shared" si="14"/>
        <v>68.016666666666666</v>
      </c>
      <c r="J116" s="627"/>
      <c r="K116" s="665"/>
      <c r="L116" s="666">
        <v>68.016666666666666</v>
      </c>
      <c r="M116" s="111">
        <v>12</v>
      </c>
      <c r="N116" s="25">
        <f t="shared" si="15"/>
        <v>0</v>
      </c>
      <c r="O116" s="25">
        <f t="shared" si="16"/>
        <v>0</v>
      </c>
      <c r="P116" s="25">
        <f t="shared" si="17"/>
        <v>0</v>
      </c>
      <c r="Q116" s="26">
        <f t="shared" si="18"/>
        <v>0</v>
      </c>
      <c r="R116" s="27">
        <f t="shared" si="19"/>
        <v>0</v>
      </c>
      <c r="S116" s="28">
        <f t="shared" si="20"/>
        <v>0</v>
      </c>
    </row>
    <row r="117" spans="2:19" hidden="1">
      <c r="B117" s="664" t="s">
        <v>1164</v>
      </c>
      <c r="C117" s="637"/>
      <c r="D117" s="637"/>
      <c r="E117" s="637"/>
      <c r="F117" s="637"/>
      <c r="G117" s="638"/>
      <c r="H117" s="626">
        <f t="shared" si="13"/>
        <v>0</v>
      </c>
      <c r="I117" s="631">
        <f t="shared" si="14"/>
        <v>14.133333333333333</v>
      </c>
      <c r="J117" s="627"/>
      <c r="K117" s="665"/>
      <c r="L117" s="666">
        <v>14.133333333333333</v>
      </c>
      <c r="M117" s="111">
        <v>12</v>
      </c>
      <c r="N117" s="25">
        <f t="shared" si="15"/>
        <v>0</v>
      </c>
      <c r="O117" s="25">
        <f t="shared" si="16"/>
        <v>0</v>
      </c>
      <c r="P117" s="25">
        <f t="shared" si="17"/>
        <v>0</v>
      </c>
      <c r="Q117" s="26">
        <f t="shared" si="18"/>
        <v>0</v>
      </c>
      <c r="R117" s="27">
        <f t="shared" si="19"/>
        <v>0</v>
      </c>
      <c r="S117" s="28">
        <f t="shared" si="20"/>
        <v>0</v>
      </c>
    </row>
    <row r="118" spans="2:19" hidden="1">
      <c r="B118" s="664" t="s">
        <v>1165</v>
      </c>
      <c r="C118" s="637"/>
      <c r="D118" s="637"/>
      <c r="E118" s="637"/>
      <c r="F118" s="637"/>
      <c r="G118" s="638"/>
      <c r="H118" s="626">
        <f t="shared" si="13"/>
        <v>0</v>
      </c>
      <c r="I118" s="631">
        <f t="shared" si="14"/>
        <v>94.87</v>
      </c>
      <c r="J118" s="627"/>
      <c r="K118" s="665"/>
      <c r="L118" s="666">
        <v>94.87</v>
      </c>
      <c r="M118" s="111">
        <v>12</v>
      </c>
      <c r="N118" s="25">
        <f t="shared" si="15"/>
        <v>0</v>
      </c>
      <c r="O118" s="25">
        <f t="shared" si="16"/>
        <v>0</v>
      </c>
      <c r="P118" s="25">
        <f t="shared" si="17"/>
        <v>0</v>
      </c>
      <c r="Q118" s="26">
        <f t="shared" si="18"/>
        <v>0</v>
      </c>
      <c r="R118" s="27">
        <f t="shared" si="19"/>
        <v>0</v>
      </c>
      <c r="S118" s="28">
        <f t="shared" si="20"/>
        <v>0</v>
      </c>
    </row>
    <row r="119" spans="2:19" hidden="1">
      <c r="B119" s="664" t="s">
        <v>1166</v>
      </c>
      <c r="C119" s="637"/>
      <c r="D119" s="637"/>
      <c r="E119" s="637"/>
      <c r="F119" s="637"/>
      <c r="G119" s="638"/>
      <c r="H119" s="626">
        <f t="shared" si="13"/>
        <v>0</v>
      </c>
      <c r="I119" s="631">
        <f t="shared" si="14"/>
        <v>83.11333333333333</v>
      </c>
      <c r="J119" s="627"/>
      <c r="K119" s="665"/>
      <c r="L119" s="666">
        <v>83.11333333333333</v>
      </c>
      <c r="M119" s="111">
        <v>12</v>
      </c>
      <c r="N119" s="25">
        <f t="shared" si="15"/>
        <v>0</v>
      </c>
      <c r="O119" s="25">
        <f t="shared" si="16"/>
        <v>0</v>
      </c>
      <c r="P119" s="25">
        <f t="shared" si="17"/>
        <v>0</v>
      </c>
      <c r="Q119" s="26">
        <f t="shared" si="18"/>
        <v>0</v>
      </c>
      <c r="R119" s="27">
        <f t="shared" si="19"/>
        <v>0</v>
      </c>
      <c r="S119" s="28">
        <f t="shared" si="20"/>
        <v>0</v>
      </c>
    </row>
    <row r="120" spans="2:19" hidden="1">
      <c r="B120" s="664" t="s">
        <v>1167</v>
      </c>
      <c r="C120" s="637"/>
      <c r="D120" s="637"/>
      <c r="E120" s="637"/>
      <c r="F120" s="637"/>
      <c r="G120" s="638"/>
      <c r="H120" s="626">
        <f t="shared" si="13"/>
        <v>0</v>
      </c>
      <c r="I120" s="631">
        <f t="shared" si="14"/>
        <v>27.353333333333335</v>
      </c>
      <c r="J120" s="627"/>
      <c r="K120" s="665"/>
      <c r="L120" s="666">
        <v>27.353333333333335</v>
      </c>
      <c r="M120" s="111">
        <v>12</v>
      </c>
      <c r="N120" s="25">
        <f t="shared" si="15"/>
        <v>0</v>
      </c>
      <c r="O120" s="25">
        <f t="shared" si="16"/>
        <v>0</v>
      </c>
      <c r="P120" s="25">
        <f t="shared" si="17"/>
        <v>0</v>
      </c>
      <c r="Q120" s="26">
        <f t="shared" si="18"/>
        <v>0</v>
      </c>
      <c r="R120" s="27">
        <f t="shared" si="19"/>
        <v>0</v>
      </c>
      <c r="S120" s="28">
        <f t="shared" si="20"/>
        <v>0</v>
      </c>
    </row>
    <row r="121" spans="2:19" hidden="1">
      <c r="B121" s="664" t="s">
        <v>615</v>
      </c>
      <c r="C121" s="637"/>
      <c r="D121" s="637"/>
      <c r="E121" s="637"/>
      <c r="F121" s="637"/>
      <c r="G121" s="638"/>
      <c r="H121" s="626">
        <f t="shared" si="13"/>
        <v>0</v>
      </c>
      <c r="I121" s="631">
        <f t="shared" si="14"/>
        <v>134.17833333333334</v>
      </c>
      <c r="J121" s="627"/>
      <c r="K121" s="665"/>
      <c r="L121" s="666">
        <v>134.17833333333334</v>
      </c>
      <c r="M121" s="111">
        <v>12</v>
      </c>
      <c r="N121" s="25">
        <f t="shared" si="15"/>
        <v>0</v>
      </c>
      <c r="O121" s="25">
        <f t="shared" si="16"/>
        <v>0</v>
      </c>
      <c r="P121" s="25">
        <f t="shared" si="17"/>
        <v>0</v>
      </c>
      <c r="Q121" s="26">
        <f t="shared" si="18"/>
        <v>0</v>
      </c>
      <c r="R121" s="27">
        <f t="shared" si="19"/>
        <v>0</v>
      </c>
      <c r="S121" s="28">
        <f t="shared" si="20"/>
        <v>0</v>
      </c>
    </row>
    <row r="122" spans="2:19" hidden="1">
      <c r="B122" s="664" t="s">
        <v>616</v>
      </c>
      <c r="C122" s="637"/>
      <c r="D122" s="637"/>
      <c r="E122" s="637"/>
      <c r="F122" s="637"/>
      <c r="G122" s="638"/>
      <c r="H122" s="626">
        <f t="shared" si="13"/>
        <v>0</v>
      </c>
      <c r="I122" s="631">
        <f t="shared" si="14"/>
        <v>51.851666666666667</v>
      </c>
      <c r="J122" s="627"/>
      <c r="K122" s="665"/>
      <c r="L122" s="666">
        <v>51.851666666666667</v>
      </c>
      <c r="M122" s="111">
        <v>12</v>
      </c>
      <c r="N122" s="25">
        <f t="shared" si="15"/>
        <v>0</v>
      </c>
      <c r="O122" s="25">
        <f t="shared" si="16"/>
        <v>0</v>
      </c>
      <c r="P122" s="25">
        <f t="shared" si="17"/>
        <v>0</v>
      </c>
      <c r="Q122" s="26">
        <f t="shared" si="18"/>
        <v>0</v>
      </c>
      <c r="R122" s="27">
        <f t="shared" si="19"/>
        <v>0</v>
      </c>
      <c r="S122" s="28">
        <f t="shared" si="20"/>
        <v>0</v>
      </c>
    </row>
    <row r="123" spans="2:19" hidden="1">
      <c r="B123" s="664" t="s">
        <v>617</v>
      </c>
      <c r="C123" s="637"/>
      <c r="D123" s="637"/>
      <c r="E123" s="637"/>
      <c r="F123" s="637"/>
      <c r="G123" s="638"/>
      <c r="H123" s="626">
        <f t="shared" si="13"/>
        <v>0</v>
      </c>
      <c r="I123" s="631">
        <f t="shared" si="14"/>
        <v>16.327500000000001</v>
      </c>
      <c r="J123" s="627"/>
      <c r="K123" s="665"/>
      <c r="L123" s="666">
        <v>16.327500000000001</v>
      </c>
      <c r="M123" s="111">
        <v>24</v>
      </c>
      <c r="N123" s="25">
        <f t="shared" si="15"/>
        <v>0</v>
      </c>
      <c r="O123" s="25">
        <f t="shared" si="16"/>
        <v>0</v>
      </c>
      <c r="P123" s="25">
        <f t="shared" si="17"/>
        <v>0</v>
      </c>
      <c r="Q123" s="26">
        <f t="shared" si="18"/>
        <v>0</v>
      </c>
      <c r="R123" s="27">
        <f t="shared" si="19"/>
        <v>0</v>
      </c>
      <c r="S123" s="28">
        <f t="shared" si="20"/>
        <v>0</v>
      </c>
    </row>
    <row r="124" spans="2:19" hidden="1">
      <c r="B124" s="664" t="s">
        <v>618</v>
      </c>
      <c r="C124" s="637"/>
      <c r="D124" s="637"/>
      <c r="E124" s="637"/>
      <c r="F124" s="637"/>
      <c r="G124" s="638"/>
      <c r="H124" s="626">
        <f t="shared" si="13"/>
        <v>0</v>
      </c>
      <c r="I124" s="631">
        <f t="shared" si="14"/>
        <v>121.29083333333334</v>
      </c>
      <c r="J124" s="627"/>
      <c r="K124" s="665"/>
      <c r="L124" s="666">
        <v>121.29083333333334</v>
      </c>
      <c r="M124" s="111">
        <v>12</v>
      </c>
      <c r="N124" s="25">
        <f t="shared" si="15"/>
        <v>0</v>
      </c>
      <c r="O124" s="25">
        <f t="shared" si="16"/>
        <v>0</v>
      </c>
      <c r="P124" s="25">
        <f t="shared" si="17"/>
        <v>0</v>
      </c>
      <c r="Q124" s="26">
        <f t="shared" si="18"/>
        <v>0</v>
      </c>
      <c r="R124" s="27">
        <f t="shared" si="19"/>
        <v>0</v>
      </c>
      <c r="S124" s="28">
        <f t="shared" si="20"/>
        <v>0</v>
      </c>
    </row>
    <row r="125" spans="2:19" hidden="1">
      <c r="B125" s="664" t="s">
        <v>619</v>
      </c>
      <c r="C125" s="637"/>
      <c r="D125" s="637"/>
      <c r="E125" s="637"/>
      <c r="F125" s="637"/>
      <c r="G125" s="638"/>
      <c r="H125" s="626">
        <f t="shared" si="13"/>
        <v>0</v>
      </c>
      <c r="I125" s="631">
        <f t="shared" si="14"/>
        <v>8.6741666666666664</v>
      </c>
      <c r="J125" s="627"/>
      <c r="K125" s="665"/>
      <c r="L125" s="666">
        <v>8.6741666666666664</v>
      </c>
      <c r="M125" s="111">
        <v>24</v>
      </c>
      <c r="N125" s="25">
        <f t="shared" si="15"/>
        <v>0</v>
      </c>
      <c r="O125" s="25">
        <f t="shared" si="16"/>
        <v>0</v>
      </c>
      <c r="P125" s="25">
        <f t="shared" si="17"/>
        <v>0</v>
      </c>
      <c r="Q125" s="26">
        <f t="shared" si="18"/>
        <v>0</v>
      </c>
      <c r="R125" s="27">
        <f t="shared" si="19"/>
        <v>0</v>
      </c>
      <c r="S125" s="28">
        <f t="shared" si="20"/>
        <v>0</v>
      </c>
    </row>
    <row r="126" spans="2:19" hidden="1">
      <c r="B126" s="664" t="s">
        <v>1168</v>
      </c>
      <c r="C126" s="637"/>
      <c r="D126" s="637"/>
      <c r="E126" s="637"/>
      <c r="F126" s="637"/>
      <c r="G126" s="638"/>
      <c r="H126" s="626">
        <f t="shared" si="13"/>
        <v>0</v>
      </c>
      <c r="I126" s="631">
        <f t="shared" si="14"/>
        <v>50.35</v>
      </c>
      <c r="J126" s="627"/>
      <c r="K126" s="665"/>
      <c r="L126" s="666">
        <v>50.35</v>
      </c>
      <c r="M126" s="111">
        <v>6</v>
      </c>
      <c r="N126" s="25">
        <f t="shared" si="15"/>
        <v>0</v>
      </c>
      <c r="O126" s="25">
        <f t="shared" si="16"/>
        <v>0</v>
      </c>
      <c r="P126" s="25">
        <f t="shared" si="17"/>
        <v>0</v>
      </c>
      <c r="Q126" s="26">
        <f t="shared" si="18"/>
        <v>0</v>
      </c>
      <c r="R126" s="27">
        <f t="shared" si="19"/>
        <v>0</v>
      </c>
      <c r="S126" s="28">
        <f t="shared" si="20"/>
        <v>0</v>
      </c>
    </row>
    <row r="127" spans="2:19" hidden="1">
      <c r="B127" s="664" t="s">
        <v>1262</v>
      </c>
      <c r="C127" s="636"/>
      <c r="D127" s="636"/>
      <c r="E127" s="636"/>
      <c r="F127" s="637"/>
      <c r="G127" s="638"/>
      <c r="H127" s="626">
        <f t="shared" si="13"/>
        <v>0</v>
      </c>
      <c r="I127" s="631">
        <f t="shared" si="14"/>
        <v>243.79999999999998</v>
      </c>
      <c r="J127" s="627"/>
      <c r="K127" s="665"/>
      <c r="L127" s="666">
        <v>243.79999999999998</v>
      </c>
      <c r="M127" s="111">
        <v>6</v>
      </c>
      <c r="N127" s="25">
        <f t="shared" si="15"/>
        <v>0</v>
      </c>
      <c r="O127" s="25">
        <f t="shared" si="16"/>
        <v>0</v>
      </c>
      <c r="P127" s="25">
        <f t="shared" si="17"/>
        <v>0</v>
      </c>
      <c r="Q127" s="26">
        <f t="shared" si="18"/>
        <v>0</v>
      </c>
      <c r="R127" s="27">
        <f t="shared" si="19"/>
        <v>0</v>
      </c>
      <c r="S127" s="28">
        <f t="shared" si="20"/>
        <v>0</v>
      </c>
    </row>
    <row r="128" spans="2:19" hidden="1">
      <c r="B128" s="664" t="s">
        <v>1169</v>
      </c>
      <c r="C128" s="637"/>
      <c r="D128" s="637"/>
      <c r="E128" s="637"/>
      <c r="F128" s="637"/>
      <c r="G128" s="638"/>
      <c r="H128" s="626">
        <f t="shared" si="13"/>
        <v>0</v>
      </c>
      <c r="I128" s="631">
        <f t="shared" si="14"/>
        <v>55.120000000000005</v>
      </c>
      <c r="J128" s="627"/>
      <c r="K128" s="665"/>
      <c r="L128" s="666">
        <v>55.120000000000005</v>
      </c>
      <c r="M128" s="111">
        <v>12</v>
      </c>
      <c r="N128" s="25">
        <f t="shared" si="15"/>
        <v>0</v>
      </c>
      <c r="O128" s="25">
        <f t="shared" si="16"/>
        <v>0</v>
      </c>
      <c r="P128" s="25">
        <f t="shared" si="17"/>
        <v>0</v>
      </c>
      <c r="Q128" s="26">
        <f t="shared" si="18"/>
        <v>0</v>
      </c>
      <c r="R128" s="27">
        <f t="shared" si="19"/>
        <v>0</v>
      </c>
      <c r="S128" s="28">
        <f t="shared" si="20"/>
        <v>0</v>
      </c>
    </row>
    <row r="129" spans="2:19" hidden="1">
      <c r="B129" s="664" t="s">
        <v>1170</v>
      </c>
      <c r="C129" s="637"/>
      <c r="D129" s="637"/>
      <c r="E129" s="637"/>
      <c r="F129" s="637"/>
      <c r="G129" s="638"/>
      <c r="H129" s="626">
        <f t="shared" si="13"/>
        <v>0</v>
      </c>
      <c r="I129" s="631">
        <f t="shared" si="14"/>
        <v>298.56666666666666</v>
      </c>
      <c r="J129" s="627"/>
      <c r="K129" s="665"/>
      <c r="L129" s="666">
        <v>298.56666666666666</v>
      </c>
      <c r="M129" s="111">
        <v>6</v>
      </c>
      <c r="N129" s="25">
        <f t="shared" si="15"/>
        <v>0</v>
      </c>
      <c r="O129" s="25">
        <f t="shared" si="16"/>
        <v>0</v>
      </c>
      <c r="P129" s="25">
        <f t="shared" si="17"/>
        <v>0</v>
      </c>
      <c r="Q129" s="26">
        <f t="shared" si="18"/>
        <v>0</v>
      </c>
      <c r="R129" s="27">
        <f t="shared" si="19"/>
        <v>0</v>
      </c>
      <c r="S129" s="28">
        <f t="shared" si="20"/>
        <v>0</v>
      </c>
    </row>
    <row r="130" spans="2:19" hidden="1">
      <c r="B130" s="664" t="s">
        <v>1171</v>
      </c>
      <c r="C130" s="637"/>
      <c r="D130" s="637"/>
      <c r="E130" s="637"/>
      <c r="F130" s="637"/>
      <c r="G130" s="638"/>
      <c r="H130" s="626">
        <f t="shared" si="13"/>
        <v>0</v>
      </c>
      <c r="I130" s="631">
        <f t="shared" si="14"/>
        <v>74.641666666666666</v>
      </c>
      <c r="J130" s="627"/>
      <c r="K130" s="665"/>
      <c r="L130" s="666">
        <v>74.641666666666666</v>
      </c>
      <c r="M130" s="111">
        <v>12</v>
      </c>
      <c r="N130" s="25">
        <f t="shared" si="15"/>
        <v>0</v>
      </c>
      <c r="O130" s="25">
        <f t="shared" si="16"/>
        <v>0</v>
      </c>
      <c r="P130" s="25">
        <f t="shared" si="17"/>
        <v>0</v>
      </c>
      <c r="Q130" s="26">
        <f t="shared" si="18"/>
        <v>0</v>
      </c>
      <c r="R130" s="27">
        <f t="shared" si="19"/>
        <v>0</v>
      </c>
      <c r="S130" s="28">
        <f t="shared" si="20"/>
        <v>0</v>
      </c>
    </row>
    <row r="131" spans="2:19" hidden="1">
      <c r="B131" s="664" t="s">
        <v>1172</v>
      </c>
      <c r="C131" s="637"/>
      <c r="D131" s="637"/>
      <c r="E131" s="637"/>
      <c r="F131" s="637"/>
      <c r="G131" s="638"/>
      <c r="H131" s="626">
        <f t="shared" si="13"/>
        <v>0</v>
      </c>
      <c r="I131" s="631">
        <f t="shared" si="14"/>
        <v>9.6583333333333332</v>
      </c>
      <c r="J131" s="627"/>
      <c r="K131" s="665"/>
      <c r="L131" s="666">
        <v>9.6583333333333332</v>
      </c>
      <c r="M131" s="111">
        <v>24</v>
      </c>
      <c r="N131" s="25">
        <f t="shared" si="15"/>
        <v>0</v>
      </c>
      <c r="O131" s="25">
        <f t="shared" si="16"/>
        <v>0</v>
      </c>
      <c r="P131" s="25">
        <f t="shared" si="17"/>
        <v>0</v>
      </c>
      <c r="Q131" s="26">
        <f t="shared" si="18"/>
        <v>0</v>
      </c>
      <c r="R131" s="27">
        <f t="shared" si="19"/>
        <v>0</v>
      </c>
      <c r="S131" s="28">
        <f t="shared" si="20"/>
        <v>0</v>
      </c>
    </row>
    <row r="132" spans="2:19" hidden="1">
      <c r="B132" s="664" t="s">
        <v>1173</v>
      </c>
      <c r="C132" s="637"/>
      <c r="D132" s="637"/>
      <c r="E132" s="637"/>
      <c r="F132" s="637"/>
      <c r="G132" s="638"/>
      <c r="H132" s="626">
        <f t="shared" si="13"/>
        <v>0</v>
      </c>
      <c r="I132" s="631">
        <f t="shared" si="14"/>
        <v>283.87</v>
      </c>
      <c r="J132" s="627"/>
      <c r="K132" s="665"/>
      <c r="L132" s="666">
        <v>283.87</v>
      </c>
      <c r="M132" s="111">
        <v>6</v>
      </c>
      <c r="N132" s="25">
        <f t="shared" si="15"/>
        <v>0</v>
      </c>
      <c r="O132" s="25">
        <f t="shared" si="16"/>
        <v>0</v>
      </c>
      <c r="P132" s="25">
        <f t="shared" si="17"/>
        <v>0</v>
      </c>
      <c r="Q132" s="26">
        <f t="shared" si="18"/>
        <v>0</v>
      </c>
      <c r="R132" s="27">
        <f t="shared" si="19"/>
        <v>0</v>
      </c>
      <c r="S132" s="28">
        <f t="shared" si="20"/>
        <v>0</v>
      </c>
    </row>
    <row r="133" spans="2:19" hidden="1">
      <c r="B133" s="664" t="s">
        <v>620</v>
      </c>
      <c r="C133" s="637"/>
      <c r="D133" s="637"/>
      <c r="E133" s="637"/>
      <c r="F133" s="637"/>
      <c r="G133" s="638"/>
      <c r="H133" s="626">
        <f t="shared" si="13"/>
        <v>0</v>
      </c>
      <c r="I133" s="631">
        <f t="shared" si="14"/>
        <v>10.063333333333334</v>
      </c>
      <c r="J133" s="627"/>
      <c r="K133" s="665"/>
      <c r="L133" s="666">
        <v>10.063333333333334</v>
      </c>
      <c r="M133" s="111">
        <v>24</v>
      </c>
      <c r="N133" s="25">
        <f t="shared" si="15"/>
        <v>0</v>
      </c>
      <c r="O133" s="25">
        <f t="shared" si="16"/>
        <v>0</v>
      </c>
      <c r="P133" s="25">
        <f t="shared" si="17"/>
        <v>0</v>
      </c>
      <c r="Q133" s="26">
        <f t="shared" si="18"/>
        <v>0</v>
      </c>
      <c r="R133" s="27">
        <f t="shared" si="19"/>
        <v>0</v>
      </c>
      <c r="S133" s="28">
        <f t="shared" si="20"/>
        <v>0</v>
      </c>
    </row>
    <row r="134" spans="2:19" hidden="1">
      <c r="B134" s="664" t="s">
        <v>621</v>
      </c>
      <c r="C134" s="637"/>
      <c r="D134" s="637"/>
      <c r="E134" s="637"/>
      <c r="F134" s="637"/>
      <c r="G134" s="638"/>
      <c r="H134" s="626">
        <f t="shared" ref="H134:H197" si="21">SUM(C134:G134)</f>
        <v>0</v>
      </c>
      <c r="I134" s="631">
        <f t="shared" ref="I134:I197" si="22">L134-(L134*J134)</f>
        <v>60.506666666666668</v>
      </c>
      <c r="J134" s="627"/>
      <c r="K134" s="665"/>
      <c r="L134" s="666">
        <v>60.506666666666668</v>
      </c>
      <c r="M134" s="111">
        <v>12</v>
      </c>
      <c r="N134" s="25">
        <f t="shared" ref="N134:N195" si="23">I134*C134</f>
        <v>0</v>
      </c>
      <c r="O134" s="25">
        <f t="shared" ref="O134:O195" si="24">I134*D134</f>
        <v>0</v>
      </c>
      <c r="P134" s="25">
        <f t="shared" ref="P134:P195" si="25">I134*E134</f>
        <v>0</v>
      </c>
      <c r="Q134" s="26">
        <f t="shared" ref="Q134:Q195" si="26">I134*F134</f>
        <v>0</v>
      </c>
      <c r="R134" s="27">
        <f t="shared" ref="R134:R195" si="27">I134*G134</f>
        <v>0</v>
      </c>
      <c r="S134" s="28">
        <f t="shared" ref="S134:S195" si="28">SUM(N134:R134)</f>
        <v>0</v>
      </c>
    </row>
    <row r="135" spans="2:19" hidden="1">
      <c r="B135" s="664" t="s">
        <v>622</v>
      </c>
      <c r="C135" s="637"/>
      <c r="D135" s="637"/>
      <c r="E135" s="637"/>
      <c r="F135" s="637"/>
      <c r="G135" s="638"/>
      <c r="H135" s="626">
        <f t="shared" si="21"/>
        <v>0</v>
      </c>
      <c r="I135" s="631">
        <f t="shared" si="22"/>
        <v>16.327500000000001</v>
      </c>
      <c r="J135" s="627"/>
      <c r="K135" s="665"/>
      <c r="L135" s="666">
        <v>16.327500000000001</v>
      </c>
      <c r="M135" s="111">
        <v>24</v>
      </c>
      <c r="N135" s="25">
        <f t="shared" si="23"/>
        <v>0</v>
      </c>
      <c r="O135" s="25">
        <f t="shared" si="24"/>
        <v>0</v>
      </c>
      <c r="P135" s="25">
        <f t="shared" si="25"/>
        <v>0</v>
      </c>
      <c r="Q135" s="26">
        <f t="shared" si="26"/>
        <v>0</v>
      </c>
      <c r="R135" s="27">
        <f t="shared" si="27"/>
        <v>0</v>
      </c>
      <c r="S135" s="28">
        <f t="shared" si="28"/>
        <v>0</v>
      </c>
    </row>
    <row r="136" spans="2:19" hidden="1">
      <c r="B136" s="664" t="s">
        <v>623</v>
      </c>
      <c r="C136" s="637"/>
      <c r="D136" s="637"/>
      <c r="E136" s="637"/>
      <c r="F136" s="637"/>
      <c r="G136" s="638"/>
      <c r="H136" s="626">
        <f t="shared" si="21"/>
        <v>0</v>
      </c>
      <c r="I136" s="631">
        <f t="shared" si="22"/>
        <v>121.29083333333334</v>
      </c>
      <c r="J136" s="627"/>
      <c r="K136" s="665"/>
      <c r="L136" s="666">
        <v>121.29083333333334</v>
      </c>
      <c r="M136" s="111">
        <v>12</v>
      </c>
      <c r="N136" s="25">
        <f t="shared" si="23"/>
        <v>0</v>
      </c>
      <c r="O136" s="25">
        <f t="shared" si="24"/>
        <v>0</v>
      </c>
      <c r="P136" s="25">
        <f t="shared" si="25"/>
        <v>0</v>
      </c>
      <c r="Q136" s="26">
        <f t="shared" si="26"/>
        <v>0</v>
      </c>
      <c r="R136" s="27">
        <f t="shared" si="27"/>
        <v>0</v>
      </c>
      <c r="S136" s="28">
        <f t="shared" si="28"/>
        <v>0</v>
      </c>
    </row>
    <row r="137" spans="2:19" hidden="1">
      <c r="B137" s="664" t="s">
        <v>624</v>
      </c>
      <c r="C137" s="637"/>
      <c r="D137" s="637"/>
      <c r="E137" s="637"/>
      <c r="F137" s="637"/>
      <c r="G137" s="638"/>
      <c r="H137" s="626">
        <f t="shared" si="21"/>
        <v>0</v>
      </c>
      <c r="I137" s="631">
        <f t="shared" si="22"/>
        <v>8.6691666666666674</v>
      </c>
      <c r="J137" s="627"/>
      <c r="K137" s="665"/>
      <c r="L137" s="666">
        <v>8.6691666666666674</v>
      </c>
      <c r="M137" s="111">
        <v>24</v>
      </c>
      <c r="N137" s="25">
        <f t="shared" si="23"/>
        <v>0</v>
      </c>
      <c r="O137" s="25">
        <f t="shared" si="24"/>
        <v>0</v>
      </c>
      <c r="P137" s="25">
        <f t="shared" si="25"/>
        <v>0</v>
      </c>
      <c r="Q137" s="26">
        <f t="shared" si="26"/>
        <v>0</v>
      </c>
      <c r="R137" s="27">
        <f t="shared" si="27"/>
        <v>0</v>
      </c>
      <c r="S137" s="28">
        <f t="shared" si="28"/>
        <v>0</v>
      </c>
    </row>
    <row r="138" spans="2:19" ht="13.5" hidden="1" customHeight="1">
      <c r="B138" s="664" t="s">
        <v>625</v>
      </c>
      <c r="C138" s="637"/>
      <c r="D138" s="637"/>
      <c r="E138" s="637"/>
      <c r="F138" s="637"/>
      <c r="G138" s="638"/>
      <c r="H138" s="626">
        <f t="shared" si="21"/>
        <v>0</v>
      </c>
      <c r="I138" s="631">
        <f t="shared" si="22"/>
        <v>27.383333333333336</v>
      </c>
      <c r="J138" s="627"/>
      <c r="K138" s="665"/>
      <c r="L138" s="666">
        <v>27.383333333333336</v>
      </c>
      <c r="M138" s="111">
        <v>24</v>
      </c>
      <c r="N138" s="25">
        <f t="shared" si="23"/>
        <v>0</v>
      </c>
      <c r="O138" s="25">
        <f t="shared" si="24"/>
        <v>0</v>
      </c>
      <c r="P138" s="25">
        <f t="shared" si="25"/>
        <v>0</v>
      </c>
      <c r="Q138" s="26">
        <f t="shared" si="26"/>
        <v>0</v>
      </c>
      <c r="R138" s="27">
        <f t="shared" si="27"/>
        <v>0</v>
      </c>
      <c r="S138" s="28">
        <f t="shared" si="28"/>
        <v>0</v>
      </c>
    </row>
    <row r="139" spans="2:19" ht="13.5" hidden="1" customHeight="1">
      <c r="B139" s="664" t="s">
        <v>626</v>
      </c>
      <c r="C139" s="637"/>
      <c r="D139" s="637"/>
      <c r="E139" s="637"/>
      <c r="F139" s="637"/>
      <c r="G139" s="638"/>
      <c r="H139" s="626">
        <f t="shared" si="21"/>
        <v>0</v>
      </c>
      <c r="I139" s="631">
        <f t="shared" si="22"/>
        <v>107.855</v>
      </c>
      <c r="J139" s="627"/>
      <c r="K139" s="665"/>
      <c r="L139" s="666">
        <v>107.855</v>
      </c>
      <c r="M139" s="111">
        <v>12</v>
      </c>
      <c r="N139" s="25">
        <f t="shared" si="23"/>
        <v>0</v>
      </c>
      <c r="O139" s="25">
        <f t="shared" si="24"/>
        <v>0</v>
      </c>
      <c r="P139" s="25">
        <f t="shared" si="25"/>
        <v>0</v>
      </c>
      <c r="Q139" s="26">
        <f t="shared" si="26"/>
        <v>0</v>
      </c>
      <c r="R139" s="27">
        <f t="shared" si="27"/>
        <v>0</v>
      </c>
      <c r="S139" s="28">
        <f t="shared" si="28"/>
        <v>0</v>
      </c>
    </row>
    <row r="140" spans="2:19">
      <c r="B140" s="664" t="s">
        <v>1174</v>
      </c>
      <c r="C140" s="637"/>
      <c r="D140" s="637"/>
      <c r="E140" s="637"/>
      <c r="F140" s="637">
        <v>48</v>
      </c>
      <c r="G140" s="638"/>
      <c r="H140" s="626">
        <f t="shared" si="21"/>
        <v>48</v>
      </c>
      <c r="I140" s="631">
        <v>35.33</v>
      </c>
      <c r="J140" s="627"/>
      <c r="K140" s="665"/>
      <c r="L140" s="666">
        <v>52.558333333333337</v>
      </c>
      <c r="M140" s="111">
        <v>24</v>
      </c>
      <c r="N140" s="25">
        <f t="shared" si="23"/>
        <v>0</v>
      </c>
      <c r="O140" s="25">
        <f t="shared" si="24"/>
        <v>0</v>
      </c>
      <c r="P140" s="25">
        <f t="shared" si="25"/>
        <v>0</v>
      </c>
      <c r="Q140" s="26">
        <f t="shared" si="26"/>
        <v>1695.84</v>
      </c>
      <c r="R140" s="27">
        <f t="shared" si="27"/>
        <v>0</v>
      </c>
      <c r="S140" s="28">
        <f t="shared" si="28"/>
        <v>1695.84</v>
      </c>
    </row>
    <row r="141" spans="2:19" hidden="1">
      <c r="B141" s="664" t="s">
        <v>1175</v>
      </c>
      <c r="C141" s="637"/>
      <c r="D141" s="637"/>
      <c r="E141" s="637"/>
      <c r="F141" s="637"/>
      <c r="G141" s="638"/>
      <c r="H141" s="626">
        <f t="shared" si="21"/>
        <v>0</v>
      </c>
      <c r="I141" s="631">
        <f t="shared" si="22"/>
        <v>463.75</v>
      </c>
      <c r="J141" s="627"/>
      <c r="K141" s="665"/>
      <c r="L141" s="666">
        <v>463.75</v>
      </c>
      <c r="M141" s="111">
        <v>4</v>
      </c>
      <c r="N141" s="25">
        <f t="shared" si="23"/>
        <v>0</v>
      </c>
      <c r="O141" s="25">
        <f t="shared" si="24"/>
        <v>0</v>
      </c>
      <c r="P141" s="25">
        <f t="shared" si="25"/>
        <v>0</v>
      </c>
      <c r="Q141" s="26">
        <f t="shared" si="26"/>
        <v>0</v>
      </c>
      <c r="R141" s="27">
        <f t="shared" si="27"/>
        <v>0</v>
      </c>
      <c r="S141" s="28">
        <f t="shared" si="28"/>
        <v>0</v>
      </c>
    </row>
    <row r="142" spans="2:19" hidden="1">
      <c r="B142" s="664" t="s">
        <v>1175</v>
      </c>
      <c r="C142" s="637"/>
      <c r="D142" s="637"/>
      <c r="E142" s="637"/>
      <c r="F142" s="637"/>
      <c r="G142" s="638"/>
      <c r="H142" s="626">
        <f t="shared" si="21"/>
        <v>0</v>
      </c>
      <c r="I142" s="631">
        <f t="shared" si="22"/>
        <v>454.91666666666669</v>
      </c>
      <c r="J142" s="627"/>
      <c r="K142" s="665"/>
      <c r="L142" s="666">
        <v>454.91666666666669</v>
      </c>
      <c r="M142" s="111">
        <v>6</v>
      </c>
      <c r="N142" s="25">
        <f t="shared" si="23"/>
        <v>0</v>
      </c>
      <c r="O142" s="25">
        <f t="shared" si="24"/>
        <v>0</v>
      </c>
      <c r="P142" s="25">
        <f t="shared" si="25"/>
        <v>0</v>
      </c>
      <c r="Q142" s="26">
        <f t="shared" si="26"/>
        <v>0</v>
      </c>
      <c r="R142" s="27">
        <f t="shared" si="27"/>
        <v>0</v>
      </c>
      <c r="S142" s="28">
        <f t="shared" si="28"/>
        <v>0</v>
      </c>
    </row>
    <row r="143" spans="2:19" hidden="1">
      <c r="B143" s="664" t="s">
        <v>1175</v>
      </c>
      <c r="C143" s="637"/>
      <c r="D143" s="637"/>
      <c r="E143" s="637"/>
      <c r="F143" s="637"/>
      <c r="G143" s="638"/>
      <c r="H143" s="626">
        <f t="shared" si="21"/>
        <v>0</v>
      </c>
      <c r="I143" s="631">
        <f t="shared" si="22"/>
        <v>441.49</v>
      </c>
      <c r="J143" s="627"/>
      <c r="K143" s="665"/>
      <c r="L143" s="666">
        <v>441.49</v>
      </c>
      <c r="M143" s="111">
        <v>12</v>
      </c>
      <c r="N143" s="25">
        <f t="shared" si="23"/>
        <v>0</v>
      </c>
      <c r="O143" s="25">
        <f t="shared" si="24"/>
        <v>0</v>
      </c>
      <c r="P143" s="25">
        <f t="shared" si="25"/>
        <v>0</v>
      </c>
      <c r="Q143" s="26">
        <f t="shared" si="26"/>
        <v>0</v>
      </c>
      <c r="R143" s="27">
        <f t="shared" si="27"/>
        <v>0</v>
      </c>
      <c r="S143" s="28">
        <f t="shared" si="28"/>
        <v>0</v>
      </c>
    </row>
    <row r="144" spans="2:19">
      <c r="B144" s="664" t="s">
        <v>1261</v>
      </c>
      <c r="C144" s="636">
        <v>48</v>
      </c>
      <c r="D144" s="636"/>
      <c r="E144" s="636"/>
      <c r="F144" s="637">
        <v>24</v>
      </c>
      <c r="G144" s="638">
        <v>480</v>
      </c>
      <c r="H144" s="626">
        <f t="shared" si="21"/>
        <v>552</v>
      </c>
      <c r="I144" s="631">
        <v>7.44</v>
      </c>
      <c r="J144" s="627"/>
      <c r="K144" s="665"/>
      <c r="L144" s="666">
        <v>11.034999999999998</v>
      </c>
      <c r="M144" s="111">
        <v>24</v>
      </c>
      <c r="N144" s="25">
        <f t="shared" si="23"/>
        <v>357.12</v>
      </c>
      <c r="O144" s="25">
        <f t="shared" si="24"/>
        <v>0</v>
      </c>
      <c r="P144" s="25">
        <f t="shared" si="25"/>
        <v>0</v>
      </c>
      <c r="Q144" s="26">
        <f t="shared" si="26"/>
        <v>178.56</v>
      </c>
      <c r="R144" s="27">
        <f t="shared" si="27"/>
        <v>3571.2000000000003</v>
      </c>
      <c r="S144" s="28">
        <f t="shared" si="28"/>
        <v>4106.88</v>
      </c>
    </row>
    <row r="145" spans="2:19" hidden="1">
      <c r="B145" s="664" t="s">
        <v>1176</v>
      </c>
      <c r="C145" s="637"/>
      <c r="D145" s="637"/>
      <c r="E145" s="637"/>
      <c r="F145" s="637"/>
      <c r="G145" s="638"/>
      <c r="H145" s="626">
        <f t="shared" si="21"/>
        <v>0</v>
      </c>
      <c r="I145" s="631">
        <f t="shared" si="22"/>
        <v>512.51</v>
      </c>
      <c r="J145" s="627"/>
      <c r="K145" s="665"/>
      <c r="L145" s="666">
        <v>512.51</v>
      </c>
      <c r="M145" s="111">
        <v>4</v>
      </c>
      <c r="N145" s="25">
        <f t="shared" si="23"/>
        <v>0</v>
      </c>
      <c r="O145" s="25">
        <f t="shared" si="24"/>
        <v>0</v>
      </c>
      <c r="P145" s="25">
        <f t="shared" si="25"/>
        <v>0</v>
      </c>
      <c r="Q145" s="26">
        <f t="shared" si="26"/>
        <v>0</v>
      </c>
      <c r="R145" s="27">
        <f t="shared" si="27"/>
        <v>0</v>
      </c>
      <c r="S145" s="28">
        <f t="shared" si="28"/>
        <v>0</v>
      </c>
    </row>
    <row r="146" spans="2:19" hidden="1">
      <c r="B146" s="664" t="s">
        <v>627</v>
      </c>
      <c r="C146" s="637"/>
      <c r="D146" s="637"/>
      <c r="E146" s="637"/>
      <c r="F146" s="637"/>
      <c r="G146" s="638"/>
      <c r="H146" s="626">
        <f t="shared" si="21"/>
        <v>0</v>
      </c>
      <c r="I146" s="631">
        <f t="shared" si="22"/>
        <v>8.824583333333333</v>
      </c>
      <c r="J146" s="627"/>
      <c r="K146" s="665"/>
      <c r="L146" s="666">
        <v>8.824583333333333</v>
      </c>
      <c r="M146" s="111">
        <v>24</v>
      </c>
      <c r="N146" s="25">
        <f t="shared" si="23"/>
        <v>0</v>
      </c>
      <c r="O146" s="25">
        <f t="shared" si="24"/>
        <v>0</v>
      </c>
      <c r="P146" s="25">
        <f t="shared" si="25"/>
        <v>0</v>
      </c>
      <c r="Q146" s="26">
        <f t="shared" si="26"/>
        <v>0</v>
      </c>
      <c r="R146" s="27">
        <f t="shared" si="27"/>
        <v>0</v>
      </c>
      <c r="S146" s="28">
        <f t="shared" si="28"/>
        <v>0</v>
      </c>
    </row>
    <row r="147" spans="2:19" hidden="1">
      <c r="B147" s="664" t="s">
        <v>1177</v>
      </c>
      <c r="C147" s="637"/>
      <c r="D147" s="637"/>
      <c r="E147" s="637"/>
      <c r="F147" s="637"/>
      <c r="G147" s="638"/>
      <c r="H147" s="626">
        <f t="shared" si="21"/>
        <v>0</v>
      </c>
      <c r="I147" s="631">
        <f t="shared" si="22"/>
        <v>70.666666666666671</v>
      </c>
      <c r="J147" s="627"/>
      <c r="K147" s="665"/>
      <c r="L147" s="666">
        <v>70.666666666666671</v>
      </c>
      <c r="M147" s="111">
        <v>6</v>
      </c>
      <c r="N147" s="25">
        <f t="shared" si="23"/>
        <v>0</v>
      </c>
      <c r="O147" s="25">
        <f t="shared" si="24"/>
        <v>0</v>
      </c>
      <c r="P147" s="25">
        <f t="shared" si="25"/>
        <v>0</v>
      </c>
      <c r="Q147" s="26">
        <f t="shared" si="26"/>
        <v>0</v>
      </c>
      <c r="R147" s="27">
        <f t="shared" si="27"/>
        <v>0</v>
      </c>
      <c r="S147" s="28">
        <f t="shared" si="28"/>
        <v>0</v>
      </c>
    </row>
    <row r="148" spans="2:19" hidden="1">
      <c r="B148" s="664" t="s">
        <v>1177</v>
      </c>
      <c r="C148" s="637"/>
      <c r="D148" s="637"/>
      <c r="E148" s="637"/>
      <c r="F148" s="637"/>
      <c r="G148" s="638"/>
      <c r="H148" s="626">
        <f t="shared" si="21"/>
        <v>0</v>
      </c>
      <c r="I148" s="631">
        <f t="shared" si="22"/>
        <v>74.2</v>
      </c>
      <c r="J148" s="627"/>
      <c r="K148" s="665"/>
      <c r="L148" s="666">
        <v>74.2</v>
      </c>
      <c r="M148" s="111">
        <v>4</v>
      </c>
      <c r="N148" s="25">
        <f t="shared" si="23"/>
        <v>0</v>
      </c>
      <c r="O148" s="25">
        <f t="shared" si="24"/>
        <v>0</v>
      </c>
      <c r="P148" s="25">
        <f t="shared" si="25"/>
        <v>0</v>
      </c>
      <c r="Q148" s="26">
        <f t="shared" si="26"/>
        <v>0</v>
      </c>
      <c r="R148" s="27">
        <f t="shared" si="27"/>
        <v>0</v>
      </c>
      <c r="S148" s="28">
        <f t="shared" si="28"/>
        <v>0</v>
      </c>
    </row>
    <row r="149" spans="2:19" hidden="1">
      <c r="B149" s="664" t="s">
        <v>1177</v>
      </c>
      <c r="C149" s="637"/>
      <c r="D149" s="637"/>
      <c r="E149" s="637"/>
      <c r="F149" s="637"/>
      <c r="G149" s="638"/>
      <c r="H149" s="626">
        <f t="shared" si="21"/>
        <v>0</v>
      </c>
      <c r="I149" s="631">
        <f t="shared" si="22"/>
        <v>67.605833333333337</v>
      </c>
      <c r="J149" s="627"/>
      <c r="K149" s="665"/>
      <c r="L149" s="666">
        <v>67.605833333333337</v>
      </c>
      <c r="M149" s="111">
        <v>12</v>
      </c>
      <c r="N149" s="25">
        <f t="shared" si="23"/>
        <v>0</v>
      </c>
      <c r="O149" s="25">
        <f t="shared" si="24"/>
        <v>0</v>
      </c>
      <c r="P149" s="25">
        <f t="shared" si="25"/>
        <v>0</v>
      </c>
      <c r="Q149" s="26">
        <f t="shared" si="26"/>
        <v>0</v>
      </c>
      <c r="R149" s="27">
        <f t="shared" si="27"/>
        <v>0</v>
      </c>
      <c r="S149" s="28">
        <f t="shared" si="28"/>
        <v>0</v>
      </c>
    </row>
    <row r="150" spans="2:19" hidden="1">
      <c r="B150" s="664" t="s">
        <v>1178</v>
      </c>
      <c r="C150" s="637"/>
      <c r="D150" s="637"/>
      <c r="E150" s="637"/>
      <c r="F150" s="637"/>
      <c r="G150" s="638"/>
      <c r="H150" s="626">
        <f t="shared" si="21"/>
        <v>0</v>
      </c>
      <c r="I150" s="631">
        <f t="shared" si="22"/>
        <v>11.041666666666666</v>
      </c>
      <c r="J150" s="627"/>
      <c r="K150" s="665"/>
      <c r="L150" s="666">
        <v>11.041666666666666</v>
      </c>
      <c r="M150" s="111">
        <v>12</v>
      </c>
      <c r="N150" s="25">
        <f t="shared" si="23"/>
        <v>0</v>
      </c>
      <c r="O150" s="25">
        <f t="shared" si="24"/>
        <v>0</v>
      </c>
      <c r="P150" s="25">
        <f t="shared" si="25"/>
        <v>0</v>
      </c>
      <c r="Q150" s="26">
        <f t="shared" si="26"/>
        <v>0</v>
      </c>
      <c r="R150" s="27">
        <f t="shared" si="27"/>
        <v>0</v>
      </c>
      <c r="S150" s="28">
        <f t="shared" si="28"/>
        <v>0</v>
      </c>
    </row>
    <row r="151" spans="2:19" hidden="1">
      <c r="B151" s="664" t="s">
        <v>1178</v>
      </c>
      <c r="C151" s="637"/>
      <c r="D151" s="637"/>
      <c r="E151" s="637"/>
      <c r="F151" s="637"/>
      <c r="G151" s="638"/>
      <c r="H151" s="626">
        <f t="shared" si="21"/>
        <v>0</v>
      </c>
      <c r="I151" s="631">
        <f t="shared" si="22"/>
        <v>10.40625</v>
      </c>
      <c r="J151" s="627"/>
      <c r="K151" s="665"/>
      <c r="L151" s="666">
        <v>10.40625</v>
      </c>
      <c r="M151" s="111">
        <v>24</v>
      </c>
      <c r="N151" s="25">
        <f t="shared" si="23"/>
        <v>0</v>
      </c>
      <c r="O151" s="25">
        <f t="shared" si="24"/>
        <v>0</v>
      </c>
      <c r="P151" s="25">
        <f t="shared" si="25"/>
        <v>0</v>
      </c>
      <c r="Q151" s="26">
        <f t="shared" si="26"/>
        <v>0</v>
      </c>
      <c r="R151" s="27">
        <f t="shared" si="27"/>
        <v>0</v>
      </c>
      <c r="S151" s="28">
        <f t="shared" si="28"/>
        <v>0</v>
      </c>
    </row>
    <row r="152" spans="2:19" hidden="1">
      <c r="B152" s="664" t="s">
        <v>628</v>
      </c>
      <c r="C152" s="637"/>
      <c r="D152" s="637"/>
      <c r="E152" s="637"/>
      <c r="F152" s="637"/>
      <c r="G152" s="638"/>
      <c r="H152" s="626">
        <f t="shared" si="21"/>
        <v>0</v>
      </c>
      <c r="I152" s="631">
        <f t="shared" si="22"/>
        <v>16.327500000000001</v>
      </c>
      <c r="J152" s="627"/>
      <c r="K152" s="665"/>
      <c r="L152" s="666">
        <v>16.327500000000001</v>
      </c>
      <c r="M152" s="111">
        <v>24</v>
      </c>
      <c r="N152" s="25">
        <f t="shared" si="23"/>
        <v>0</v>
      </c>
      <c r="O152" s="25">
        <f t="shared" si="24"/>
        <v>0</v>
      </c>
      <c r="P152" s="25">
        <f t="shared" si="25"/>
        <v>0</v>
      </c>
      <c r="Q152" s="26">
        <f t="shared" si="26"/>
        <v>0</v>
      </c>
      <c r="R152" s="27">
        <f t="shared" si="27"/>
        <v>0</v>
      </c>
      <c r="S152" s="28">
        <f t="shared" si="28"/>
        <v>0</v>
      </c>
    </row>
    <row r="153" spans="2:19" hidden="1">
      <c r="B153" s="664" t="s">
        <v>629</v>
      </c>
      <c r="C153" s="637"/>
      <c r="D153" s="637"/>
      <c r="E153" s="637"/>
      <c r="F153" s="637"/>
      <c r="G153" s="638"/>
      <c r="H153" s="626">
        <f t="shared" si="21"/>
        <v>0</v>
      </c>
      <c r="I153" s="631">
        <f t="shared" si="22"/>
        <v>121.29083333333334</v>
      </c>
      <c r="J153" s="627"/>
      <c r="K153" s="665"/>
      <c r="L153" s="666">
        <v>121.29083333333334</v>
      </c>
      <c r="M153" s="111">
        <v>12</v>
      </c>
      <c r="N153" s="25">
        <f t="shared" si="23"/>
        <v>0</v>
      </c>
      <c r="O153" s="25">
        <f t="shared" si="24"/>
        <v>0</v>
      </c>
      <c r="P153" s="25">
        <f t="shared" si="25"/>
        <v>0</v>
      </c>
      <c r="Q153" s="26">
        <f t="shared" si="26"/>
        <v>0</v>
      </c>
      <c r="R153" s="27">
        <f t="shared" si="27"/>
        <v>0</v>
      </c>
      <c r="S153" s="28">
        <f t="shared" si="28"/>
        <v>0</v>
      </c>
    </row>
    <row r="154" spans="2:19" hidden="1">
      <c r="B154" s="664" t="s">
        <v>630</v>
      </c>
      <c r="C154" s="637"/>
      <c r="D154" s="637"/>
      <c r="E154" s="637"/>
      <c r="F154" s="637"/>
      <c r="G154" s="638"/>
      <c r="H154" s="626">
        <f t="shared" si="21"/>
        <v>0</v>
      </c>
      <c r="I154" s="631">
        <f t="shared" si="22"/>
        <v>8.6741666666666664</v>
      </c>
      <c r="J154" s="627"/>
      <c r="K154" s="665"/>
      <c r="L154" s="666">
        <v>8.6741666666666664</v>
      </c>
      <c r="M154" s="111">
        <v>24</v>
      </c>
      <c r="N154" s="25">
        <f t="shared" si="23"/>
        <v>0</v>
      </c>
      <c r="O154" s="25">
        <f t="shared" si="24"/>
        <v>0</v>
      </c>
      <c r="P154" s="25">
        <f t="shared" si="25"/>
        <v>0</v>
      </c>
      <c r="Q154" s="26">
        <f t="shared" si="26"/>
        <v>0</v>
      </c>
      <c r="R154" s="27">
        <f t="shared" si="27"/>
        <v>0</v>
      </c>
      <c r="S154" s="28">
        <f t="shared" si="28"/>
        <v>0</v>
      </c>
    </row>
    <row r="155" spans="2:19" hidden="1">
      <c r="B155" s="664" t="s">
        <v>1179</v>
      </c>
      <c r="C155" s="637"/>
      <c r="D155" s="637"/>
      <c r="E155" s="637"/>
      <c r="F155" s="637"/>
      <c r="G155" s="638"/>
      <c r="H155" s="626">
        <f t="shared" si="21"/>
        <v>0</v>
      </c>
      <c r="I155" s="631">
        <f t="shared" si="22"/>
        <v>55.65</v>
      </c>
      <c r="J155" s="627"/>
      <c r="K155" s="665"/>
      <c r="L155" s="666">
        <v>55.65</v>
      </c>
      <c r="M155" s="111">
        <v>12</v>
      </c>
      <c r="N155" s="25">
        <f t="shared" si="23"/>
        <v>0</v>
      </c>
      <c r="O155" s="25">
        <f t="shared" si="24"/>
        <v>0</v>
      </c>
      <c r="P155" s="25">
        <f t="shared" si="25"/>
        <v>0</v>
      </c>
      <c r="Q155" s="26">
        <f t="shared" si="26"/>
        <v>0</v>
      </c>
      <c r="R155" s="27">
        <f t="shared" si="27"/>
        <v>0</v>
      </c>
      <c r="S155" s="28">
        <f t="shared" si="28"/>
        <v>0</v>
      </c>
    </row>
    <row r="156" spans="2:19" hidden="1">
      <c r="B156" s="664" t="s">
        <v>1180</v>
      </c>
      <c r="C156" s="637"/>
      <c r="D156" s="637"/>
      <c r="E156" s="637"/>
      <c r="F156" s="637"/>
      <c r="G156" s="638"/>
      <c r="H156" s="626">
        <f t="shared" si="21"/>
        <v>0</v>
      </c>
      <c r="I156" s="631">
        <f t="shared" si="22"/>
        <v>503.5</v>
      </c>
      <c r="J156" s="627"/>
      <c r="K156" s="665"/>
      <c r="L156" s="666">
        <v>503.5</v>
      </c>
      <c r="M156" s="111">
        <v>6</v>
      </c>
      <c r="N156" s="25">
        <f t="shared" si="23"/>
        <v>0</v>
      </c>
      <c r="O156" s="25">
        <f t="shared" si="24"/>
        <v>0</v>
      </c>
      <c r="P156" s="25">
        <f t="shared" si="25"/>
        <v>0</v>
      </c>
      <c r="Q156" s="26">
        <f t="shared" si="26"/>
        <v>0</v>
      </c>
      <c r="R156" s="27">
        <f t="shared" si="27"/>
        <v>0</v>
      </c>
      <c r="S156" s="28">
        <f t="shared" si="28"/>
        <v>0</v>
      </c>
    </row>
    <row r="157" spans="2:19" hidden="1">
      <c r="B157" s="664" t="s">
        <v>1181</v>
      </c>
      <c r="C157" s="637"/>
      <c r="D157" s="637"/>
      <c r="E157" s="637"/>
      <c r="F157" s="637"/>
      <c r="G157" s="638"/>
      <c r="H157" s="626">
        <f t="shared" si="21"/>
        <v>0</v>
      </c>
      <c r="I157" s="631">
        <f t="shared" si="22"/>
        <v>15.316999999999998</v>
      </c>
      <c r="J157" s="627"/>
      <c r="K157" s="665"/>
      <c r="L157" s="666">
        <v>15.316999999999998</v>
      </c>
      <c r="M157" s="111">
        <v>20</v>
      </c>
      <c r="N157" s="25">
        <f t="shared" si="23"/>
        <v>0</v>
      </c>
      <c r="O157" s="25">
        <f t="shared" si="24"/>
        <v>0</v>
      </c>
      <c r="P157" s="25">
        <f t="shared" si="25"/>
        <v>0</v>
      </c>
      <c r="Q157" s="26">
        <f t="shared" si="26"/>
        <v>0</v>
      </c>
      <c r="R157" s="27">
        <f t="shared" si="27"/>
        <v>0</v>
      </c>
      <c r="S157" s="28">
        <f t="shared" si="28"/>
        <v>0</v>
      </c>
    </row>
    <row r="158" spans="2:19" hidden="1">
      <c r="B158" s="664" t="s">
        <v>1182</v>
      </c>
      <c r="C158" s="637"/>
      <c r="D158" s="637"/>
      <c r="E158" s="637"/>
      <c r="F158" s="637"/>
      <c r="G158" s="638"/>
      <c r="H158" s="626">
        <f t="shared" si="21"/>
        <v>0</v>
      </c>
      <c r="I158" s="631">
        <f t="shared" si="22"/>
        <v>5.194</v>
      </c>
      <c r="J158" s="627"/>
      <c r="K158" s="665"/>
      <c r="L158" s="666">
        <v>5.194</v>
      </c>
      <c r="M158" s="111">
        <v>70</v>
      </c>
      <c r="N158" s="25">
        <f t="shared" si="23"/>
        <v>0</v>
      </c>
      <c r="O158" s="25">
        <f t="shared" si="24"/>
        <v>0</v>
      </c>
      <c r="P158" s="25">
        <f t="shared" si="25"/>
        <v>0</v>
      </c>
      <c r="Q158" s="26">
        <f t="shared" si="26"/>
        <v>0</v>
      </c>
      <c r="R158" s="27">
        <f t="shared" si="27"/>
        <v>0</v>
      </c>
      <c r="S158" s="28">
        <f t="shared" si="28"/>
        <v>0</v>
      </c>
    </row>
    <row r="159" spans="2:19" hidden="1">
      <c r="B159" s="664" t="s">
        <v>631</v>
      </c>
      <c r="C159" s="637"/>
      <c r="D159" s="637"/>
      <c r="E159" s="637"/>
      <c r="F159" s="637"/>
      <c r="G159" s="638"/>
      <c r="H159" s="626">
        <f t="shared" si="21"/>
        <v>0</v>
      </c>
      <c r="I159" s="631">
        <f t="shared" si="22"/>
        <v>5.194</v>
      </c>
      <c r="J159" s="627"/>
      <c r="K159" s="665"/>
      <c r="L159" s="666">
        <v>5.194</v>
      </c>
      <c r="M159" s="111">
        <v>70</v>
      </c>
      <c r="N159" s="25">
        <f t="shared" si="23"/>
        <v>0</v>
      </c>
      <c r="O159" s="25">
        <f t="shared" si="24"/>
        <v>0</v>
      </c>
      <c r="P159" s="25">
        <f t="shared" si="25"/>
        <v>0</v>
      </c>
      <c r="Q159" s="26">
        <f t="shared" si="26"/>
        <v>0</v>
      </c>
      <c r="R159" s="27">
        <f t="shared" si="27"/>
        <v>0</v>
      </c>
      <c r="S159" s="28">
        <f t="shared" si="28"/>
        <v>0</v>
      </c>
    </row>
    <row r="160" spans="2:19">
      <c r="B160" s="664" t="s">
        <v>1183</v>
      </c>
      <c r="C160" s="637"/>
      <c r="D160" s="637"/>
      <c r="E160" s="637">
        <v>100</v>
      </c>
      <c r="F160" s="637"/>
      <c r="G160" s="638"/>
      <c r="H160" s="626">
        <f t="shared" si="21"/>
        <v>100</v>
      </c>
      <c r="I160" s="631">
        <v>4.2</v>
      </c>
      <c r="J160" s="627"/>
      <c r="K160" s="665"/>
      <c r="L160" s="666">
        <v>6.7309999999999999</v>
      </c>
      <c r="M160" s="111">
        <v>40</v>
      </c>
      <c r="N160" s="25">
        <f t="shared" si="23"/>
        <v>0</v>
      </c>
      <c r="O160" s="25">
        <f t="shared" si="24"/>
        <v>0</v>
      </c>
      <c r="P160" s="25">
        <f t="shared" si="25"/>
        <v>420</v>
      </c>
      <c r="Q160" s="26">
        <f t="shared" si="26"/>
        <v>0</v>
      </c>
      <c r="R160" s="27">
        <f t="shared" si="27"/>
        <v>0</v>
      </c>
      <c r="S160" s="28">
        <f t="shared" si="28"/>
        <v>420</v>
      </c>
    </row>
    <row r="161" spans="2:19" hidden="1">
      <c r="B161" s="664" t="s">
        <v>1184</v>
      </c>
      <c r="C161" s="637"/>
      <c r="D161" s="637"/>
      <c r="E161" s="637"/>
      <c r="F161" s="637"/>
      <c r="G161" s="638"/>
      <c r="H161" s="626">
        <f t="shared" si="21"/>
        <v>0</v>
      </c>
      <c r="I161" s="631">
        <f t="shared" si="22"/>
        <v>30.74</v>
      </c>
      <c r="J161" s="627"/>
      <c r="K161" s="665"/>
      <c r="L161" s="666">
        <v>30.74</v>
      </c>
      <c r="M161" s="111">
        <v>20</v>
      </c>
      <c r="N161" s="25">
        <f t="shared" si="23"/>
        <v>0</v>
      </c>
      <c r="O161" s="25">
        <f t="shared" si="24"/>
        <v>0</v>
      </c>
      <c r="P161" s="25">
        <f t="shared" si="25"/>
        <v>0</v>
      </c>
      <c r="Q161" s="26">
        <f t="shared" si="26"/>
        <v>0</v>
      </c>
      <c r="R161" s="27">
        <f t="shared" si="27"/>
        <v>0</v>
      </c>
      <c r="S161" s="28">
        <f t="shared" si="28"/>
        <v>0</v>
      </c>
    </row>
    <row r="162" spans="2:19" hidden="1">
      <c r="B162" s="664" t="s">
        <v>1185</v>
      </c>
      <c r="C162" s="637"/>
      <c r="D162" s="637"/>
      <c r="E162" s="637"/>
      <c r="F162" s="637"/>
      <c r="G162" s="638"/>
      <c r="H162" s="626">
        <f t="shared" si="21"/>
        <v>0</v>
      </c>
      <c r="I162" s="631">
        <f t="shared" si="22"/>
        <v>29.725000000000001</v>
      </c>
      <c r="J162" s="627"/>
      <c r="K162" s="665"/>
      <c r="L162" s="666">
        <v>29.725000000000001</v>
      </c>
      <c r="M162" s="111">
        <v>20</v>
      </c>
      <c r="N162" s="25">
        <f t="shared" si="23"/>
        <v>0</v>
      </c>
      <c r="O162" s="25">
        <f t="shared" si="24"/>
        <v>0</v>
      </c>
      <c r="P162" s="25">
        <f t="shared" si="25"/>
        <v>0</v>
      </c>
      <c r="Q162" s="26">
        <f t="shared" si="26"/>
        <v>0</v>
      </c>
      <c r="R162" s="27">
        <f t="shared" si="27"/>
        <v>0</v>
      </c>
      <c r="S162" s="28">
        <f t="shared" si="28"/>
        <v>0</v>
      </c>
    </row>
    <row r="163" spans="2:19" hidden="1">
      <c r="B163" s="664" t="s">
        <v>1186</v>
      </c>
      <c r="C163" s="637"/>
      <c r="D163" s="637"/>
      <c r="E163" s="637"/>
      <c r="F163" s="637"/>
      <c r="G163" s="638"/>
      <c r="H163" s="626">
        <f t="shared" si="21"/>
        <v>0</v>
      </c>
      <c r="I163" s="631">
        <f t="shared" si="22"/>
        <v>62.765000000000001</v>
      </c>
      <c r="J163" s="627"/>
      <c r="K163" s="665"/>
      <c r="L163" s="666">
        <v>62.765000000000001</v>
      </c>
      <c r="M163" s="111">
        <v>4</v>
      </c>
      <c r="N163" s="25">
        <f t="shared" si="23"/>
        <v>0</v>
      </c>
      <c r="O163" s="25">
        <f t="shared" si="24"/>
        <v>0</v>
      </c>
      <c r="P163" s="25">
        <f t="shared" si="25"/>
        <v>0</v>
      </c>
      <c r="Q163" s="26">
        <f t="shared" si="26"/>
        <v>0</v>
      </c>
      <c r="R163" s="27">
        <f t="shared" si="27"/>
        <v>0</v>
      </c>
      <c r="S163" s="28">
        <f t="shared" si="28"/>
        <v>0</v>
      </c>
    </row>
    <row r="164" spans="2:19" hidden="1">
      <c r="B164" s="664" t="s">
        <v>1187</v>
      </c>
      <c r="C164" s="637"/>
      <c r="D164" s="637"/>
      <c r="E164" s="637"/>
      <c r="F164" s="637"/>
      <c r="G164" s="638"/>
      <c r="H164" s="626">
        <f t="shared" si="21"/>
        <v>0</v>
      </c>
      <c r="I164" s="631">
        <f t="shared" si="22"/>
        <v>56.533333333333331</v>
      </c>
      <c r="J164" s="627"/>
      <c r="K164" s="665"/>
      <c r="L164" s="666">
        <v>56.533333333333331</v>
      </c>
      <c r="M164" s="111">
        <v>6</v>
      </c>
      <c r="N164" s="25">
        <f t="shared" si="23"/>
        <v>0</v>
      </c>
      <c r="O164" s="25">
        <f t="shared" si="24"/>
        <v>0</v>
      </c>
      <c r="P164" s="25">
        <f t="shared" si="25"/>
        <v>0</v>
      </c>
      <c r="Q164" s="26">
        <f t="shared" si="26"/>
        <v>0</v>
      </c>
      <c r="R164" s="27">
        <f t="shared" si="27"/>
        <v>0</v>
      </c>
      <c r="S164" s="28">
        <f t="shared" si="28"/>
        <v>0</v>
      </c>
    </row>
    <row r="165" spans="2:19" hidden="1">
      <c r="B165" s="664" t="s">
        <v>1188</v>
      </c>
      <c r="C165" s="637"/>
      <c r="D165" s="637"/>
      <c r="E165" s="637"/>
      <c r="F165" s="637"/>
      <c r="G165" s="638"/>
      <c r="H165" s="626">
        <f t="shared" si="21"/>
        <v>0</v>
      </c>
      <c r="I165" s="631">
        <f t="shared" si="22"/>
        <v>152.09</v>
      </c>
      <c r="J165" s="627"/>
      <c r="K165" s="665"/>
      <c r="L165" s="666">
        <v>152.09</v>
      </c>
      <c r="M165" s="111">
        <v>6</v>
      </c>
      <c r="N165" s="25">
        <f t="shared" si="23"/>
        <v>0</v>
      </c>
      <c r="O165" s="25">
        <f t="shared" si="24"/>
        <v>0</v>
      </c>
      <c r="P165" s="25">
        <f t="shared" si="25"/>
        <v>0</v>
      </c>
      <c r="Q165" s="26">
        <f t="shared" si="26"/>
        <v>0</v>
      </c>
      <c r="R165" s="27">
        <f t="shared" si="27"/>
        <v>0</v>
      </c>
      <c r="S165" s="28">
        <f t="shared" si="28"/>
        <v>0</v>
      </c>
    </row>
    <row r="166" spans="2:19" hidden="1">
      <c r="B166" s="664" t="s">
        <v>1189</v>
      </c>
      <c r="C166" s="637"/>
      <c r="D166" s="637"/>
      <c r="E166" s="637"/>
      <c r="F166" s="637"/>
      <c r="G166" s="638"/>
      <c r="H166" s="626">
        <f t="shared" si="21"/>
        <v>0</v>
      </c>
      <c r="I166" s="631">
        <f t="shared" si="22"/>
        <v>17.102</v>
      </c>
      <c r="J166" s="627"/>
      <c r="K166" s="665"/>
      <c r="L166" s="666">
        <v>17.102</v>
      </c>
      <c r="M166" s="111">
        <v>20</v>
      </c>
      <c r="N166" s="25">
        <f t="shared" si="23"/>
        <v>0</v>
      </c>
      <c r="O166" s="25">
        <f t="shared" si="24"/>
        <v>0</v>
      </c>
      <c r="P166" s="25">
        <f t="shared" si="25"/>
        <v>0</v>
      </c>
      <c r="Q166" s="26">
        <f t="shared" si="26"/>
        <v>0</v>
      </c>
      <c r="R166" s="27">
        <f t="shared" si="27"/>
        <v>0</v>
      </c>
      <c r="S166" s="28">
        <f t="shared" si="28"/>
        <v>0</v>
      </c>
    </row>
    <row r="167" spans="2:19" hidden="1">
      <c r="B167" s="664" t="s">
        <v>1190</v>
      </c>
      <c r="C167" s="637"/>
      <c r="D167" s="637"/>
      <c r="E167" s="637"/>
      <c r="F167" s="637"/>
      <c r="G167" s="638"/>
      <c r="H167" s="626">
        <f t="shared" si="21"/>
        <v>0</v>
      </c>
      <c r="I167" s="631">
        <f t="shared" si="22"/>
        <v>65.39500000000001</v>
      </c>
      <c r="J167" s="627"/>
      <c r="K167" s="665"/>
      <c r="L167" s="666">
        <v>65.39500000000001</v>
      </c>
      <c r="M167" s="111">
        <v>10</v>
      </c>
      <c r="N167" s="25">
        <f t="shared" si="23"/>
        <v>0</v>
      </c>
      <c r="O167" s="25">
        <f t="shared" si="24"/>
        <v>0</v>
      </c>
      <c r="P167" s="25">
        <f t="shared" si="25"/>
        <v>0</v>
      </c>
      <c r="Q167" s="26">
        <f t="shared" si="26"/>
        <v>0</v>
      </c>
      <c r="R167" s="27">
        <f t="shared" si="27"/>
        <v>0</v>
      </c>
      <c r="S167" s="28">
        <f t="shared" si="28"/>
        <v>0</v>
      </c>
    </row>
    <row r="168" spans="2:19" hidden="1">
      <c r="B168" s="664" t="s">
        <v>1191</v>
      </c>
      <c r="C168" s="637"/>
      <c r="D168" s="637"/>
      <c r="E168" s="637"/>
      <c r="F168" s="637"/>
      <c r="G168" s="638"/>
      <c r="H168" s="626">
        <f t="shared" si="21"/>
        <v>0</v>
      </c>
      <c r="I168" s="631">
        <f t="shared" si="22"/>
        <v>43.46</v>
      </c>
      <c r="J168" s="627"/>
      <c r="K168" s="665"/>
      <c r="L168" s="666">
        <v>43.46</v>
      </c>
      <c r="M168" s="111">
        <v>20</v>
      </c>
      <c r="N168" s="25">
        <f t="shared" si="23"/>
        <v>0</v>
      </c>
      <c r="O168" s="25">
        <f t="shared" si="24"/>
        <v>0</v>
      </c>
      <c r="P168" s="25">
        <f t="shared" si="25"/>
        <v>0</v>
      </c>
      <c r="Q168" s="26">
        <f t="shared" si="26"/>
        <v>0</v>
      </c>
      <c r="R168" s="27">
        <f t="shared" si="27"/>
        <v>0</v>
      </c>
      <c r="S168" s="28">
        <f t="shared" si="28"/>
        <v>0</v>
      </c>
    </row>
    <row r="169" spans="2:19" hidden="1">
      <c r="B169" s="664" t="s">
        <v>1192</v>
      </c>
      <c r="C169" s="637"/>
      <c r="D169" s="637"/>
      <c r="E169" s="637"/>
      <c r="F169" s="637"/>
      <c r="G169" s="638"/>
      <c r="H169" s="626">
        <f t="shared" si="21"/>
        <v>0</v>
      </c>
      <c r="I169" s="631">
        <f t="shared" si="22"/>
        <v>37.6235</v>
      </c>
      <c r="J169" s="627"/>
      <c r="K169" s="665"/>
      <c r="L169" s="666">
        <v>37.6235</v>
      </c>
      <c r="M169" s="111">
        <v>20</v>
      </c>
      <c r="N169" s="25">
        <f t="shared" si="23"/>
        <v>0</v>
      </c>
      <c r="O169" s="25">
        <f t="shared" si="24"/>
        <v>0</v>
      </c>
      <c r="P169" s="25">
        <f t="shared" si="25"/>
        <v>0</v>
      </c>
      <c r="Q169" s="26">
        <f t="shared" si="26"/>
        <v>0</v>
      </c>
      <c r="R169" s="27">
        <f t="shared" si="27"/>
        <v>0</v>
      </c>
      <c r="S169" s="28">
        <f t="shared" si="28"/>
        <v>0</v>
      </c>
    </row>
    <row r="170" spans="2:19" hidden="1">
      <c r="B170" s="664" t="s">
        <v>1193</v>
      </c>
      <c r="C170" s="637"/>
      <c r="D170" s="637"/>
      <c r="E170" s="637"/>
      <c r="F170" s="637"/>
      <c r="G170" s="638"/>
      <c r="H170" s="626">
        <f t="shared" si="21"/>
        <v>0</v>
      </c>
      <c r="I170" s="631">
        <f t="shared" si="22"/>
        <v>37.409166666666671</v>
      </c>
      <c r="J170" s="627"/>
      <c r="K170" s="665"/>
      <c r="L170" s="666">
        <v>37.409166666666671</v>
      </c>
      <c r="M170" s="111">
        <v>24</v>
      </c>
      <c r="N170" s="25">
        <f t="shared" si="23"/>
        <v>0</v>
      </c>
      <c r="O170" s="25">
        <f t="shared" si="24"/>
        <v>0</v>
      </c>
      <c r="P170" s="25">
        <f t="shared" si="25"/>
        <v>0</v>
      </c>
      <c r="Q170" s="26">
        <f t="shared" si="26"/>
        <v>0</v>
      </c>
      <c r="R170" s="27">
        <f t="shared" si="27"/>
        <v>0</v>
      </c>
      <c r="S170" s="28">
        <f t="shared" si="28"/>
        <v>0</v>
      </c>
    </row>
    <row r="171" spans="2:19" hidden="1">
      <c r="B171" s="664" t="s">
        <v>1194</v>
      </c>
      <c r="C171" s="637"/>
      <c r="D171" s="637"/>
      <c r="E171" s="637"/>
      <c r="F171" s="637"/>
      <c r="G171" s="638"/>
      <c r="H171" s="626">
        <f t="shared" si="21"/>
        <v>0</v>
      </c>
      <c r="I171" s="631">
        <f t="shared" si="22"/>
        <v>130.91</v>
      </c>
      <c r="J171" s="627"/>
      <c r="K171" s="665"/>
      <c r="L171" s="666">
        <v>130.91</v>
      </c>
      <c r="M171" s="111">
        <v>12</v>
      </c>
      <c r="N171" s="25">
        <f t="shared" si="23"/>
        <v>0</v>
      </c>
      <c r="O171" s="25">
        <f t="shared" si="24"/>
        <v>0</v>
      </c>
      <c r="P171" s="25">
        <f t="shared" si="25"/>
        <v>0</v>
      </c>
      <c r="Q171" s="26">
        <f t="shared" si="26"/>
        <v>0</v>
      </c>
      <c r="R171" s="27">
        <f t="shared" si="27"/>
        <v>0</v>
      </c>
      <c r="S171" s="28">
        <f t="shared" si="28"/>
        <v>0</v>
      </c>
    </row>
    <row r="172" spans="2:19" hidden="1">
      <c r="B172" s="664" t="s">
        <v>1195</v>
      </c>
      <c r="C172" s="637"/>
      <c r="D172" s="637"/>
      <c r="E172" s="637"/>
      <c r="F172" s="637"/>
      <c r="G172" s="638"/>
      <c r="H172" s="626">
        <f t="shared" si="21"/>
        <v>0</v>
      </c>
      <c r="I172" s="631">
        <f t="shared" si="22"/>
        <v>49.908333333333331</v>
      </c>
      <c r="J172" s="627"/>
      <c r="K172" s="665"/>
      <c r="L172" s="666">
        <v>49.908333333333331</v>
      </c>
      <c r="M172" s="111">
        <v>12</v>
      </c>
      <c r="N172" s="25">
        <f t="shared" si="23"/>
        <v>0</v>
      </c>
      <c r="O172" s="25">
        <f t="shared" si="24"/>
        <v>0</v>
      </c>
      <c r="P172" s="25">
        <f t="shared" si="25"/>
        <v>0</v>
      </c>
      <c r="Q172" s="26">
        <f t="shared" si="26"/>
        <v>0</v>
      </c>
      <c r="R172" s="27">
        <f t="shared" si="27"/>
        <v>0</v>
      </c>
      <c r="S172" s="28">
        <f t="shared" si="28"/>
        <v>0</v>
      </c>
    </row>
    <row r="173" spans="2:19" hidden="1">
      <c r="B173" s="664" t="s">
        <v>1196</v>
      </c>
      <c r="C173" s="637"/>
      <c r="D173" s="637"/>
      <c r="E173" s="637"/>
      <c r="F173" s="637"/>
      <c r="G173" s="638"/>
      <c r="H173" s="626">
        <f t="shared" si="21"/>
        <v>0</v>
      </c>
      <c r="I173" s="631">
        <f t="shared" si="22"/>
        <v>19.7425</v>
      </c>
      <c r="J173" s="627"/>
      <c r="K173" s="665"/>
      <c r="L173" s="666">
        <v>19.7425</v>
      </c>
      <c r="M173" s="111">
        <v>24</v>
      </c>
      <c r="N173" s="25">
        <f t="shared" si="23"/>
        <v>0</v>
      </c>
      <c r="O173" s="25">
        <f t="shared" si="24"/>
        <v>0</v>
      </c>
      <c r="P173" s="25">
        <f t="shared" si="25"/>
        <v>0</v>
      </c>
      <c r="Q173" s="26">
        <f t="shared" si="26"/>
        <v>0</v>
      </c>
      <c r="R173" s="27">
        <f t="shared" si="27"/>
        <v>0</v>
      </c>
      <c r="S173" s="28">
        <f t="shared" si="28"/>
        <v>0</v>
      </c>
    </row>
    <row r="174" spans="2:19" hidden="1">
      <c r="B174" s="664" t="s">
        <v>1197</v>
      </c>
      <c r="C174" s="637"/>
      <c r="D174" s="637"/>
      <c r="E174" s="637"/>
      <c r="F174" s="637"/>
      <c r="G174" s="638"/>
      <c r="H174" s="626">
        <f t="shared" si="21"/>
        <v>0</v>
      </c>
      <c r="I174" s="631">
        <f t="shared" si="22"/>
        <v>13.440999999999999</v>
      </c>
      <c r="J174" s="627"/>
      <c r="K174" s="665"/>
      <c r="L174" s="666">
        <v>13.440999999999999</v>
      </c>
      <c r="M174" s="111">
        <v>20</v>
      </c>
      <c r="N174" s="25">
        <f t="shared" si="23"/>
        <v>0</v>
      </c>
      <c r="O174" s="25">
        <f t="shared" si="24"/>
        <v>0</v>
      </c>
      <c r="P174" s="25">
        <f t="shared" si="25"/>
        <v>0</v>
      </c>
      <c r="Q174" s="26">
        <f t="shared" si="26"/>
        <v>0</v>
      </c>
      <c r="R174" s="27">
        <f t="shared" si="27"/>
        <v>0</v>
      </c>
      <c r="S174" s="28">
        <f t="shared" si="28"/>
        <v>0</v>
      </c>
    </row>
    <row r="175" spans="2:19" hidden="1">
      <c r="B175" s="664" t="s">
        <v>1198</v>
      </c>
      <c r="C175" s="637"/>
      <c r="D175" s="637"/>
      <c r="E175" s="637"/>
      <c r="F175" s="637"/>
      <c r="G175" s="638"/>
      <c r="H175" s="626">
        <f t="shared" si="21"/>
        <v>0</v>
      </c>
      <c r="I175" s="631">
        <f t="shared" si="22"/>
        <v>0.67199999999999993</v>
      </c>
      <c r="J175" s="627"/>
      <c r="K175" s="665"/>
      <c r="L175" s="666">
        <v>0.67199999999999993</v>
      </c>
      <c r="M175" s="111">
        <v>20</v>
      </c>
      <c r="N175" s="25">
        <f t="shared" si="23"/>
        <v>0</v>
      </c>
      <c r="O175" s="25">
        <f t="shared" si="24"/>
        <v>0</v>
      </c>
      <c r="P175" s="25">
        <f t="shared" si="25"/>
        <v>0</v>
      </c>
      <c r="Q175" s="26">
        <f t="shared" si="26"/>
        <v>0</v>
      </c>
      <c r="R175" s="27">
        <f t="shared" si="27"/>
        <v>0</v>
      </c>
      <c r="S175" s="28">
        <f t="shared" si="28"/>
        <v>0</v>
      </c>
    </row>
    <row r="176" spans="2:19" hidden="1">
      <c r="B176" s="664" t="s">
        <v>1199</v>
      </c>
      <c r="C176" s="637"/>
      <c r="D176" s="637"/>
      <c r="E176" s="637"/>
      <c r="F176" s="637"/>
      <c r="G176" s="638"/>
      <c r="H176" s="626">
        <f t="shared" si="21"/>
        <v>0</v>
      </c>
      <c r="I176" s="631">
        <f t="shared" si="22"/>
        <v>22.246666666666666</v>
      </c>
      <c r="J176" s="627"/>
      <c r="K176" s="665"/>
      <c r="L176" s="666">
        <v>22.246666666666666</v>
      </c>
      <c r="M176" s="111">
        <v>12</v>
      </c>
      <c r="N176" s="25">
        <f t="shared" si="23"/>
        <v>0</v>
      </c>
      <c r="O176" s="25">
        <f t="shared" si="24"/>
        <v>0</v>
      </c>
      <c r="P176" s="25">
        <f t="shared" si="25"/>
        <v>0</v>
      </c>
      <c r="Q176" s="26">
        <f t="shared" si="26"/>
        <v>0</v>
      </c>
      <c r="R176" s="27">
        <f t="shared" si="27"/>
        <v>0</v>
      </c>
      <c r="S176" s="28">
        <f t="shared" si="28"/>
        <v>0</v>
      </c>
    </row>
    <row r="177" spans="2:19" hidden="1">
      <c r="B177" s="664" t="s">
        <v>1200</v>
      </c>
      <c r="C177" s="637"/>
      <c r="D177" s="637"/>
      <c r="E177" s="637"/>
      <c r="F177" s="637"/>
      <c r="G177" s="638"/>
      <c r="H177" s="626">
        <f t="shared" si="21"/>
        <v>0</v>
      </c>
      <c r="I177" s="631">
        <f t="shared" si="22"/>
        <v>28.839166666666667</v>
      </c>
      <c r="J177" s="627"/>
      <c r="K177" s="665"/>
      <c r="L177" s="666">
        <v>28.839166666666667</v>
      </c>
      <c r="M177" s="111">
        <v>12</v>
      </c>
      <c r="N177" s="25">
        <f t="shared" si="23"/>
        <v>0</v>
      </c>
      <c r="O177" s="25">
        <f t="shared" si="24"/>
        <v>0</v>
      </c>
      <c r="P177" s="25">
        <f t="shared" si="25"/>
        <v>0</v>
      </c>
      <c r="Q177" s="26">
        <f t="shared" si="26"/>
        <v>0</v>
      </c>
      <c r="R177" s="27">
        <f t="shared" si="27"/>
        <v>0</v>
      </c>
      <c r="S177" s="28">
        <f t="shared" si="28"/>
        <v>0</v>
      </c>
    </row>
    <row r="178" spans="2:19" hidden="1">
      <c r="B178" s="664" t="s">
        <v>1201</v>
      </c>
      <c r="C178" s="637"/>
      <c r="D178" s="637"/>
      <c r="E178" s="637"/>
      <c r="F178" s="637"/>
      <c r="G178" s="638"/>
      <c r="H178" s="626">
        <f t="shared" si="21"/>
        <v>0</v>
      </c>
      <c r="I178" s="631">
        <f t="shared" si="22"/>
        <v>16.479583333333334</v>
      </c>
      <c r="J178" s="627"/>
      <c r="K178" s="665"/>
      <c r="L178" s="666">
        <v>16.479583333333334</v>
      </c>
      <c r="M178" s="111">
        <v>24</v>
      </c>
      <c r="N178" s="25">
        <f t="shared" si="23"/>
        <v>0</v>
      </c>
      <c r="O178" s="25">
        <f t="shared" si="24"/>
        <v>0</v>
      </c>
      <c r="P178" s="25">
        <f t="shared" si="25"/>
        <v>0</v>
      </c>
      <c r="Q178" s="26">
        <f t="shared" si="26"/>
        <v>0</v>
      </c>
      <c r="R178" s="27">
        <f t="shared" si="27"/>
        <v>0</v>
      </c>
      <c r="S178" s="28">
        <f t="shared" si="28"/>
        <v>0</v>
      </c>
    </row>
    <row r="179" spans="2:19" hidden="1">
      <c r="B179" s="664" t="s">
        <v>1202</v>
      </c>
      <c r="C179" s="637"/>
      <c r="D179" s="637"/>
      <c r="E179" s="637"/>
      <c r="F179" s="637"/>
      <c r="G179" s="638"/>
      <c r="H179" s="626">
        <f t="shared" si="21"/>
        <v>0</v>
      </c>
      <c r="I179" s="631">
        <f t="shared" si="22"/>
        <v>24.821666666666669</v>
      </c>
      <c r="J179" s="627"/>
      <c r="K179" s="665"/>
      <c r="L179" s="666">
        <v>24.821666666666669</v>
      </c>
      <c r="M179" s="111">
        <v>12</v>
      </c>
      <c r="N179" s="25">
        <f t="shared" si="23"/>
        <v>0</v>
      </c>
      <c r="O179" s="25">
        <f t="shared" si="24"/>
        <v>0</v>
      </c>
      <c r="P179" s="25">
        <f t="shared" si="25"/>
        <v>0</v>
      </c>
      <c r="Q179" s="26">
        <f t="shared" si="26"/>
        <v>0</v>
      </c>
      <c r="R179" s="27">
        <f t="shared" si="27"/>
        <v>0</v>
      </c>
      <c r="S179" s="28">
        <f t="shared" si="28"/>
        <v>0</v>
      </c>
    </row>
    <row r="180" spans="2:19" hidden="1">
      <c r="B180" s="664" t="s">
        <v>1203</v>
      </c>
      <c r="C180" s="637"/>
      <c r="D180" s="637"/>
      <c r="E180" s="637"/>
      <c r="F180" s="637"/>
      <c r="G180" s="638"/>
      <c r="H180" s="626">
        <f t="shared" si="21"/>
        <v>0</v>
      </c>
      <c r="I180" s="631">
        <f t="shared" si="22"/>
        <v>19.775000000000002</v>
      </c>
      <c r="J180" s="627"/>
      <c r="K180" s="665"/>
      <c r="L180" s="666">
        <v>19.775000000000002</v>
      </c>
      <c r="M180" s="111">
        <v>12</v>
      </c>
      <c r="N180" s="25">
        <f t="shared" si="23"/>
        <v>0</v>
      </c>
      <c r="O180" s="25">
        <f t="shared" si="24"/>
        <v>0</v>
      </c>
      <c r="P180" s="25">
        <f t="shared" si="25"/>
        <v>0</v>
      </c>
      <c r="Q180" s="26">
        <f t="shared" si="26"/>
        <v>0</v>
      </c>
      <c r="R180" s="27">
        <f t="shared" si="27"/>
        <v>0</v>
      </c>
      <c r="S180" s="28">
        <f t="shared" si="28"/>
        <v>0</v>
      </c>
    </row>
    <row r="181" spans="2:19" hidden="1">
      <c r="B181" s="664" t="s">
        <v>1204</v>
      </c>
      <c r="C181" s="637"/>
      <c r="D181" s="637"/>
      <c r="E181" s="637"/>
      <c r="F181" s="637"/>
      <c r="G181" s="638"/>
      <c r="H181" s="626">
        <f t="shared" si="21"/>
        <v>0</v>
      </c>
      <c r="I181" s="631">
        <f t="shared" si="22"/>
        <v>10.1875</v>
      </c>
      <c r="J181" s="627"/>
      <c r="K181" s="665"/>
      <c r="L181" s="666">
        <v>10.1875</v>
      </c>
      <c r="M181" s="111">
        <v>24</v>
      </c>
      <c r="N181" s="25">
        <f t="shared" si="23"/>
        <v>0</v>
      </c>
      <c r="O181" s="25">
        <f t="shared" si="24"/>
        <v>0</v>
      </c>
      <c r="P181" s="25">
        <f t="shared" si="25"/>
        <v>0</v>
      </c>
      <c r="Q181" s="26">
        <f t="shared" si="26"/>
        <v>0</v>
      </c>
      <c r="R181" s="27">
        <f t="shared" si="27"/>
        <v>0</v>
      </c>
      <c r="S181" s="28">
        <f t="shared" si="28"/>
        <v>0</v>
      </c>
    </row>
    <row r="182" spans="2:19" hidden="1">
      <c r="B182" s="664" t="s">
        <v>1204</v>
      </c>
      <c r="C182" s="637"/>
      <c r="D182" s="637"/>
      <c r="E182" s="637"/>
      <c r="F182" s="637"/>
      <c r="G182" s="638"/>
      <c r="H182" s="626">
        <f t="shared" si="21"/>
        <v>0</v>
      </c>
      <c r="I182" s="631">
        <f t="shared" si="22"/>
        <v>10.6975</v>
      </c>
      <c r="J182" s="627"/>
      <c r="K182" s="665"/>
      <c r="L182" s="666">
        <v>10.6975</v>
      </c>
      <c r="M182" s="111">
        <v>12</v>
      </c>
      <c r="N182" s="25">
        <f t="shared" si="23"/>
        <v>0</v>
      </c>
      <c r="O182" s="25">
        <f t="shared" si="24"/>
        <v>0</v>
      </c>
      <c r="P182" s="25">
        <f t="shared" si="25"/>
        <v>0</v>
      </c>
      <c r="Q182" s="26">
        <f t="shared" si="26"/>
        <v>0</v>
      </c>
      <c r="R182" s="27">
        <f t="shared" si="27"/>
        <v>0</v>
      </c>
      <c r="S182" s="28">
        <f t="shared" si="28"/>
        <v>0</v>
      </c>
    </row>
    <row r="183" spans="2:19" hidden="1">
      <c r="B183" s="664" t="s">
        <v>632</v>
      </c>
      <c r="C183" s="637"/>
      <c r="D183" s="637"/>
      <c r="E183" s="637"/>
      <c r="F183" s="637"/>
      <c r="G183" s="638"/>
      <c r="H183" s="626">
        <f t="shared" si="21"/>
        <v>0</v>
      </c>
      <c r="I183" s="631">
        <f t="shared" si="22"/>
        <v>70.172499999999999</v>
      </c>
      <c r="J183" s="627"/>
      <c r="K183" s="665"/>
      <c r="L183" s="666">
        <v>70.172499999999999</v>
      </c>
      <c r="M183" s="111">
        <v>4</v>
      </c>
      <c r="N183" s="25">
        <f t="shared" si="23"/>
        <v>0</v>
      </c>
      <c r="O183" s="25">
        <f t="shared" si="24"/>
        <v>0</v>
      </c>
      <c r="P183" s="25">
        <f t="shared" si="25"/>
        <v>0</v>
      </c>
      <c r="Q183" s="26">
        <f t="shared" si="26"/>
        <v>0</v>
      </c>
      <c r="R183" s="27">
        <f t="shared" si="27"/>
        <v>0</v>
      </c>
      <c r="S183" s="28">
        <f t="shared" si="28"/>
        <v>0</v>
      </c>
    </row>
    <row r="184" spans="2:19" hidden="1">
      <c r="B184" s="664" t="s">
        <v>1205</v>
      </c>
      <c r="C184" s="637"/>
      <c r="D184" s="637"/>
      <c r="E184" s="637"/>
      <c r="F184" s="637"/>
      <c r="G184" s="638"/>
      <c r="H184" s="626">
        <f t="shared" si="21"/>
        <v>0</v>
      </c>
      <c r="I184" s="631">
        <f t="shared" si="22"/>
        <v>17.790416666666669</v>
      </c>
      <c r="J184" s="627"/>
      <c r="K184" s="665"/>
      <c r="L184" s="666">
        <v>17.790416666666669</v>
      </c>
      <c r="M184" s="111">
        <v>24</v>
      </c>
      <c r="N184" s="25">
        <f t="shared" si="23"/>
        <v>0</v>
      </c>
      <c r="O184" s="25">
        <f t="shared" si="24"/>
        <v>0</v>
      </c>
      <c r="P184" s="25">
        <f t="shared" si="25"/>
        <v>0</v>
      </c>
      <c r="Q184" s="26">
        <f t="shared" si="26"/>
        <v>0</v>
      </c>
      <c r="R184" s="27">
        <f t="shared" si="27"/>
        <v>0</v>
      </c>
      <c r="S184" s="28">
        <f t="shared" si="28"/>
        <v>0</v>
      </c>
    </row>
    <row r="185" spans="2:19" hidden="1">
      <c r="B185" s="664" t="s">
        <v>1206</v>
      </c>
      <c r="C185" s="637"/>
      <c r="D185" s="637"/>
      <c r="E185" s="637"/>
      <c r="F185" s="637"/>
      <c r="G185" s="638"/>
      <c r="H185" s="626">
        <f t="shared" si="21"/>
        <v>0</v>
      </c>
      <c r="I185" s="631">
        <f t="shared" si="22"/>
        <v>60.861666666666672</v>
      </c>
      <c r="J185" s="627"/>
      <c r="K185" s="665"/>
      <c r="L185" s="666">
        <v>60.861666666666672</v>
      </c>
      <c r="M185" s="111">
        <v>6</v>
      </c>
      <c r="N185" s="25">
        <f t="shared" si="23"/>
        <v>0</v>
      </c>
      <c r="O185" s="25">
        <f t="shared" si="24"/>
        <v>0</v>
      </c>
      <c r="P185" s="25">
        <f t="shared" si="25"/>
        <v>0</v>
      </c>
      <c r="Q185" s="26">
        <f t="shared" si="26"/>
        <v>0</v>
      </c>
      <c r="R185" s="27">
        <f t="shared" si="27"/>
        <v>0</v>
      </c>
      <c r="S185" s="28">
        <f t="shared" si="28"/>
        <v>0</v>
      </c>
    </row>
    <row r="186" spans="2:19" hidden="1">
      <c r="B186" s="664" t="s">
        <v>1207</v>
      </c>
      <c r="C186" s="637"/>
      <c r="D186" s="637"/>
      <c r="E186" s="637"/>
      <c r="F186" s="637"/>
      <c r="G186" s="638"/>
      <c r="H186" s="626">
        <f t="shared" si="21"/>
        <v>0</v>
      </c>
      <c r="I186" s="631">
        <f t="shared" si="22"/>
        <v>43.299166666666672</v>
      </c>
      <c r="J186" s="627"/>
      <c r="K186" s="665"/>
      <c r="L186" s="666">
        <v>43.299166666666672</v>
      </c>
      <c r="M186" s="111">
        <v>12</v>
      </c>
      <c r="N186" s="25">
        <f t="shared" si="23"/>
        <v>0</v>
      </c>
      <c r="O186" s="25">
        <f t="shared" si="24"/>
        <v>0</v>
      </c>
      <c r="P186" s="25">
        <f t="shared" si="25"/>
        <v>0</v>
      </c>
      <c r="Q186" s="26">
        <f t="shared" si="26"/>
        <v>0</v>
      </c>
      <c r="R186" s="27">
        <f t="shared" si="27"/>
        <v>0</v>
      </c>
      <c r="S186" s="28">
        <f t="shared" si="28"/>
        <v>0</v>
      </c>
    </row>
    <row r="187" spans="2:19" hidden="1">
      <c r="B187" s="664" t="s">
        <v>1208</v>
      </c>
      <c r="C187" s="637"/>
      <c r="D187" s="637"/>
      <c r="E187" s="637"/>
      <c r="F187" s="637"/>
      <c r="G187" s="638"/>
      <c r="H187" s="626">
        <f t="shared" si="21"/>
        <v>0</v>
      </c>
      <c r="I187" s="631">
        <f t="shared" si="22"/>
        <v>17.489999999999998</v>
      </c>
      <c r="J187" s="627"/>
      <c r="K187" s="665"/>
      <c r="L187" s="666">
        <v>17.489999999999998</v>
      </c>
      <c r="M187" s="111">
        <v>12</v>
      </c>
      <c r="N187" s="25">
        <f t="shared" si="23"/>
        <v>0</v>
      </c>
      <c r="O187" s="25">
        <f t="shared" si="24"/>
        <v>0</v>
      </c>
      <c r="P187" s="25">
        <f t="shared" si="25"/>
        <v>0</v>
      </c>
      <c r="Q187" s="26">
        <f t="shared" si="26"/>
        <v>0</v>
      </c>
      <c r="R187" s="27">
        <f t="shared" si="27"/>
        <v>0</v>
      </c>
      <c r="S187" s="28">
        <f t="shared" si="28"/>
        <v>0</v>
      </c>
    </row>
    <row r="188" spans="2:19" hidden="1">
      <c r="B188" s="664" t="s">
        <v>1209</v>
      </c>
      <c r="C188" s="637"/>
      <c r="D188" s="637"/>
      <c r="E188" s="637"/>
      <c r="F188" s="637"/>
      <c r="G188" s="638"/>
      <c r="H188" s="626">
        <f t="shared" si="21"/>
        <v>0</v>
      </c>
      <c r="I188" s="631">
        <f t="shared" si="22"/>
        <v>26.5</v>
      </c>
      <c r="J188" s="627"/>
      <c r="K188" s="665"/>
      <c r="L188" s="666">
        <v>26.5</v>
      </c>
      <c r="M188" s="111">
        <v>9</v>
      </c>
      <c r="N188" s="25">
        <f t="shared" si="23"/>
        <v>0</v>
      </c>
      <c r="O188" s="25">
        <f t="shared" si="24"/>
        <v>0</v>
      </c>
      <c r="P188" s="25">
        <f t="shared" si="25"/>
        <v>0</v>
      </c>
      <c r="Q188" s="26">
        <f t="shared" si="26"/>
        <v>0</v>
      </c>
      <c r="R188" s="27">
        <f t="shared" si="27"/>
        <v>0</v>
      </c>
      <c r="S188" s="28">
        <f t="shared" si="28"/>
        <v>0</v>
      </c>
    </row>
    <row r="189" spans="2:19" hidden="1">
      <c r="B189" s="664" t="s">
        <v>633</v>
      </c>
      <c r="C189" s="637"/>
      <c r="D189" s="637"/>
      <c r="E189" s="637"/>
      <c r="F189" s="637"/>
      <c r="G189" s="638"/>
      <c r="H189" s="626">
        <f t="shared" si="21"/>
        <v>0</v>
      </c>
      <c r="I189" s="631">
        <f t="shared" si="22"/>
        <v>16.096666666666668</v>
      </c>
      <c r="J189" s="627"/>
      <c r="K189" s="665"/>
      <c r="L189" s="666">
        <v>16.096666666666668</v>
      </c>
      <c r="M189" s="111">
        <v>12</v>
      </c>
      <c r="N189" s="25">
        <f t="shared" si="23"/>
        <v>0</v>
      </c>
      <c r="O189" s="25">
        <f t="shared" si="24"/>
        <v>0</v>
      </c>
      <c r="P189" s="25">
        <f t="shared" si="25"/>
        <v>0</v>
      </c>
      <c r="Q189" s="26">
        <f t="shared" si="26"/>
        <v>0</v>
      </c>
      <c r="R189" s="27">
        <f t="shared" si="27"/>
        <v>0</v>
      </c>
      <c r="S189" s="28">
        <f t="shared" si="28"/>
        <v>0</v>
      </c>
    </row>
    <row r="190" spans="2:19" hidden="1">
      <c r="B190" s="664" t="s">
        <v>1210</v>
      </c>
      <c r="C190" s="637"/>
      <c r="D190" s="637"/>
      <c r="E190" s="637"/>
      <c r="F190" s="637"/>
      <c r="G190" s="638"/>
      <c r="H190" s="626">
        <f t="shared" si="21"/>
        <v>0</v>
      </c>
      <c r="I190" s="631">
        <v>39.270000000000003</v>
      </c>
      <c r="J190" s="627"/>
      <c r="K190" s="665"/>
      <c r="L190" s="666">
        <v>56.636666666666663</v>
      </c>
      <c r="M190" s="111">
        <v>12</v>
      </c>
      <c r="N190" s="25">
        <f t="shared" si="23"/>
        <v>0</v>
      </c>
      <c r="O190" s="25">
        <f t="shared" si="24"/>
        <v>0</v>
      </c>
      <c r="P190" s="25">
        <f t="shared" si="25"/>
        <v>0</v>
      </c>
      <c r="Q190" s="26">
        <f t="shared" si="26"/>
        <v>0</v>
      </c>
      <c r="R190" s="27">
        <f t="shared" si="27"/>
        <v>0</v>
      </c>
      <c r="S190" s="28">
        <f t="shared" si="28"/>
        <v>0</v>
      </c>
    </row>
    <row r="191" spans="2:19" hidden="1">
      <c r="B191" s="664" t="s">
        <v>634</v>
      </c>
      <c r="C191" s="637"/>
      <c r="D191" s="637"/>
      <c r="E191" s="637"/>
      <c r="F191" s="637"/>
      <c r="G191" s="638"/>
      <c r="H191" s="626">
        <f t="shared" si="21"/>
        <v>0</v>
      </c>
      <c r="I191" s="631">
        <f t="shared" si="22"/>
        <v>33.108888888888892</v>
      </c>
      <c r="J191" s="627"/>
      <c r="K191" s="665"/>
      <c r="L191" s="666">
        <v>33.108888888888892</v>
      </c>
      <c r="M191" s="111">
        <v>9</v>
      </c>
      <c r="N191" s="25">
        <f t="shared" si="23"/>
        <v>0</v>
      </c>
      <c r="O191" s="25">
        <f t="shared" si="24"/>
        <v>0</v>
      </c>
      <c r="P191" s="25">
        <f t="shared" si="25"/>
        <v>0</v>
      </c>
      <c r="Q191" s="26">
        <f t="shared" si="26"/>
        <v>0</v>
      </c>
      <c r="R191" s="27">
        <f t="shared" si="27"/>
        <v>0</v>
      </c>
      <c r="S191" s="28">
        <f t="shared" si="28"/>
        <v>0</v>
      </c>
    </row>
    <row r="192" spans="2:19" hidden="1">
      <c r="B192" s="664" t="s">
        <v>1211</v>
      </c>
      <c r="C192" s="637"/>
      <c r="D192" s="637"/>
      <c r="E192" s="637"/>
      <c r="F192" s="637"/>
      <c r="G192" s="638"/>
      <c r="H192" s="626">
        <f t="shared" si="21"/>
        <v>0</v>
      </c>
      <c r="I192" s="631">
        <f t="shared" si="22"/>
        <v>26.5</v>
      </c>
      <c r="J192" s="627"/>
      <c r="K192" s="665"/>
      <c r="L192" s="666">
        <v>26.5</v>
      </c>
      <c r="M192" s="111">
        <v>9</v>
      </c>
      <c r="N192" s="25">
        <f t="shared" si="23"/>
        <v>0</v>
      </c>
      <c r="O192" s="25">
        <f t="shared" si="24"/>
        <v>0</v>
      </c>
      <c r="P192" s="25">
        <f t="shared" si="25"/>
        <v>0</v>
      </c>
      <c r="Q192" s="26">
        <f t="shared" si="26"/>
        <v>0</v>
      </c>
      <c r="R192" s="27">
        <f t="shared" si="27"/>
        <v>0</v>
      </c>
      <c r="S192" s="28">
        <f t="shared" si="28"/>
        <v>0</v>
      </c>
    </row>
    <row r="193" spans="1:19" hidden="1">
      <c r="B193" s="664" t="s">
        <v>1212</v>
      </c>
      <c r="C193" s="637"/>
      <c r="D193" s="637"/>
      <c r="E193" s="637"/>
      <c r="F193" s="637"/>
      <c r="G193" s="638"/>
      <c r="H193" s="626">
        <f t="shared" si="21"/>
        <v>0</v>
      </c>
      <c r="I193" s="631">
        <f t="shared" si="22"/>
        <v>37.401666666666664</v>
      </c>
      <c r="J193" s="627"/>
      <c r="K193" s="665"/>
      <c r="L193" s="666">
        <v>37.401666666666664</v>
      </c>
      <c r="M193" s="111">
        <v>12</v>
      </c>
      <c r="N193" s="25">
        <f t="shared" si="23"/>
        <v>0</v>
      </c>
      <c r="O193" s="25">
        <f t="shared" si="24"/>
        <v>0</v>
      </c>
      <c r="P193" s="25">
        <f t="shared" si="25"/>
        <v>0</v>
      </c>
      <c r="Q193" s="26">
        <f t="shared" si="26"/>
        <v>0</v>
      </c>
      <c r="R193" s="27">
        <f t="shared" si="27"/>
        <v>0</v>
      </c>
      <c r="S193" s="28">
        <f t="shared" si="28"/>
        <v>0</v>
      </c>
    </row>
    <row r="194" spans="1:19" hidden="1">
      <c r="B194" s="664" t="s">
        <v>1213</v>
      </c>
      <c r="C194" s="637"/>
      <c r="D194" s="637"/>
      <c r="E194" s="637"/>
      <c r="F194" s="637"/>
      <c r="G194" s="638"/>
      <c r="H194" s="626">
        <f t="shared" si="21"/>
        <v>0</v>
      </c>
      <c r="I194" s="631">
        <f t="shared" si="22"/>
        <v>16.822916666666668</v>
      </c>
      <c r="J194" s="627"/>
      <c r="K194" s="665"/>
      <c r="L194" s="666">
        <v>16.822916666666668</v>
      </c>
      <c r="M194" s="111">
        <v>24</v>
      </c>
      <c r="N194" s="25">
        <f t="shared" si="23"/>
        <v>0</v>
      </c>
      <c r="O194" s="25">
        <f t="shared" si="24"/>
        <v>0</v>
      </c>
      <c r="P194" s="25">
        <f t="shared" si="25"/>
        <v>0</v>
      </c>
      <c r="Q194" s="26">
        <f t="shared" si="26"/>
        <v>0</v>
      </c>
      <c r="R194" s="27">
        <f t="shared" si="27"/>
        <v>0</v>
      </c>
      <c r="S194" s="28">
        <f t="shared" si="28"/>
        <v>0</v>
      </c>
    </row>
    <row r="195" spans="1:19" hidden="1">
      <c r="B195" s="664" t="s">
        <v>1214</v>
      </c>
      <c r="C195" s="637"/>
      <c r="D195" s="637"/>
      <c r="E195" s="637"/>
      <c r="F195" s="637"/>
      <c r="G195" s="638"/>
      <c r="H195" s="626">
        <f t="shared" si="21"/>
        <v>0</v>
      </c>
      <c r="I195" s="631">
        <f t="shared" si="22"/>
        <v>128.82833333333335</v>
      </c>
      <c r="J195" s="627"/>
      <c r="K195" s="665"/>
      <c r="L195" s="666">
        <v>128.82833333333335</v>
      </c>
      <c r="M195" s="111">
        <v>6</v>
      </c>
      <c r="N195" s="25">
        <f t="shared" si="23"/>
        <v>0</v>
      </c>
      <c r="O195" s="25">
        <f t="shared" si="24"/>
        <v>0</v>
      </c>
      <c r="P195" s="25">
        <f t="shared" si="25"/>
        <v>0</v>
      </c>
      <c r="Q195" s="26">
        <f t="shared" si="26"/>
        <v>0</v>
      </c>
      <c r="R195" s="27">
        <f t="shared" si="27"/>
        <v>0</v>
      </c>
      <c r="S195" s="28">
        <f t="shared" si="28"/>
        <v>0</v>
      </c>
    </row>
    <row r="196" spans="1:19" hidden="1">
      <c r="B196" s="664" t="s">
        <v>1215</v>
      </c>
      <c r="C196" s="637"/>
      <c r="D196" s="637"/>
      <c r="E196" s="637"/>
      <c r="F196" s="637"/>
      <c r="G196" s="638"/>
      <c r="H196" s="626">
        <f t="shared" si="21"/>
        <v>0</v>
      </c>
      <c r="I196" s="631">
        <f t="shared" si="22"/>
        <v>31.660833333333333</v>
      </c>
      <c r="J196" s="627"/>
      <c r="K196" s="665"/>
      <c r="L196" s="666">
        <v>31.660833333333333</v>
      </c>
      <c r="M196" s="111">
        <v>12</v>
      </c>
      <c r="N196" s="25">
        <f t="shared" ref="N196:N209" si="29">I196*C196</f>
        <v>0</v>
      </c>
      <c r="O196" s="25">
        <f t="shared" ref="O196:O209" si="30">I196*D196</f>
        <v>0</v>
      </c>
      <c r="P196" s="25">
        <f t="shared" ref="P196:P209" si="31">I196*E196</f>
        <v>0</v>
      </c>
      <c r="Q196" s="26">
        <f t="shared" ref="Q196:Q209" si="32">I196*F196</f>
        <v>0</v>
      </c>
      <c r="R196" s="27">
        <f t="shared" ref="R196:R209" si="33">I196*G196</f>
        <v>0</v>
      </c>
      <c r="S196" s="28">
        <f t="shared" ref="S196:S209" si="34">SUM(N196:R196)</f>
        <v>0</v>
      </c>
    </row>
    <row r="197" spans="1:19" hidden="1">
      <c r="B197" s="664" t="s">
        <v>1216</v>
      </c>
      <c r="C197" s="637"/>
      <c r="D197" s="637"/>
      <c r="E197" s="637"/>
      <c r="F197" s="637"/>
      <c r="G197" s="638"/>
      <c r="H197" s="626">
        <f t="shared" si="21"/>
        <v>0</v>
      </c>
      <c r="I197" s="631">
        <f t="shared" si="22"/>
        <v>13.25</v>
      </c>
      <c r="J197" s="627"/>
      <c r="K197" s="665"/>
      <c r="L197" s="666">
        <v>13.25</v>
      </c>
      <c r="M197" s="111">
        <v>12</v>
      </c>
      <c r="N197" s="25">
        <f t="shared" si="29"/>
        <v>0</v>
      </c>
      <c r="O197" s="25">
        <f t="shared" si="30"/>
        <v>0</v>
      </c>
      <c r="P197" s="25">
        <f t="shared" si="31"/>
        <v>0</v>
      </c>
      <c r="Q197" s="26">
        <f t="shared" si="32"/>
        <v>0</v>
      </c>
      <c r="R197" s="27">
        <f t="shared" si="33"/>
        <v>0</v>
      </c>
      <c r="S197" s="28">
        <f t="shared" si="34"/>
        <v>0</v>
      </c>
    </row>
    <row r="198" spans="1:19">
      <c r="B198" s="664" t="s">
        <v>1216</v>
      </c>
      <c r="C198" s="637"/>
      <c r="D198" s="637"/>
      <c r="E198" s="637"/>
      <c r="F198" s="637"/>
      <c r="G198" s="638">
        <v>24</v>
      </c>
      <c r="H198" s="626">
        <f t="shared" ref="H198:H251" si="35">SUM(C198:G198)</f>
        <v>24</v>
      </c>
      <c r="I198" s="631">
        <v>7.93</v>
      </c>
      <c r="J198" s="627"/>
      <c r="K198" s="665"/>
      <c r="L198" s="666">
        <v>12.19</v>
      </c>
      <c r="M198" s="111">
        <v>24</v>
      </c>
      <c r="N198" s="25">
        <f t="shared" si="29"/>
        <v>0</v>
      </c>
      <c r="O198" s="25">
        <f t="shared" si="30"/>
        <v>0</v>
      </c>
      <c r="P198" s="25">
        <f t="shared" si="31"/>
        <v>0</v>
      </c>
      <c r="Q198" s="26">
        <f t="shared" si="32"/>
        <v>0</v>
      </c>
      <c r="R198" s="27">
        <f t="shared" si="33"/>
        <v>190.32</v>
      </c>
      <c r="S198" s="28">
        <f t="shared" si="34"/>
        <v>190.32</v>
      </c>
    </row>
    <row r="199" spans="1:19" hidden="1">
      <c r="B199" s="664" t="s">
        <v>1217</v>
      </c>
      <c r="C199" s="637"/>
      <c r="D199" s="637"/>
      <c r="E199" s="637"/>
      <c r="F199" s="637"/>
      <c r="G199" s="638"/>
      <c r="H199" s="626">
        <f t="shared" si="35"/>
        <v>0</v>
      </c>
      <c r="I199" s="631">
        <f t="shared" ref="I199:I251" si="36">L199-(L199*J199)</f>
        <v>80.913333333333341</v>
      </c>
      <c r="J199" s="627"/>
      <c r="K199" s="665"/>
      <c r="L199" s="666">
        <v>80.913333333333341</v>
      </c>
      <c r="M199" s="111">
        <v>12</v>
      </c>
      <c r="N199" s="25">
        <f t="shared" si="29"/>
        <v>0</v>
      </c>
      <c r="O199" s="25">
        <f t="shared" si="30"/>
        <v>0</v>
      </c>
      <c r="P199" s="25">
        <f t="shared" si="31"/>
        <v>0</v>
      </c>
      <c r="Q199" s="26">
        <f t="shared" si="32"/>
        <v>0</v>
      </c>
      <c r="R199" s="27">
        <f t="shared" si="33"/>
        <v>0</v>
      </c>
      <c r="S199" s="28">
        <f t="shared" si="34"/>
        <v>0</v>
      </c>
    </row>
    <row r="200" spans="1:19" hidden="1">
      <c r="B200" s="664" t="s">
        <v>1217</v>
      </c>
      <c r="C200" s="637"/>
      <c r="D200" s="637"/>
      <c r="E200" s="637"/>
      <c r="F200" s="637"/>
      <c r="G200" s="638"/>
      <c r="H200" s="626">
        <f t="shared" si="35"/>
        <v>0</v>
      </c>
      <c r="I200" s="631">
        <f t="shared" si="36"/>
        <v>91.866666666666674</v>
      </c>
      <c r="J200" s="627"/>
      <c r="K200" s="665"/>
      <c r="L200" s="666">
        <v>91.866666666666674</v>
      </c>
      <c r="M200" s="111">
        <v>6</v>
      </c>
      <c r="N200" s="25">
        <f t="shared" si="29"/>
        <v>0</v>
      </c>
      <c r="O200" s="25">
        <f t="shared" si="30"/>
        <v>0</v>
      </c>
      <c r="P200" s="25">
        <f t="shared" si="31"/>
        <v>0</v>
      </c>
      <c r="Q200" s="26">
        <f t="shared" si="32"/>
        <v>0</v>
      </c>
      <c r="R200" s="27">
        <f t="shared" si="33"/>
        <v>0</v>
      </c>
      <c r="S200" s="28">
        <f t="shared" si="34"/>
        <v>0</v>
      </c>
    </row>
    <row r="201" spans="1:19" hidden="1">
      <c r="B201" s="664" t="s">
        <v>1217</v>
      </c>
      <c r="C201" s="637"/>
      <c r="D201" s="637"/>
      <c r="E201" s="637"/>
      <c r="F201" s="637"/>
      <c r="G201" s="638"/>
      <c r="H201" s="626">
        <f t="shared" si="35"/>
        <v>0</v>
      </c>
      <c r="I201" s="631">
        <f t="shared" si="36"/>
        <v>96.46</v>
      </c>
      <c r="J201" s="627"/>
      <c r="K201" s="665"/>
      <c r="L201" s="666">
        <v>96.46</v>
      </c>
      <c r="M201" s="111">
        <v>4</v>
      </c>
      <c r="N201" s="25">
        <f t="shared" si="29"/>
        <v>0</v>
      </c>
      <c r="O201" s="25">
        <f t="shared" si="30"/>
        <v>0</v>
      </c>
      <c r="P201" s="25">
        <f t="shared" si="31"/>
        <v>0</v>
      </c>
      <c r="Q201" s="26">
        <f t="shared" si="32"/>
        <v>0</v>
      </c>
      <c r="R201" s="27">
        <f t="shared" si="33"/>
        <v>0</v>
      </c>
      <c r="S201" s="28">
        <f t="shared" si="34"/>
        <v>0</v>
      </c>
    </row>
    <row r="202" spans="1:19">
      <c r="B202" s="664" t="s">
        <v>635</v>
      </c>
      <c r="C202" s="637"/>
      <c r="D202" s="637"/>
      <c r="E202" s="637"/>
      <c r="F202" s="637"/>
      <c r="G202" s="638">
        <v>12</v>
      </c>
      <c r="H202" s="626">
        <f t="shared" si="35"/>
        <v>12</v>
      </c>
      <c r="I202" s="631">
        <v>16.79</v>
      </c>
      <c r="J202" s="627"/>
      <c r="K202" s="665"/>
      <c r="L202" s="666">
        <v>24.38</v>
      </c>
      <c r="M202" s="111">
        <v>12</v>
      </c>
      <c r="N202" s="25">
        <f t="shared" si="29"/>
        <v>0</v>
      </c>
      <c r="O202" s="25">
        <f t="shared" si="30"/>
        <v>0</v>
      </c>
      <c r="P202" s="25">
        <f t="shared" si="31"/>
        <v>0</v>
      </c>
      <c r="Q202" s="26">
        <f t="shared" si="32"/>
        <v>0</v>
      </c>
      <c r="R202" s="27">
        <f t="shared" si="33"/>
        <v>201.48</v>
      </c>
      <c r="S202" s="28">
        <f t="shared" si="34"/>
        <v>201.48</v>
      </c>
    </row>
    <row r="203" spans="1:19" hidden="1">
      <c r="B203" s="664" t="s">
        <v>1218</v>
      </c>
      <c r="C203" s="637"/>
      <c r="D203" s="637"/>
      <c r="E203" s="637"/>
      <c r="F203" s="637"/>
      <c r="G203" s="638"/>
      <c r="H203" s="626">
        <f t="shared" si="35"/>
        <v>0</v>
      </c>
      <c r="I203" s="631">
        <f t="shared" si="36"/>
        <v>22.472222222222221</v>
      </c>
      <c r="J203" s="627"/>
      <c r="K203" s="665"/>
      <c r="L203" s="666">
        <v>22.472222222222221</v>
      </c>
      <c r="M203" s="111">
        <v>9</v>
      </c>
      <c r="N203" s="25">
        <f t="shared" si="29"/>
        <v>0</v>
      </c>
      <c r="O203" s="25">
        <f t="shared" si="30"/>
        <v>0</v>
      </c>
      <c r="P203" s="25">
        <f t="shared" si="31"/>
        <v>0</v>
      </c>
      <c r="Q203" s="26">
        <f t="shared" si="32"/>
        <v>0</v>
      </c>
      <c r="R203" s="27">
        <f t="shared" si="33"/>
        <v>0</v>
      </c>
      <c r="S203" s="28">
        <f t="shared" si="34"/>
        <v>0</v>
      </c>
    </row>
    <row r="204" spans="1:19" hidden="1">
      <c r="A204" s="1" t="s">
        <v>356</v>
      </c>
      <c r="B204" s="664" t="s">
        <v>1219</v>
      </c>
      <c r="C204" s="637"/>
      <c r="D204" s="637"/>
      <c r="E204" s="637"/>
      <c r="F204" s="637"/>
      <c r="G204" s="638"/>
      <c r="H204" s="626">
        <f t="shared" si="35"/>
        <v>0</v>
      </c>
      <c r="I204" s="631">
        <f t="shared" si="36"/>
        <v>35.106666666666662</v>
      </c>
      <c r="J204" s="627"/>
      <c r="K204" s="665"/>
      <c r="L204" s="666">
        <v>35.106666666666662</v>
      </c>
      <c r="M204" s="111">
        <v>9</v>
      </c>
      <c r="N204" s="25">
        <f t="shared" si="29"/>
        <v>0</v>
      </c>
      <c r="O204" s="25">
        <f t="shared" si="30"/>
        <v>0</v>
      </c>
      <c r="P204" s="25">
        <f t="shared" si="31"/>
        <v>0</v>
      </c>
      <c r="Q204" s="26">
        <f t="shared" si="32"/>
        <v>0</v>
      </c>
      <c r="R204" s="27">
        <f t="shared" si="33"/>
        <v>0</v>
      </c>
      <c r="S204" s="28">
        <f t="shared" si="34"/>
        <v>0</v>
      </c>
    </row>
    <row r="205" spans="1:19" hidden="1">
      <c r="B205" s="664" t="s">
        <v>1220</v>
      </c>
      <c r="C205" s="637"/>
      <c r="D205" s="637"/>
      <c r="E205" s="637"/>
      <c r="F205" s="637"/>
      <c r="G205" s="638"/>
      <c r="H205" s="626">
        <f t="shared" si="35"/>
        <v>0</v>
      </c>
      <c r="I205" s="631">
        <f t="shared" si="36"/>
        <v>12.19</v>
      </c>
      <c r="J205" s="627"/>
      <c r="K205" s="665"/>
      <c r="L205" s="666">
        <v>12.19</v>
      </c>
      <c r="M205" s="111">
        <v>12</v>
      </c>
      <c r="N205" s="25">
        <f t="shared" si="29"/>
        <v>0</v>
      </c>
      <c r="O205" s="25">
        <f t="shared" si="30"/>
        <v>0</v>
      </c>
      <c r="P205" s="25">
        <f t="shared" si="31"/>
        <v>0</v>
      </c>
      <c r="Q205" s="26">
        <f t="shared" si="32"/>
        <v>0</v>
      </c>
      <c r="R205" s="27">
        <f t="shared" si="33"/>
        <v>0</v>
      </c>
      <c r="S205" s="28">
        <f t="shared" si="34"/>
        <v>0</v>
      </c>
    </row>
    <row r="206" spans="1:19" hidden="1">
      <c r="B206" s="664" t="s">
        <v>1221</v>
      </c>
      <c r="C206" s="637"/>
      <c r="D206" s="637"/>
      <c r="E206" s="637"/>
      <c r="F206" s="637"/>
      <c r="G206" s="638"/>
      <c r="H206" s="626">
        <f t="shared" si="35"/>
        <v>0</v>
      </c>
      <c r="I206" s="631">
        <f t="shared" si="36"/>
        <v>22.472222222222221</v>
      </c>
      <c r="J206" s="627"/>
      <c r="K206" s="665"/>
      <c r="L206" s="666">
        <v>22.472222222222221</v>
      </c>
      <c r="M206" s="111">
        <v>9</v>
      </c>
      <c r="N206" s="25">
        <f t="shared" si="29"/>
        <v>0</v>
      </c>
      <c r="O206" s="25">
        <f t="shared" si="30"/>
        <v>0</v>
      </c>
      <c r="P206" s="25">
        <f t="shared" si="31"/>
        <v>0</v>
      </c>
      <c r="Q206" s="26">
        <f t="shared" si="32"/>
        <v>0</v>
      </c>
      <c r="R206" s="27">
        <f t="shared" si="33"/>
        <v>0</v>
      </c>
      <c r="S206" s="28">
        <f t="shared" si="34"/>
        <v>0</v>
      </c>
    </row>
    <row r="207" spans="1:19">
      <c r="B207" s="664" t="s">
        <v>1222</v>
      </c>
      <c r="C207" s="637">
        <v>500</v>
      </c>
      <c r="D207" s="637"/>
      <c r="E207" s="637"/>
      <c r="F207" s="637"/>
      <c r="G207" s="638"/>
      <c r="H207" s="626">
        <f t="shared" si="35"/>
        <v>500</v>
      </c>
      <c r="I207" s="631">
        <v>1.75</v>
      </c>
      <c r="J207" s="627"/>
      <c r="K207" s="665"/>
      <c r="L207" s="666">
        <v>2.6299000000000001</v>
      </c>
      <c r="M207" s="111">
        <v>100</v>
      </c>
      <c r="N207" s="25">
        <f t="shared" si="29"/>
        <v>875</v>
      </c>
      <c r="O207" s="25">
        <f t="shared" si="30"/>
        <v>0</v>
      </c>
      <c r="P207" s="25">
        <f t="shared" si="31"/>
        <v>0</v>
      </c>
      <c r="Q207" s="26">
        <f t="shared" si="32"/>
        <v>0</v>
      </c>
      <c r="R207" s="27">
        <f t="shared" si="33"/>
        <v>0</v>
      </c>
      <c r="S207" s="28">
        <f t="shared" si="34"/>
        <v>875</v>
      </c>
    </row>
    <row r="208" spans="1:19" hidden="1">
      <c r="B208" s="664" t="s">
        <v>1223</v>
      </c>
      <c r="C208" s="637"/>
      <c r="D208" s="637"/>
      <c r="E208" s="637"/>
      <c r="F208" s="637"/>
      <c r="G208" s="638"/>
      <c r="H208" s="626">
        <f t="shared" si="35"/>
        <v>0</v>
      </c>
      <c r="I208" s="631">
        <f t="shared" si="36"/>
        <v>11.269166666666665</v>
      </c>
      <c r="J208" s="627"/>
      <c r="K208" s="665"/>
      <c r="L208" s="666">
        <v>11.269166666666665</v>
      </c>
      <c r="M208" s="111">
        <v>24</v>
      </c>
      <c r="N208" s="25">
        <f t="shared" si="29"/>
        <v>0</v>
      </c>
      <c r="O208" s="25">
        <f t="shared" si="30"/>
        <v>0</v>
      </c>
      <c r="P208" s="25">
        <f t="shared" si="31"/>
        <v>0</v>
      </c>
      <c r="Q208" s="26">
        <f t="shared" si="32"/>
        <v>0</v>
      </c>
      <c r="R208" s="27">
        <f t="shared" si="33"/>
        <v>0</v>
      </c>
      <c r="S208" s="28">
        <f t="shared" si="34"/>
        <v>0</v>
      </c>
    </row>
    <row r="209" spans="2:19" hidden="1">
      <c r="B209" s="664" t="s">
        <v>1224</v>
      </c>
      <c r="C209" s="637"/>
      <c r="D209" s="637"/>
      <c r="E209" s="637"/>
      <c r="F209" s="637"/>
      <c r="G209" s="638"/>
      <c r="H209" s="626">
        <f t="shared" si="35"/>
        <v>0</v>
      </c>
      <c r="I209" s="631">
        <f t="shared" si="36"/>
        <v>13.089500000000001</v>
      </c>
      <c r="J209" s="627"/>
      <c r="K209" s="665"/>
      <c r="L209" s="666">
        <v>13.089500000000001</v>
      </c>
      <c r="M209" s="111">
        <v>40</v>
      </c>
      <c r="N209" s="25">
        <f t="shared" si="29"/>
        <v>0</v>
      </c>
      <c r="O209" s="25">
        <f t="shared" si="30"/>
        <v>0</v>
      </c>
      <c r="P209" s="25">
        <f t="shared" si="31"/>
        <v>0</v>
      </c>
      <c r="Q209" s="26">
        <f t="shared" si="32"/>
        <v>0</v>
      </c>
      <c r="R209" s="27">
        <f t="shared" si="33"/>
        <v>0</v>
      </c>
      <c r="S209" s="28">
        <f t="shared" si="34"/>
        <v>0</v>
      </c>
    </row>
    <row r="210" spans="2:19" hidden="1">
      <c r="B210" s="664" t="s">
        <v>1225</v>
      </c>
      <c r="C210" s="637"/>
      <c r="D210" s="637"/>
      <c r="E210" s="637"/>
      <c r="F210" s="637"/>
      <c r="G210" s="638"/>
      <c r="H210" s="626">
        <f t="shared" si="35"/>
        <v>0</v>
      </c>
      <c r="I210" s="631">
        <f t="shared" si="36"/>
        <v>0.76484375000000004</v>
      </c>
      <c r="J210" s="627"/>
      <c r="K210" s="665"/>
      <c r="L210" s="666">
        <v>0.76484375000000004</v>
      </c>
      <c r="M210" s="111">
        <v>320</v>
      </c>
      <c r="N210" s="25">
        <f t="shared" ref="N210:N251" si="37">I210*C210</f>
        <v>0</v>
      </c>
      <c r="O210" s="25">
        <f t="shared" ref="O210:O251" si="38">I210*D210</f>
        <v>0</v>
      </c>
      <c r="P210" s="25">
        <f t="shared" ref="P210:P251" si="39">I210*E210</f>
        <v>0</v>
      </c>
      <c r="Q210" s="26">
        <f t="shared" ref="Q210:Q251" si="40">I210*F210</f>
        <v>0</v>
      </c>
      <c r="R210" s="27">
        <f t="shared" ref="R210:R251" si="41">I210*G210</f>
        <v>0</v>
      </c>
      <c r="S210" s="28">
        <f t="shared" ref="S210:S251" si="42">SUM(N210:R210)</f>
        <v>0</v>
      </c>
    </row>
    <row r="211" spans="2:19" hidden="1">
      <c r="B211" s="664" t="s">
        <v>1226</v>
      </c>
      <c r="C211" s="637"/>
      <c r="D211" s="637"/>
      <c r="E211" s="637"/>
      <c r="F211" s="637"/>
      <c r="G211" s="638"/>
      <c r="H211" s="626">
        <f t="shared" si="35"/>
        <v>0</v>
      </c>
      <c r="I211" s="631">
        <f t="shared" si="36"/>
        <v>14.66</v>
      </c>
      <c r="J211" s="627"/>
      <c r="K211" s="665"/>
      <c r="L211" s="666">
        <v>14.66</v>
      </c>
      <c r="M211" s="111">
        <v>40</v>
      </c>
      <c r="N211" s="25">
        <f t="shared" si="37"/>
        <v>0</v>
      </c>
      <c r="O211" s="25">
        <f t="shared" si="38"/>
        <v>0</v>
      </c>
      <c r="P211" s="25">
        <f t="shared" si="39"/>
        <v>0</v>
      </c>
      <c r="Q211" s="26">
        <f t="shared" si="40"/>
        <v>0</v>
      </c>
      <c r="R211" s="27">
        <f t="shared" si="41"/>
        <v>0</v>
      </c>
      <c r="S211" s="28">
        <f t="shared" si="42"/>
        <v>0</v>
      </c>
    </row>
    <row r="212" spans="2:19" hidden="1">
      <c r="B212" s="664" t="s">
        <v>1227</v>
      </c>
      <c r="C212" s="637"/>
      <c r="D212" s="637"/>
      <c r="E212" s="637"/>
      <c r="F212" s="637"/>
      <c r="G212" s="638"/>
      <c r="H212" s="626">
        <f t="shared" si="35"/>
        <v>0</v>
      </c>
      <c r="I212" s="631">
        <f t="shared" si="36"/>
        <v>29.753333333333334</v>
      </c>
      <c r="J212" s="627"/>
      <c r="K212" s="665"/>
      <c r="L212" s="666">
        <v>29.753333333333334</v>
      </c>
      <c r="M212" s="111">
        <v>12</v>
      </c>
      <c r="N212" s="25">
        <f t="shared" si="37"/>
        <v>0</v>
      </c>
      <c r="O212" s="25">
        <f t="shared" si="38"/>
        <v>0</v>
      </c>
      <c r="P212" s="25">
        <f t="shared" si="39"/>
        <v>0</v>
      </c>
      <c r="Q212" s="26">
        <f t="shared" si="40"/>
        <v>0</v>
      </c>
      <c r="R212" s="27">
        <f t="shared" si="41"/>
        <v>0</v>
      </c>
      <c r="S212" s="28">
        <f t="shared" si="42"/>
        <v>0</v>
      </c>
    </row>
    <row r="213" spans="2:19" hidden="1">
      <c r="B213" s="664" t="s">
        <v>1228</v>
      </c>
      <c r="C213" s="637"/>
      <c r="D213" s="637"/>
      <c r="E213" s="637"/>
      <c r="F213" s="637"/>
      <c r="G213" s="638"/>
      <c r="H213" s="626">
        <f t="shared" si="35"/>
        <v>0</v>
      </c>
      <c r="I213" s="631">
        <f t="shared" si="36"/>
        <v>107.63666666666667</v>
      </c>
      <c r="J213" s="627"/>
      <c r="K213" s="665"/>
      <c r="L213" s="666">
        <v>107.63666666666667</v>
      </c>
      <c r="M213" s="111">
        <v>6</v>
      </c>
      <c r="N213" s="25">
        <f t="shared" si="37"/>
        <v>0</v>
      </c>
      <c r="O213" s="25">
        <f t="shared" si="38"/>
        <v>0</v>
      </c>
      <c r="P213" s="25">
        <f t="shared" si="39"/>
        <v>0</v>
      </c>
      <c r="Q213" s="26">
        <f t="shared" si="40"/>
        <v>0</v>
      </c>
      <c r="R213" s="27">
        <f t="shared" si="41"/>
        <v>0</v>
      </c>
      <c r="S213" s="28">
        <f t="shared" si="42"/>
        <v>0</v>
      </c>
    </row>
    <row r="214" spans="2:19" hidden="1">
      <c r="B214" s="664" t="s">
        <v>1229</v>
      </c>
      <c r="C214" s="637"/>
      <c r="D214" s="637"/>
      <c r="E214" s="637"/>
      <c r="F214" s="637"/>
      <c r="G214" s="638"/>
      <c r="H214" s="626">
        <f t="shared" si="35"/>
        <v>0</v>
      </c>
      <c r="I214" s="631">
        <f t="shared" si="36"/>
        <v>18.177916666666665</v>
      </c>
      <c r="J214" s="627"/>
      <c r="K214" s="665"/>
      <c r="L214" s="666">
        <v>18.177916666666665</v>
      </c>
      <c r="M214" s="111">
        <v>24</v>
      </c>
      <c r="N214" s="25">
        <f t="shared" si="37"/>
        <v>0</v>
      </c>
      <c r="O214" s="25">
        <f t="shared" si="38"/>
        <v>0</v>
      </c>
      <c r="P214" s="25">
        <f t="shared" si="39"/>
        <v>0</v>
      </c>
      <c r="Q214" s="26">
        <f t="shared" si="40"/>
        <v>0</v>
      </c>
      <c r="R214" s="27">
        <f t="shared" si="41"/>
        <v>0</v>
      </c>
      <c r="S214" s="28">
        <f t="shared" si="42"/>
        <v>0</v>
      </c>
    </row>
    <row r="215" spans="2:19" hidden="1">
      <c r="B215" s="664" t="s">
        <v>636</v>
      </c>
      <c r="C215" s="637"/>
      <c r="D215" s="637"/>
      <c r="E215" s="637"/>
      <c r="F215" s="637"/>
      <c r="G215" s="638"/>
      <c r="H215" s="626">
        <f t="shared" si="35"/>
        <v>0</v>
      </c>
      <c r="I215" s="631">
        <f t="shared" si="36"/>
        <v>17.489999999999998</v>
      </c>
      <c r="J215" s="627"/>
      <c r="K215" s="665"/>
      <c r="L215" s="666">
        <v>17.489999999999998</v>
      </c>
      <c r="M215" s="111">
        <v>12</v>
      </c>
      <c r="N215" s="25">
        <f t="shared" si="37"/>
        <v>0</v>
      </c>
      <c r="O215" s="25">
        <f t="shared" si="38"/>
        <v>0</v>
      </c>
      <c r="P215" s="25">
        <f t="shared" si="39"/>
        <v>0</v>
      </c>
      <c r="Q215" s="26">
        <f t="shared" si="40"/>
        <v>0</v>
      </c>
      <c r="R215" s="27">
        <f t="shared" si="41"/>
        <v>0</v>
      </c>
      <c r="S215" s="28">
        <f t="shared" si="42"/>
        <v>0</v>
      </c>
    </row>
    <row r="216" spans="2:19">
      <c r="B216" s="664" t="s">
        <v>1230</v>
      </c>
      <c r="C216" s="637"/>
      <c r="D216" s="637"/>
      <c r="E216" s="637"/>
      <c r="F216" s="637"/>
      <c r="G216" s="638">
        <v>200</v>
      </c>
      <c r="H216" s="626">
        <f t="shared" si="35"/>
        <v>200</v>
      </c>
      <c r="I216" s="631">
        <v>3.22</v>
      </c>
      <c r="J216" s="627"/>
      <c r="K216" s="665"/>
      <c r="L216" s="666">
        <v>4.8759999999999994</v>
      </c>
      <c r="M216" s="111">
        <v>20</v>
      </c>
      <c r="N216" s="25">
        <f t="shared" si="37"/>
        <v>0</v>
      </c>
      <c r="O216" s="25">
        <f t="shared" si="38"/>
        <v>0</v>
      </c>
      <c r="P216" s="25">
        <f t="shared" si="39"/>
        <v>0</v>
      </c>
      <c r="Q216" s="26">
        <f t="shared" si="40"/>
        <v>0</v>
      </c>
      <c r="R216" s="27">
        <f t="shared" si="41"/>
        <v>644</v>
      </c>
      <c r="S216" s="28">
        <f t="shared" si="42"/>
        <v>644</v>
      </c>
    </row>
    <row r="217" spans="2:19" hidden="1">
      <c r="B217" s="664" t="s">
        <v>1231</v>
      </c>
      <c r="C217" s="637"/>
      <c r="D217" s="637"/>
      <c r="E217" s="637"/>
      <c r="F217" s="637"/>
      <c r="G217" s="638"/>
      <c r="H217" s="626">
        <f t="shared" si="35"/>
        <v>0</v>
      </c>
      <c r="I217" s="631">
        <f t="shared" si="36"/>
        <v>14.151</v>
      </c>
      <c r="J217" s="627"/>
      <c r="K217" s="665"/>
      <c r="L217" s="666">
        <v>14.151</v>
      </c>
      <c r="M217" s="111">
        <v>20</v>
      </c>
      <c r="N217" s="25">
        <f t="shared" si="37"/>
        <v>0</v>
      </c>
      <c r="O217" s="25">
        <f t="shared" si="38"/>
        <v>0</v>
      </c>
      <c r="P217" s="25">
        <f t="shared" si="39"/>
        <v>0</v>
      </c>
      <c r="Q217" s="26">
        <f t="shared" si="40"/>
        <v>0</v>
      </c>
      <c r="R217" s="27">
        <f t="shared" si="41"/>
        <v>0</v>
      </c>
      <c r="S217" s="28">
        <f t="shared" si="42"/>
        <v>0</v>
      </c>
    </row>
    <row r="218" spans="2:19" hidden="1">
      <c r="B218" s="664" t="s">
        <v>1232</v>
      </c>
      <c r="C218" s="637"/>
      <c r="D218" s="637"/>
      <c r="E218" s="637"/>
      <c r="F218" s="637"/>
      <c r="G218" s="638"/>
      <c r="H218" s="626">
        <f t="shared" si="35"/>
        <v>0</v>
      </c>
      <c r="I218" s="631">
        <f t="shared" si="36"/>
        <v>19.239166666666666</v>
      </c>
      <c r="J218" s="627"/>
      <c r="K218" s="665"/>
      <c r="L218" s="666">
        <v>19.239166666666666</v>
      </c>
      <c r="M218" s="111">
        <v>12</v>
      </c>
      <c r="N218" s="25">
        <f t="shared" si="37"/>
        <v>0</v>
      </c>
      <c r="O218" s="25">
        <f t="shared" si="38"/>
        <v>0</v>
      </c>
      <c r="P218" s="25">
        <f t="shared" si="39"/>
        <v>0</v>
      </c>
      <c r="Q218" s="26">
        <f t="shared" si="40"/>
        <v>0</v>
      </c>
      <c r="R218" s="27">
        <f t="shared" si="41"/>
        <v>0</v>
      </c>
      <c r="S218" s="28">
        <f t="shared" si="42"/>
        <v>0</v>
      </c>
    </row>
    <row r="219" spans="2:19" hidden="1">
      <c r="B219" s="664" t="s">
        <v>1233</v>
      </c>
      <c r="C219" s="637"/>
      <c r="D219" s="637"/>
      <c r="E219" s="637"/>
      <c r="F219" s="637"/>
      <c r="G219" s="638"/>
      <c r="H219" s="626">
        <f t="shared" si="35"/>
        <v>0</v>
      </c>
      <c r="I219" s="631">
        <f t="shared" si="36"/>
        <v>10.9125</v>
      </c>
      <c r="J219" s="627"/>
      <c r="K219" s="665"/>
      <c r="L219" s="666">
        <v>10.9125</v>
      </c>
      <c r="M219" s="111">
        <v>20</v>
      </c>
      <c r="N219" s="25">
        <f t="shared" si="37"/>
        <v>0</v>
      </c>
      <c r="O219" s="25">
        <f t="shared" si="38"/>
        <v>0</v>
      </c>
      <c r="P219" s="25">
        <f t="shared" si="39"/>
        <v>0</v>
      </c>
      <c r="Q219" s="26">
        <f t="shared" si="40"/>
        <v>0</v>
      </c>
      <c r="R219" s="27">
        <f t="shared" si="41"/>
        <v>0</v>
      </c>
      <c r="S219" s="28">
        <f t="shared" si="42"/>
        <v>0</v>
      </c>
    </row>
    <row r="220" spans="2:19" hidden="1">
      <c r="B220" s="664" t="s">
        <v>1234</v>
      </c>
      <c r="C220" s="637"/>
      <c r="D220" s="637"/>
      <c r="E220" s="637"/>
      <c r="F220" s="637"/>
      <c r="G220" s="638"/>
      <c r="H220" s="626">
        <f t="shared" si="35"/>
        <v>0</v>
      </c>
      <c r="I220" s="631">
        <f t="shared" si="36"/>
        <v>2.3909000000000002</v>
      </c>
      <c r="J220" s="627"/>
      <c r="K220" s="665"/>
      <c r="L220" s="666">
        <v>2.3909000000000002</v>
      </c>
      <c r="M220" s="111">
        <v>100</v>
      </c>
      <c r="N220" s="25">
        <f t="shared" si="37"/>
        <v>0</v>
      </c>
      <c r="O220" s="25">
        <f t="shared" si="38"/>
        <v>0</v>
      </c>
      <c r="P220" s="25">
        <f t="shared" si="39"/>
        <v>0</v>
      </c>
      <c r="Q220" s="26">
        <f t="shared" si="40"/>
        <v>0</v>
      </c>
      <c r="R220" s="27">
        <f t="shared" si="41"/>
        <v>0</v>
      </c>
      <c r="S220" s="28">
        <f t="shared" si="42"/>
        <v>0</v>
      </c>
    </row>
    <row r="221" spans="2:19" hidden="1">
      <c r="B221" s="664" t="s">
        <v>1235</v>
      </c>
      <c r="C221" s="637"/>
      <c r="D221" s="637"/>
      <c r="E221" s="637"/>
      <c r="F221" s="637"/>
      <c r="G221" s="638"/>
      <c r="H221" s="626">
        <f t="shared" si="35"/>
        <v>0</v>
      </c>
      <c r="I221" s="631">
        <f t="shared" si="36"/>
        <v>10.244999999999999</v>
      </c>
      <c r="J221" s="627"/>
      <c r="K221" s="665"/>
      <c r="L221" s="666">
        <v>10.244999999999999</v>
      </c>
      <c r="M221" s="111">
        <v>24</v>
      </c>
      <c r="N221" s="25">
        <f t="shared" si="37"/>
        <v>0</v>
      </c>
      <c r="O221" s="25">
        <f t="shared" si="38"/>
        <v>0</v>
      </c>
      <c r="P221" s="25">
        <f t="shared" si="39"/>
        <v>0</v>
      </c>
      <c r="Q221" s="26">
        <f t="shared" si="40"/>
        <v>0</v>
      </c>
      <c r="R221" s="27">
        <f t="shared" si="41"/>
        <v>0</v>
      </c>
      <c r="S221" s="28">
        <f t="shared" si="42"/>
        <v>0</v>
      </c>
    </row>
    <row r="222" spans="2:19" hidden="1">
      <c r="B222" s="664" t="s">
        <v>1236</v>
      </c>
      <c r="C222" s="637"/>
      <c r="D222" s="637"/>
      <c r="E222" s="637"/>
      <c r="F222" s="637"/>
      <c r="G222" s="638"/>
      <c r="H222" s="626">
        <f t="shared" si="35"/>
        <v>0</v>
      </c>
      <c r="I222" s="631">
        <f t="shared" si="36"/>
        <v>34.18555555555556</v>
      </c>
      <c r="J222" s="627"/>
      <c r="K222" s="665"/>
      <c r="L222" s="666">
        <v>34.18555555555556</v>
      </c>
      <c r="M222" s="111">
        <v>9</v>
      </c>
      <c r="N222" s="25">
        <f t="shared" si="37"/>
        <v>0</v>
      </c>
      <c r="O222" s="25">
        <f t="shared" si="38"/>
        <v>0</v>
      </c>
      <c r="P222" s="25">
        <f t="shared" si="39"/>
        <v>0</v>
      </c>
      <c r="Q222" s="26">
        <f t="shared" si="40"/>
        <v>0</v>
      </c>
      <c r="R222" s="27">
        <f t="shared" si="41"/>
        <v>0</v>
      </c>
      <c r="S222" s="28">
        <f t="shared" si="42"/>
        <v>0</v>
      </c>
    </row>
    <row r="223" spans="2:19" hidden="1">
      <c r="B223" s="664" t="s">
        <v>1237</v>
      </c>
      <c r="C223" s="637"/>
      <c r="D223" s="637"/>
      <c r="E223" s="637"/>
      <c r="F223" s="637"/>
      <c r="G223" s="638"/>
      <c r="H223" s="626">
        <f t="shared" si="35"/>
        <v>0</v>
      </c>
      <c r="I223" s="631">
        <f t="shared" si="36"/>
        <v>19.786666666666665</v>
      </c>
      <c r="J223" s="627"/>
      <c r="K223" s="665"/>
      <c r="L223" s="666">
        <v>19.786666666666665</v>
      </c>
      <c r="M223" s="111">
        <v>12</v>
      </c>
      <c r="N223" s="25">
        <f t="shared" si="37"/>
        <v>0</v>
      </c>
      <c r="O223" s="25">
        <f t="shared" si="38"/>
        <v>0</v>
      </c>
      <c r="P223" s="25">
        <f t="shared" si="39"/>
        <v>0</v>
      </c>
      <c r="Q223" s="26">
        <f t="shared" si="40"/>
        <v>0</v>
      </c>
      <c r="R223" s="27">
        <f t="shared" si="41"/>
        <v>0</v>
      </c>
      <c r="S223" s="28">
        <f t="shared" si="42"/>
        <v>0</v>
      </c>
    </row>
    <row r="224" spans="2:19" hidden="1">
      <c r="B224" s="664" t="s">
        <v>637</v>
      </c>
      <c r="C224" s="637"/>
      <c r="D224" s="637"/>
      <c r="E224" s="637"/>
      <c r="F224" s="637"/>
      <c r="G224" s="638"/>
      <c r="H224" s="626">
        <f t="shared" si="35"/>
        <v>0</v>
      </c>
      <c r="I224" s="631">
        <f t="shared" si="36"/>
        <v>55.68</v>
      </c>
      <c r="J224" s="627"/>
      <c r="K224" s="665"/>
      <c r="L224" s="666">
        <v>55.68</v>
      </c>
      <c r="M224" s="111">
        <v>12</v>
      </c>
      <c r="N224" s="25">
        <f t="shared" si="37"/>
        <v>0</v>
      </c>
      <c r="O224" s="25">
        <f t="shared" si="38"/>
        <v>0</v>
      </c>
      <c r="P224" s="25">
        <f t="shared" si="39"/>
        <v>0</v>
      </c>
      <c r="Q224" s="26">
        <f t="shared" si="40"/>
        <v>0</v>
      </c>
      <c r="R224" s="27">
        <f t="shared" si="41"/>
        <v>0</v>
      </c>
      <c r="S224" s="28">
        <f t="shared" si="42"/>
        <v>0</v>
      </c>
    </row>
    <row r="225" spans="2:19" hidden="1">
      <c r="B225" s="664" t="s">
        <v>638</v>
      </c>
      <c r="C225" s="637"/>
      <c r="D225" s="637"/>
      <c r="E225" s="637"/>
      <c r="F225" s="637"/>
      <c r="G225" s="638"/>
      <c r="H225" s="626">
        <f t="shared" si="35"/>
        <v>0</v>
      </c>
      <c r="I225" s="631">
        <f t="shared" si="36"/>
        <v>29.532499999999999</v>
      </c>
      <c r="J225" s="627"/>
      <c r="K225" s="665"/>
      <c r="L225" s="666">
        <v>29.532499999999999</v>
      </c>
      <c r="M225" s="111">
        <v>12</v>
      </c>
      <c r="N225" s="25">
        <f t="shared" si="37"/>
        <v>0</v>
      </c>
      <c r="O225" s="25">
        <f t="shared" si="38"/>
        <v>0</v>
      </c>
      <c r="P225" s="25">
        <f t="shared" si="39"/>
        <v>0</v>
      </c>
      <c r="Q225" s="26">
        <f t="shared" si="40"/>
        <v>0</v>
      </c>
      <c r="R225" s="27">
        <f t="shared" si="41"/>
        <v>0</v>
      </c>
      <c r="S225" s="28">
        <f t="shared" si="42"/>
        <v>0</v>
      </c>
    </row>
    <row r="226" spans="2:19" hidden="1">
      <c r="B226" s="664" t="s">
        <v>1238</v>
      </c>
      <c r="C226" s="637"/>
      <c r="D226" s="637"/>
      <c r="E226" s="637"/>
      <c r="F226" s="637"/>
      <c r="G226" s="638"/>
      <c r="H226" s="626">
        <f t="shared" si="35"/>
        <v>0</v>
      </c>
      <c r="I226" s="631">
        <f t="shared" si="36"/>
        <v>45.80916666666667</v>
      </c>
      <c r="J226" s="627"/>
      <c r="K226" s="665"/>
      <c r="L226" s="666">
        <v>45.80916666666667</v>
      </c>
      <c r="M226" s="111">
        <v>12</v>
      </c>
      <c r="N226" s="25">
        <f t="shared" si="37"/>
        <v>0</v>
      </c>
      <c r="O226" s="25">
        <f t="shared" si="38"/>
        <v>0</v>
      </c>
      <c r="P226" s="25">
        <f t="shared" si="39"/>
        <v>0</v>
      </c>
      <c r="Q226" s="26">
        <f t="shared" si="40"/>
        <v>0</v>
      </c>
      <c r="R226" s="27">
        <f t="shared" si="41"/>
        <v>0</v>
      </c>
      <c r="S226" s="28">
        <f t="shared" si="42"/>
        <v>0</v>
      </c>
    </row>
    <row r="227" spans="2:19" hidden="1">
      <c r="B227" s="664" t="s">
        <v>1239</v>
      </c>
      <c r="C227" s="637"/>
      <c r="D227" s="637"/>
      <c r="E227" s="637"/>
      <c r="F227" s="637"/>
      <c r="G227" s="638"/>
      <c r="H227" s="626">
        <f t="shared" si="35"/>
        <v>0</v>
      </c>
      <c r="I227" s="631">
        <f t="shared" si="36"/>
        <v>49.672500000000007</v>
      </c>
      <c r="J227" s="627"/>
      <c r="K227" s="665"/>
      <c r="L227" s="666">
        <v>49.672500000000007</v>
      </c>
      <c r="M227" s="111">
        <v>12</v>
      </c>
      <c r="N227" s="25">
        <f t="shared" si="37"/>
        <v>0</v>
      </c>
      <c r="O227" s="25">
        <f t="shared" si="38"/>
        <v>0</v>
      </c>
      <c r="P227" s="25">
        <f t="shared" si="39"/>
        <v>0</v>
      </c>
      <c r="Q227" s="26">
        <f t="shared" si="40"/>
        <v>0</v>
      </c>
      <c r="R227" s="27">
        <f t="shared" si="41"/>
        <v>0</v>
      </c>
      <c r="S227" s="28">
        <f t="shared" si="42"/>
        <v>0</v>
      </c>
    </row>
    <row r="228" spans="2:19">
      <c r="B228" s="664" t="s">
        <v>1240</v>
      </c>
      <c r="C228" s="637">
        <v>60</v>
      </c>
      <c r="D228" s="637">
        <v>120</v>
      </c>
      <c r="E228" s="637">
        <v>120</v>
      </c>
      <c r="F228" s="637"/>
      <c r="G228" s="638"/>
      <c r="H228" s="626">
        <f t="shared" si="35"/>
        <v>300</v>
      </c>
      <c r="I228" s="631">
        <v>10.61</v>
      </c>
      <c r="J228" s="627"/>
      <c r="K228" s="665"/>
      <c r="L228" s="666">
        <v>15.546666666666665</v>
      </c>
      <c r="M228" s="111">
        <v>15</v>
      </c>
      <c r="N228" s="25">
        <f t="shared" si="37"/>
        <v>636.59999999999991</v>
      </c>
      <c r="O228" s="25">
        <f t="shared" si="38"/>
        <v>1273.1999999999998</v>
      </c>
      <c r="P228" s="25">
        <f t="shared" si="39"/>
        <v>1273.1999999999998</v>
      </c>
      <c r="Q228" s="26">
        <f t="shared" si="40"/>
        <v>0</v>
      </c>
      <c r="R228" s="27">
        <f t="shared" si="41"/>
        <v>0</v>
      </c>
      <c r="S228" s="28">
        <f t="shared" si="42"/>
        <v>3182.9999999999995</v>
      </c>
    </row>
    <row r="229" spans="2:19" hidden="1">
      <c r="B229" s="664" t="s">
        <v>1241</v>
      </c>
      <c r="C229" s="637"/>
      <c r="D229" s="637"/>
      <c r="E229" s="637"/>
      <c r="F229" s="637"/>
      <c r="G229" s="638"/>
      <c r="H229" s="638">
        <f t="shared" si="35"/>
        <v>0</v>
      </c>
      <c r="I229" s="631">
        <f t="shared" si="36"/>
        <v>84.27</v>
      </c>
      <c r="J229" s="627"/>
      <c r="K229" s="665"/>
      <c r="L229" s="666">
        <v>84.27</v>
      </c>
      <c r="M229" s="111">
        <v>4</v>
      </c>
      <c r="N229" s="25">
        <f t="shared" si="37"/>
        <v>0</v>
      </c>
      <c r="O229" s="25">
        <f t="shared" si="38"/>
        <v>0</v>
      </c>
      <c r="P229" s="25">
        <f t="shared" si="39"/>
        <v>0</v>
      </c>
      <c r="Q229" s="26">
        <f t="shared" si="40"/>
        <v>0</v>
      </c>
      <c r="R229" s="27">
        <f t="shared" si="41"/>
        <v>0</v>
      </c>
      <c r="S229" s="28">
        <f t="shared" si="42"/>
        <v>0</v>
      </c>
    </row>
    <row r="230" spans="2:19">
      <c r="B230" s="664" t="s">
        <v>1242</v>
      </c>
      <c r="C230" s="637">
        <v>600</v>
      </c>
      <c r="D230" s="637">
        <v>1400</v>
      </c>
      <c r="E230" s="637">
        <v>600</v>
      </c>
      <c r="F230" s="637"/>
      <c r="G230" s="638"/>
      <c r="H230" s="626">
        <f t="shared" si="35"/>
        <v>2600</v>
      </c>
      <c r="I230" s="631">
        <v>0.69</v>
      </c>
      <c r="J230" s="627"/>
      <c r="K230" s="665"/>
      <c r="L230" s="666">
        <v>1.06125</v>
      </c>
      <c r="M230" s="111">
        <v>200</v>
      </c>
      <c r="N230" s="25">
        <f t="shared" si="37"/>
        <v>413.99999999999994</v>
      </c>
      <c r="O230" s="25">
        <f t="shared" si="38"/>
        <v>965.99999999999989</v>
      </c>
      <c r="P230" s="25">
        <f t="shared" si="39"/>
        <v>413.99999999999994</v>
      </c>
      <c r="Q230" s="26">
        <f t="shared" si="40"/>
        <v>0</v>
      </c>
      <c r="R230" s="27">
        <f t="shared" si="41"/>
        <v>0</v>
      </c>
      <c r="S230" s="28">
        <f t="shared" si="42"/>
        <v>1793.9999999999998</v>
      </c>
    </row>
    <row r="231" spans="2:19" hidden="1">
      <c r="B231" s="664" t="s">
        <v>1243</v>
      </c>
      <c r="C231" s="637"/>
      <c r="D231" s="637"/>
      <c r="E231" s="637"/>
      <c r="F231" s="637"/>
      <c r="G231" s="638"/>
      <c r="H231" s="638">
        <f t="shared" si="35"/>
        <v>0</v>
      </c>
      <c r="I231" s="631">
        <f t="shared" si="36"/>
        <v>11.8995</v>
      </c>
      <c r="J231" s="627"/>
      <c r="K231" s="665"/>
      <c r="L231" s="666">
        <v>11.8995</v>
      </c>
      <c r="M231" s="111">
        <v>40</v>
      </c>
      <c r="N231" s="25">
        <f t="shared" si="37"/>
        <v>0</v>
      </c>
      <c r="O231" s="25">
        <f t="shared" si="38"/>
        <v>0</v>
      </c>
      <c r="P231" s="25">
        <f t="shared" si="39"/>
        <v>0</v>
      </c>
      <c r="Q231" s="26">
        <f t="shared" si="40"/>
        <v>0</v>
      </c>
      <c r="R231" s="27">
        <f t="shared" si="41"/>
        <v>0</v>
      </c>
      <c r="S231" s="28">
        <f t="shared" si="42"/>
        <v>0</v>
      </c>
    </row>
    <row r="232" spans="2:19" hidden="1">
      <c r="B232" s="664" t="s">
        <v>1244</v>
      </c>
      <c r="C232" s="637"/>
      <c r="D232" s="637"/>
      <c r="E232" s="637"/>
      <c r="F232" s="637"/>
      <c r="G232" s="638"/>
      <c r="H232" s="638">
        <f t="shared" si="35"/>
        <v>0</v>
      </c>
      <c r="I232" s="631">
        <v>0.69</v>
      </c>
      <c r="J232" s="627"/>
      <c r="K232" s="665"/>
      <c r="L232" s="666">
        <v>5.5317500000000006</v>
      </c>
      <c r="M232" s="111">
        <v>40</v>
      </c>
      <c r="N232" s="25">
        <f t="shared" si="37"/>
        <v>0</v>
      </c>
      <c r="O232" s="25">
        <f t="shared" si="38"/>
        <v>0</v>
      </c>
      <c r="P232" s="25">
        <f t="shared" si="39"/>
        <v>0</v>
      </c>
      <c r="Q232" s="26">
        <f t="shared" si="40"/>
        <v>0</v>
      </c>
      <c r="R232" s="27">
        <f t="shared" si="41"/>
        <v>0</v>
      </c>
      <c r="S232" s="28">
        <f t="shared" si="42"/>
        <v>0</v>
      </c>
    </row>
    <row r="233" spans="2:19" hidden="1">
      <c r="B233" s="664" t="s">
        <v>1245</v>
      </c>
      <c r="C233" s="637"/>
      <c r="D233" s="637"/>
      <c r="E233" s="637"/>
      <c r="F233" s="637"/>
      <c r="G233" s="638"/>
      <c r="H233" s="638">
        <f t="shared" si="35"/>
        <v>0</v>
      </c>
      <c r="I233" s="631">
        <f t="shared" si="36"/>
        <v>6.4655000000000005</v>
      </c>
      <c r="J233" s="627"/>
      <c r="K233" s="665"/>
      <c r="L233" s="666">
        <v>6.4655000000000005</v>
      </c>
      <c r="M233" s="111">
        <v>40</v>
      </c>
      <c r="N233" s="25">
        <f t="shared" si="37"/>
        <v>0</v>
      </c>
      <c r="O233" s="25">
        <f t="shared" si="38"/>
        <v>0</v>
      </c>
      <c r="P233" s="25">
        <f t="shared" si="39"/>
        <v>0</v>
      </c>
      <c r="Q233" s="26">
        <f t="shared" si="40"/>
        <v>0</v>
      </c>
      <c r="R233" s="27">
        <f t="shared" si="41"/>
        <v>0</v>
      </c>
      <c r="S233" s="28">
        <f t="shared" si="42"/>
        <v>0</v>
      </c>
    </row>
    <row r="234" spans="2:19" hidden="1">
      <c r="B234" s="664" t="s">
        <v>1246</v>
      </c>
      <c r="C234" s="637"/>
      <c r="D234" s="637"/>
      <c r="E234" s="637"/>
      <c r="F234" s="637"/>
      <c r="G234" s="638"/>
      <c r="H234" s="638">
        <f t="shared" si="35"/>
        <v>0</v>
      </c>
      <c r="I234" s="631">
        <f t="shared" si="36"/>
        <v>0.71455555555555561</v>
      </c>
      <c r="J234" s="627"/>
      <c r="K234" s="665"/>
      <c r="L234" s="666">
        <v>0.71455555555555561</v>
      </c>
      <c r="M234" s="111">
        <v>180</v>
      </c>
      <c r="N234" s="25">
        <f t="shared" si="37"/>
        <v>0</v>
      </c>
      <c r="O234" s="25">
        <f t="shared" si="38"/>
        <v>0</v>
      </c>
      <c r="P234" s="25">
        <f t="shared" si="39"/>
        <v>0</v>
      </c>
      <c r="Q234" s="26">
        <f t="shared" si="40"/>
        <v>0</v>
      </c>
      <c r="R234" s="27">
        <f t="shared" si="41"/>
        <v>0</v>
      </c>
      <c r="S234" s="28">
        <f t="shared" si="42"/>
        <v>0</v>
      </c>
    </row>
    <row r="235" spans="2:19" hidden="1">
      <c r="B235" s="664" t="s">
        <v>1247</v>
      </c>
      <c r="C235" s="637"/>
      <c r="D235" s="637"/>
      <c r="E235" s="637"/>
      <c r="F235" s="637"/>
      <c r="G235" s="638"/>
      <c r="H235" s="638">
        <f t="shared" si="35"/>
        <v>0</v>
      </c>
      <c r="I235" s="631">
        <f t="shared" si="36"/>
        <v>0.77800000000000002</v>
      </c>
      <c r="J235" s="627"/>
      <c r="K235" s="665"/>
      <c r="L235" s="666">
        <v>0.77800000000000002</v>
      </c>
      <c r="M235" s="111">
        <v>120</v>
      </c>
      <c r="N235" s="25">
        <f t="shared" si="37"/>
        <v>0</v>
      </c>
      <c r="O235" s="25">
        <f t="shared" si="38"/>
        <v>0</v>
      </c>
      <c r="P235" s="25">
        <f t="shared" si="39"/>
        <v>0</v>
      </c>
      <c r="Q235" s="26">
        <f t="shared" si="40"/>
        <v>0</v>
      </c>
      <c r="R235" s="27">
        <f t="shared" si="41"/>
        <v>0</v>
      </c>
      <c r="S235" s="28">
        <f t="shared" si="42"/>
        <v>0</v>
      </c>
    </row>
    <row r="236" spans="2:19">
      <c r="B236" s="664" t="s">
        <v>1248</v>
      </c>
      <c r="C236" s="637">
        <v>600</v>
      </c>
      <c r="D236" s="637">
        <v>1800</v>
      </c>
      <c r="E236" s="637"/>
      <c r="F236" s="637"/>
      <c r="G236" s="638"/>
      <c r="H236" s="626">
        <f t="shared" si="35"/>
        <v>2400</v>
      </c>
      <c r="I236" s="631">
        <v>0.49</v>
      </c>
      <c r="J236" s="627"/>
      <c r="K236" s="665"/>
      <c r="L236" s="666">
        <v>0.76049999999999995</v>
      </c>
      <c r="M236" s="111">
        <v>200</v>
      </c>
      <c r="N236" s="25">
        <f t="shared" si="37"/>
        <v>294</v>
      </c>
      <c r="O236" s="25">
        <f t="shared" si="38"/>
        <v>882</v>
      </c>
      <c r="P236" s="25">
        <f t="shared" si="39"/>
        <v>0</v>
      </c>
      <c r="Q236" s="26">
        <f t="shared" si="40"/>
        <v>0</v>
      </c>
      <c r="R236" s="27">
        <f t="shared" si="41"/>
        <v>0</v>
      </c>
      <c r="S236" s="28">
        <f t="shared" si="42"/>
        <v>1176</v>
      </c>
    </row>
    <row r="237" spans="2:19" hidden="1">
      <c r="B237" s="664" t="s">
        <v>1249</v>
      </c>
      <c r="C237" s="637"/>
      <c r="D237" s="637"/>
      <c r="E237" s="637"/>
      <c r="F237" s="637"/>
      <c r="G237" s="638"/>
      <c r="H237" s="638">
        <f t="shared" si="35"/>
        <v>0</v>
      </c>
      <c r="I237" s="631">
        <f t="shared" si="36"/>
        <v>0.6953125</v>
      </c>
      <c r="J237" s="627"/>
      <c r="K237" s="665"/>
      <c r="L237" s="666">
        <v>0.6953125</v>
      </c>
      <c r="M237" s="111">
        <v>320</v>
      </c>
      <c r="N237" s="25">
        <f t="shared" si="37"/>
        <v>0</v>
      </c>
      <c r="O237" s="25">
        <f t="shared" si="38"/>
        <v>0</v>
      </c>
      <c r="P237" s="25">
        <f t="shared" si="39"/>
        <v>0</v>
      </c>
      <c r="Q237" s="26">
        <f t="shared" si="40"/>
        <v>0</v>
      </c>
      <c r="R237" s="27">
        <f t="shared" si="41"/>
        <v>0</v>
      </c>
      <c r="S237" s="28">
        <f t="shared" si="42"/>
        <v>0</v>
      </c>
    </row>
    <row r="238" spans="2:19" hidden="1">
      <c r="B238" s="664" t="s">
        <v>1250</v>
      </c>
      <c r="C238" s="637"/>
      <c r="D238" s="637"/>
      <c r="E238" s="637"/>
      <c r="F238" s="637"/>
      <c r="G238" s="638"/>
      <c r="H238" s="638">
        <f t="shared" si="35"/>
        <v>0</v>
      </c>
      <c r="I238" s="631">
        <f t="shared" si="36"/>
        <v>1.06125</v>
      </c>
      <c r="J238" s="627"/>
      <c r="K238" s="665"/>
      <c r="L238" s="666">
        <v>1.06125</v>
      </c>
      <c r="M238" s="111">
        <v>200</v>
      </c>
      <c r="N238" s="25">
        <f t="shared" si="37"/>
        <v>0</v>
      </c>
      <c r="O238" s="25">
        <f t="shared" si="38"/>
        <v>0</v>
      </c>
      <c r="P238" s="25">
        <f t="shared" si="39"/>
        <v>0</v>
      </c>
      <c r="Q238" s="26">
        <f t="shared" si="40"/>
        <v>0</v>
      </c>
      <c r="R238" s="27">
        <f t="shared" si="41"/>
        <v>0</v>
      </c>
      <c r="S238" s="28">
        <f t="shared" si="42"/>
        <v>0</v>
      </c>
    </row>
    <row r="239" spans="2:19" hidden="1">
      <c r="B239" s="664" t="s">
        <v>1251</v>
      </c>
      <c r="C239" s="637"/>
      <c r="D239" s="637"/>
      <c r="E239" s="637"/>
      <c r="F239" s="637"/>
      <c r="G239" s="638"/>
      <c r="H239" s="638">
        <f t="shared" si="35"/>
        <v>0</v>
      </c>
      <c r="I239" s="631">
        <f t="shared" si="36"/>
        <v>13.327500000000001</v>
      </c>
      <c r="J239" s="627"/>
      <c r="K239" s="665"/>
      <c r="L239" s="666">
        <v>13.327500000000001</v>
      </c>
      <c r="M239" s="111">
        <v>40</v>
      </c>
      <c r="N239" s="25">
        <f t="shared" si="37"/>
        <v>0</v>
      </c>
      <c r="O239" s="25">
        <f t="shared" si="38"/>
        <v>0</v>
      </c>
      <c r="P239" s="25">
        <f t="shared" si="39"/>
        <v>0</v>
      </c>
      <c r="Q239" s="26">
        <f t="shared" si="40"/>
        <v>0</v>
      </c>
      <c r="R239" s="27">
        <f t="shared" si="41"/>
        <v>0</v>
      </c>
      <c r="S239" s="28">
        <f t="shared" si="42"/>
        <v>0</v>
      </c>
    </row>
    <row r="240" spans="2:19" hidden="1">
      <c r="B240" s="664" t="s">
        <v>1252</v>
      </c>
      <c r="C240" s="637"/>
      <c r="D240" s="637"/>
      <c r="E240" s="637"/>
      <c r="F240" s="637"/>
      <c r="G240" s="638"/>
      <c r="H240" s="638">
        <f t="shared" si="35"/>
        <v>0</v>
      </c>
      <c r="I240" s="631">
        <f t="shared" si="36"/>
        <v>5.3062500000000004</v>
      </c>
      <c r="J240" s="627"/>
      <c r="K240" s="665"/>
      <c r="L240" s="666">
        <v>5.3062500000000004</v>
      </c>
      <c r="M240" s="111">
        <v>40</v>
      </c>
      <c r="N240" s="25">
        <f t="shared" si="37"/>
        <v>0</v>
      </c>
      <c r="O240" s="25">
        <f t="shared" si="38"/>
        <v>0</v>
      </c>
      <c r="P240" s="25">
        <f t="shared" si="39"/>
        <v>0</v>
      </c>
      <c r="Q240" s="26">
        <f t="shared" si="40"/>
        <v>0</v>
      </c>
      <c r="R240" s="27">
        <f t="shared" si="41"/>
        <v>0</v>
      </c>
      <c r="S240" s="28">
        <f t="shared" si="42"/>
        <v>0</v>
      </c>
    </row>
    <row r="241" spans="2:19">
      <c r="B241" s="664" t="s">
        <v>1253</v>
      </c>
      <c r="C241" s="637"/>
      <c r="D241" s="637"/>
      <c r="E241" s="637"/>
      <c r="F241" s="637"/>
      <c r="G241" s="638">
        <v>48</v>
      </c>
      <c r="H241" s="626">
        <f t="shared" si="35"/>
        <v>48</v>
      </c>
      <c r="I241" s="631">
        <v>17.760000000000002</v>
      </c>
      <c r="J241" s="627"/>
      <c r="K241" s="665"/>
      <c r="L241" s="666">
        <v>27.048333333333332</v>
      </c>
      <c r="M241" s="111">
        <v>12</v>
      </c>
      <c r="N241" s="25">
        <f t="shared" si="37"/>
        <v>0</v>
      </c>
      <c r="O241" s="25">
        <f t="shared" si="38"/>
        <v>0</v>
      </c>
      <c r="P241" s="25">
        <f t="shared" si="39"/>
        <v>0</v>
      </c>
      <c r="Q241" s="26">
        <f t="shared" si="40"/>
        <v>0</v>
      </c>
      <c r="R241" s="27">
        <f t="shared" si="41"/>
        <v>852.48</v>
      </c>
      <c r="S241" s="28">
        <f t="shared" si="42"/>
        <v>852.48</v>
      </c>
    </row>
    <row r="242" spans="2:19">
      <c r="B242" s="664" t="s">
        <v>1254</v>
      </c>
      <c r="C242" s="637">
        <v>6</v>
      </c>
      <c r="D242" s="637"/>
      <c r="E242" s="637"/>
      <c r="F242" s="637">
        <v>12</v>
      </c>
      <c r="G242" s="638">
        <v>36</v>
      </c>
      <c r="H242" s="626">
        <f t="shared" si="35"/>
        <v>54</v>
      </c>
      <c r="I242" s="631">
        <v>56.87</v>
      </c>
      <c r="J242" s="627"/>
      <c r="K242" s="665"/>
      <c r="L242" s="666">
        <v>97.850000000000009</v>
      </c>
      <c r="M242" s="111">
        <v>6</v>
      </c>
      <c r="N242" s="25">
        <f t="shared" si="37"/>
        <v>341.21999999999997</v>
      </c>
      <c r="O242" s="25">
        <f t="shared" si="38"/>
        <v>0</v>
      </c>
      <c r="P242" s="25">
        <f t="shared" si="39"/>
        <v>0</v>
      </c>
      <c r="Q242" s="26">
        <f t="shared" si="40"/>
        <v>682.43999999999994</v>
      </c>
      <c r="R242" s="27">
        <f t="shared" si="41"/>
        <v>2047.32</v>
      </c>
      <c r="S242" s="28">
        <f t="shared" si="42"/>
        <v>3070.9799999999996</v>
      </c>
    </row>
    <row r="243" spans="2:19" hidden="1">
      <c r="B243" s="664" t="s">
        <v>1255</v>
      </c>
      <c r="C243" s="637"/>
      <c r="D243" s="637"/>
      <c r="E243" s="637"/>
      <c r="F243" s="637"/>
      <c r="G243" s="638"/>
      <c r="H243" s="638">
        <f t="shared" si="35"/>
        <v>0</v>
      </c>
      <c r="I243" s="631">
        <v>8.8000000000000007</v>
      </c>
      <c r="J243" s="627"/>
      <c r="K243" s="665"/>
      <c r="L243" s="666">
        <v>13.383333333333333</v>
      </c>
      <c r="M243" s="111">
        <v>24</v>
      </c>
      <c r="N243" s="25">
        <f t="shared" si="37"/>
        <v>0</v>
      </c>
      <c r="O243" s="25">
        <f t="shared" si="38"/>
        <v>0</v>
      </c>
      <c r="P243" s="25">
        <f t="shared" si="39"/>
        <v>0</v>
      </c>
      <c r="Q243" s="26">
        <f t="shared" si="40"/>
        <v>0</v>
      </c>
      <c r="R243" s="27">
        <f t="shared" si="41"/>
        <v>0</v>
      </c>
      <c r="S243" s="28">
        <f t="shared" si="42"/>
        <v>0</v>
      </c>
    </row>
    <row r="244" spans="2:19">
      <c r="B244" s="669" t="s">
        <v>2525</v>
      </c>
      <c r="C244" s="637"/>
      <c r="D244" s="637"/>
      <c r="E244" s="670">
        <v>40</v>
      </c>
      <c r="F244" s="637"/>
      <c r="G244" s="638"/>
      <c r="H244" s="626">
        <f t="shared" si="35"/>
        <v>40</v>
      </c>
      <c r="I244" s="631">
        <v>5.26</v>
      </c>
      <c r="J244" s="627"/>
      <c r="K244" s="665"/>
      <c r="L244" s="666">
        <v>39.75</v>
      </c>
      <c r="M244" s="111">
        <v>12</v>
      </c>
      <c r="N244" s="25">
        <f t="shared" si="37"/>
        <v>0</v>
      </c>
      <c r="O244" s="25">
        <f t="shared" si="38"/>
        <v>0</v>
      </c>
      <c r="P244" s="25">
        <f t="shared" si="39"/>
        <v>210.39999999999998</v>
      </c>
      <c r="Q244" s="26">
        <f t="shared" si="40"/>
        <v>0</v>
      </c>
      <c r="R244" s="27">
        <f t="shared" si="41"/>
        <v>0</v>
      </c>
      <c r="S244" s="28">
        <f t="shared" si="42"/>
        <v>210.39999999999998</v>
      </c>
    </row>
    <row r="245" spans="2:19">
      <c r="B245" s="669" t="s">
        <v>2526</v>
      </c>
      <c r="C245" s="637"/>
      <c r="D245" s="637"/>
      <c r="E245" s="670">
        <v>600</v>
      </c>
      <c r="F245" s="637"/>
      <c r="G245" s="638"/>
      <c r="H245" s="626">
        <f t="shared" si="35"/>
        <v>600</v>
      </c>
      <c r="I245" s="631">
        <v>0.69</v>
      </c>
      <c r="J245" s="627"/>
      <c r="K245" s="665"/>
      <c r="L245" s="666">
        <v>41.693333333333335</v>
      </c>
      <c r="M245" s="111">
        <v>6</v>
      </c>
      <c r="N245" s="25">
        <f t="shared" si="37"/>
        <v>0</v>
      </c>
      <c r="O245" s="25">
        <f t="shared" si="38"/>
        <v>0</v>
      </c>
      <c r="P245" s="25">
        <f t="shared" si="39"/>
        <v>413.99999999999994</v>
      </c>
      <c r="Q245" s="26">
        <f t="shared" si="40"/>
        <v>0</v>
      </c>
      <c r="R245" s="27">
        <f t="shared" si="41"/>
        <v>0</v>
      </c>
      <c r="S245" s="28">
        <f t="shared" si="42"/>
        <v>413.99999999999994</v>
      </c>
    </row>
    <row r="246" spans="2:19" hidden="1">
      <c r="B246" s="664" t="s">
        <v>1256</v>
      </c>
      <c r="C246" s="637"/>
      <c r="D246" s="637"/>
      <c r="E246" s="637"/>
      <c r="F246" s="637"/>
      <c r="G246" s="638"/>
      <c r="H246" s="638">
        <f t="shared" si="35"/>
        <v>0</v>
      </c>
      <c r="I246" s="631">
        <f t="shared" si="36"/>
        <v>43.725000000000001</v>
      </c>
      <c r="J246" s="627"/>
      <c r="K246" s="665"/>
      <c r="L246" s="666">
        <v>43.725000000000001</v>
      </c>
      <c r="M246" s="111">
        <v>4</v>
      </c>
      <c r="N246" s="25">
        <f t="shared" si="37"/>
        <v>0</v>
      </c>
      <c r="O246" s="25">
        <f t="shared" si="38"/>
        <v>0</v>
      </c>
      <c r="P246" s="25">
        <f t="shared" si="39"/>
        <v>0</v>
      </c>
      <c r="Q246" s="26">
        <f t="shared" si="40"/>
        <v>0</v>
      </c>
      <c r="R246" s="27">
        <f t="shared" si="41"/>
        <v>0</v>
      </c>
      <c r="S246" s="28">
        <f t="shared" si="42"/>
        <v>0</v>
      </c>
    </row>
    <row r="247" spans="2:19">
      <c r="B247" s="664" t="s">
        <v>1257</v>
      </c>
      <c r="C247" s="637"/>
      <c r="D247" s="637"/>
      <c r="E247" s="637">
        <v>12</v>
      </c>
      <c r="F247" s="637"/>
      <c r="G247" s="638"/>
      <c r="H247" s="626">
        <f t="shared" si="35"/>
        <v>12</v>
      </c>
      <c r="I247" s="631">
        <v>35.21</v>
      </c>
      <c r="J247" s="627"/>
      <c r="K247" s="665"/>
      <c r="L247" s="666">
        <v>57.5</v>
      </c>
      <c r="M247" s="111">
        <v>4</v>
      </c>
      <c r="N247" s="25">
        <f t="shared" si="37"/>
        <v>0</v>
      </c>
      <c r="O247" s="25">
        <f t="shared" si="38"/>
        <v>0</v>
      </c>
      <c r="P247" s="25">
        <f t="shared" si="39"/>
        <v>422.52</v>
      </c>
      <c r="Q247" s="26">
        <f t="shared" si="40"/>
        <v>0</v>
      </c>
      <c r="R247" s="27">
        <f t="shared" si="41"/>
        <v>0</v>
      </c>
      <c r="S247" s="28">
        <f t="shared" si="42"/>
        <v>422.52</v>
      </c>
    </row>
    <row r="248" spans="2:19" hidden="1">
      <c r="B248" s="664" t="s">
        <v>1257</v>
      </c>
      <c r="C248" s="637"/>
      <c r="D248" s="637"/>
      <c r="E248" s="637"/>
      <c r="F248" s="637"/>
      <c r="G248" s="638"/>
      <c r="H248" s="638">
        <f t="shared" si="35"/>
        <v>0</v>
      </c>
      <c r="I248" s="631">
        <f t="shared" si="36"/>
        <v>52.116666666666667</v>
      </c>
      <c r="J248" s="627"/>
      <c r="K248" s="665"/>
      <c r="L248" s="666">
        <v>52.116666666666667</v>
      </c>
      <c r="M248" s="111">
        <v>12</v>
      </c>
      <c r="N248" s="25">
        <f t="shared" si="37"/>
        <v>0</v>
      </c>
      <c r="O248" s="25">
        <f t="shared" si="38"/>
        <v>0</v>
      </c>
      <c r="P248" s="25">
        <f t="shared" si="39"/>
        <v>0</v>
      </c>
      <c r="Q248" s="26">
        <f t="shared" si="40"/>
        <v>0</v>
      </c>
      <c r="R248" s="27">
        <f t="shared" si="41"/>
        <v>0</v>
      </c>
      <c r="S248" s="28">
        <f t="shared" si="42"/>
        <v>0</v>
      </c>
    </row>
    <row r="249" spans="2:19" hidden="1">
      <c r="B249" s="664" t="s">
        <v>1257</v>
      </c>
      <c r="C249" s="637"/>
      <c r="D249" s="637"/>
      <c r="E249" s="637"/>
      <c r="F249" s="637"/>
      <c r="G249" s="638"/>
      <c r="H249" s="638">
        <f t="shared" si="35"/>
        <v>0</v>
      </c>
      <c r="I249" s="631">
        <f t="shared" si="36"/>
        <v>54.766666666666673</v>
      </c>
      <c r="J249" s="627"/>
      <c r="K249" s="665"/>
      <c r="L249" s="666">
        <v>54.766666666666673</v>
      </c>
      <c r="M249" s="111">
        <v>6</v>
      </c>
      <c r="N249" s="25">
        <f t="shared" si="37"/>
        <v>0</v>
      </c>
      <c r="O249" s="25">
        <f t="shared" si="38"/>
        <v>0</v>
      </c>
      <c r="P249" s="25">
        <f t="shared" si="39"/>
        <v>0</v>
      </c>
      <c r="Q249" s="26">
        <f t="shared" si="40"/>
        <v>0</v>
      </c>
      <c r="R249" s="27">
        <f t="shared" si="41"/>
        <v>0</v>
      </c>
      <c r="S249" s="28">
        <f t="shared" si="42"/>
        <v>0</v>
      </c>
    </row>
    <row r="250" spans="2:19">
      <c r="B250" s="664" t="s">
        <v>1258</v>
      </c>
      <c r="C250" s="637"/>
      <c r="D250" s="637"/>
      <c r="E250" s="637"/>
      <c r="F250" s="637">
        <v>12</v>
      </c>
      <c r="G250" s="638"/>
      <c r="H250" s="626">
        <f t="shared" si="35"/>
        <v>12</v>
      </c>
      <c r="I250" s="631">
        <v>19.66</v>
      </c>
      <c r="J250" s="627"/>
      <c r="K250" s="665"/>
      <c r="L250" s="666">
        <v>28.885000000000002</v>
      </c>
      <c r="M250" s="111">
        <v>8</v>
      </c>
      <c r="N250" s="25">
        <f t="shared" si="37"/>
        <v>0</v>
      </c>
      <c r="O250" s="25">
        <f t="shared" si="38"/>
        <v>0</v>
      </c>
      <c r="P250" s="25">
        <f t="shared" si="39"/>
        <v>0</v>
      </c>
      <c r="Q250" s="26">
        <f t="shared" si="40"/>
        <v>235.92000000000002</v>
      </c>
      <c r="R250" s="27">
        <f t="shared" si="41"/>
        <v>0</v>
      </c>
      <c r="S250" s="28">
        <f t="shared" si="42"/>
        <v>235.92000000000002</v>
      </c>
    </row>
    <row r="251" spans="2:19" hidden="1">
      <c r="B251" s="664" t="s">
        <v>1259</v>
      </c>
      <c r="C251" s="637"/>
      <c r="D251" s="637"/>
      <c r="E251" s="637"/>
      <c r="F251" s="637"/>
      <c r="G251" s="638"/>
      <c r="H251" s="638">
        <f t="shared" si="35"/>
        <v>0</v>
      </c>
      <c r="I251" s="631">
        <f t="shared" si="36"/>
        <v>42.94</v>
      </c>
      <c r="J251" s="627"/>
      <c r="K251" s="665"/>
      <c r="L251" s="666">
        <v>42.94</v>
      </c>
      <c r="M251" s="111">
        <v>12</v>
      </c>
      <c r="N251" s="25">
        <f t="shared" si="37"/>
        <v>0</v>
      </c>
      <c r="O251" s="25">
        <f t="shared" si="38"/>
        <v>0</v>
      </c>
      <c r="P251" s="25">
        <f t="shared" si="39"/>
        <v>0</v>
      </c>
      <c r="Q251" s="26">
        <f t="shared" si="40"/>
        <v>0</v>
      </c>
      <c r="R251" s="27">
        <f t="shared" si="41"/>
        <v>0</v>
      </c>
      <c r="S251" s="28">
        <f t="shared" si="42"/>
        <v>0</v>
      </c>
    </row>
    <row r="252" spans="2:19">
      <c r="B252" s="318" t="s">
        <v>13</v>
      </c>
      <c r="C252" s="654">
        <f t="shared" ref="C252" si="43">SUM(N6:N251)</f>
        <v>8130.0200000000013</v>
      </c>
      <c r="D252" s="654">
        <f t="shared" ref="D252" si="44">SUM(O6:O251)</f>
        <v>5129.3999999999996</v>
      </c>
      <c r="E252" s="654">
        <f t="shared" ref="E252" si="45">SUM(P6:P251)</f>
        <v>10286.280000000001</v>
      </c>
      <c r="F252" s="654">
        <f t="shared" ref="F252" si="46">SUM(Q6:Q251)</f>
        <v>22924.199999999997</v>
      </c>
      <c r="G252" s="654">
        <f t="shared" ref="G252" si="47">SUM(R6:R251)</f>
        <v>19051</v>
      </c>
      <c r="H252" s="654">
        <f t="shared" ref="H252" si="48">SUM(S6:S251)</f>
        <v>65520.899999999994</v>
      </c>
      <c r="I252" s="629"/>
      <c r="J252" s="667"/>
      <c r="K252" s="667"/>
      <c r="L252" s="668"/>
      <c r="M252" s="668"/>
    </row>
    <row r="253" spans="2:19">
      <c r="G253" s="5" t="str">
        <f t="shared" ref="G253:G311" si="49">IF(B253&lt;&gt;"",SUM(C253:F253),"")</f>
        <v/>
      </c>
    </row>
    <row r="254" spans="2:19">
      <c r="G254" s="5" t="str">
        <f t="shared" si="49"/>
        <v/>
      </c>
    </row>
    <row r="255" spans="2:19">
      <c r="G255" s="5" t="str">
        <f t="shared" si="49"/>
        <v/>
      </c>
    </row>
    <row r="256" spans="2:19">
      <c r="G256" s="5" t="str">
        <f t="shared" si="49"/>
        <v/>
      </c>
    </row>
    <row r="257" spans="7:7">
      <c r="G257" s="5" t="str">
        <f t="shared" si="49"/>
        <v/>
      </c>
    </row>
    <row r="258" spans="7:7">
      <c r="G258" s="5" t="str">
        <f t="shared" si="49"/>
        <v/>
      </c>
    </row>
    <row r="259" spans="7:7">
      <c r="G259" s="5" t="str">
        <f t="shared" si="49"/>
        <v/>
      </c>
    </row>
    <row r="260" spans="7:7">
      <c r="G260" s="5" t="str">
        <f t="shared" si="49"/>
        <v/>
      </c>
    </row>
    <row r="261" spans="7:7">
      <c r="G261" s="5" t="str">
        <f t="shared" si="49"/>
        <v/>
      </c>
    </row>
    <row r="262" spans="7:7">
      <c r="G262" s="5" t="str">
        <f t="shared" si="49"/>
        <v/>
      </c>
    </row>
    <row r="263" spans="7:7">
      <c r="G263" s="5" t="str">
        <f t="shared" si="49"/>
        <v/>
      </c>
    </row>
    <row r="264" spans="7:7">
      <c r="G264" s="5" t="str">
        <f t="shared" si="49"/>
        <v/>
      </c>
    </row>
    <row r="265" spans="7:7">
      <c r="G265" s="5" t="str">
        <f t="shared" si="49"/>
        <v/>
      </c>
    </row>
    <row r="266" spans="7:7">
      <c r="G266" s="5" t="str">
        <f t="shared" si="49"/>
        <v/>
      </c>
    </row>
    <row r="267" spans="7:7">
      <c r="G267" s="5" t="str">
        <f t="shared" si="49"/>
        <v/>
      </c>
    </row>
    <row r="268" spans="7:7">
      <c r="G268" s="5" t="str">
        <f t="shared" si="49"/>
        <v/>
      </c>
    </row>
    <row r="269" spans="7:7">
      <c r="G269" s="5" t="str">
        <f t="shared" si="49"/>
        <v/>
      </c>
    </row>
    <row r="270" spans="7:7">
      <c r="G270" s="5" t="str">
        <f t="shared" si="49"/>
        <v/>
      </c>
    </row>
    <row r="271" spans="7:7">
      <c r="G271" s="5" t="str">
        <f t="shared" si="49"/>
        <v/>
      </c>
    </row>
    <row r="272" spans="7:7">
      <c r="G272" s="5" t="str">
        <f t="shared" si="49"/>
        <v/>
      </c>
    </row>
    <row r="273" spans="7:7">
      <c r="G273" s="5" t="str">
        <f t="shared" si="49"/>
        <v/>
      </c>
    </row>
    <row r="274" spans="7:7">
      <c r="G274" s="5" t="str">
        <f t="shared" si="49"/>
        <v/>
      </c>
    </row>
    <row r="275" spans="7:7">
      <c r="G275" s="5" t="str">
        <f t="shared" si="49"/>
        <v/>
      </c>
    </row>
    <row r="276" spans="7:7">
      <c r="G276" s="5" t="str">
        <f t="shared" si="49"/>
        <v/>
      </c>
    </row>
    <row r="277" spans="7:7">
      <c r="G277" s="5" t="str">
        <f t="shared" si="49"/>
        <v/>
      </c>
    </row>
    <row r="278" spans="7:7">
      <c r="G278" s="5" t="str">
        <f t="shared" si="49"/>
        <v/>
      </c>
    </row>
    <row r="279" spans="7:7">
      <c r="G279" s="5" t="str">
        <f t="shared" si="49"/>
        <v/>
      </c>
    </row>
    <row r="280" spans="7:7">
      <c r="G280" s="5" t="str">
        <f t="shared" si="49"/>
        <v/>
      </c>
    </row>
    <row r="281" spans="7:7">
      <c r="G281" s="5" t="str">
        <f t="shared" si="49"/>
        <v/>
      </c>
    </row>
    <row r="282" spans="7:7">
      <c r="G282" s="5" t="str">
        <f t="shared" si="49"/>
        <v/>
      </c>
    </row>
    <row r="283" spans="7:7">
      <c r="G283" s="5" t="str">
        <f t="shared" si="49"/>
        <v/>
      </c>
    </row>
    <row r="284" spans="7:7">
      <c r="G284" s="5" t="str">
        <f t="shared" si="49"/>
        <v/>
      </c>
    </row>
    <row r="285" spans="7:7">
      <c r="G285" s="5" t="str">
        <f t="shared" si="49"/>
        <v/>
      </c>
    </row>
    <row r="286" spans="7:7">
      <c r="G286" s="5" t="str">
        <f t="shared" si="49"/>
        <v/>
      </c>
    </row>
    <row r="287" spans="7:7">
      <c r="G287" s="5" t="str">
        <f t="shared" si="49"/>
        <v/>
      </c>
    </row>
    <row r="288" spans="7:7">
      <c r="G288" s="5" t="str">
        <f t="shared" si="49"/>
        <v/>
      </c>
    </row>
    <row r="289" spans="7:7">
      <c r="G289" s="5" t="str">
        <f t="shared" si="49"/>
        <v/>
      </c>
    </row>
    <row r="290" spans="7:7">
      <c r="G290" s="5" t="str">
        <f t="shared" si="49"/>
        <v/>
      </c>
    </row>
    <row r="291" spans="7:7">
      <c r="G291" s="5" t="str">
        <f t="shared" si="49"/>
        <v/>
      </c>
    </row>
    <row r="292" spans="7:7">
      <c r="G292" s="5" t="str">
        <f t="shared" si="49"/>
        <v/>
      </c>
    </row>
    <row r="293" spans="7:7">
      <c r="G293" s="5" t="str">
        <f t="shared" si="49"/>
        <v/>
      </c>
    </row>
    <row r="294" spans="7:7">
      <c r="G294" s="5" t="str">
        <f t="shared" si="49"/>
        <v/>
      </c>
    </row>
    <row r="295" spans="7:7">
      <c r="G295" s="5" t="str">
        <f t="shared" si="49"/>
        <v/>
      </c>
    </row>
    <row r="296" spans="7:7">
      <c r="G296" s="5" t="str">
        <f t="shared" si="49"/>
        <v/>
      </c>
    </row>
    <row r="297" spans="7:7">
      <c r="G297" s="5" t="str">
        <f t="shared" si="49"/>
        <v/>
      </c>
    </row>
    <row r="298" spans="7:7">
      <c r="G298" s="5" t="str">
        <f t="shared" si="49"/>
        <v/>
      </c>
    </row>
    <row r="299" spans="7:7">
      <c r="G299" s="5" t="str">
        <f t="shared" si="49"/>
        <v/>
      </c>
    </row>
    <row r="300" spans="7:7">
      <c r="G300" s="5" t="str">
        <f t="shared" si="49"/>
        <v/>
      </c>
    </row>
    <row r="301" spans="7:7">
      <c r="G301" s="5" t="str">
        <f t="shared" si="49"/>
        <v/>
      </c>
    </row>
    <row r="302" spans="7:7">
      <c r="G302" s="5" t="str">
        <f t="shared" si="49"/>
        <v/>
      </c>
    </row>
    <row r="303" spans="7:7">
      <c r="G303" s="5" t="str">
        <f t="shared" si="49"/>
        <v/>
      </c>
    </row>
    <row r="304" spans="7:7">
      <c r="G304" s="5" t="str">
        <f t="shared" si="49"/>
        <v/>
      </c>
    </row>
    <row r="305" spans="7:7">
      <c r="G305" s="5" t="str">
        <f t="shared" si="49"/>
        <v/>
      </c>
    </row>
    <row r="306" spans="7:7">
      <c r="G306" s="5" t="str">
        <f t="shared" si="49"/>
        <v/>
      </c>
    </row>
    <row r="307" spans="7:7">
      <c r="G307" s="5" t="str">
        <f t="shared" si="49"/>
        <v/>
      </c>
    </row>
    <row r="308" spans="7:7">
      <c r="G308" s="5" t="str">
        <f t="shared" si="49"/>
        <v/>
      </c>
    </row>
    <row r="309" spans="7:7">
      <c r="G309" s="5" t="str">
        <f t="shared" si="49"/>
        <v/>
      </c>
    </row>
    <row r="310" spans="7:7">
      <c r="G310" s="5" t="str">
        <f t="shared" si="49"/>
        <v/>
      </c>
    </row>
    <row r="311" spans="7:7">
      <c r="G311" s="5" t="str">
        <f t="shared" si="49"/>
        <v/>
      </c>
    </row>
    <row r="312" spans="7:7">
      <c r="G312" s="5" t="str">
        <f t="shared" ref="G312:G375" si="50">IF(B312&lt;&gt;"",SUM(C312:F312),"")</f>
        <v/>
      </c>
    </row>
    <row r="313" spans="7:7">
      <c r="G313" s="5" t="str">
        <f t="shared" si="50"/>
        <v/>
      </c>
    </row>
    <row r="314" spans="7:7">
      <c r="G314" s="5" t="str">
        <f t="shared" si="50"/>
        <v/>
      </c>
    </row>
    <row r="315" spans="7:7">
      <c r="G315" s="5" t="str">
        <f t="shared" si="50"/>
        <v/>
      </c>
    </row>
    <row r="316" spans="7:7">
      <c r="G316" s="5" t="str">
        <f t="shared" si="50"/>
        <v/>
      </c>
    </row>
    <row r="317" spans="7:7">
      <c r="G317" s="5" t="str">
        <f t="shared" si="50"/>
        <v/>
      </c>
    </row>
    <row r="318" spans="7:7">
      <c r="G318" s="5" t="str">
        <f t="shared" si="50"/>
        <v/>
      </c>
    </row>
    <row r="319" spans="7:7">
      <c r="G319" s="5" t="str">
        <f t="shared" si="50"/>
        <v/>
      </c>
    </row>
    <row r="320" spans="7:7">
      <c r="G320" s="5" t="str">
        <f t="shared" si="50"/>
        <v/>
      </c>
    </row>
    <row r="321" spans="7:7">
      <c r="G321" s="5" t="str">
        <f t="shared" si="50"/>
        <v/>
      </c>
    </row>
    <row r="322" spans="7:7">
      <c r="G322" s="5" t="str">
        <f t="shared" si="50"/>
        <v/>
      </c>
    </row>
    <row r="323" spans="7:7">
      <c r="G323" s="5" t="str">
        <f t="shared" si="50"/>
        <v/>
      </c>
    </row>
    <row r="324" spans="7:7">
      <c r="G324" s="5" t="str">
        <f t="shared" si="50"/>
        <v/>
      </c>
    </row>
    <row r="325" spans="7:7">
      <c r="G325" s="5" t="str">
        <f t="shared" si="50"/>
        <v/>
      </c>
    </row>
    <row r="326" spans="7:7">
      <c r="G326" s="5" t="str">
        <f t="shared" si="50"/>
        <v/>
      </c>
    </row>
    <row r="327" spans="7:7">
      <c r="G327" s="5" t="str">
        <f t="shared" si="50"/>
        <v/>
      </c>
    </row>
    <row r="328" spans="7:7">
      <c r="G328" s="5" t="str">
        <f t="shared" si="50"/>
        <v/>
      </c>
    </row>
    <row r="329" spans="7:7">
      <c r="G329" s="5" t="str">
        <f t="shared" si="50"/>
        <v/>
      </c>
    </row>
    <row r="330" spans="7:7">
      <c r="G330" s="5" t="str">
        <f t="shared" si="50"/>
        <v/>
      </c>
    </row>
    <row r="331" spans="7:7">
      <c r="G331" s="5" t="str">
        <f t="shared" si="50"/>
        <v/>
      </c>
    </row>
    <row r="332" spans="7:7">
      <c r="G332" s="5" t="str">
        <f t="shared" si="50"/>
        <v/>
      </c>
    </row>
    <row r="333" spans="7:7">
      <c r="G333" s="5" t="str">
        <f t="shared" si="50"/>
        <v/>
      </c>
    </row>
    <row r="334" spans="7:7">
      <c r="G334" s="5" t="str">
        <f t="shared" si="50"/>
        <v/>
      </c>
    </row>
    <row r="335" spans="7:7">
      <c r="G335" s="5" t="str">
        <f t="shared" si="50"/>
        <v/>
      </c>
    </row>
    <row r="336" spans="7:7">
      <c r="G336" s="5" t="str">
        <f t="shared" si="50"/>
        <v/>
      </c>
    </row>
    <row r="337" spans="7:7">
      <c r="G337" s="5" t="str">
        <f t="shared" si="50"/>
        <v/>
      </c>
    </row>
    <row r="338" spans="7:7">
      <c r="G338" s="5" t="str">
        <f t="shared" si="50"/>
        <v/>
      </c>
    </row>
    <row r="339" spans="7:7">
      <c r="G339" s="5" t="str">
        <f t="shared" si="50"/>
        <v/>
      </c>
    </row>
    <row r="340" spans="7:7">
      <c r="G340" s="5" t="str">
        <f t="shared" si="50"/>
        <v/>
      </c>
    </row>
    <row r="341" spans="7:7">
      <c r="G341" s="5" t="str">
        <f t="shared" si="50"/>
        <v/>
      </c>
    </row>
    <row r="342" spans="7:7">
      <c r="G342" s="5" t="str">
        <f t="shared" si="50"/>
        <v/>
      </c>
    </row>
    <row r="343" spans="7:7">
      <c r="G343" s="5" t="str">
        <f t="shared" si="50"/>
        <v/>
      </c>
    </row>
    <row r="344" spans="7:7">
      <c r="G344" s="5" t="str">
        <f t="shared" si="50"/>
        <v/>
      </c>
    </row>
    <row r="345" spans="7:7">
      <c r="G345" s="5" t="str">
        <f t="shared" si="50"/>
        <v/>
      </c>
    </row>
    <row r="346" spans="7:7">
      <c r="G346" s="5" t="str">
        <f t="shared" si="50"/>
        <v/>
      </c>
    </row>
    <row r="347" spans="7:7">
      <c r="G347" s="5" t="str">
        <f t="shared" si="50"/>
        <v/>
      </c>
    </row>
    <row r="348" spans="7:7">
      <c r="G348" s="5" t="str">
        <f t="shared" si="50"/>
        <v/>
      </c>
    </row>
    <row r="349" spans="7:7">
      <c r="G349" s="5" t="str">
        <f t="shared" si="50"/>
        <v/>
      </c>
    </row>
    <row r="350" spans="7:7">
      <c r="G350" s="5" t="str">
        <f t="shared" si="50"/>
        <v/>
      </c>
    </row>
    <row r="351" spans="7:7">
      <c r="G351" s="5" t="str">
        <f t="shared" si="50"/>
        <v/>
      </c>
    </row>
    <row r="352" spans="7:7">
      <c r="G352" s="5" t="str">
        <f t="shared" si="50"/>
        <v/>
      </c>
    </row>
    <row r="353" spans="7:7">
      <c r="G353" s="5" t="str">
        <f t="shared" si="50"/>
        <v/>
      </c>
    </row>
    <row r="354" spans="7:7">
      <c r="G354" s="5" t="str">
        <f t="shared" si="50"/>
        <v/>
      </c>
    </row>
    <row r="355" spans="7:7">
      <c r="G355" s="5" t="str">
        <f t="shared" si="50"/>
        <v/>
      </c>
    </row>
    <row r="356" spans="7:7">
      <c r="G356" s="5" t="str">
        <f t="shared" si="50"/>
        <v/>
      </c>
    </row>
    <row r="357" spans="7:7">
      <c r="G357" s="5" t="str">
        <f t="shared" si="50"/>
        <v/>
      </c>
    </row>
    <row r="358" spans="7:7">
      <c r="G358" s="5" t="str">
        <f t="shared" si="50"/>
        <v/>
      </c>
    </row>
    <row r="359" spans="7:7">
      <c r="G359" s="5" t="str">
        <f t="shared" si="50"/>
        <v/>
      </c>
    </row>
    <row r="360" spans="7:7">
      <c r="G360" s="5" t="str">
        <f t="shared" si="50"/>
        <v/>
      </c>
    </row>
    <row r="361" spans="7:7">
      <c r="G361" s="5" t="str">
        <f t="shared" si="50"/>
        <v/>
      </c>
    </row>
    <row r="362" spans="7:7">
      <c r="G362" s="5" t="str">
        <f t="shared" si="50"/>
        <v/>
      </c>
    </row>
    <row r="363" spans="7:7">
      <c r="G363" s="5" t="str">
        <f t="shared" si="50"/>
        <v/>
      </c>
    </row>
    <row r="364" spans="7:7">
      <c r="G364" s="5" t="str">
        <f t="shared" si="50"/>
        <v/>
      </c>
    </row>
    <row r="365" spans="7:7">
      <c r="G365" s="5" t="str">
        <f t="shared" si="50"/>
        <v/>
      </c>
    </row>
    <row r="366" spans="7:7">
      <c r="G366" s="5" t="str">
        <f t="shared" si="50"/>
        <v/>
      </c>
    </row>
    <row r="367" spans="7:7">
      <c r="G367" s="5" t="str">
        <f t="shared" si="50"/>
        <v/>
      </c>
    </row>
    <row r="368" spans="7:7">
      <c r="G368" s="5" t="str">
        <f t="shared" si="50"/>
        <v/>
      </c>
    </row>
    <row r="369" spans="7:7">
      <c r="G369" s="5" t="str">
        <f t="shared" si="50"/>
        <v/>
      </c>
    </row>
    <row r="370" spans="7:7">
      <c r="G370" s="5" t="str">
        <f t="shared" si="50"/>
        <v/>
      </c>
    </row>
    <row r="371" spans="7:7">
      <c r="G371" s="5" t="str">
        <f t="shared" si="50"/>
        <v/>
      </c>
    </row>
    <row r="372" spans="7:7">
      <c r="G372" s="5" t="str">
        <f t="shared" si="50"/>
        <v/>
      </c>
    </row>
    <row r="373" spans="7:7">
      <c r="G373" s="5" t="str">
        <f t="shared" si="50"/>
        <v/>
      </c>
    </row>
    <row r="374" spans="7:7">
      <c r="G374" s="5" t="str">
        <f t="shared" si="50"/>
        <v/>
      </c>
    </row>
    <row r="375" spans="7:7">
      <c r="G375" s="5" t="str">
        <f t="shared" si="50"/>
        <v/>
      </c>
    </row>
    <row r="376" spans="7:7">
      <c r="G376" s="5" t="str">
        <f t="shared" ref="G376:G439" si="51">IF(B376&lt;&gt;"",SUM(C376:F376),"")</f>
        <v/>
      </c>
    </row>
    <row r="377" spans="7:7">
      <c r="G377" s="5" t="str">
        <f t="shared" si="51"/>
        <v/>
      </c>
    </row>
    <row r="378" spans="7:7">
      <c r="G378" s="5" t="str">
        <f t="shared" si="51"/>
        <v/>
      </c>
    </row>
    <row r="379" spans="7:7">
      <c r="G379" s="5" t="str">
        <f t="shared" si="51"/>
        <v/>
      </c>
    </row>
    <row r="380" spans="7:7">
      <c r="G380" s="5" t="str">
        <f t="shared" si="51"/>
        <v/>
      </c>
    </row>
    <row r="381" spans="7:7">
      <c r="G381" s="5" t="str">
        <f t="shared" si="51"/>
        <v/>
      </c>
    </row>
    <row r="382" spans="7:7">
      <c r="G382" s="5" t="str">
        <f t="shared" si="51"/>
        <v/>
      </c>
    </row>
    <row r="383" spans="7:7">
      <c r="G383" s="5" t="str">
        <f t="shared" si="51"/>
        <v/>
      </c>
    </row>
    <row r="384" spans="7:7">
      <c r="G384" s="5" t="str">
        <f t="shared" si="51"/>
        <v/>
      </c>
    </row>
    <row r="385" spans="7:7">
      <c r="G385" s="5" t="str">
        <f t="shared" si="51"/>
        <v/>
      </c>
    </row>
    <row r="386" spans="7:7">
      <c r="G386" s="5" t="str">
        <f t="shared" si="51"/>
        <v/>
      </c>
    </row>
    <row r="387" spans="7:7">
      <c r="G387" s="5" t="str">
        <f t="shared" si="51"/>
        <v/>
      </c>
    </row>
    <row r="388" spans="7:7">
      <c r="G388" s="5" t="str">
        <f t="shared" si="51"/>
        <v/>
      </c>
    </row>
    <row r="389" spans="7:7">
      <c r="G389" s="5" t="str">
        <f t="shared" si="51"/>
        <v/>
      </c>
    </row>
    <row r="390" spans="7:7">
      <c r="G390" s="5" t="str">
        <f t="shared" si="51"/>
        <v/>
      </c>
    </row>
    <row r="391" spans="7:7">
      <c r="G391" s="5" t="str">
        <f t="shared" si="51"/>
        <v/>
      </c>
    </row>
    <row r="392" spans="7:7">
      <c r="G392" s="5" t="str">
        <f t="shared" si="51"/>
        <v/>
      </c>
    </row>
    <row r="393" spans="7:7">
      <c r="G393" s="5" t="str">
        <f t="shared" si="51"/>
        <v/>
      </c>
    </row>
    <row r="394" spans="7:7">
      <c r="G394" s="5" t="str">
        <f t="shared" si="51"/>
        <v/>
      </c>
    </row>
    <row r="395" spans="7:7">
      <c r="G395" s="5" t="str">
        <f t="shared" si="51"/>
        <v/>
      </c>
    </row>
    <row r="396" spans="7:7">
      <c r="G396" s="5" t="str">
        <f t="shared" si="51"/>
        <v/>
      </c>
    </row>
    <row r="397" spans="7:7">
      <c r="G397" s="5" t="str">
        <f t="shared" si="51"/>
        <v/>
      </c>
    </row>
    <row r="398" spans="7:7">
      <c r="G398" s="5" t="str">
        <f t="shared" si="51"/>
        <v/>
      </c>
    </row>
    <row r="399" spans="7:7">
      <c r="G399" s="5" t="str">
        <f t="shared" si="51"/>
        <v/>
      </c>
    </row>
    <row r="400" spans="7:7">
      <c r="G400" s="5" t="str">
        <f t="shared" si="51"/>
        <v/>
      </c>
    </row>
    <row r="401" spans="7:7">
      <c r="G401" s="5" t="str">
        <f t="shared" si="51"/>
        <v/>
      </c>
    </row>
    <row r="402" spans="7:7">
      <c r="G402" s="5" t="str">
        <f t="shared" si="51"/>
        <v/>
      </c>
    </row>
    <row r="403" spans="7:7">
      <c r="G403" s="5" t="str">
        <f t="shared" si="51"/>
        <v/>
      </c>
    </row>
    <row r="404" spans="7:7">
      <c r="G404" s="5" t="str">
        <f t="shared" si="51"/>
        <v/>
      </c>
    </row>
    <row r="405" spans="7:7">
      <c r="G405" s="5" t="str">
        <f t="shared" si="51"/>
        <v/>
      </c>
    </row>
    <row r="406" spans="7:7">
      <c r="G406" s="5" t="str">
        <f t="shared" si="51"/>
        <v/>
      </c>
    </row>
    <row r="407" spans="7:7">
      <c r="G407" s="5" t="str">
        <f t="shared" si="51"/>
        <v/>
      </c>
    </row>
    <row r="408" spans="7:7">
      <c r="G408" s="5" t="str">
        <f t="shared" si="51"/>
        <v/>
      </c>
    </row>
    <row r="409" spans="7:7">
      <c r="G409" s="5" t="str">
        <f t="shared" si="51"/>
        <v/>
      </c>
    </row>
    <row r="410" spans="7:7">
      <c r="G410" s="5" t="str">
        <f t="shared" si="51"/>
        <v/>
      </c>
    </row>
    <row r="411" spans="7:7">
      <c r="G411" s="5" t="str">
        <f t="shared" si="51"/>
        <v/>
      </c>
    </row>
    <row r="412" spans="7:7">
      <c r="G412" s="5" t="str">
        <f t="shared" si="51"/>
        <v/>
      </c>
    </row>
    <row r="413" spans="7:7">
      <c r="G413" s="5" t="str">
        <f t="shared" si="51"/>
        <v/>
      </c>
    </row>
    <row r="414" spans="7:7">
      <c r="G414" s="5" t="str">
        <f t="shared" si="51"/>
        <v/>
      </c>
    </row>
    <row r="415" spans="7:7">
      <c r="G415" s="5" t="str">
        <f t="shared" si="51"/>
        <v/>
      </c>
    </row>
    <row r="416" spans="7:7">
      <c r="G416" s="5" t="str">
        <f t="shared" si="51"/>
        <v/>
      </c>
    </row>
    <row r="417" spans="7:7">
      <c r="G417" s="5" t="str">
        <f t="shared" si="51"/>
        <v/>
      </c>
    </row>
    <row r="418" spans="7:7">
      <c r="G418" s="5" t="str">
        <f t="shared" si="51"/>
        <v/>
      </c>
    </row>
    <row r="419" spans="7:7">
      <c r="G419" s="5" t="str">
        <f t="shared" si="51"/>
        <v/>
      </c>
    </row>
    <row r="420" spans="7:7">
      <c r="G420" s="5" t="str">
        <f t="shared" si="51"/>
        <v/>
      </c>
    </row>
    <row r="421" spans="7:7">
      <c r="G421" s="5" t="str">
        <f t="shared" si="51"/>
        <v/>
      </c>
    </row>
    <row r="422" spans="7:7">
      <c r="G422" s="5" t="str">
        <f t="shared" si="51"/>
        <v/>
      </c>
    </row>
    <row r="423" spans="7:7">
      <c r="G423" s="5" t="str">
        <f t="shared" si="51"/>
        <v/>
      </c>
    </row>
    <row r="424" spans="7:7">
      <c r="G424" s="5" t="str">
        <f t="shared" si="51"/>
        <v/>
      </c>
    </row>
    <row r="425" spans="7:7">
      <c r="G425" s="5" t="str">
        <f t="shared" si="51"/>
        <v/>
      </c>
    </row>
    <row r="426" spans="7:7">
      <c r="G426" s="5" t="str">
        <f t="shared" si="51"/>
        <v/>
      </c>
    </row>
    <row r="427" spans="7:7">
      <c r="G427" s="5" t="str">
        <f t="shared" si="51"/>
        <v/>
      </c>
    </row>
    <row r="428" spans="7:7">
      <c r="G428" s="5" t="str">
        <f t="shared" si="51"/>
        <v/>
      </c>
    </row>
    <row r="429" spans="7:7">
      <c r="G429" s="5" t="str">
        <f t="shared" si="51"/>
        <v/>
      </c>
    </row>
    <row r="430" spans="7:7">
      <c r="G430" s="5" t="str">
        <f t="shared" si="51"/>
        <v/>
      </c>
    </row>
    <row r="431" spans="7:7">
      <c r="G431" s="5" t="str">
        <f t="shared" si="51"/>
        <v/>
      </c>
    </row>
    <row r="432" spans="7:7">
      <c r="G432" s="5" t="str">
        <f t="shared" si="51"/>
        <v/>
      </c>
    </row>
    <row r="433" spans="7:7">
      <c r="G433" s="5" t="str">
        <f t="shared" si="51"/>
        <v/>
      </c>
    </row>
    <row r="434" spans="7:7">
      <c r="G434" s="5" t="str">
        <f t="shared" si="51"/>
        <v/>
      </c>
    </row>
    <row r="435" spans="7:7">
      <c r="G435" s="5" t="str">
        <f t="shared" si="51"/>
        <v/>
      </c>
    </row>
    <row r="436" spans="7:7">
      <c r="G436" s="5" t="str">
        <f t="shared" si="51"/>
        <v/>
      </c>
    </row>
    <row r="437" spans="7:7">
      <c r="G437" s="5" t="str">
        <f t="shared" si="51"/>
        <v/>
      </c>
    </row>
    <row r="438" spans="7:7">
      <c r="G438" s="5" t="str">
        <f t="shared" si="51"/>
        <v/>
      </c>
    </row>
    <row r="439" spans="7:7">
      <c r="G439" s="5" t="str">
        <f t="shared" si="51"/>
        <v/>
      </c>
    </row>
    <row r="440" spans="7:7">
      <c r="G440" s="5" t="str">
        <f t="shared" ref="G440:G503" si="52">IF(B440&lt;&gt;"",SUM(C440:F440),"")</f>
        <v/>
      </c>
    </row>
    <row r="441" spans="7:7">
      <c r="G441" s="5" t="str">
        <f t="shared" si="52"/>
        <v/>
      </c>
    </row>
    <row r="442" spans="7:7">
      <c r="G442" s="5" t="str">
        <f t="shared" si="52"/>
        <v/>
      </c>
    </row>
    <row r="443" spans="7:7">
      <c r="G443" s="5" t="str">
        <f t="shared" si="52"/>
        <v/>
      </c>
    </row>
    <row r="444" spans="7:7">
      <c r="G444" s="5" t="str">
        <f t="shared" si="52"/>
        <v/>
      </c>
    </row>
    <row r="445" spans="7:7">
      <c r="G445" s="5" t="str">
        <f t="shared" si="52"/>
        <v/>
      </c>
    </row>
    <row r="446" spans="7:7">
      <c r="G446" s="5" t="str">
        <f t="shared" si="52"/>
        <v/>
      </c>
    </row>
    <row r="447" spans="7:7">
      <c r="G447" s="5" t="str">
        <f t="shared" si="52"/>
        <v/>
      </c>
    </row>
    <row r="448" spans="7:7">
      <c r="G448" s="5" t="str">
        <f t="shared" si="52"/>
        <v/>
      </c>
    </row>
    <row r="449" spans="7:7">
      <c r="G449" s="5" t="str">
        <f t="shared" si="52"/>
        <v/>
      </c>
    </row>
    <row r="450" spans="7:7">
      <c r="G450" s="5" t="str">
        <f t="shared" si="52"/>
        <v/>
      </c>
    </row>
    <row r="451" spans="7:7">
      <c r="G451" s="5" t="str">
        <f t="shared" si="52"/>
        <v/>
      </c>
    </row>
    <row r="452" spans="7:7">
      <c r="G452" s="5" t="str">
        <f t="shared" si="52"/>
        <v/>
      </c>
    </row>
    <row r="453" spans="7:7">
      <c r="G453" s="5" t="str">
        <f t="shared" si="52"/>
        <v/>
      </c>
    </row>
    <row r="454" spans="7:7">
      <c r="G454" s="5" t="str">
        <f t="shared" si="52"/>
        <v/>
      </c>
    </row>
    <row r="455" spans="7:7">
      <c r="G455" s="5" t="str">
        <f t="shared" si="52"/>
        <v/>
      </c>
    </row>
    <row r="456" spans="7:7">
      <c r="G456" s="5" t="str">
        <f t="shared" si="52"/>
        <v/>
      </c>
    </row>
    <row r="457" spans="7:7">
      <c r="G457" s="5" t="str">
        <f t="shared" si="52"/>
        <v/>
      </c>
    </row>
    <row r="458" spans="7:7">
      <c r="G458" s="5" t="str">
        <f t="shared" si="52"/>
        <v/>
      </c>
    </row>
    <row r="459" spans="7:7">
      <c r="G459" s="5" t="str">
        <f t="shared" si="52"/>
        <v/>
      </c>
    </row>
    <row r="460" spans="7:7">
      <c r="G460" s="5" t="str">
        <f t="shared" si="52"/>
        <v/>
      </c>
    </row>
    <row r="461" spans="7:7">
      <c r="G461" s="5" t="str">
        <f t="shared" si="52"/>
        <v/>
      </c>
    </row>
    <row r="462" spans="7:7">
      <c r="G462" s="5" t="str">
        <f t="shared" si="52"/>
        <v/>
      </c>
    </row>
    <row r="463" spans="7:7">
      <c r="G463" s="5" t="str">
        <f t="shared" si="52"/>
        <v/>
      </c>
    </row>
    <row r="464" spans="7:7">
      <c r="G464" s="5" t="str">
        <f t="shared" si="52"/>
        <v/>
      </c>
    </row>
    <row r="465" spans="7:7">
      <c r="G465" s="5" t="str">
        <f t="shared" si="52"/>
        <v/>
      </c>
    </row>
    <row r="466" spans="7:7">
      <c r="G466" s="5" t="str">
        <f t="shared" si="52"/>
        <v/>
      </c>
    </row>
    <row r="467" spans="7:7">
      <c r="G467" s="5" t="str">
        <f t="shared" si="52"/>
        <v/>
      </c>
    </row>
    <row r="468" spans="7:7">
      <c r="G468" s="5" t="str">
        <f t="shared" si="52"/>
        <v/>
      </c>
    </row>
    <row r="469" spans="7:7">
      <c r="G469" s="5" t="str">
        <f t="shared" si="52"/>
        <v/>
      </c>
    </row>
    <row r="470" spans="7:7">
      <c r="G470" s="5" t="str">
        <f t="shared" si="52"/>
        <v/>
      </c>
    </row>
    <row r="471" spans="7:7">
      <c r="G471" s="5" t="str">
        <f t="shared" si="52"/>
        <v/>
      </c>
    </row>
    <row r="472" spans="7:7">
      <c r="G472" s="5" t="str">
        <f t="shared" si="52"/>
        <v/>
      </c>
    </row>
    <row r="473" spans="7:7">
      <c r="G473" s="5" t="str">
        <f t="shared" si="52"/>
        <v/>
      </c>
    </row>
    <row r="474" spans="7:7">
      <c r="G474" s="5" t="str">
        <f t="shared" si="52"/>
        <v/>
      </c>
    </row>
    <row r="475" spans="7:7">
      <c r="G475" s="5" t="str">
        <f t="shared" si="52"/>
        <v/>
      </c>
    </row>
    <row r="476" spans="7:7">
      <c r="G476" s="5" t="str">
        <f t="shared" si="52"/>
        <v/>
      </c>
    </row>
    <row r="477" spans="7:7">
      <c r="G477" s="5" t="str">
        <f t="shared" si="52"/>
        <v/>
      </c>
    </row>
    <row r="478" spans="7:7">
      <c r="G478" s="5" t="str">
        <f t="shared" si="52"/>
        <v/>
      </c>
    </row>
    <row r="479" spans="7:7">
      <c r="G479" s="5" t="str">
        <f t="shared" si="52"/>
        <v/>
      </c>
    </row>
    <row r="480" spans="7:7">
      <c r="G480" s="5" t="str">
        <f t="shared" si="52"/>
        <v/>
      </c>
    </row>
    <row r="481" spans="7:7">
      <c r="G481" s="5" t="str">
        <f t="shared" si="52"/>
        <v/>
      </c>
    </row>
    <row r="482" spans="7:7">
      <c r="G482" s="5" t="str">
        <f t="shared" si="52"/>
        <v/>
      </c>
    </row>
    <row r="483" spans="7:7">
      <c r="G483" s="5" t="str">
        <f t="shared" si="52"/>
        <v/>
      </c>
    </row>
    <row r="484" spans="7:7">
      <c r="G484" s="5" t="str">
        <f t="shared" si="52"/>
        <v/>
      </c>
    </row>
    <row r="485" spans="7:7">
      <c r="G485" s="5" t="str">
        <f t="shared" si="52"/>
        <v/>
      </c>
    </row>
    <row r="486" spans="7:7">
      <c r="G486" s="5" t="str">
        <f t="shared" si="52"/>
        <v/>
      </c>
    </row>
    <row r="487" spans="7:7">
      <c r="G487" s="5" t="str">
        <f t="shared" si="52"/>
        <v/>
      </c>
    </row>
    <row r="488" spans="7:7">
      <c r="G488" s="5" t="str">
        <f t="shared" si="52"/>
        <v/>
      </c>
    </row>
    <row r="489" spans="7:7">
      <c r="G489" s="5" t="str">
        <f t="shared" si="52"/>
        <v/>
      </c>
    </row>
    <row r="490" spans="7:7">
      <c r="G490" s="5" t="str">
        <f t="shared" si="52"/>
        <v/>
      </c>
    </row>
    <row r="491" spans="7:7">
      <c r="G491" s="5" t="str">
        <f t="shared" si="52"/>
        <v/>
      </c>
    </row>
    <row r="492" spans="7:7">
      <c r="G492" s="5" t="str">
        <f t="shared" si="52"/>
        <v/>
      </c>
    </row>
    <row r="493" spans="7:7">
      <c r="G493" s="5" t="str">
        <f t="shared" si="52"/>
        <v/>
      </c>
    </row>
    <row r="494" spans="7:7">
      <c r="G494" s="5" t="str">
        <f t="shared" si="52"/>
        <v/>
      </c>
    </row>
    <row r="495" spans="7:7">
      <c r="G495" s="5" t="str">
        <f t="shared" si="52"/>
        <v/>
      </c>
    </row>
    <row r="496" spans="7:7">
      <c r="G496" s="5" t="str">
        <f t="shared" si="52"/>
        <v/>
      </c>
    </row>
    <row r="497" spans="7:7">
      <c r="G497" s="5" t="str">
        <f t="shared" si="52"/>
        <v/>
      </c>
    </row>
    <row r="498" spans="7:7">
      <c r="G498" s="5" t="str">
        <f t="shared" si="52"/>
        <v/>
      </c>
    </row>
    <row r="499" spans="7:7">
      <c r="G499" s="5" t="str">
        <f t="shared" si="52"/>
        <v/>
      </c>
    </row>
    <row r="500" spans="7:7">
      <c r="G500" s="5" t="str">
        <f t="shared" si="52"/>
        <v/>
      </c>
    </row>
    <row r="501" spans="7:7">
      <c r="G501" s="5" t="str">
        <f t="shared" si="52"/>
        <v/>
      </c>
    </row>
    <row r="502" spans="7:7">
      <c r="G502" s="5" t="str">
        <f t="shared" si="52"/>
        <v/>
      </c>
    </row>
    <row r="503" spans="7:7">
      <c r="G503" s="5" t="str">
        <f t="shared" si="52"/>
        <v/>
      </c>
    </row>
    <row r="504" spans="7:7">
      <c r="G504" s="5" t="str">
        <f t="shared" ref="G504:G567" si="53">IF(B504&lt;&gt;"",SUM(C504:F504),"")</f>
        <v/>
      </c>
    </row>
    <row r="505" spans="7:7">
      <c r="G505" s="5" t="str">
        <f t="shared" si="53"/>
        <v/>
      </c>
    </row>
    <row r="506" spans="7:7">
      <c r="G506" s="5" t="str">
        <f t="shared" si="53"/>
        <v/>
      </c>
    </row>
    <row r="507" spans="7:7">
      <c r="G507" s="5" t="str">
        <f t="shared" si="53"/>
        <v/>
      </c>
    </row>
    <row r="508" spans="7:7">
      <c r="G508" s="5" t="str">
        <f t="shared" si="53"/>
        <v/>
      </c>
    </row>
    <row r="509" spans="7:7">
      <c r="G509" s="5" t="str">
        <f t="shared" si="53"/>
        <v/>
      </c>
    </row>
    <row r="510" spans="7:7">
      <c r="G510" s="5" t="str">
        <f t="shared" si="53"/>
        <v/>
      </c>
    </row>
    <row r="511" spans="7:7">
      <c r="G511" s="5" t="str">
        <f t="shared" si="53"/>
        <v/>
      </c>
    </row>
    <row r="512" spans="7:7">
      <c r="G512" s="5" t="str">
        <f t="shared" si="53"/>
        <v/>
      </c>
    </row>
    <row r="513" spans="7:7">
      <c r="G513" s="5" t="str">
        <f t="shared" si="53"/>
        <v/>
      </c>
    </row>
    <row r="514" spans="7:7">
      <c r="G514" s="5" t="str">
        <f t="shared" si="53"/>
        <v/>
      </c>
    </row>
    <row r="515" spans="7:7">
      <c r="G515" s="5" t="str">
        <f t="shared" si="53"/>
        <v/>
      </c>
    </row>
    <row r="516" spans="7:7">
      <c r="G516" s="5" t="str">
        <f t="shared" si="53"/>
        <v/>
      </c>
    </row>
    <row r="517" spans="7:7">
      <c r="G517" s="5" t="str">
        <f t="shared" si="53"/>
        <v/>
      </c>
    </row>
    <row r="518" spans="7:7">
      <c r="G518" s="5" t="str">
        <f t="shared" si="53"/>
        <v/>
      </c>
    </row>
    <row r="519" spans="7:7">
      <c r="G519" s="5" t="str">
        <f t="shared" si="53"/>
        <v/>
      </c>
    </row>
    <row r="520" spans="7:7">
      <c r="G520" s="5" t="str">
        <f t="shared" si="53"/>
        <v/>
      </c>
    </row>
    <row r="521" spans="7:7">
      <c r="G521" s="5" t="str">
        <f t="shared" si="53"/>
        <v/>
      </c>
    </row>
    <row r="522" spans="7:7">
      <c r="G522" s="5" t="str">
        <f t="shared" si="53"/>
        <v/>
      </c>
    </row>
    <row r="523" spans="7:7">
      <c r="G523" s="5" t="str">
        <f t="shared" si="53"/>
        <v/>
      </c>
    </row>
    <row r="524" spans="7:7">
      <c r="G524" s="5" t="str">
        <f t="shared" si="53"/>
        <v/>
      </c>
    </row>
    <row r="525" spans="7:7">
      <c r="G525" s="5" t="str">
        <f t="shared" si="53"/>
        <v/>
      </c>
    </row>
    <row r="526" spans="7:7">
      <c r="G526" s="5" t="str">
        <f t="shared" si="53"/>
        <v/>
      </c>
    </row>
    <row r="527" spans="7:7">
      <c r="G527" s="5" t="str">
        <f t="shared" si="53"/>
        <v/>
      </c>
    </row>
    <row r="528" spans="7:7">
      <c r="G528" s="5" t="str">
        <f t="shared" si="53"/>
        <v/>
      </c>
    </row>
    <row r="529" spans="7:7">
      <c r="G529" s="5" t="str">
        <f t="shared" si="53"/>
        <v/>
      </c>
    </row>
    <row r="530" spans="7:7">
      <c r="G530" s="5" t="str">
        <f t="shared" si="53"/>
        <v/>
      </c>
    </row>
    <row r="531" spans="7:7">
      <c r="G531" s="5" t="str">
        <f t="shared" si="53"/>
        <v/>
      </c>
    </row>
    <row r="532" spans="7:7">
      <c r="G532" s="5" t="str">
        <f t="shared" si="53"/>
        <v/>
      </c>
    </row>
    <row r="533" spans="7:7">
      <c r="G533" s="5" t="str">
        <f t="shared" si="53"/>
        <v/>
      </c>
    </row>
    <row r="534" spans="7:7">
      <c r="G534" s="5" t="str">
        <f t="shared" si="53"/>
        <v/>
      </c>
    </row>
    <row r="535" spans="7:7">
      <c r="G535" s="5" t="str">
        <f t="shared" si="53"/>
        <v/>
      </c>
    </row>
    <row r="536" spans="7:7">
      <c r="G536" s="5" t="str">
        <f t="shared" si="53"/>
        <v/>
      </c>
    </row>
    <row r="537" spans="7:7">
      <c r="G537" s="5" t="str">
        <f t="shared" si="53"/>
        <v/>
      </c>
    </row>
    <row r="538" spans="7:7">
      <c r="G538" s="5" t="str">
        <f t="shared" si="53"/>
        <v/>
      </c>
    </row>
    <row r="539" spans="7:7">
      <c r="G539" s="5" t="str">
        <f t="shared" si="53"/>
        <v/>
      </c>
    </row>
    <row r="540" spans="7:7">
      <c r="G540" s="5" t="str">
        <f t="shared" si="53"/>
        <v/>
      </c>
    </row>
    <row r="541" spans="7:7">
      <c r="G541" s="5" t="str">
        <f t="shared" si="53"/>
        <v/>
      </c>
    </row>
    <row r="542" spans="7:7">
      <c r="G542" s="5" t="str">
        <f t="shared" si="53"/>
        <v/>
      </c>
    </row>
    <row r="543" spans="7:7">
      <c r="G543" s="5" t="str">
        <f t="shared" si="53"/>
        <v/>
      </c>
    </row>
    <row r="544" spans="7:7">
      <c r="G544" s="5" t="str">
        <f t="shared" si="53"/>
        <v/>
      </c>
    </row>
    <row r="545" spans="7:7">
      <c r="G545" s="5" t="str">
        <f t="shared" si="53"/>
        <v/>
      </c>
    </row>
    <row r="546" spans="7:7">
      <c r="G546" s="5" t="str">
        <f t="shared" si="53"/>
        <v/>
      </c>
    </row>
    <row r="547" spans="7:7">
      <c r="G547" s="5" t="str">
        <f t="shared" si="53"/>
        <v/>
      </c>
    </row>
    <row r="548" spans="7:7">
      <c r="G548" s="5" t="str">
        <f t="shared" si="53"/>
        <v/>
      </c>
    </row>
    <row r="549" spans="7:7">
      <c r="G549" s="5" t="str">
        <f t="shared" si="53"/>
        <v/>
      </c>
    </row>
    <row r="550" spans="7:7">
      <c r="G550" s="5" t="str">
        <f t="shared" si="53"/>
        <v/>
      </c>
    </row>
    <row r="551" spans="7:7">
      <c r="G551" s="5" t="str">
        <f t="shared" si="53"/>
        <v/>
      </c>
    </row>
    <row r="552" spans="7:7">
      <c r="G552" s="5" t="str">
        <f t="shared" si="53"/>
        <v/>
      </c>
    </row>
    <row r="553" spans="7:7">
      <c r="G553" s="5" t="str">
        <f t="shared" si="53"/>
        <v/>
      </c>
    </row>
    <row r="554" spans="7:7">
      <c r="G554" s="5" t="str">
        <f t="shared" si="53"/>
        <v/>
      </c>
    </row>
    <row r="555" spans="7:7">
      <c r="G555" s="5" t="str">
        <f t="shared" si="53"/>
        <v/>
      </c>
    </row>
    <row r="556" spans="7:7">
      <c r="G556" s="5" t="str">
        <f t="shared" si="53"/>
        <v/>
      </c>
    </row>
    <row r="557" spans="7:7">
      <c r="G557" s="5" t="str">
        <f t="shared" si="53"/>
        <v/>
      </c>
    </row>
    <row r="558" spans="7:7">
      <c r="G558" s="5" t="str">
        <f t="shared" si="53"/>
        <v/>
      </c>
    </row>
    <row r="559" spans="7:7">
      <c r="G559" s="5" t="str">
        <f t="shared" si="53"/>
        <v/>
      </c>
    </row>
    <row r="560" spans="7:7">
      <c r="G560" s="5" t="str">
        <f t="shared" si="53"/>
        <v/>
      </c>
    </row>
    <row r="561" spans="7:7">
      <c r="G561" s="5" t="str">
        <f t="shared" si="53"/>
        <v/>
      </c>
    </row>
    <row r="562" spans="7:7">
      <c r="G562" s="5" t="str">
        <f t="shared" si="53"/>
        <v/>
      </c>
    </row>
    <row r="563" spans="7:7">
      <c r="G563" s="5" t="str">
        <f t="shared" si="53"/>
        <v/>
      </c>
    </row>
    <row r="564" spans="7:7">
      <c r="G564" s="5" t="str">
        <f t="shared" si="53"/>
        <v/>
      </c>
    </row>
    <row r="565" spans="7:7">
      <c r="G565" s="5" t="str">
        <f t="shared" si="53"/>
        <v/>
      </c>
    </row>
    <row r="566" spans="7:7">
      <c r="G566" s="5" t="str">
        <f t="shared" si="53"/>
        <v/>
      </c>
    </row>
    <row r="567" spans="7:7">
      <c r="G567" s="5" t="str">
        <f t="shared" si="53"/>
        <v/>
      </c>
    </row>
    <row r="568" spans="7:7">
      <c r="G568" s="5" t="str">
        <f t="shared" ref="G568:G599" si="54">IF(B568&lt;&gt;"",SUM(C568:F568),"")</f>
        <v/>
      </c>
    </row>
    <row r="569" spans="7:7">
      <c r="G569" s="5" t="str">
        <f t="shared" si="54"/>
        <v/>
      </c>
    </row>
    <row r="570" spans="7:7">
      <c r="G570" s="5" t="str">
        <f t="shared" si="54"/>
        <v/>
      </c>
    </row>
    <row r="571" spans="7:7">
      <c r="G571" s="5" t="str">
        <f t="shared" si="54"/>
        <v/>
      </c>
    </row>
    <row r="572" spans="7:7">
      <c r="G572" s="5" t="str">
        <f t="shared" si="54"/>
        <v/>
      </c>
    </row>
    <row r="573" spans="7:7">
      <c r="G573" s="5" t="str">
        <f t="shared" si="54"/>
        <v/>
      </c>
    </row>
    <row r="574" spans="7:7">
      <c r="G574" s="5" t="str">
        <f t="shared" si="54"/>
        <v/>
      </c>
    </row>
    <row r="575" spans="7:7">
      <c r="G575" s="5" t="str">
        <f t="shared" si="54"/>
        <v/>
      </c>
    </row>
    <row r="576" spans="7:7">
      <c r="G576" s="5" t="str">
        <f t="shared" si="54"/>
        <v/>
      </c>
    </row>
    <row r="577" spans="7:7">
      <c r="G577" s="5" t="str">
        <f t="shared" si="54"/>
        <v/>
      </c>
    </row>
    <row r="578" spans="7:7">
      <c r="G578" s="5" t="str">
        <f t="shared" si="54"/>
        <v/>
      </c>
    </row>
    <row r="579" spans="7:7">
      <c r="G579" s="5" t="str">
        <f t="shared" si="54"/>
        <v/>
      </c>
    </row>
    <row r="580" spans="7:7">
      <c r="G580" s="5" t="str">
        <f t="shared" si="54"/>
        <v/>
      </c>
    </row>
    <row r="581" spans="7:7">
      <c r="G581" s="5" t="str">
        <f t="shared" si="54"/>
        <v/>
      </c>
    </row>
    <row r="582" spans="7:7">
      <c r="G582" s="5" t="str">
        <f t="shared" si="54"/>
        <v/>
      </c>
    </row>
    <row r="583" spans="7:7">
      <c r="G583" s="5" t="str">
        <f t="shared" si="54"/>
        <v/>
      </c>
    </row>
    <row r="584" spans="7:7">
      <c r="G584" s="5" t="str">
        <f t="shared" si="54"/>
        <v/>
      </c>
    </row>
    <row r="585" spans="7:7">
      <c r="G585" s="5" t="str">
        <f t="shared" si="54"/>
        <v/>
      </c>
    </row>
    <row r="586" spans="7:7">
      <c r="G586" s="5" t="str">
        <f t="shared" si="54"/>
        <v/>
      </c>
    </row>
    <row r="587" spans="7:7">
      <c r="G587" s="5" t="str">
        <f t="shared" si="54"/>
        <v/>
      </c>
    </row>
    <row r="588" spans="7:7">
      <c r="G588" s="5" t="str">
        <f t="shared" si="54"/>
        <v/>
      </c>
    </row>
    <row r="589" spans="7:7">
      <c r="G589" s="5" t="str">
        <f t="shared" si="54"/>
        <v/>
      </c>
    </row>
    <row r="590" spans="7:7">
      <c r="G590" s="5" t="str">
        <f t="shared" si="54"/>
        <v/>
      </c>
    </row>
    <row r="591" spans="7:7">
      <c r="G591" s="5" t="str">
        <f t="shared" si="54"/>
        <v/>
      </c>
    </row>
    <row r="592" spans="7:7">
      <c r="G592" s="5" t="str">
        <f t="shared" si="54"/>
        <v/>
      </c>
    </row>
    <row r="593" spans="7:7">
      <c r="G593" s="5" t="str">
        <f t="shared" si="54"/>
        <v/>
      </c>
    </row>
    <row r="594" spans="7:7">
      <c r="G594" s="5" t="str">
        <f t="shared" si="54"/>
        <v/>
      </c>
    </row>
    <row r="595" spans="7:7">
      <c r="G595" s="5" t="str">
        <f t="shared" si="54"/>
        <v/>
      </c>
    </row>
    <row r="596" spans="7:7">
      <c r="G596" s="5" t="str">
        <f t="shared" si="54"/>
        <v/>
      </c>
    </row>
    <row r="597" spans="7:7">
      <c r="G597" s="5" t="str">
        <f t="shared" si="54"/>
        <v/>
      </c>
    </row>
    <row r="598" spans="7:7">
      <c r="G598" s="5" t="str">
        <f t="shared" si="54"/>
        <v/>
      </c>
    </row>
    <row r="599" spans="7:7">
      <c r="G599" s="5" t="str">
        <f t="shared" si="54"/>
        <v/>
      </c>
    </row>
  </sheetData>
  <sheetProtection sort="0" autoFilter="0" pivotTables="0"/>
  <autoFilter ref="B5:I599" xr:uid="{DD60857B-FF20-4004-9C3A-1C67856EBBE2}">
    <filterColumn colId="6">
      <filters blank="1">
        <filter val="1.060"/>
        <filter val="100"/>
        <filter val="12"/>
        <filter val="144"/>
        <filter val="2.400"/>
        <filter val="2.500"/>
        <filter val="20"/>
        <filter val="200"/>
        <filter val="216"/>
        <filter val="24"/>
        <filter val="300"/>
        <filter val="36"/>
        <filter val="384"/>
        <filter val="40"/>
        <filter val="444"/>
        <filter val="48"/>
        <filter val="500"/>
        <filter val="54"/>
        <filter val="552"/>
        <filter val="600"/>
        <filter val="672"/>
        <filter val="72"/>
        <filter val="724"/>
        <filter val="80"/>
        <filter val="96"/>
        <filter val="R$ 96.513,45"/>
      </filters>
    </filterColumn>
  </autoFilter>
  <sortState xmlns:xlrd2="http://schemas.microsoft.com/office/spreadsheetml/2017/richdata2" ref="B6:M251">
    <sortCondition ref="B6:B251"/>
  </sortState>
  <pageMargins left="0.78740157480314965" right="0.78740157480314965" top="0.78740157480314965" bottom="0.78740157480314965" header="0" footer="0"/>
  <pageSetup paperSize="9" scale="71" orientation="landscape" verticalDpi="4294967295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EA24-38B7-46D5-8915-C7006591EEDD}">
  <sheetPr codeName="Planilha23" filterMode="1">
    <tabColor rgb="FF006600"/>
    <pageSetUpPr fitToPage="1"/>
  </sheetPr>
  <dimension ref="B1:S422"/>
  <sheetViews>
    <sheetView workbookViewId="0">
      <pane ySplit="5" topLeftCell="A6" activePane="bottomLeft" state="frozen"/>
      <selection activeCell="H9" sqref="H9"/>
      <selection pane="bottomLeft" activeCell="D14" sqref="D14"/>
    </sheetView>
  </sheetViews>
  <sheetFormatPr defaultColWidth="9.140625" defaultRowHeight="15"/>
  <cols>
    <col min="1" max="1" width="0.5703125" style="301" customWidth="1"/>
    <col min="2" max="2" width="50.5703125" style="322" customWidth="1"/>
    <col min="3" max="3" width="13.5703125" style="320" customWidth="1"/>
    <col min="4" max="4" width="15" style="320" bestFit="1" customWidth="1"/>
    <col min="5" max="6" width="13.5703125" style="320" customWidth="1"/>
    <col min="7" max="7" width="13.5703125" style="321" customWidth="1"/>
    <col min="8" max="8" width="14.5703125" style="301" customWidth="1"/>
    <col min="9" max="9" width="13" style="301" customWidth="1"/>
    <col min="10" max="11" width="9.5703125" style="303" customWidth="1"/>
    <col min="12" max="12" width="9.5703125" style="304" hidden="1" customWidth="1"/>
    <col min="13" max="13" width="13.85546875" style="330" bestFit="1" customWidth="1"/>
    <col min="14" max="14" width="10.5703125" style="301" hidden="1" customWidth="1"/>
    <col min="15" max="15" width="11" style="301" hidden="1" customWidth="1"/>
    <col min="16" max="17" width="10.5703125" style="301" hidden="1" customWidth="1"/>
    <col min="18" max="18" width="12.140625" style="301" hidden="1" customWidth="1"/>
    <col min="19" max="19" width="11.5703125" style="301" hidden="1" customWidth="1"/>
    <col min="20" max="16384" width="9.140625" style="301"/>
  </cols>
  <sheetData>
    <row r="1" spans="2:19" ht="4.5" customHeight="1">
      <c r="B1" s="301"/>
      <c r="C1" s="302"/>
      <c r="D1" s="302"/>
      <c r="E1" s="302"/>
      <c r="F1" s="302"/>
      <c r="G1" s="302"/>
    </row>
    <row r="2" spans="2:19" ht="59.25" customHeight="1">
      <c r="B2" s="305" t="s">
        <v>34</v>
      </c>
      <c r="C2" s="302"/>
      <c r="D2" s="302"/>
      <c r="E2" s="302"/>
      <c r="F2" s="302"/>
      <c r="G2" s="302"/>
      <c r="H2" s="302"/>
      <c r="I2" s="302"/>
      <c r="J2" s="302"/>
      <c r="K2" s="302"/>
      <c r="L2" s="301"/>
      <c r="M2" s="302"/>
    </row>
    <row r="3" spans="2:19" ht="4.5" customHeight="1" thickBot="1">
      <c r="B3" s="301"/>
      <c r="C3" s="302"/>
      <c r="D3" s="302"/>
      <c r="E3" s="302"/>
      <c r="F3" s="302"/>
      <c r="G3" s="302"/>
    </row>
    <row r="4" spans="2:19" ht="15.75">
      <c r="B4" s="520" t="s">
        <v>6</v>
      </c>
      <c r="C4" s="306"/>
      <c r="D4" s="306" t="s">
        <v>955</v>
      </c>
      <c r="E4" s="306"/>
      <c r="F4" s="307"/>
      <c r="G4" s="306" t="s">
        <v>955</v>
      </c>
      <c r="H4" s="511"/>
      <c r="I4" s="511" t="s">
        <v>48</v>
      </c>
      <c r="J4" s="521" t="s">
        <v>9</v>
      </c>
      <c r="K4" s="521" t="s">
        <v>9</v>
      </c>
      <c r="L4" s="522">
        <v>4.7619047619047616E-2</v>
      </c>
      <c r="M4" s="523" t="s">
        <v>15</v>
      </c>
      <c r="N4" s="308"/>
      <c r="O4" s="309"/>
      <c r="P4" s="309"/>
      <c r="Q4" s="309"/>
      <c r="R4" s="309"/>
      <c r="S4" s="309"/>
    </row>
    <row r="5" spans="2:19" ht="16.5" thickBot="1">
      <c r="B5" s="514" t="s">
        <v>5</v>
      </c>
      <c r="C5" s="515" t="s">
        <v>0</v>
      </c>
      <c r="D5" s="515" t="s">
        <v>12</v>
      </c>
      <c r="E5" s="515" t="s">
        <v>2</v>
      </c>
      <c r="F5" s="515" t="s">
        <v>3</v>
      </c>
      <c r="G5" s="516" t="s">
        <v>1</v>
      </c>
      <c r="H5" s="512" t="s">
        <v>4</v>
      </c>
      <c r="I5" s="512" t="s">
        <v>7</v>
      </c>
      <c r="J5" s="517" t="s">
        <v>8</v>
      </c>
      <c r="K5" s="517" t="s">
        <v>10</v>
      </c>
      <c r="L5" s="518" t="s">
        <v>11</v>
      </c>
      <c r="M5" s="519" t="s">
        <v>16</v>
      </c>
      <c r="N5" s="310" t="s">
        <v>0</v>
      </c>
      <c r="O5" s="311" t="s">
        <v>12</v>
      </c>
      <c r="P5" s="311" t="s">
        <v>2</v>
      </c>
      <c r="Q5" s="311" t="s">
        <v>3</v>
      </c>
      <c r="R5" s="312" t="s">
        <v>1</v>
      </c>
      <c r="S5" s="313" t="s">
        <v>4</v>
      </c>
    </row>
    <row r="6" spans="2:19" ht="15.75" hidden="1">
      <c r="B6" s="510" t="s">
        <v>1693</v>
      </c>
      <c r="C6" s="329"/>
      <c r="D6" s="329"/>
      <c r="E6" s="329"/>
      <c r="F6" s="329"/>
      <c r="G6" s="329"/>
      <c r="H6" s="323">
        <f t="shared" ref="H6:H38" si="0">SUM(C6:G6)</f>
        <v>0</v>
      </c>
      <c r="I6" s="513">
        <f t="shared" ref="I6:I64" si="1">L6-(L6*J6)</f>
        <v>102.78</v>
      </c>
      <c r="J6" s="324"/>
      <c r="K6" s="325"/>
      <c r="L6" s="508">
        <v>102.78</v>
      </c>
      <c r="M6" s="331"/>
      <c r="N6" s="314">
        <f t="shared" ref="N6:N38" si="2">I6*C6</f>
        <v>0</v>
      </c>
      <c r="O6" s="314">
        <f t="shared" ref="O6:O38" si="3">I6*D6</f>
        <v>0</v>
      </c>
      <c r="P6" s="314">
        <f t="shared" ref="P6:P38" si="4">I6*E6</f>
        <v>0</v>
      </c>
      <c r="Q6" s="315">
        <f t="shared" ref="Q6:Q38" si="5">I6*F6</f>
        <v>0</v>
      </c>
      <c r="R6" s="316">
        <f t="shared" ref="R6:R38" si="6">I6*G6</f>
        <v>0</v>
      </c>
      <c r="S6" s="317">
        <f>SUM(N6:R6)</f>
        <v>0</v>
      </c>
    </row>
    <row r="7" spans="2:19" ht="15.75" hidden="1">
      <c r="B7" s="510" t="s">
        <v>1694</v>
      </c>
      <c r="C7" s="329"/>
      <c r="D7" s="329"/>
      <c r="E7" s="329"/>
      <c r="F7" s="329"/>
      <c r="G7" s="329"/>
      <c r="H7" s="326">
        <f t="shared" si="0"/>
        <v>0</v>
      </c>
      <c r="I7" s="513">
        <f t="shared" si="1"/>
        <v>56.94</v>
      </c>
      <c r="J7" s="327"/>
      <c r="K7" s="328"/>
      <c r="L7" s="508">
        <v>56.94</v>
      </c>
      <c r="M7" s="331"/>
      <c r="N7" s="314">
        <f t="shared" si="2"/>
        <v>0</v>
      </c>
      <c r="O7" s="314">
        <f t="shared" si="3"/>
        <v>0</v>
      </c>
      <c r="P7" s="314">
        <f t="shared" si="4"/>
        <v>0</v>
      </c>
      <c r="Q7" s="315">
        <f t="shared" si="5"/>
        <v>0</v>
      </c>
      <c r="R7" s="316">
        <f t="shared" si="6"/>
        <v>0</v>
      </c>
      <c r="S7" s="317">
        <f t="shared" ref="S7:S13" si="7">SUM(N7:R7)</f>
        <v>0</v>
      </c>
    </row>
    <row r="8" spans="2:19" ht="15.75" hidden="1">
      <c r="B8" s="510" t="s">
        <v>1695</v>
      </c>
      <c r="C8" s="329"/>
      <c r="D8" s="329"/>
      <c r="E8" s="329"/>
      <c r="F8" s="329"/>
      <c r="G8" s="329"/>
      <c r="H8" s="326">
        <f t="shared" si="0"/>
        <v>0</v>
      </c>
      <c r="I8" s="513">
        <f t="shared" si="1"/>
        <v>119.56</v>
      </c>
      <c r="J8" s="327"/>
      <c r="K8" s="328"/>
      <c r="L8" s="508">
        <v>119.56</v>
      </c>
      <c r="M8" s="331"/>
      <c r="N8" s="314">
        <f t="shared" si="2"/>
        <v>0</v>
      </c>
      <c r="O8" s="314">
        <f t="shared" si="3"/>
        <v>0</v>
      </c>
      <c r="P8" s="314">
        <f t="shared" si="4"/>
        <v>0</v>
      </c>
      <c r="Q8" s="315">
        <f t="shared" si="5"/>
        <v>0</v>
      </c>
      <c r="R8" s="316">
        <f t="shared" si="6"/>
        <v>0</v>
      </c>
      <c r="S8" s="317">
        <f t="shared" si="7"/>
        <v>0</v>
      </c>
    </row>
    <row r="9" spans="2:19" ht="15.75" hidden="1">
      <c r="B9" s="510" t="s">
        <v>953</v>
      </c>
      <c r="C9" s="329"/>
      <c r="D9" s="329"/>
      <c r="E9" s="329"/>
      <c r="F9" s="329"/>
      <c r="G9" s="329"/>
      <c r="H9" s="326">
        <f t="shared" si="0"/>
        <v>0</v>
      </c>
      <c r="I9" s="513">
        <f t="shared" si="1"/>
        <v>230.74</v>
      </c>
      <c r="J9" s="327"/>
      <c r="K9" s="328"/>
      <c r="L9" s="508">
        <v>230.74</v>
      </c>
      <c r="M9" s="331"/>
      <c r="N9" s="314">
        <f t="shared" si="2"/>
        <v>0</v>
      </c>
      <c r="O9" s="314">
        <f t="shared" si="3"/>
        <v>0</v>
      </c>
      <c r="P9" s="314">
        <f t="shared" si="4"/>
        <v>0</v>
      </c>
      <c r="Q9" s="315">
        <f t="shared" si="5"/>
        <v>0</v>
      </c>
      <c r="R9" s="316">
        <f t="shared" si="6"/>
        <v>0</v>
      </c>
      <c r="S9" s="317">
        <f t="shared" si="7"/>
        <v>0</v>
      </c>
    </row>
    <row r="10" spans="2:19" ht="15.75">
      <c r="B10" s="510" t="s">
        <v>1696</v>
      </c>
      <c r="C10" s="329"/>
      <c r="D10" s="329">
        <v>48</v>
      </c>
      <c r="E10" s="329"/>
      <c r="F10" s="329"/>
      <c r="G10" s="329"/>
      <c r="H10" s="326">
        <f t="shared" si="0"/>
        <v>48</v>
      </c>
      <c r="I10" s="513">
        <f t="shared" si="1"/>
        <v>55.76</v>
      </c>
      <c r="J10" s="327"/>
      <c r="K10" s="328"/>
      <c r="L10" s="508">
        <v>55.76</v>
      </c>
      <c r="M10" s="332"/>
      <c r="N10" s="314">
        <f t="shared" si="2"/>
        <v>0</v>
      </c>
      <c r="O10" s="314">
        <f t="shared" si="3"/>
        <v>2676.48</v>
      </c>
      <c r="P10" s="314">
        <f t="shared" si="4"/>
        <v>0</v>
      </c>
      <c r="Q10" s="315">
        <f t="shared" si="5"/>
        <v>0</v>
      </c>
      <c r="R10" s="316">
        <f t="shared" si="6"/>
        <v>0</v>
      </c>
      <c r="S10" s="317">
        <f t="shared" si="7"/>
        <v>2676.48</v>
      </c>
    </row>
    <row r="11" spans="2:19" ht="15.75" hidden="1">
      <c r="B11" s="510" t="s">
        <v>1697</v>
      </c>
      <c r="C11" s="329"/>
      <c r="D11" s="329"/>
      <c r="E11" s="329"/>
      <c r="F11" s="329"/>
      <c r="G11" s="329"/>
      <c r="H11" s="326">
        <f t="shared" si="0"/>
        <v>0</v>
      </c>
      <c r="I11" s="513">
        <f t="shared" si="1"/>
        <v>214.53</v>
      </c>
      <c r="J11" s="327"/>
      <c r="K11" s="328"/>
      <c r="L11" s="508">
        <v>214.53</v>
      </c>
      <c r="M11" s="331"/>
      <c r="N11" s="314">
        <f t="shared" si="2"/>
        <v>0</v>
      </c>
      <c r="O11" s="314">
        <f t="shared" si="3"/>
        <v>0</v>
      </c>
      <c r="P11" s="314">
        <f t="shared" si="4"/>
        <v>0</v>
      </c>
      <c r="Q11" s="315">
        <f t="shared" si="5"/>
        <v>0</v>
      </c>
      <c r="R11" s="316">
        <f t="shared" si="6"/>
        <v>0</v>
      </c>
      <c r="S11" s="317">
        <f t="shared" si="7"/>
        <v>0</v>
      </c>
    </row>
    <row r="12" spans="2:19" ht="15.75" hidden="1">
      <c r="B12" s="510" t="s">
        <v>1698</v>
      </c>
      <c r="C12" s="329"/>
      <c r="D12" s="329"/>
      <c r="E12" s="329"/>
      <c r="F12" s="329"/>
      <c r="G12" s="329"/>
      <c r="H12" s="326">
        <f t="shared" si="0"/>
        <v>0</v>
      </c>
      <c r="I12" s="513">
        <f t="shared" si="1"/>
        <v>942.29</v>
      </c>
      <c r="J12" s="327"/>
      <c r="K12" s="328"/>
      <c r="L12" s="508">
        <v>942.29</v>
      </c>
      <c r="M12" s="331"/>
      <c r="N12" s="314">
        <f t="shared" si="2"/>
        <v>0</v>
      </c>
      <c r="O12" s="314">
        <f t="shared" si="3"/>
        <v>0</v>
      </c>
      <c r="P12" s="314">
        <f t="shared" si="4"/>
        <v>0</v>
      </c>
      <c r="Q12" s="315">
        <f t="shared" si="5"/>
        <v>0</v>
      </c>
      <c r="R12" s="316">
        <f t="shared" si="6"/>
        <v>0</v>
      </c>
      <c r="S12" s="317">
        <f t="shared" si="7"/>
        <v>0</v>
      </c>
    </row>
    <row r="13" spans="2:19" ht="15.75">
      <c r="B13" s="510" t="s">
        <v>954</v>
      </c>
      <c r="C13" s="329"/>
      <c r="D13" s="329">
        <v>48</v>
      </c>
      <c r="E13" s="329"/>
      <c r="F13" s="329"/>
      <c r="G13" s="329"/>
      <c r="H13" s="326">
        <f t="shared" si="0"/>
        <v>48</v>
      </c>
      <c r="I13" s="513">
        <f t="shared" si="1"/>
        <v>93.01</v>
      </c>
      <c r="J13" s="327"/>
      <c r="K13" s="328"/>
      <c r="L13" s="508">
        <v>93.01</v>
      </c>
      <c r="M13" s="331"/>
      <c r="N13" s="314">
        <f t="shared" si="2"/>
        <v>0</v>
      </c>
      <c r="O13" s="314">
        <f t="shared" si="3"/>
        <v>4464.4800000000005</v>
      </c>
      <c r="P13" s="314">
        <f t="shared" si="4"/>
        <v>0</v>
      </c>
      <c r="Q13" s="315">
        <f t="shared" si="5"/>
        <v>0</v>
      </c>
      <c r="R13" s="316">
        <f t="shared" si="6"/>
        <v>0</v>
      </c>
      <c r="S13" s="317">
        <f t="shared" si="7"/>
        <v>4464.4800000000005</v>
      </c>
    </row>
    <row r="14" spans="2:19" ht="15.75">
      <c r="B14" s="510" t="s">
        <v>1333</v>
      </c>
      <c r="C14" s="329"/>
      <c r="D14" s="329">
        <v>150</v>
      </c>
      <c r="E14" s="329"/>
      <c r="F14" s="329"/>
      <c r="G14" s="329"/>
      <c r="H14" s="326">
        <f t="shared" si="0"/>
        <v>150</v>
      </c>
      <c r="I14" s="513">
        <f>(L14-(L14*J14))/24</f>
        <v>20.9375</v>
      </c>
      <c r="J14" s="327"/>
      <c r="K14" s="328"/>
      <c r="L14" s="508">
        <v>502.5</v>
      </c>
      <c r="M14" s="331"/>
      <c r="N14" s="314">
        <f t="shared" si="2"/>
        <v>0</v>
      </c>
      <c r="O14" s="314">
        <f t="shared" si="3"/>
        <v>3140.625</v>
      </c>
      <c r="P14" s="314">
        <f t="shared" si="4"/>
        <v>0</v>
      </c>
      <c r="Q14" s="315">
        <f t="shared" si="5"/>
        <v>0</v>
      </c>
      <c r="R14" s="316">
        <f t="shared" si="6"/>
        <v>0</v>
      </c>
      <c r="S14" s="317">
        <f t="shared" ref="S14:S64" si="8">SUM(N14:R14)</f>
        <v>3140.625</v>
      </c>
    </row>
    <row r="15" spans="2:19" ht="15.75" hidden="1">
      <c r="B15" s="510" t="s">
        <v>1699</v>
      </c>
      <c r="C15" s="329"/>
      <c r="D15" s="329"/>
      <c r="E15" s="329"/>
      <c r="F15" s="329"/>
      <c r="G15" s="329"/>
      <c r="H15" s="326">
        <f t="shared" si="0"/>
        <v>0</v>
      </c>
      <c r="I15" s="513">
        <f t="shared" si="1"/>
        <v>181.64</v>
      </c>
      <c r="J15" s="327"/>
      <c r="K15" s="328"/>
      <c r="L15" s="508">
        <v>181.64</v>
      </c>
      <c r="M15" s="331"/>
      <c r="N15" s="314"/>
      <c r="O15" s="314"/>
      <c r="P15" s="314"/>
      <c r="Q15" s="315"/>
      <c r="R15" s="316"/>
      <c r="S15" s="317"/>
    </row>
    <row r="16" spans="2:19" ht="15.75" hidden="1">
      <c r="B16" s="124" t="s">
        <v>1700</v>
      </c>
      <c r="C16" s="329"/>
      <c r="D16" s="329"/>
      <c r="E16" s="329"/>
      <c r="F16" s="329"/>
      <c r="G16" s="329"/>
      <c r="H16" s="326">
        <f t="shared" si="0"/>
        <v>0</v>
      </c>
      <c r="I16" s="513">
        <f t="shared" si="1"/>
        <v>153.72</v>
      </c>
      <c r="J16" s="327"/>
      <c r="K16" s="328"/>
      <c r="L16" s="508">
        <v>153.72</v>
      </c>
      <c r="M16" s="331"/>
      <c r="N16" s="314">
        <f t="shared" si="2"/>
        <v>0</v>
      </c>
      <c r="O16" s="314">
        <f t="shared" si="3"/>
        <v>0</v>
      </c>
      <c r="P16" s="314">
        <f t="shared" si="4"/>
        <v>0</v>
      </c>
      <c r="Q16" s="315">
        <f t="shared" si="5"/>
        <v>0</v>
      </c>
      <c r="R16" s="316">
        <f t="shared" si="6"/>
        <v>0</v>
      </c>
      <c r="S16" s="317">
        <f t="shared" si="8"/>
        <v>0</v>
      </c>
    </row>
    <row r="17" spans="2:19" ht="15.75" hidden="1">
      <c r="B17" s="124" t="s">
        <v>1701</v>
      </c>
      <c r="C17" s="329"/>
      <c r="D17" s="329"/>
      <c r="E17" s="329"/>
      <c r="F17" s="329"/>
      <c r="G17" s="329"/>
      <c r="H17" s="326">
        <f t="shared" si="0"/>
        <v>0</v>
      </c>
      <c r="I17" s="513">
        <f t="shared" si="1"/>
        <v>19.93</v>
      </c>
      <c r="J17" s="327"/>
      <c r="K17" s="328"/>
      <c r="L17" s="508">
        <v>19.93</v>
      </c>
      <c r="M17" s="331"/>
      <c r="N17" s="314">
        <f t="shared" si="2"/>
        <v>0</v>
      </c>
      <c r="O17" s="314">
        <f t="shared" si="3"/>
        <v>0</v>
      </c>
      <c r="P17" s="314">
        <f t="shared" si="4"/>
        <v>0</v>
      </c>
      <c r="Q17" s="315">
        <f t="shared" si="5"/>
        <v>0</v>
      </c>
      <c r="R17" s="316">
        <f t="shared" si="6"/>
        <v>0</v>
      </c>
      <c r="S17" s="317">
        <f t="shared" si="8"/>
        <v>0</v>
      </c>
    </row>
    <row r="18" spans="2:19" ht="15.75" hidden="1">
      <c r="B18" s="124" t="s">
        <v>1702</v>
      </c>
      <c r="C18" s="329"/>
      <c r="D18" s="329"/>
      <c r="E18" s="329"/>
      <c r="F18" s="329"/>
      <c r="G18" s="329"/>
      <c r="H18" s="326">
        <f t="shared" si="0"/>
        <v>0</v>
      </c>
      <c r="I18" s="513">
        <f t="shared" si="1"/>
        <v>46.26</v>
      </c>
      <c r="J18" s="327"/>
      <c r="K18" s="328"/>
      <c r="L18" s="508">
        <v>46.26</v>
      </c>
      <c r="M18" s="331"/>
      <c r="N18" s="314">
        <f t="shared" si="2"/>
        <v>0</v>
      </c>
      <c r="O18" s="314">
        <f t="shared" si="3"/>
        <v>0</v>
      </c>
      <c r="P18" s="314">
        <f t="shared" si="4"/>
        <v>0</v>
      </c>
      <c r="Q18" s="315">
        <f t="shared" si="5"/>
        <v>0</v>
      </c>
      <c r="R18" s="316">
        <f t="shared" si="6"/>
        <v>0</v>
      </c>
      <c r="S18" s="317">
        <f t="shared" si="8"/>
        <v>0</v>
      </c>
    </row>
    <row r="19" spans="2:19" ht="15.75" hidden="1">
      <c r="B19" s="124" t="s">
        <v>1703</v>
      </c>
      <c r="C19" s="329"/>
      <c r="D19" s="329"/>
      <c r="E19" s="329"/>
      <c r="F19" s="329"/>
      <c r="G19" s="329"/>
      <c r="H19" s="326">
        <f t="shared" si="0"/>
        <v>0</v>
      </c>
      <c r="I19" s="513">
        <f t="shared" si="1"/>
        <v>6.53</v>
      </c>
      <c r="J19" s="327"/>
      <c r="K19" s="328"/>
      <c r="L19" s="508">
        <v>6.53</v>
      </c>
      <c r="M19" s="331"/>
      <c r="N19" s="314">
        <f t="shared" si="2"/>
        <v>0</v>
      </c>
      <c r="O19" s="314">
        <f t="shared" si="3"/>
        <v>0</v>
      </c>
      <c r="P19" s="314">
        <f t="shared" si="4"/>
        <v>0</v>
      </c>
      <c r="Q19" s="315">
        <f t="shared" si="5"/>
        <v>0</v>
      </c>
      <c r="R19" s="316">
        <f t="shared" si="6"/>
        <v>0</v>
      </c>
      <c r="S19" s="317">
        <f t="shared" si="8"/>
        <v>0</v>
      </c>
    </row>
    <row r="20" spans="2:19" ht="15.75" hidden="1">
      <c r="B20" s="124" t="s">
        <v>1704</v>
      </c>
      <c r="C20" s="329"/>
      <c r="D20" s="329"/>
      <c r="E20" s="329"/>
      <c r="F20" s="329"/>
      <c r="G20" s="329"/>
      <c r="H20" s="326">
        <f t="shared" si="0"/>
        <v>0</v>
      </c>
      <c r="I20" s="513">
        <f t="shared" si="1"/>
        <v>55.54</v>
      </c>
      <c r="J20" s="327"/>
      <c r="K20" s="328"/>
      <c r="L20" s="508">
        <v>55.54</v>
      </c>
      <c r="M20" s="331"/>
      <c r="N20" s="314">
        <f t="shared" si="2"/>
        <v>0</v>
      </c>
      <c r="O20" s="314">
        <f t="shared" si="3"/>
        <v>0</v>
      </c>
      <c r="P20" s="314">
        <f t="shared" si="4"/>
        <v>0</v>
      </c>
      <c r="Q20" s="315">
        <f t="shared" si="5"/>
        <v>0</v>
      </c>
      <c r="R20" s="316">
        <f t="shared" si="6"/>
        <v>0</v>
      </c>
      <c r="S20" s="317">
        <f t="shared" si="8"/>
        <v>0</v>
      </c>
    </row>
    <row r="21" spans="2:19" ht="15.75" hidden="1">
      <c r="B21" s="124" t="s">
        <v>1705</v>
      </c>
      <c r="C21" s="329"/>
      <c r="D21" s="329"/>
      <c r="E21" s="329"/>
      <c r="F21" s="329"/>
      <c r="G21" s="329"/>
      <c r="H21" s="326">
        <f t="shared" si="0"/>
        <v>0</v>
      </c>
      <c r="I21" s="513">
        <f t="shared" si="1"/>
        <v>273.63</v>
      </c>
      <c r="J21" s="327"/>
      <c r="K21" s="328"/>
      <c r="L21" s="508">
        <v>273.63</v>
      </c>
      <c r="M21" s="331"/>
      <c r="N21" s="314">
        <f t="shared" si="2"/>
        <v>0</v>
      </c>
      <c r="O21" s="314">
        <f t="shared" si="3"/>
        <v>0</v>
      </c>
      <c r="P21" s="314">
        <f t="shared" si="4"/>
        <v>0</v>
      </c>
      <c r="Q21" s="315">
        <f t="shared" si="5"/>
        <v>0</v>
      </c>
      <c r="R21" s="316">
        <f t="shared" si="6"/>
        <v>0</v>
      </c>
      <c r="S21" s="317">
        <f t="shared" si="8"/>
        <v>0</v>
      </c>
    </row>
    <row r="22" spans="2:19" ht="15.75" hidden="1">
      <c r="B22" s="124" t="s">
        <v>938</v>
      </c>
      <c r="C22" s="329"/>
      <c r="D22" s="329"/>
      <c r="E22" s="329"/>
      <c r="F22" s="329"/>
      <c r="G22" s="329"/>
      <c r="H22" s="326">
        <f t="shared" si="0"/>
        <v>0</v>
      </c>
      <c r="I22" s="513">
        <f t="shared" si="1"/>
        <v>19.5</v>
      </c>
      <c r="J22" s="327"/>
      <c r="K22" s="328"/>
      <c r="L22" s="508">
        <v>19.5</v>
      </c>
      <c r="M22" s="331"/>
      <c r="N22" s="314">
        <f t="shared" si="2"/>
        <v>0</v>
      </c>
      <c r="O22" s="314">
        <f t="shared" si="3"/>
        <v>0</v>
      </c>
      <c r="P22" s="314">
        <f t="shared" si="4"/>
        <v>0</v>
      </c>
      <c r="Q22" s="315">
        <f t="shared" si="5"/>
        <v>0</v>
      </c>
      <c r="R22" s="316">
        <f t="shared" si="6"/>
        <v>0</v>
      </c>
      <c r="S22" s="317">
        <f t="shared" si="8"/>
        <v>0</v>
      </c>
    </row>
    <row r="23" spans="2:19" ht="15.75" hidden="1">
      <c r="B23" s="124" t="s">
        <v>939</v>
      </c>
      <c r="C23" s="329"/>
      <c r="D23" s="329"/>
      <c r="E23" s="329"/>
      <c r="F23" s="329"/>
      <c r="G23" s="329"/>
      <c r="H23" s="326">
        <f t="shared" si="0"/>
        <v>0</v>
      </c>
      <c r="I23" s="513">
        <f t="shared" si="1"/>
        <v>32.19</v>
      </c>
      <c r="J23" s="327"/>
      <c r="K23" s="328"/>
      <c r="L23" s="508">
        <v>32.19</v>
      </c>
      <c r="M23" s="331"/>
      <c r="N23" s="314">
        <f t="shared" si="2"/>
        <v>0</v>
      </c>
      <c r="O23" s="314">
        <f t="shared" si="3"/>
        <v>0</v>
      </c>
      <c r="P23" s="314">
        <f t="shared" si="4"/>
        <v>0</v>
      </c>
      <c r="Q23" s="315">
        <f t="shared" si="5"/>
        <v>0</v>
      </c>
      <c r="R23" s="316">
        <f t="shared" si="6"/>
        <v>0</v>
      </c>
      <c r="S23" s="317">
        <f t="shared" si="8"/>
        <v>0</v>
      </c>
    </row>
    <row r="24" spans="2:19" ht="15.75" hidden="1">
      <c r="B24" s="510" t="s">
        <v>1706</v>
      </c>
      <c r="C24" s="329"/>
      <c r="D24" s="329"/>
      <c r="E24" s="329"/>
      <c r="F24" s="329"/>
      <c r="G24" s="329"/>
      <c r="H24" s="326">
        <f t="shared" si="0"/>
        <v>0</v>
      </c>
      <c r="I24" s="513">
        <f t="shared" si="1"/>
        <v>31.03</v>
      </c>
      <c r="J24" s="327"/>
      <c r="K24" s="328"/>
      <c r="L24" s="508">
        <v>31.03</v>
      </c>
      <c r="M24" s="331"/>
      <c r="N24" s="314">
        <f t="shared" si="2"/>
        <v>0</v>
      </c>
      <c r="O24" s="314">
        <f t="shared" si="3"/>
        <v>0</v>
      </c>
      <c r="P24" s="314">
        <f t="shared" si="4"/>
        <v>0</v>
      </c>
      <c r="Q24" s="315">
        <f t="shared" si="5"/>
        <v>0</v>
      </c>
      <c r="R24" s="316">
        <f t="shared" si="6"/>
        <v>0</v>
      </c>
      <c r="S24" s="317">
        <f t="shared" si="8"/>
        <v>0</v>
      </c>
    </row>
    <row r="25" spans="2:19" ht="15.75" hidden="1">
      <c r="B25" s="510" t="s">
        <v>1707</v>
      </c>
      <c r="C25" s="329"/>
      <c r="D25" s="329"/>
      <c r="E25" s="329"/>
      <c r="F25" s="329"/>
      <c r="G25" s="329"/>
      <c r="H25" s="326">
        <f t="shared" si="0"/>
        <v>0</v>
      </c>
      <c r="I25" s="513">
        <f t="shared" si="1"/>
        <v>70.16</v>
      </c>
      <c r="J25" s="327"/>
      <c r="K25" s="328"/>
      <c r="L25" s="508">
        <v>70.16</v>
      </c>
      <c r="M25" s="331"/>
      <c r="N25" s="314">
        <f t="shared" si="2"/>
        <v>0</v>
      </c>
      <c r="O25" s="314">
        <f t="shared" si="3"/>
        <v>0</v>
      </c>
      <c r="P25" s="314">
        <f t="shared" si="4"/>
        <v>0</v>
      </c>
      <c r="Q25" s="315">
        <f t="shared" si="5"/>
        <v>0</v>
      </c>
      <c r="R25" s="316">
        <f t="shared" si="6"/>
        <v>0</v>
      </c>
      <c r="S25" s="317">
        <f t="shared" si="8"/>
        <v>0</v>
      </c>
    </row>
    <row r="26" spans="2:19" ht="15.75" hidden="1">
      <c r="B26" s="510" t="s">
        <v>1708</v>
      </c>
      <c r="C26" s="329"/>
      <c r="D26" s="329"/>
      <c r="E26" s="329"/>
      <c r="F26" s="329"/>
      <c r="G26" s="329"/>
      <c r="H26" s="326">
        <f t="shared" si="0"/>
        <v>0</v>
      </c>
      <c r="I26" s="513">
        <f t="shared" si="1"/>
        <v>212.77</v>
      </c>
      <c r="J26" s="327"/>
      <c r="K26" s="328"/>
      <c r="L26" s="508">
        <v>212.77</v>
      </c>
      <c r="M26" s="331"/>
      <c r="N26" s="314">
        <f t="shared" si="2"/>
        <v>0</v>
      </c>
      <c r="O26" s="314">
        <f t="shared" si="3"/>
        <v>0</v>
      </c>
      <c r="P26" s="314">
        <f t="shared" si="4"/>
        <v>0</v>
      </c>
      <c r="Q26" s="315">
        <f t="shared" si="5"/>
        <v>0</v>
      </c>
      <c r="R26" s="316">
        <f t="shared" si="6"/>
        <v>0</v>
      </c>
      <c r="S26" s="317">
        <f t="shared" si="8"/>
        <v>0</v>
      </c>
    </row>
    <row r="27" spans="2:19" ht="15.75" hidden="1">
      <c r="B27" s="510" t="s">
        <v>1709</v>
      </c>
      <c r="C27" s="329"/>
      <c r="D27" s="329"/>
      <c r="E27" s="329"/>
      <c r="F27" s="329"/>
      <c r="G27" s="329"/>
      <c r="H27" s="326">
        <f t="shared" si="0"/>
        <v>0</v>
      </c>
      <c r="I27" s="513">
        <f t="shared" si="1"/>
        <v>236.98</v>
      </c>
      <c r="J27" s="327"/>
      <c r="K27" s="328"/>
      <c r="L27" s="508">
        <v>236.98</v>
      </c>
      <c r="M27" s="331"/>
      <c r="N27" s="314">
        <f t="shared" si="2"/>
        <v>0</v>
      </c>
      <c r="O27" s="314">
        <f t="shared" si="3"/>
        <v>0</v>
      </c>
      <c r="P27" s="314">
        <f t="shared" si="4"/>
        <v>0</v>
      </c>
      <c r="Q27" s="315">
        <f t="shared" si="5"/>
        <v>0</v>
      </c>
      <c r="R27" s="316">
        <f t="shared" si="6"/>
        <v>0</v>
      </c>
      <c r="S27" s="317">
        <f t="shared" si="8"/>
        <v>0</v>
      </c>
    </row>
    <row r="28" spans="2:19" ht="15.75" hidden="1">
      <c r="B28" s="510" t="s">
        <v>1710</v>
      </c>
      <c r="C28" s="329"/>
      <c r="D28" s="329"/>
      <c r="E28" s="329"/>
      <c r="F28" s="329"/>
      <c r="G28" s="329"/>
      <c r="H28" s="326">
        <f t="shared" si="0"/>
        <v>0</v>
      </c>
      <c r="I28" s="513">
        <f t="shared" si="1"/>
        <v>1084.9000000000001</v>
      </c>
      <c r="J28" s="327"/>
      <c r="K28" s="328"/>
      <c r="L28" s="508">
        <v>1084.9000000000001</v>
      </c>
      <c r="M28" s="331"/>
      <c r="N28" s="314">
        <f t="shared" si="2"/>
        <v>0</v>
      </c>
      <c r="O28" s="314">
        <f t="shared" si="3"/>
        <v>0</v>
      </c>
      <c r="P28" s="314">
        <f t="shared" si="4"/>
        <v>0</v>
      </c>
      <c r="Q28" s="315">
        <f t="shared" si="5"/>
        <v>0</v>
      </c>
      <c r="R28" s="316">
        <f t="shared" si="6"/>
        <v>0</v>
      </c>
      <c r="S28" s="317">
        <f t="shared" si="8"/>
        <v>0</v>
      </c>
    </row>
    <row r="29" spans="2:19" ht="15.75" hidden="1">
      <c r="B29" s="510" t="s">
        <v>1711</v>
      </c>
      <c r="C29" s="329"/>
      <c r="D29" s="329"/>
      <c r="E29" s="329"/>
      <c r="F29" s="329"/>
      <c r="G29" s="329"/>
      <c r="H29" s="326">
        <f t="shared" si="0"/>
        <v>0</v>
      </c>
      <c r="I29" s="513">
        <f t="shared" si="1"/>
        <v>407.37</v>
      </c>
      <c r="J29" s="327"/>
      <c r="K29" s="328"/>
      <c r="L29" s="508">
        <v>407.37</v>
      </c>
      <c r="M29" s="331"/>
      <c r="N29" s="314">
        <f t="shared" si="2"/>
        <v>0</v>
      </c>
      <c r="O29" s="314">
        <f t="shared" si="3"/>
        <v>0</v>
      </c>
      <c r="P29" s="314">
        <f t="shared" si="4"/>
        <v>0</v>
      </c>
      <c r="Q29" s="315">
        <f t="shared" si="5"/>
        <v>0</v>
      </c>
      <c r="R29" s="316">
        <f t="shared" si="6"/>
        <v>0</v>
      </c>
      <c r="S29" s="317">
        <f t="shared" si="8"/>
        <v>0</v>
      </c>
    </row>
    <row r="30" spans="2:19" ht="15.75" hidden="1">
      <c r="B30" s="510" t="s">
        <v>1712</v>
      </c>
      <c r="C30" s="329"/>
      <c r="D30" s="329"/>
      <c r="E30" s="329"/>
      <c r="F30" s="329"/>
      <c r="G30" s="329"/>
      <c r="H30" s="326">
        <f t="shared" si="0"/>
        <v>0</v>
      </c>
      <c r="I30" s="513">
        <f t="shared" si="1"/>
        <v>216.84</v>
      </c>
      <c r="J30" s="327"/>
      <c r="K30" s="328"/>
      <c r="L30" s="508">
        <v>216.84</v>
      </c>
      <c r="M30" s="331"/>
      <c r="N30" s="314">
        <f t="shared" si="2"/>
        <v>0</v>
      </c>
      <c r="O30" s="314">
        <f t="shared" si="3"/>
        <v>0</v>
      </c>
      <c r="P30" s="314">
        <f t="shared" si="4"/>
        <v>0</v>
      </c>
      <c r="Q30" s="315">
        <f t="shared" si="5"/>
        <v>0</v>
      </c>
      <c r="R30" s="316">
        <f t="shared" si="6"/>
        <v>0</v>
      </c>
      <c r="S30" s="317">
        <f t="shared" si="8"/>
        <v>0</v>
      </c>
    </row>
    <row r="31" spans="2:19" ht="15.75" hidden="1">
      <c r="B31" s="510" t="s">
        <v>1713</v>
      </c>
      <c r="C31" s="329"/>
      <c r="D31" s="329"/>
      <c r="E31" s="329"/>
      <c r="F31" s="329"/>
      <c r="G31" s="329"/>
      <c r="H31" s="326">
        <f t="shared" si="0"/>
        <v>0</v>
      </c>
      <c r="I31" s="513">
        <f t="shared" si="1"/>
        <v>456.25</v>
      </c>
      <c r="J31" s="327"/>
      <c r="K31" s="328"/>
      <c r="L31" s="508">
        <v>456.25</v>
      </c>
      <c r="M31" s="331"/>
      <c r="N31" s="314">
        <f t="shared" si="2"/>
        <v>0</v>
      </c>
      <c r="O31" s="314">
        <f t="shared" si="3"/>
        <v>0</v>
      </c>
      <c r="P31" s="314">
        <f t="shared" si="4"/>
        <v>0</v>
      </c>
      <c r="Q31" s="315">
        <f t="shared" si="5"/>
        <v>0</v>
      </c>
      <c r="R31" s="316">
        <f t="shared" si="6"/>
        <v>0</v>
      </c>
      <c r="S31" s="317">
        <f t="shared" si="8"/>
        <v>0</v>
      </c>
    </row>
    <row r="32" spans="2:19" ht="15.75" hidden="1">
      <c r="B32" s="510" t="s">
        <v>1714</v>
      </c>
      <c r="C32" s="329"/>
      <c r="D32" s="329"/>
      <c r="E32" s="329"/>
      <c r="F32" s="329"/>
      <c r="G32" s="329"/>
      <c r="H32" s="326">
        <f t="shared" si="0"/>
        <v>0</v>
      </c>
      <c r="I32" s="513">
        <f t="shared" si="1"/>
        <v>249.24</v>
      </c>
      <c r="J32" s="327"/>
      <c r="K32" s="328"/>
      <c r="L32" s="508">
        <v>249.24</v>
      </c>
      <c r="M32" s="331"/>
      <c r="N32" s="314">
        <f t="shared" si="2"/>
        <v>0</v>
      </c>
      <c r="O32" s="314">
        <f t="shared" si="3"/>
        <v>0</v>
      </c>
      <c r="P32" s="314">
        <f t="shared" si="4"/>
        <v>0</v>
      </c>
      <c r="Q32" s="315">
        <f t="shared" si="5"/>
        <v>0</v>
      </c>
      <c r="R32" s="316">
        <f t="shared" si="6"/>
        <v>0</v>
      </c>
      <c r="S32" s="317">
        <f t="shared" si="8"/>
        <v>0</v>
      </c>
    </row>
    <row r="33" spans="2:19" ht="15.75" hidden="1">
      <c r="B33" s="510" t="s">
        <v>1715</v>
      </c>
      <c r="C33" s="329"/>
      <c r="D33" s="329"/>
      <c r="E33" s="329"/>
      <c r="F33" s="329"/>
      <c r="G33" s="329"/>
      <c r="H33" s="326">
        <f t="shared" si="0"/>
        <v>0</v>
      </c>
      <c r="I33" s="513">
        <f t="shared" si="1"/>
        <v>29.49</v>
      </c>
      <c r="J33" s="327"/>
      <c r="K33" s="328"/>
      <c r="L33" s="508">
        <v>29.49</v>
      </c>
      <c r="M33" s="331"/>
      <c r="N33" s="314">
        <f t="shared" si="2"/>
        <v>0</v>
      </c>
      <c r="O33" s="314">
        <f t="shared" si="3"/>
        <v>0</v>
      </c>
      <c r="P33" s="314">
        <f t="shared" si="4"/>
        <v>0</v>
      </c>
      <c r="Q33" s="315">
        <f t="shared" si="5"/>
        <v>0</v>
      </c>
      <c r="R33" s="316">
        <f t="shared" si="6"/>
        <v>0</v>
      </c>
      <c r="S33" s="317">
        <f t="shared" si="8"/>
        <v>0</v>
      </c>
    </row>
    <row r="34" spans="2:19" ht="15.75" hidden="1">
      <c r="B34" s="510" t="s">
        <v>1716</v>
      </c>
      <c r="C34" s="329"/>
      <c r="D34" s="329"/>
      <c r="E34" s="329"/>
      <c r="F34" s="329"/>
      <c r="G34" s="329"/>
      <c r="H34" s="326">
        <f t="shared" si="0"/>
        <v>0</v>
      </c>
      <c r="I34" s="513">
        <f t="shared" si="1"/>
        <v>13.09</v>
      </c>
      <c r="J34" s="327"/>
      <c r="K34" s="328"/>
      <c r="L34" s="508">
        <v>13.09</v>
      </c>
      <c r="M34" s="331"/>
      <c r="N34" s="314">
        <f t="shared" si="2"/>
        <v>0</v>
      </c>
      <c r="O34" s="314">
        <f t="shared" si="3"/>
        <v>0</v>
      </c>
      <c r="P34" s="314">
        <f t="shared" si="4"/>
        <v>0</v>
      </c>
      <c r="Q34" s="315">
        <f t="shared" si="5"/>
        <v>0</v>
      </c>
      <c r="R34" s="316">
        <f t="shared" si="6"/>
        <v>0</v>
      </c>
      <c r="S34" s="317">
        <f t="shared" si="8"/>
        <v>0</v>
      </c>
    </row>
    <row r="35" spans="2:19" ht="15.75" hidden="1">
      <c r="B35" s="510" t="s">
        <v>1717</v>
      </c>
      <c r="C35" s="329"/>
      <c r="D35" s="329"/>
      <c r="E35" s="329"/>
      <c r="F35" s="329"/>
      <c r="G35" s="329"/>
      <c r="H35" s="326">
        <f t="shared" si="0"/>
        <v>0</v>
      </c>
      <c r="I35" s="513">
        <f t="shared" si="1"/>
        <v>150.47999999999999</v>
      </c>
      <c r="J35" s="327"/>
      <c r="K35" s="328"/>
      <c r="L35" s="508">
        <v>150.47999999999999</v>
      </c>
      <c r="M35" s="331"/>
      <c r="N35" s="314">
        <f t="shared" si="2"/>
        <v>0</v>
      </c>
      <c r="O35" s="314">
        <f t="shared" si="3"/>
        <v>0</v>
      </c>
      <c r="P35" s="314">
        <f t="shared" si="4"/>
        <v>0</v>
      </c>
      <c r="Q35" s="315">
        <f t="shared" si="5"/>
        <v>0</v>
      </c>
      <c r="R35" s="316">
        <f t="shared" si="6"/>
        <v>0</v>
      </c>
      <c r="S35" s="317">
        <f t="shared" si="8"/>
        <v>0</v>
      </c>
    </row>
    <row r="36" spans="2:19" ht="15.75" hidden="1">
      <c r="B36" s="510" t="s">
        <v>1718</v>
      </c>
      <c r="C36" s="329"/>
      <c r="D36" s="329"/>
      <c r="E36" s="329"/>
      <c r="F36" s="329"/>
      <c r="G36" s="329"/>
      <c r="H36" s="326">
        <f t="shared" si="0"/>
        <v>0</v>
      </c>
      <c r="I36" s="513">
        <f t="shared" si="1"/>
        <v>83.11</v>
      </c>
      <c r="J36" s="327"/>
      <c r="K36" s="328"/>
      <c r="L36" s="508">
        <v>83.11</v>
      </c>
      <c r="M36" s="331"/>
      <c r="N36" s="314">
        <f t="shared" si="2"/>
        <v>0</v>
      </c>
      <c r="O36" s="314">
        <f t="shared" si="3"/>
        <v>0</v>
      </c>
      <c r="P36" s="314">
        <f t="shared" si="4"/>
        <v>0</v>
      </c>
      <c r="Q36" s="315">
        <f t="shared" si="5"/>
        <v>0</v>
      </c>
      <c r="R36" s="316">
        <f t="shared" si="6"/>
        <v>0</v>
      </c>
      <c r="S36" s="317">
        <f t="shared" si="8"/>
        <v>0</v>
      </c>
    </row>
    <row r="37" spans="2:19" ht="15.75" hidden="1">
      <c r="B37" s="510" t="s">
        <v>1719</v>
      </c>
      <c r="C37" s="329"/>
      <c r="D37" s="329"/>
      <c r="E37" s="329"/>
      <c r="F37" s="329"/>
      <c r="G37" s="329"/>
      <c r="H37" s="326">
        <f t="shared" si="0"/>
        <v>0</v>
      </c>
      <c r="I37" s="513">
        <f t="shared" si="1"/>
        <v>10.199999999999999</v>
      </c>
      <c r="J37" s="327"/>
      <c r="K37" s="328"/>
      <c r="L37" s="508">
        <v>10.199999999999999</v>
      </c>
      <c r="M37" s="331"/>
      <c r="N37" s="314">
        <f t="shared" si="2"/>
        <v>0</v>
      </c>
      <c r="O37" s="314">
        <f t="shared" si="3"/>
        <v>0</v>
      </c>
      <c r="P37" s="314">
        <f t="shared" si="4"/>
        <v>0</v>
      </c>
      <c r="Q37" s="315">
        <f t="shared" si="5"/>
        <v>0</v>
      </c>
      <c r="R37" s="316">
        <f t="shared" si="6"/>
        <v>0</v>
      </c>
      <c r="S37" s="317">
        <f t="shared" si="8"/>
        <v>0</v>
      </c>
    </row>
    <row r="38" spans="2:19" ht="15.75" hidden="1">
      <c r="B38" s="510" t="s">
        <v>1720</v>
      </c>
      <c r="C38" s="329"/>
      <c r="D38" s="329"/>
      <c r="E38" s="329"/>
      <c r="F38" s="329"/>
      <c r="G38" s="329"/>
      <c r="H38" s="326">
        <f t="shared" si="0"/>
        <v>0</v>
      </c>
      <c r="I38" s="513">
        <f t="shared" si="1"/>
        <v>166.62</v>
      </c>
      <c r="J38" s="327"/>
      <c r="K38" s="328"/>
      <c r="L38" s="508">
        <v>166.62</v>
      </c>
      <c r="M38" s="331"/>
      <c r="N38" s="314">
        <f t="shared" si="2"/>
        <v>0</v>
      </c>
      <c r="O38" s="314">
        <f t="shared" si="3"/>
        <v>0</v>
      </c>
      <c r="P38" s="314">
        <f t="shared" si="4"/>
        <v>0</v>
      </c>
      <c r="Q38" s="315">
        <f t="shared" si="5"/>
        <v>0</v>
      </c>
      <c r="R38" s="316">
        <f t="shared" si="6"/>
        <v>0</v>
      </c>
      <c r="S38" s="317">
        <f t="shared" si="8"/>
        <v>0</v>
      </c>
    </row>
    <row r="39" spans="2:19" ht="15.75" hidden="1">
      <c r="B39" s="510" t="s">
        <v>1721</v>
      </c>
      <c r="C39" s="329"/>
      <c r="D39" s="329"/>
      <c r="E39" s="329"/>
      <c r="F39" s="329"/>
      <c r="G39" s="329"/>
      <c r="H39" s="326">
        <f t="shared" ref="H39:H64" si="9">SUM(C39:G39)</f>
        <v>0</v>
      </c>
      <c r="I39" s="513">
        <f t="shared" si="1"/>
        <v>203.78</v>
      </c>
      <c r="J39" s="327"/>
      <c r="K39" s="328"/>
      <c r="L39" s="508">
        <v>203.78</v>
      </c>
      <c r="M39" s="331"/>
      <c r="N39" s="314">
        <f t="shared" ref="N39:N64" si="10">I39*C39</f>
        <v>0</v>
      </c>
      <c r="O39" s="314">
        <f t="shared" ref="O39:O64" si="11">I39*D39</f>
        <v>0</v>
      </c>
      <c r="P39" s="314">
        <f t="shared" ref="P39:P64" si="12">I39*E39</f>
        <v>0</v>
      </c>
      <c r="Q39" s="315">
        <f t="shared" ref="Q39:Q64" si="13">I39*F39</f>
        <v>0</v>
      </c>
      <c r="R39" s="316">
        <f t="shared" ref="R39:R64" si="14">I39*G39</f>
        <v>0</v>
      </c>
      <c r="S39" s="317">
        <f t="shared" si="8"/>
        <v>0</v>
      </c>
    </row>
    <row r="40" spans="2:19" ht="15.75" hidden="1">
      <c r="B40" s="510" t="s">
        <v>1722</v>
      </c>
      <c r="C40" s="329"/>
      <c r="D40" s="329"/>
      <c r="E40" s="329"/>
      <c r="F40" s="329"/>
      <c r="G40" s="329"/>
      <c r="H40" s="326">
        <f t="shared" si="9"/>
        <v>0</v>
      </c>
      <c r="I40" s="513">
        <f t="shared" si="1"/>
        <v>55.13</v>
      </c>
      <c r="J40" s="327"/>
      <c r="K40" s="328"/>
      <c r="L40" s="508">
        <v>55.13</v>
      </c>
      <c r="M40" s="331"/>
      <c r="N40" s="314">
        <f t="shared" si="10"/>
        <v>0</v>
      </c>
      <c r="O40" s="314">
        <f t="shared" si="11"/>
        <v>0</v>
      </c>
      <c r="P40" s="314">
        <f t="shared" si="12"/>
        <v>0</v>
      </c>
      <c r="Q40" s="315">
        <f t="shared" si="13"/>
        <v>0</v>
      </c>
      <c r="R40" s="316">
        <f t="shared" si="14"/>
        <v>0</v>
      </c>
      <c r="S40" s="317">
        <f t="shared" si="8"/>
        <v>0</v>
      </c>
    </row>
    <row r="41" spans="2:19" ht="15.75" hidden="1">
      <c r="B41" s="510" t="s">
        <v>1723</v>
      </c>
      <c r="C41" s="329"/>
      <c r="D41" s="329"/>
      <c r="E41" s="329"/>
      <c r="F41" s="329"/>
      <c r="G41" s="329"/>
      <c r="H41" s="326">
        <f t="shared" si="9"/>
        <v>0</v>
      </c>
      <c r="I41" s="513">
        <f t="shared" si="1"/>
        <v>105.08</v>
      </c>
      <c r="J41" s="327"/>
      <c r="K41" s="328"/>
      <c r="L41" s="508">
        <v>105.08</v>
      </c>
      <c r="M41" s="331"/>
      <c r="N41" s="314">
        <f t="shared" si="10"/>
        <v>0</v>
      </c>
      <c r="O41" s="314">
        <f t="shared" si="11"/>
        <v>0</v>
      </c>
      <c r="P41" s="314">
        <f t="shared" si="12"/>
        <v>0</v>
      </c>
      <c r="Q41" s="315">
        <f t="shared" si="13"/>
        <v>0</v>
      </c>
      <c r="R41" s="316">
        <f t="shared" si="14"/>
        <v>0</v>
      </c>
      <c r="S41" s="317">
        <f t="shared" si="8"/>
        <v>0</v>
      </c>
    </row>
    <row r="42" spans="2:19" ht="15.75" hidden="1">
      <c r="B42" s="510" t="s">
        <v>1724</v>
      </c>
      <c r="C42" s="329"/>
      <c r="D42" s="329"/>
      <c r="E42" s="329"/>
      <c r="F42" s="329"/>
      <c r="G42" s="329"/>
      <c r="H42" s="326">
        <f t="shared" si="9"/>
        <v>0</v>
      </c>
      <c r="I42" s="513">
        <f t="shared" si="1"/>
        <v>97.33</v>
      </c>
      <c r="J42" s="327"/>
      <c r="K42" s="328"/>
      <c r="L42" s="508">
        <v>97.33</v>
      </c>
      <c r="M42" s="331"/>
      <c r="N42" s="314">
        <f t="shared" si="10"/>
        <v>0</v>
      </c>
      <c r="O42" s="314">
        <f t="shared" si="11"/>
        <v>0</v>
      </c>
      <c r="P42" s="314">
        <f t="shared" si="12"/>
        <v>0</v>
      </c>
      <c r="Q42" s="315">
        <f t="shared" si="13"/>
        <v>0</v>
      </c>
      <c r="R42" s="316">
        <f t="shared" si="14"/>
        <v>0</v>
      </c>
      <c r="S42" s="317">
        <f t="shared" si="8"/>
        <v>0</v>
      </c>
    </row>
    <row r="43" spans="2:19" ht="15.75" hidden="1">
      <c r="B43" s="510" t="s">
        <v>1725</v>
      </c>
      <c r="C43" s="329"/>
      <c r="D43" s="329"/>
      <c r="E43" s="329"/>
      <c r="F43" s="329"/>
      <c r="G43" s="329"/>
      <c r="H43" s="326">
        <f t="shared" si="9"/>
        <v>0</v>
      </c>
      <c r="I43" s="513">
        <f t="shared" si="1"/>
        <v>31.66</v>
      </c>
      <c r="J43" s="327"/>
      <c r="K43" s="328"/>
      <c r="L43" s="508">
        <v>31.66</v>
      </c>
      <c r="M43" s="331"/>
      <c r="N43" s="314">
        <f t="shared" si="10"/>
        <v>0</v>
      </c>
      <c r="O43" s="314">
        <f t="shared" si="11"/>
        <v>0</v>
      </c>
      <c r="P43" s="314">
        <f t="shared" si="12"/>
        <v>0</v>
      </c>
      <c r="Q43" s="315">
        <f t="shared" si="13"/>
        <v>0</v>
      </c>
      <c r="R43" s="316">
        <f t="shared" si="14"/>
        <v>0</v>
      </c>
      <c r="S43" s="317">
        <f t="shared" si="8"/>
        <v>0</v>
      </c>
    </row>
    <row r="44" spans="2:19" ht="15.75" hidden="1">
      <c r="B44" s="510" t="s">
        <v>1726</v>
      </c>
      <c r="C44" s="329"/>
      <c r="D44" s="329"/>
      <c r="E44" s="329"/>
      <c r="F44" s="329"/>
      <c r="G44" s="329"/>
      <c r="H44" s="326">
        <f t="shared" si="9"/>
        <v>0</v>
      </c>
      <c r="I44" s="513">
        <f t="shared" si="1"/>
        <v>10.01</v>
      </c>
      <c r="J44" s="327"/>
      <c r="K44" s="328"/>
      <c r="L44" s="508">
        <v>10.01</v>
      </c>
      <c r="M44" s="331"/>
      <c r="N44" s="314">
        <f t="shared" si="10"/>
        <v>0</v>
      </c>
      <c r="O44" s="314">
        <f t="shared" si="11"/>
        <v>0</v>
      </c>
      <c r="P44" s="314">
        <f t="shared" si="12"/>
        <v>0</v>
      </c>
      <c r="Q44" s="315">
        <f t="shared" si="13"/>
        <v>0</v>
      </c>
      <c r="R44" s="316">
        <f t="shared" si="14"/>
        <v>0</v>
      </c>
      <c r="S44" s="317">
        <f t="shared" si="8"/>
        <v>0</v>
      </c>
    </row>
    <row r="45" spans="2:19" ht="15.75" hidden="1">
      <c r="B45" s="510" t="s">
        <v>940</v>
      </c>
      <c r="C45" s="329"/>
      <c r="D45" s="329"/>
      <c r="E45" s="329"/>
      <c r="F45" s="329"/>
      <c r="G45" s="329"/>
      <c r="H45" s="326">
        <f t="shared" si="9"/>
        <v>0</v>
      </c>
      <c r="I45" s="513">
        <f t="shared" si="1"/>
        <v>48.47</v>
      </c>
      <c r="J45" s="327"/>
      <c r="K45" s="328"/>
      <c r="L45" s="508">
        <v>48.47</v>
      </c>
      <c r="M45" s="331"/>
      <c r="N45" s="314">
        <f t="shared" si="10"/>
        <v>0</v>
      </c>
      <c r="O45" s="314">
        <f t="shared" si="11"/>
        <v>0</v>
      </c>
      <c r="P45" s="314">
        <f t="shared" si="12"/>
        <v>0</v>
      </c>
      <c r="Q45" s="315">
        <f t="shared" si="13"/>
        <v>0</v>
      </c>
      <c r="R45" s="316">
        <f t="shared" si="14"/>
        <v>0</v>
      </c>
      <c r="S45" s="317">
        <f t="shared" si="8"/>
        <v>0</v>
      </c>
    </row>
    <row r="46" spans="2:19" ht="15.75" hidden="1">
      <c r="B46" s="510" t="s">
        <v>1727</v>
      </c>
      <c r="C46" s="329"/>
      <c r="D46" s="329"/>
      <c r="E46" s="329"/>
      <c r="F46" s="329"/>
      <c r="G46" s="329"/>
      <c r="H46" s="326">
        <f t="shared" si="9"/>
        <v>0</v>
      </c>
      <c r="I46" s="513">
        <f t="shared" si="1"/>
        <v>39.24</v>
      </c>
      <c r="J46" s="327"/>
      <c r="K46" s="328"/>
      <c r="L46" s="508">
        <v>39.24</v>
      </c>
      <c r="M46" s="331"/>
      <c r="N46" s="314">
        <f t="shared" si="10"/>
        <v>0</v>
      </c>
      <c r="O46" s="314">
        <f t="shared" si="11"/>
        <v>0</v>
      </c>
      <c r="P46" s="314">
        <f t="shared" si="12"/>
        <v>0</v>
      </c>
      <c r="Q46" s="315">
        <f t="shared" si="13"/>
        <v>0</v>
      </c>
      <c r="R46" s="316">
        <f t="shared" si="14"/>
        <v>0</v>
      </c>
      <c r="S46" s="317">
        <f t="shared" si="8"/>
        <v>0</v>
      </c>
    </row>
    <row r="47" spans="2:19" ht="15.75" hidden="1">
      <c r="B47" s="510" t="s">
        <v>1728</v>
      </c>
      <c r="C47" s="329"/>
      <c r="D47" s="329"/>
      <c r="E47" s="329"/>
      <c r="F47" s="329"/>
      <c r="G47" s="329"/>
      <c r="H47" s="326">
        <f t="shared" si="9"/>
        <v>0</v>
      </c>
      <c r="I47" s="513">
        <f t="shared" si="1"/>
        <v>25.8</v>
      </c>
      <c r="J47" s="327"/>
      <c r="K47" s="328"/>
      <c r="L47" s="508">
        <v>25.8</v>
      </c>
      <c r="M47" s="331"/>
      <c r="N47" s="314">
        <f t="shared" si="10"/>
        <v>0</v>
      </c>
      <c r="O47" s="314">
        <f t="shared" si="11"/>
        <v>0</v>
      </c>
      <c r="P47" s="314">
        <f t="shared" si="12"/>
        <v>0</v>
      </c>
      <c r="Q47" s="315">
        <f t="shared" si="13"/>
        <v>0</v>
      </c>
      <c r="R47" s="316">
        <f t="shared" si="14"/>
        <v>0</v>
      </c>
      <c r="S47" s="317">
        <f t="shared" si="8"/>
        <v>0</v>
      </c>
    </row>
    <row r="48" spans="2:19" ht="15.75" hidden="1">
      <c r="B48" s="510" t="s">
        <v>1729</v>
      </c>
      <c r="C48" s="329"/>
      <c r="D48" s="329"/>
      <c r="E48" s="329"/>
      <c r="F48" s="329"/>
      <c r="G48" s="329"/>
      <c r="H48" s="326">
        <f t="shared" si="9"/>
        <v>0</v>
      </c>
      <c r="I48" s="513">
        <f t="shared" si="1"/>
        <v>29.26</v>
      </c>
      <c r="J48" s="327"/>
      <c r="K48" s="328"/>
      <c r="L48" s="508">
        <v>29.26</v>
      </c>
      <c r="M48" s="331"/>
      <c r="N48" s="314">
        <f t="shared" si="10"/>
        <v>0</v>
      </c>
      <c r="O48" s="314">
        <f t="shared" si="11"/>
        <v>0</v>
      </c>
      <c r="P48" s="314">
        <f t="shared" si="12"/>
        <v>0</v>
      </c>
      <c r="Q48" s="315">
        <f t="shared" si="13"/>
        <v>0</v>
      </c>
      <c r="R48" s="316">
        <f t="shared" si="14"/>
        <v>0</v>
      </c>
      <c r="S48" s="317">
        <f t="shared" si="8"/>
        <v>0</v>
      </c>
    </row>
    <row r="49" spans="2:19" ht="15.75" hidden="1">
      <c r="B49" s="510" t="s">
        <v>1730</v>
      </c>
      <c r="C49" s="329"/>
      <c r="D49" s="329"/>
      <c r="E49" s="329"/>
      <c r="F49" s="329"/>
      <c r="G49" s="329"/>
      <c r="H49" s="326">
        <f t="shared" si="9"/>
        <v>0</v>
      </c>
      <c r="I49" s="513">
        <f t="shared" si="1"/>
        <v>29.26</v>
      </c>
      <c r="J49" s="327"/>
      <c r="K49" s="328"/>
      <c r="L49" s="508">
        <v>29.26</v>
      </c>
      <c r="M49" s="331"/>
      <c r="N49" s="314">
        <f t="shared" si="10"/>
        <v>0</v>
      </c>
      <c r="O49" s="314">
        <f t="shared" si="11"/>
        <v>0</v>
      </c>
      <c r="P49" s="314">
        <f t="shared" si="12"/>
        <v>0</v>
      </c>
      <c r="Q49" s="315">
        <f t="shared" si="13"/>
        <v>0</v>
      </c>
      <c r="R49" s="316">
        <f t="shared" si="14"/>
        <v>0</v>
      </c>
      <c r="S49" s="317">
        <f t="shared" si="8"/>
        <v>0</v>
      </c>
    </row>
    <row r="50" spans="2:19" ht="15.75" hidden="1">
      <c r="B50" s="510" t="s">
        <v>1731</v>
      </c>
      <c r="C50" s="329"/>
      <c r="D50" s="329"/>
      <c r="E50" s="329"/>
      <c r="F50" s="329"/>
      <c r="G50" s="329"/>
      <c r="H50" s="326">
        <f t="shared" si="9"/>
        <v>0</v>
      </c>
      <c r="I50" s="513">
        <f t="shared" si="1"/>
        <v>30.86</v>
      </c>
      <c r="J50" s="327"/>
      <c r="K50" s="328"/>
      <c r="L50" s="508">
        <v>30.86</v>
      </c>
      <c r="M50" s="331"/>
      <c r="N50" s="314">
        <f t="shared" si="10"/>
        <v>0</v>
      </c>
      <c r="O50" s="314">
        <f t="shared" si="11"/>
        <v>0</v>
      </c>
      <c r="P50" s="314">
        <f t="shared" si="12"/>
        <v>0</v>
      </c>
      <c r="Q50" s="315">
        <f t="shared" si="13"/>
        <v>0</v>
      </c>
      <c r="R50" s="316">
        <f t="shared" si="14"/>
        <v>0</v>
      </c>
      <c r="S50" s="317">
        <f t="shared" si="8"/>
        <v>0</v>
      </c>
    </row>
    <row r="51" spans="2:19" ht="15.75" hidden="1">
      <c r="B51" s="510" t="s">
        <v>1732</v>
      </c>
      <c r="C51" s="329"/>
      <c r="D51" s="329"/>
      <c r="E51" s="329"/>
      <c r="F51" s="329"/>
      <c r="G51" s="329"/>
      <c r="H51" s="326">
        <f t="shared" si="9"/>
        <v>0</v>
      </c>
      <c r="I51" s="513">
        <f t="shared" si="1"/>
        <v>26.81</v>
      </c>
      <c r="J51" s="327"/>
      <c r="K51" s="328"/>
      <c r="L51" s="508">
        <v>26.81</v>
      </c>
      <c r="M51" s="331"/>
      <c r="N51" s="314">
        <f t="shared" si="10"/>
        <v>0</v>
      </c>
      <c r="O51" s="314">
        <f t="shared" si="11"/>
        <v>0</v>
      </c>
      <c r="P51" s="314">
        <f t="shared" si="12"/>
        <v>0</v>
      </c>
      <c r="Q51" s="315">
        <f t="shared" si="13"/>
        <v>0</v>
      </c>
      <c r="R51" s="316">
        <f t="shared" si="14"/>
        <v>0</v>
      </c>
      <c r="S51" s="317">
        <f t="shared" si="8"/>
        <v>0</v>
      </c>
    </row>
    <row r="52" spans="2:19" ht="15.75" hidden="1">
      <c r="B52" s="510" t="s">
        <v>1733</v>
      </c>
      <c r="C52" s="329"/>
      <c r="D52" s="329"/>
      <c r="E52" s="329"/>
      <c r="F52" s="329"/>
      <c r="G52" s="329"/>
      <c r="H52" s="326">
        <f t="shared" si="9"/>
        <v>0</v>
      </c>
      <c r="I52" s="513">
        <f t="shared" si="1"/>
        <v>57.17</v>
      </c>
      <c r="J52" s="327"/>
      <c r="K52" s="328"/>
      <c r="L52" s="508">
        <v>57.17</v>
      </c>
      <c r="M52" s="331"/>
      <c r="N52" s="314">
        <f t="shared" si="10"/>
        <v>0</v>
      </c>
      <c r="O52" s="314">
        <f t="shared" si="11"/>
        <v>0</v>
      </c>
      <c r="P52" s="314">
        <f t="shared" si="12"/>
        <v>0</v>
      </c>
      <c r="Q52" s="315">
        <f t="shared" si="13"/>
        <v>0</v>
      </c>
      <c r="R52" s="316">
        <f t="shared" si="14"/>
        <v>0</v>
      </c>
      <c r="S52" s="317">
        <f t="shared" si="8"/>
        <v>0</v>
      </c>
    </row>
    <row r="53" spans="2:19" ht="15.75" hidden="1">
      <c r="B53" s="510" t="s">
        <v>1734</v>
      </c>
      <c r="C53" s="329"/>
      <c r="D53" s="329"/>
      <c r="E53" s="329"/>
      <c r="F53" s="329"/>
      <c r="G53" s="329"/>
      <c r="H53" s="326">
        <f t="shared" si="9"/>
        <v>0</v>
      </c>
      <c r="I53" s="513">
        <f t="shared" si="1"/>
        <v>106.73</v>
      </c>
      <c r="J53" s="327"/>
      <c r="K53" s="328"/>
      <c r="L53" s="508">
        <v>106.73</v>
      </c>
      <c r="M53" s="331"/>
      <c r="N53" s="314">
        <f t="shared" si="10"/>
        <v>0</v>
      </c>
      <c r="O53" s="314">
        <f t="shared" si="11"/>
        <v>0</v>
      </c>
      <c r="P53" s="314">
        <f t="shared" si="12"/>
        <v>0</v>
      </c>
      <c r="Q53" s="315">
        <f t="shared" si="13"/>
        <v>0</v>
      </c>
      <c r="R53" s="316">
        <f t="shared" si="14"/>
        <v>0</v>
      </c>
      <c r="S53" s="317">
        <f t="shared" si="8"/>
        <v>0</v>
      </c>
    </row>
    <row r="54" spans="2:19" ht="15.75" hidden="1">
      <c r="B54" s="510" t="s">
        <v>1735</v>
      </c>
      <c r="C54" s="329"/>
      <c r="D54" s="329"/>
      <c r="E54" s="329"/>
      <c r="F54" s="329"/>
      <c r="G54" s="329"/>
      <c r="H54" s="326">
        <f t="shared" si="9"/>
        <v>0</v>
      </c>
      <c r="I54" s="513">
        <f t="shared" si="1"/>
        <v>10.29</v>
      </c>
      <c r="J54" s="327"/>
      <c r="K54" s="328"/>
      <c r="L54" s="508">
        <v>10.29</v>
      </c>
      <c r="M54" s="331"/>
      <c r="N54" s="314">
        <f t="shared" si="10"/>
        <v>0</v>
      </c>
      <c r="O54" s="314">
        <f t="shared" si="11"/>
        <v>0</v>
      </c>
      <c r="P54" s="314">
        <f t="shared" si="12"/>
        <v>0</v>
      </c>
      <c r="Q54" s="315">
        <f t="shared" si="13"/>
        <v>0</v>
      </c>
      <c r="R54" s="316">
        <f t="shared" si="14"/>
        <v>0</v>
      </c>
      <c r="S54" s="317">
        <f t="shared" si="8"/>
        <v>0</v>
      </c>
    </row>
    <row r="55" spans="2:19" ht="15.75" hidden="1">
      <c r="B55" s="510" t="s">
        <v>1736</v>
      </c>
      <c r="C55" s="329"/>
      <c r="D55" s="329"/>
      <c r="E55" s="329"/>
      <c r="F55" s="329"/>
      <c r="G55" s="329"/>
      <c r="H55" s="326">
        <f t="shared" si="9"/>
        <v>0</v>
      </c>
      <c r="I55" s="513">
        <f t="shared" si="1"/>
        <v>15.46</v>
      </c>
      <c r="J55" s="327"/>
      <c r="K55" s="328"/>
      <c r="L55" s="508">
        <v>15.46</v>
      </c>
      <c r="M55" s="331"/>
      <c r="N55" s="314">
        <f t="shared" si="10"/>
        <v>0</v>
      </c>
      <c r="O55" s="314">
        <f t="shared" si="11"/>
        <v>0</v>
      </c>
      <c r="P55" s="314">
        <f t="shared" si="12"/>
        <v>0</v>
      </c>
      <c r="Q55" s="315">
        <f t="shared" si="13"/>
        <v>0</v>
      </c>
      <c r="R55" s="316">
        <f t="shared" si="14"/>
        <v>0</v>
      </c>
      <c r="S55" s="317">
        <f t="shared" si="8"/>
        <v>0</v>
      </c>
    </row>
    <row r="56" spans="2:19" ht="15.75" hidden="1">
      <c r="B56" s="510" t="s">
        <v>1737</v>
      </c>
      <c r="C56" s="329"/>
      <c r="D56" s="329"/>
      <c r="E56" s="329"/>
      <c r="F56" s="329"/>
      <c r="G56" s="329"/>
      <c r="H56" s="326">
        <f t="shared" si="9"/>
        <v>0</v>
      </c>
      <c r="I56" s="513">
        <f t="shared" si="1"/>
        <v>35.92</v>
      </c>
      <c r="J56" s="327"/>
      <c r="K56" s="328"/>
      <c r="L56" s="508">
        <v>35.92</v>
      </c>
      <c r="M56" s="331"/>
      <c r="N56" s="314">
        <f t="shared" si="10"/>
        <v>0</v>
      </c>
      <c r="O56" s="314">
        <f t="shared" si="11"/>
        <v>0</v>
      </c>
      <c r="P56" s="314">
        <f t="shared" si="12"/>
        <v>0</v>
      </c>
      <c r="Q56" s="315">
        <f t="shared" si="13"/>
        <v>0</v>
      </c>
      <c r="R56" s="316">
        <f t="shared" si="14"/>
        <v>0</v>
      </c>
      <c r="S56" s="317">
        <f t="shared" si="8"/>
        <v>0</v>
      </c>
    </row>
    <row r="57" spans="2:19" ht="15.75" hidden="1">
      <c r="B57" s="510" t="s">
        <v>1738</v>
      </c>
      <c r="C57" s="329"/>
      <c r="D57" s="329"/>
      <c r="E57" s="329"/>
      <c r="F57" s="329"/>
      <c r="G57" s="329"/>
      <c r="H57" s="326">
        <f t="shared" si="9"/>
        <v>0</v>
      </c>
      <c r="I57" s="513">
        <f t="shared" si="1"/>
        <v>475.33</v>
      </c>
      <c r="J57" s="327"/>
      <c r="K57" s="328"/>
      <c r="L57" s="508">
        <v>475.33</v>
      </c>
      <c r="M57" s="331"/>
      <c r="N57" s="314">
        <f t="shared" si="10"/>
        <v>0</v>
      </c>
      <c r="O57" s="314">
        <f t="shared" si="11"/>
        <v>0</v>
      </c>
      <c r="P57" s="314">
        <f t="shared" si="12"/>
        <v>0</v>
      </c>
      <c r="Q57" s="315">
        <f t="shared" si="13"/>
        <v>0</v>
      </c>
      <c r="R57" s="316">
        <f t="shared" si="14"/>
        <v>0</v>
      </c>
      <c r="S57" s="317">
        <f t="shared" si="8"/>
        <v>0</v>
      </c>
    </row>
    <row r="58" spans="2:19" ht="15.75" hidden="1">
      <c r="B58" s="510" t="s">
        <v>1739</v>
      </c>
      <c r="C58" s="329"/>
      <c r="D58" s="329"/>
      <c r="E58" s="329"/>
      <c r="F58" s="329"/>
      <c r="G58" s="329"/>
      <c r="H58" s="326">
        <f t="shared" si="9"/>
        <v>0</v>
      </c>
      <c r="I58" s="513">
        <f t="shared" si="1"/>
        <v>267.66000000000003</v>
      </c>
      <c r="J58" s="327"/>
      <c r="K58" s="328"/>
      <c r="L58" s="508">
        <v>267.66000000000003</v>
      </c>
      <c r="M58" s="331"/>
      <c r="N58" s="314">
        <f t="shared" si="10"/>
        <v>0</v>
      </c>
      <c r="O58" s="314">
        <f t="shared" si="11"/>
        <v>0</v>
      </c>
      <c r="P58" s="314">
        <f t="shared" si="12"/>
        <v>0</v>
      </c>
      <c r="Q58" s="315">
        <f t="shared" si="13"/>
        <v>0</v>
      </c>
      <c r="R58" s="316">
        <f t="shared" si="14"/>
        <v>0</v>
      </c>
      <c r="S58" s="317">
        <f t="shared" si="8"/>
        <v>0</v>
      </c>
    </row>
    <row r="59" spans="2:19" ht="15.75" hidden="1">
      <c r="B59" s="510" t="s">
        <v>1740</v>
      </c>
      <c r="C59" s="329"/>
      <c r="D59" s="329"/>
      <c r="E59" s="329"/>
      <c r="F59" s="329"/>
      <c r="G59" s="329"/>
      <c r="H59" s="326">
        <f t="shared" si="9"/>
        <v>0</v>
      </c>
      <c r="I59" s="513">
        <f t="shared" si="1"/>
        <v>30.75</v>
      </c>
      <c r="J59" s="327"/>
      <c r="K59" s="328"/>
      <c r="L59" s="508">
        <v>30.75</v>
      </c>
      <c r="M59" s="331"/>
      <c r="N59" s="314">
        <f t="shared" si="10"/>
        <v>0</v>
      </c>
      <c r="O59" s="314">
        <f t="shared" si="11"/>
        <v>0</v>
      </c>
      <c r="P59" s="314">
        <f t="shared" si="12"/>
        <v>0</v>
      </c>
      <c r="Q59" s="315">
        <f t="shared" si="13"/>
        <v>0</v>
      </c>
      <c r="R59" s="316">
        <f t="shared" si="14"/>
        <v>0</v>
      </c>
      <c r="S59" s="317">
        <f t="shared" si="8"/>
        <v>0</v>
      </c>
    </row>
    <row r="60" spans="2:19" ht="15.75" hidden="1">
      <c r="B60" s="510" t="s">
        <v>1741</v>
      </c>
      <c r="C60" s="329"/>
      <c r="D60" s="329"/>
      <c r="E60" s="329"/>
      <c r="F60" s="329"/>
      <c r="G60" s="329"/>
      <c r="H60" s="326">
        <f t="shared" si="9"/>
        <v>0</v>
      </c>
      <c r="I60" s="513">
        <f t="shared" si="1"/>
        <v>32.42</v>
      </c>
      <c r="J60" s="327"/>
      <c r="K60" s="328"/>
      <c r="L60" s="508">
        <v>32.42</v>
      </c>
      <c r="M60" s="331"/>
      <c r="N60" s="314">
        <f t="shared" si="10"/>
        <v>0</v>
      </c>
      <c r="O60" s="314">
        <f t="shared" si="11"/>
        <v>0</v>
      </c>
      <c r="P60" s="314">
        <f t="shared" si="12"/>
        <v>0</v>
      </c>
      <c r="Q60" s="315">
        <f t="shared" si="13"/>
        <v>0</v>
      </c>
      <c r="R60" s="316">
        <f t="shared" si="14"/>
        <v>0</v>
      </c>
      <c r="S60" s="317">
        <f t="shared" si="8"/>
        <v>0</v>
      </c>
    </row>
    <row r="61" spans="2:19" ht="15.75" hidden="1">
      <c r="B61" s="510" t="s">
        <v>1742</v>
      </c>
      <c r="C61" s="329"/>
      <c r="D61" s="329"/>
      <c r="E61" s="329"/>
      <c r="F61" s="329"/>
      <c r="G61" s="329"/>
      <c r="H61" s="326">
        <f t="shared" si="9"/>
        <v>0</v>
      </c>
      <c r="I61" s="513">
        <f t="shared" si="1"/>
        <v>17.48</v>
      </c>
      <c r="J61" s="327"/>
      <c r="K61" s="328"/>
      <c r="L61" s="508">
        <v>17.48</v>
      </c>
      <c r="M61" s="331"/>
      <c r="N61" s="314">
        <f t="shared" si="10"/>
        <v>0</v>
      </c>
      <c r="O61" s="314">
        <f t="shared" si="11"/>
        <v>0</v>
      </c>
      <c r="P61" s="314">
        <f t="shared" si="12"/>
        <v>0</v>
      </c>
      <c r="Q61" s="315">
        <f t="shared" si="13"/>
        <v>0</v>
      </c>
      <c r="R61" s="316">
        <f t="shared" si="14"/>
        <v>0</v>
      </c>
      <c r="S61" s="317">
        <f t="shared" si="8"/>
        <v>0</v>
      </c>
    </row>
    <row r="62" spans="2:19" ht="15.75" hidden="1">
      <c r="B62" s="510" t="s">
        <v>1743</v>
      </c>
      <c r="C62" s="329"/>
      <c r="D62" s="329"/>
      <c r="E62" s="329"/>
      <c r="F62" s="329"/>
      <c r="G62" s="329"/>
      <c r="H62" s="326">
        <f t="shared" si="9"/>
        <v>0</v>
      </c>
      <c r="I62" s="513">
        <f t="shared" si="1"/>
        <v>8.67</v>
      </c>
      <c r="J62" s="327"/>
      <c r="K62" s="328"/>
      <c r="L62" s="508">
        <v>8.67</v>
      </c>
      <c r="M62" s="331"/>
      <c r="N62" s="314">
        <f t="shared" si="10"/>
        <v>0</v>
      </c>
      <c r="O62" s="314">
        <f t="shared" si="11"/>
        <v>0</v>
      </c>
      <c r="P62" s="314">
        <f t="shared" si="12"/>
        <v>0</v>
      </c>
      <c r="Q62" s="315">
        <f t="shared" si="13"/>
        <v>0</v>
      </c>
      <c r="R62" s="316">
        <f t="shared" si="14"/>
        <v>0</v>
      </c>
      <c r="S62" s="317">
        <f t="shared" si="8"/>
        <v>0</v>
      </c>
    </row>
    <row r="63" spans="2:19" ht="15.75" hidden="1">
      <c r="B63" s="510" t="s">
        <v>1744</v>
      </c>
      <c r="C63" s="329"/>
      <c r="D63" s="329"/>
      <c r="E63" s="329"/>
      <c r="F63" s="329"/>
      <c r="G63" s="329"/>
      <c r="H63" s="326">
        <f t="shared" si="9"/>
        <v>0</v>
      </c>
      <c r="I63" s="513">
        <f t="shared" si="1"/>
        <v>169.18</v>
      </c>
      <c r="J63" s="327"/>
      <c r="K63" s="328"/>
      <c r="L63" s="508">
        <v>169.18</v>
      </c>
      <c r="M63" s="331"/>
      <c r="N63" s="314">
        <f t="shared" si="10"/>
        <v>0</v>
      </c>
      <c r="O63" s="314">
        <f t="shared" si="11"/>
        <v>0</v>
      </c>
      <c r="P63" s="314">
        <f t="shared" si="12"/>
        <v>0</v>
      </c>
      <c r="Q63" s="315">
        <f t="shared" si="13"/>
        <v>0</v>
      </c>
      <c r="R63" s="316">
        <f t="shared" si="14"/>
        <v>0</v>
      </c>
      <c r="S63" s="317">
        <f t="shared" si="8"/>
        <v>0</v>
      </c>
    </row>
    <row r="64" spans="2:19" ht="15.75" hidden="1">
      <c r="B64" s="510" t="s">
        <v>1745</v>
      </c>
      <c r="C64" s="329"/>
      <c r="D64" s="329"/>
      <c r="E64" s="329"/>
      <c r="F64" s="329"/>
      <c r="G64" s="329"/>
      <c r="H64" s="326">
        <f t="shared" si="9"/>
        <v>0</v>
      </c>
      <c r="I64" s="513">
        <f t="shared" si="1"/>
        <v>812.1</v>
      </c>
      <c r="J64" s="327"/>
      <c r="K64" s="328"/>
      <c r="L64" s="508">
        <v>812.1</v>
      </c>
      <c r="M64" s="331"/>
      <c r="N64" s="314">
        <f t="shared" si="10"/>
        <v>0</v>
      </c>
      <c r="O64" s="314">
        <f t="shared" si="11"/>
        <v>0</v>
      </c>
      <c r="P64" s="314">
        <f t="shared" si="12"/>
        <v>0</v>
      </c>
      <c r="Q64" s="315">
        <f t="shared" si="13"/>
        <v>0</v>
      </c>
      <c r="R64" s="316">
        <f t="shared" si="14"/>
        <v>0</v>
      </c>
      <c r="S64" s="317">
        <f t="shared" si="8"/>
        <v>0</v>
      </c>
    </row>
    <row r="65" spans="2:19" ht="15.75">
      <c r="B65" s="318" t="s">
        <v>13</v>
      </c>
      <c r="C65" s="333">
        <f t="shared" ref="C65:G65" si="15">N65</f>
        <v>0</v>
      </c>
      <c r="D65" s="333">
        <f t="shared" si="15"/>
        <v>10281.585000000001</v>
      </c>
      <c r="E65" s="333">
        <f t="shared" si="15"/>
        <v>0</v>
      </c>
      <c r="F65" s="333">
        <f t="shared" si="15"/>
        <v>0</v>
      </c>
      <c r="G65" s="333">
        <f t="shared" si="15"/>
        <v>0</v>
      </c>
      <c r="H65" s="333">
        <f>S65</f>
        <v>10281.585000000001</v>
      </c>
      <c r="N65" s="319">
        <f t="shared" ref="N65:S65" si="16">SUM(N6:N64)</f>
        <v>0</v>
      </c>
      <c r="O65" s="319">
        <f t="shared" si="16"/>
        <v>10281.585000000001</v>
      </c>
      <c r="P65" s="319">
        <f t="shared" si="16"/>
        <v>0</v>
      </c>
      <c r="Q65" s="319">
        <f t="shared" si="16"/>
        <v>0</v>
      </c>
      <c r="R65" s="319">
        <f t="shared" si="16"/>
        <v>0</v>
      </c>
      <c r="S65" s="319">
        <f t="shared" si="16"/>
        <v>10281.585000000001</v>
      </c>
    </row>
    <row r="66" spans="2:19">
      <c r="B66" s="254" t="s">
        <v>849</v>
      </c>
      <c r="C66" s="255"/>
      <c r="D66" s="255"/>
      <c r="E66" s="255"/>
      <c r="F66" s="255"/>
    </row>
    <row r="67" spans="2:19" ht="15.75" thickBot="1">
      <c r="B67" s="334"/>
      <c r="C67" s="255"/>
      <c r="D67" s="255"/>
      <c r="E67" s="255"/>
      <c r="F67" s="255"/>
    </row>
    <row r="68" spans="2:19">
      <c r="B68" s="335" t="s">
        <v>47</v>
      </c>
      <c r="C68" s="255"/>
      <c r="D68" s="255"/>
      <c r="E68" s="255"/>
      <c r="F68" s="255"/>
    </row>
    <row r="69" spans="2:19">
      <c r="B69" s="336" t="s">
        <v>941</v>
      </c>
      <c r="C69" s="255"/>
      <c r="D69" s="255"/>
      <c r="E69" s="255"/>
      <c r="F69" s="255"/>
    </row>
    <row r="70" spans="2:19">
      <c r="B70" s="336" t="s">
        <v>942</v>
      </c>
      <c r="C70" s="255"/>
      <c r="D70" s="255"/>
      <c r="E70" s="255"/>
      <c r="F70" s="255"/>
    </row>
    <row r="71" spans="2:19" ht="15.75" thickBot="1">
      <c r="B71" s="337" t="s">
        <v>943</v>
      </c>
      <c r="C71" s="255"/>
      <c r="D71" s="255"/>
      <c r="E71" s="255"/>
      <c r="F71" s="255"/>
    </row>
    <row r="72" spans="2:19">
      <c r="B72" s="334"/>
      <c r="C72" s="255"/>
      <c r="D72" s="255"/>
      <c r="E72" s="255"/>
      <c r="F72" s="255"/>
    </row>
    <row r="73" spans="2:19">
      <c r="B73" s="338" t="s">
        <v>20</v>
      </c>
      <c r="C73" s="255"/>
      <c r="D73" s="255"/>
      <c r="E73" s="255"/>
      <c r="F73" s="255"/>
    </row>
    <row r="74" spans="2:19">
      <c r="B74" s="339"/>
      <c r="C74" s="255"/>
      <c r="D74" s="255"/>
      <c r="E74" s="255"/>
      <c r="F74" s="255"/>
    </row>
    <row r="75" spans="2:19">
      <c r="B75" s="339"/>
      <c r="C75" s="255"/>
      <c r="D75" s="255"/>
      <c r="E75" s="255"/>
      <c r="F75" s="255"/>
    </row>
    <row r="76" spans="2:19">
      <c r="B76" s="334"/>
      <c r="C76" s="255"/>
      <c r="D76" s="255"/>
      <c r="E76" s="255"/>
      <c r="F76" s="255"/>
      <c r="G76" s="321" t="str">
        <f>IF(B76&lt;&gt;"",SUM(C76:F76),"")</f>
        <v/>
      </c>
    </row>
    <row r="77" spans="2:19">
      <c r="B77" s="340"/>
      <c r="C77" s="255"/>
      <c r="D77" s="255"/>
      <c r="E77" s="255"/>
      <c r="F77" s="255"/>
      <c r="G77" s="321" t="str">
        <f t="shared" ref="G77:G134" si="17">IF(B77&lt;&gt;"",SUM(C77:F77),"")</f>
        <v/>
      </c>
    </row>
    <row r="78" spans="2:19">
      <c r="B78" s="340"/>
      <c r="C78" s="255"/>
      <c r="D78" s="255"/>
      <c r="E78" s="255"/>
      <c r="F78" s="255"/>
      <c r="G78" s="321" t="str">
        <f t="shared" si="17"/>
        <v/>
      </c>
    </row>
    <row r="79" spans="2:19">
      <c r="B79" s="340"/>
      <c r="C79" s="255"/>
      <c r="D79" s="255"/>
      <c r="E79" s="255"/>
      <c r="F79" s="255"/>
      <c r="G79" s="321" t="str">
        <f t="shared" si="17"/>
        <v/>
      </c>
    </row>
    <row r="80" spans="2:19">
      <c r="B80" s="340"/>
      <c r="C80" s="255"/>
      <c r="D80" s="255"/>
      <c r="E80" s="255"/>
      <c r="F80" s="255"/>
      <c r="G80" s="321" t="str">
        <f t="shared" si="17"/>
        <v/>
      </c>
    </row>
    <row r="81" spans="2:7">
      <c r="B81" s="340"/>
      <c r="C81" s="255"/>
      <c r="D81" s="255"/>
      <c r="E81" s="255"/>
      <c r="F81" s="255"/>
      <c r="G81" s="321" t="str">
        <f t="shared" si="17"/>
        <v/>
      </c>
    </row>
    <row r="82" spans="2:7">
      <c r="B82" s="340"/>
      <c r="C82" s="255"/>
      <c r="D82" s="255"/>
      <c r="E82" s="255"/>
      <c r="F82" s="255"/>
      <c r="G82" s="321" t="str">
        <f t="shared" si="17"/>
        <v/>
      </c>
    </row>
    <row r="83" spans="2:7">
      <c r="B83" s="340"/>
      <c r="C83" s="255"/>
      <c r="D83" s="255"/>
      <c r="E83" s="255"/>
      <c r="F83" s="255"/>
      <c r="G83" s="321" t="str">
        <f t="shared" si="17"/>
        <v/>
      </c>
    </row>
    <row r="84" spans="2:7">
      <c r="G84" s="321" t="str">
        <f t="shared" si="17"/>
        <v/>
      </c>
    </row>
    <row r="85" spans="2:7">
      <c r="G85" s="321" t="str">
        <f t="shared" si="17"/>
        <v/>
      </c>
    </row>
    <row r="86" spans="2:7">
      <c r="G86" s="321" t="str">
        <f t="shared" si="17"/>
        <v/>
      </c>
    </row>
    <row r="87" spans="2:7">
      <c r="G87" s="321" t="str">
        <f t="shared" si="17"/>
        <v/>
      </c>
    </row>
    <row r="88" spans="2:7">
      <c r="G88" s="321" t="str">
        <f t="shared" si="17"/>
        <v/>
      </c>
    </row>
    <row r="89" spans="2:7">
      <c r="G89" s="321" t="str">
        <f t="shared" si="17"/>
        <v/>
      </c>
    </row>
    <row r="90" spans="2:7">
      <c r="G90" s="321" t="str">
        <f t="shared" si="17"/>
        <v/>
      </c>
    </row>
    <row r="91" spans="2:7">
      <c r="G91" s="321" t="str">
        <f t="shared" si="17"/>
        <v/>
      </c>
    </row>
    <row r="92" spans="2:7">
      <c r="G92" s="321" t="str">
        <f t="shared" si="17"/>
        <v/>
      </c>
    </row>
    <row r="93" spans="2:7">
      <c r="G93" s="321" t="str">
        <f t="shared" si="17"/>
        <v/>
      </c>
    </row>
    <row r="94" spans="2:7">
      <c r="G94" s="321" t="str">
        <f t="shared" si="17"/>
        <v/>
      </c>
    </row>
    <row r="95" spans="2:7">
      <c r="G95" s="321" t="str">
        <f t="shared" si="17"/>
        <v/>
      </c>
    </row>
    <row r="96" spans="2:7">
      <c r="G96" s="321" t="str">
        <f t="shared" si="17"/>
        <v/>
      </c>
    </row>
    <row r="97" spans="7:7">
      <c r="G97" s="321" t="str">
        <f t="shared" si="17"/>
        <v/>
      </c>
    </row>
    <row r="98" spans="7:7">
      <c r="G98" s="321" t="str">
        <f t="shared" si="17"/>
        <v/>
      </c>
    </row>
    <row r="99" spans="7:7">
      <c r="G99" s="321" t="str">
        <f t="shared" si="17"/>
        <v/>
      </c>
    </row>
    <row r="100" spans="7:7">
      <c r="G100" s="321" t="str">
        <f t="shared" si="17"/>
        <v/>
      </c>
    </row>
    <row r="101" spans="7:7">
      <c r="G101" s="321" t="str">
        <f t="shared" si="17"/>
        <v/>
      </c>
    </row>
    <row r="102" spans="7:7">
      <c r="G102" s="321" t="str">
        <f t="shared" si="17"/>
        <v/>
      </c>
    </row>
    <row r="103" spans="7:7">
      <c r="G103" s="321" t="str">
        <f t="shared" si="17"/>
        <v/>
      </c>
    </row>
    <row r="104" spans="7:7">
      <c r="G104" s="321" t="str">
        <f t="shared" si="17"/>
        <v/>
      </c>
    </row>
    <row r="105" spans="7:7">
      <c r="G105" s="321" t="str">
        <f t="shared" si="17"/>
        <v/>
      </c>
    </row>
    <row r="106" spans="7:7">
      <c r="G106" s="321" t="str">
        <f t="shared" si="17"/>
        <v/>
      </c>
    </row>
    <row r="107" spans="7:7">
      <c r="G107" s="321" t="str">
        <f t="shared" si="17"/>
        <v/>
      </c>
    </row>
    <row r="108" spans="7:7">
      <c r="G108" s="321" t="str">
        <f t="shared" si="17"/>
        <v/>
      </c>
    </row>
    <row r="109" spans="7:7">
      <c r="G109" s="321" t="str">
        <f t="shared" si="17"/>
        <v/>
      </c>
    </row>
    <row r="110" spans="7:7">
      <c r="G110" s="321" t="str">
        <f t="shared" si="17"/>
        <v/>
      </c>
    </row>
    <row r="111" spans="7:7">
      <c r="G111" s="321" t="str">
        <f t="shared" si="17"/>
        <v/>
      </c>
    </row>
    <row r="112" spans="7:7">
      <c r="G112" s="321" t="str">
        <f t="shared" si="17"/>
        <v/>
      </c>
    </row>
    <row r="113" spans="7:7">
      <c r="G113" s="321" t="str">
        <f t="shared" si="17"/>
        <v/>
      </c>
    </row>
    <row r="114" spans="7:7">
      <c r="G114" s="321" t="str">
        <f t="shared" si="17"/>
        <v/>
      </c>
    </row>
    <row r="115" spans="7:7">
      <c r="G115" s="321" t="str">
        <f t="shared" si="17"/>
        <v/>
      </c>
    </row>
    <row r="116" spans="7:7">
      <c r="G116" s="321" t="str">
        <f t="shared" si="17"/>
        <v/>
      </c>
    </row>
    <row r="117" spans="7:7">
      <c r="G117" s="321" t="str">
        <f t="shared" si="17"/>
        <v/>
      </c>
    </row>
    <row r="118" spans="7:7">
      <c r="G118" s="321" t="str">
        <f t="shared" si="17"/>
        <v/>
      </c>
    </row>
    <row r="119" spans="7:7">
      <c r="G119" s="321" t="str">
        <f t="shared" si="17"/>
        <v/>
      </c>
    </row>
    <row r="120" spans="7:7">
      <c r="G120" s="321" t="str">
        <f t="shared" si="17"/>
        <v/>
      </c>
    </row>
    <row r="121" spans="7:7">
      <c r="G121" s="321" t="str">
        <f t="shared" si="17"/>
        <v/>
      </c>
    </row>
    <row r="122" spans="7:7">
      <c r="G122" s="321" t="str">
        <f t="shared" si="17"/>
        <v/>
      </c>
    </row>
    <row r="123" spans="7:7">
      <c r="G123" s="321" t="str">
        <f t="shared" si="17"/>
        <v/>
      </c>
    </row>
    <row r="124" spans="7:7">
      <c r="G124" s="321" t="str">
        <f t="shared" si="17"/>
        <v/>
      </c>
    </row>
    <row r="125" spans="7:7">
      <c r="G125" s="321" t="str">
        <f t="shared" si="17"/>
        <v/>
      </c>
    </row>
    <row r="126" spans="7:7">
      <c r="G126" s="321" t="str">
        <f t="shared" si="17"/>
        <v/>
      </c>
    </row>
    <row r="127" spans="7:7">
      <c r="G127" s="321" t="str">
        <f t="shared" si="17"/>
        <v/>
      </c>
    </row>
    <row r="128" spans="7:7">
      <c r="G128" s="321" t="str">
        <f t="shared" si="17"/>
        <v/>
      </c>
    </row>
    <row r="129" spans="7:7">
      <c r="G129" s="321" t="str">
        <f t="shared" si="17"/>
        <v/>
      </c>
    </row>
    <row r="130" spans="7:7">
      <c r="G130" s="321" t="str">
        <f t="shared" si="17"/>
        <v/>
      </c>
    </row>
    <row r="131" spans="7:7">
      <c r="G131" s="321" t="str">
        <f t="shared" si="17"/>
        <v/>
      </c>
    </row>
    <row r="132" spans="7:7">
      <c r="G132" s="321" t="str">
        <f t="shared" si="17"/>
        <v/>
      </c>
    </row>
    <row r="133" spans="7:7">
      <c r="G133" s="321" t="str">
        <f t="shared" si="17"/>
        <v/>
      </c>
    </row>
    <row r="134" spans="7:7">
      <c r="G134" s="321" t="str">
        <f t="shared" si="17"/>
        <v/>
      </c>
    </row>
    <row r="135" spans="7:7">
      <c r="G135" s="321" t="str">
        <f t="shared" ref="G135:G198" si="18">IF(B135&lt;&gt;"",SUM(C135:F135),"")</f>
        <v/>
      </c>
    </row>
    <row r="136" spans="7:7">
      <c r="G136" s="321" t="str">
        <f t="shared" si="18"/>
        <v/>
      </c>
    </row>
    <row r="137" spans="7:7">
      <c r="G137" s="321" t="str">
        <f t="shared" si="18"/>
        <v/>
      </c>
    </row>
    <row r="138" spans="7:7">
      <c r="G138" s="321" t="str">
        <f t="shared" si="18"/>
        <v/>
      </c>
    </row>
    <row r="139" spans="7:7">
      <c r="G139" s="321" t="str">
        <f t="shared" si="18"/>
        <v/>
      </c>
    </row>
    <row r="140" spans="7:7">
      <c r="G140" s="321" t="str">
        <f t="shared" si="18"/>
        <v/>
      </c>
    </row>
    <row r="141" spans="7:7">
      <c r="G141" s="321" t="str">
        <f t="shared" si="18"/>
        <v/>
      </c>
    </row>
    <row r="142" spans="7:7">
      <c r="G142" s="321" t="str">
        <f t="shared" si="18"/>
        <v/>
      </c>
    </row>
    <row r="143" spans="7:7">
      <c r="G143" s="321" t="str">
        <f t="shared" si="18"/>
        <v/>
      </c>
    </row>
    <row r="144" spans="7:7">
      <c r="G144" s="321" t="str">
        <f t="shared" si="18"/>
        <v/>
      </c>
    </row>
    <row r="145" spans="7:7">
      <c r="G145" s="321" t="str">
        <f t="shared" si="18"/>
        <v/>
      </c>
    </row>
    <row r="146" spans="7:7">
      <c r="G146" s="321" t="str">
        <f t="shared" si="18"/>
        <v/>
      </c>
    </row>
    <row r="147" spans="7:7">
      <c r="G147" s="321" t="str">
        <f t="shared" si="18"/>
        <v/>
      </c>
    </row>
    <row r="148" spans="7:7">
      <c r="G148" s="321" t="str">
        <f t="shared" si="18"/>
        <v/>
      </c>
    </row>
    <row r="149" spans="7:7">
      <c r="G149" s="321" t="str">
        <f t="shared" si="18"/>
        <v/>
      </c>
    </row>
    <row r="150" spans="7:7">
      <c r="G150" s="321" t="str">
        <f t="shared" si="18"/>
        <v/>
      </c>
    </row>
    <row r="151" spans="7:7">
      <c r="G151" s="321" t="str">
        <f t="shared" si="18"/>
        <v/>
      </c>
    </row>
    <row r="152" spans="7:7">
      <c r="G152" s="321" t="str">
        <f t="shared" si="18"/>
        <v/>
      </c>
    </row>
    <row r="153" spans="7:7">
      <c r="G153" s="321" t="str">
        <f t="shared" si="18"/>
        <v/>
      </c>
    </row>
    <row r="154" spans="7:7">
      <c r="G154" s="321" t="str">
        <f t="shared" si="18"/>
        <v/>
      </c>
    </row>
    <row r="155" spans="7:7">
      <c r="G155" s="321" t="str">
        <f t="shared" si="18"/>
        <v/>
      </c>
    </row>
    <row r="156" spans="7:7">
      <c r="G156" s="321" t="str">
        <f t="shared" si="18"/>
        <v/>
      </c>
    </row>
    <row r="157" spans="7:7">
      <c r="G157" s="321" t="str">
        <f t="shared" si="18"/>
        <v/>
      </c>
    </row>
    <row r="158" spans="7:7">
      <c r="G158" s="321" t="str">
        <f t="shared" si="18"/>
        <v/>
      </c>
    </row>
    <row r="159" spans="7:7">
      <c r="G159" s="321" t="str">
        <f t="shared" si="18"/>
        <v/>
      </c>
    </row>
    <row r="160" spans="7:7">
      <c r="G160" s="321" t="str">
        <f t="shared" si="18"/>
        <v/>
      </c>
    </row>
    <row r="161" spans="7:7">
      <c r="G161" s="321" t="str">
        <f t="shared" si="18"/>
        <v/>
      </c>
    </row>
    <row r="162" spans="7:7">
      <c r="G162" s="321" t="str">
        <f t="shared" si="18"/>
        <v/>
      </c>
    </row>
    <row r="163" spans="7:7">
      <c r="G163" s="321" t="str">
        <f t="shared" si="18"/>
        <v/>
      </c>
    </row>
    <row r="164" spans="7:7">
      <c r="G164" s="321" t="str">
        <f t="shared" si="18"/>
        <v/>
      </c>
    </row>
    <row r="165" spans="7:7">
      <c r="G165" s="321" t="str">
        <f t="shared" si="18"/>
        <v/>
      </c>
    </row>
    <row r="166" spans="7:7">
      <c r="G166" s="321" t="str">
        <f t="shared" si="18"/>
        <v/>
      </c>
    </row>
    <row r="167" spans="7:7">
      <c r="G167" s="321" t="str">
        <f t="shared" si="18"/>
        <v/>
      </c>
    </row>
    <row r="168" spans="7:7">
      <c r="G168" s="321" t="str">
        <f t="shared" si="18"/>
        <v/>
      </c>
    </row>
    <row r="169" spans="7:7">
      <c r="G169" s="321" t="str">
        <f t="shared" si="18"/>
        <v/>
      </c>
    </row>
    <row r="170" spans="7:7">
      <c r="G170" s="321" t="str">
        <f t="shared" si="18"/>
        <v/>
      </c>
    </row>
    <row r="171" spans="7:7">
      <c r="G171" s="321" t="str">
        <f t="shared" si="18"/>
        <v/>
      </c>
    </row>
    <row r="172" spans="7:7">
      <c r="G172" s="321" t="str">
        <f t="shared" si="18"/>
        <v/>
      </c>
    </row>
    <row r="173" spans="7:7">
      <c r="G173" s="321" t="str">
        <f t="shared" si="18"/>
        <v/>
      </c>
    </row>
    <row r="174" spans="7:7">
      <c r="G174" s="321" t="str">
        <f t="shared" si="18"/>
        <v/>
      </c>
    </row>
    <row r="175" spans="7:7">
      <c r="G175" s="321" t="str">
        <f t="shared" si="18"/>
        <v/>
      </c>
    </row>
    <row r="176" spans="7:7">
      <c r="G176" s="321" t="str">
        <f t="shared" si="18"/>
        <v/>
      </c>
    </row>
    <row r="177" spans="7:7">
      <c r="G177" s="321" t="str">
        <f t="shared" si="18"/>
        <v/>
      </c>
    </row>
    <row r="178" spans="7:7">
      <c r="G178" s="321" t="str">
        <f t="shared" si="18"/>
        <v/>
      </c>
    </row>
    <row r="179" spans="7:7">
      <c r="G179" s="321" t="str">
        <f t="shared" si="18"/>
        <v/>
      </c>
    </row>
    <row r="180" spans="7:7">
      <c r="G180" s="321" t="str">
        <f t="shared" si="18"/>
        <v/>
      </c>
    </row>
    <row r="181" spans="7:7">
      <c r="G181" s="321" t="str">
        <f t="shared" si="18"/>
        <v/>
      </c>
    </row>
    <row r="182" spans="7:7">
      <c r="G182" s="321" t="str">
        <f t="shared" si="18"/>
        <v/>
      </c>
    </row>
    <row r="183" spans="7:7">
      <c r="G183" s="321" t="str">
        <f t="shared" si="18"/>
        <v/>
      </c>
    </row>
    <row r="184" spans="7:7">
      <c r="G184" s="321" t="str">
        <f t="shared" si="18"/>
        <v/>
      </c>
    </row>
    <row r="185" spans="7:7">
      <c r="G185" s="321" t="str">
        <f t="shared" si="18"/>
        <v/>
      </c>
    </row>
    <row r="186" spans="7:7">
      <c r="G186" s="321" t="str">
        <f t="shared" si="18"/>
        <v/>
      </c>
    </row>
    <row r="187" spans="7:7">
      <c r="G187" s="321" t="str">
        <f t="shared" si="18"/>
        <v/>
      </c>
    </row>
    <row r="188" spans="7:7">
      <c r="G188" s="321" t="str">
        <f t="shared" si="18"/>
        <v/>
      </c>
    </row>
    <row r="189" spans="7:7">
      <c r="G189" s="321" t="str">
        <f t="shared" si="18"/>
        <v/>
      </c>
    </row>
    <row r="190" spans="7:7">
      <c r="G190" s="321" t="str">
        <f t="shared" si="18"/>
        <v/>
      </c>
    </row>
    <row r="191" spans="7:7">
      <c r="G191" s="321" t="str">
        <f t="shared" si="18"/>
        <v/>
      </c>
    </row>
    <row r="192" spans="7:7">
      <c r="G192" s="321" t="str">
        <f t="shared" si="18"/>
        <v/>
      </c>
    </row>
    <row r="193" spans="7:7">
      <c r="G193" s="321" t="str">
        <f t="shared" si="18"/>
        <v/>
      </c>
    </row>
    <row r="194" spans="7:7">
      <c r="G194" s="321" t="str">
        <f t="shared" si="18"/>
        <v/>
      </c>
    </row>
    <row r="195" spans="7:7">
      <c r="G195" s="321" t="str">
        <f t="shared" si="18"/>
        <v/>
      </c>
    </row>
    <row r="196" spans="7:7">
      <c r="G196" s="321" t="str">
        <f t="shared" si="18"/>
        <v/>
      </c>
    </row>
    <row r="197" spans="7:7">
      <c r="G197" s="321" t="str">
        <f t="shared" si="18"/>
        <v/>
      </c>
    </row>
    <row r="198" spans="7:7">
      <c r="G198" s="321" t="str">
        <f t="shared" si="18"/>
        <v/>
      </c>
    </row>
    <row r="199" spans="7:7">
      <c r="G199" s="321" t="str">
        <f t="shared" ref="G199:G262" si="19">IF(B199&lt;&gt;"",SUM(C199:F199),"")</f>
        <v/>
      </c>
    </row>
    <row r="200" spans="7:7">
      <c r="G200" s="321" t="str">
        <f t="shared" si="19"/>
        <v/>
      </c>
    </row>
    <row r="201" spans="7:7">
      <c r="G201" s="321" t="str">
        <f t="shared" si="19"/>
        <v/>
      </c>
    </row>
    <row r="202" spans="7:7">
      <c r="G202" s="321" t="str">
        <f t="shared" si="19"/>
        <v/>
      </c>
    </row>
    <row r="203" spans="7:7">
      <c r="G203" s="321" t="str">
        <f t="shared" si="19"/>
        <v/>
      </c>
    </row>
    <row r="204" spans="7:7">
      <c r="G204" s="321" t="str">
        <f t="shared" si="19"/>
        <v/>
      </c>
    </row>
    <row r="205" spans="7:7">
      <c r="G205" s="321" t="str">
        <f t="shared" si="19"/>
        <v/>
      </c>
    </row>
    <row r="206" spans="7:7">
      <c r="G206" s="321" t="str">
        <f t="shared" si="19"/>
        <v/>
      </c>
    </row>
    <row r="207" spans="7:7">
      <c r="G207" s="321" t="str">
        <f t="shared" si="19"/>
        <v/>
      </c>
    </row>
    <row r="208" spans="7:7">
      <c r="G208" s="321" t="str">
        <f t="shared" si="19"/>
        <v/>
      </c>
    </row>
    <row r="209" spans="7:7">
      <c r="G209" s="321" t="str">
        <f t="shared" si="19"/>
        <v/>
      </c>
    </row>
    <row r="210" spans="7:7">
      <c r="G210" s="321" t="str">
        <f t="shared" si="19"/>
        <v/>
      </c>
    </row>
    <row r="211" spans="7:7">
      <c r="G211" s="321" t="str">
        <f t="shared" si="19"/>
        <v/>
      </c>
    </row>
    <row r="212" spans="7:7">
      <c r="G212" s="321" t="str">
        <f t="shared" si="19"/>
        <v/>
      </c>
    </row>
    <row r="213" spans="7:7">
      <c r="G213" s="321" t="str">
        <f t="shared" si="19"/>
        <v/>
      </c>
    </row>
    <row r="214" spans="7:7">
      <c r="G214" s="321" t="str">
        <f t="shared" si="19"/>
        <v/>
      </c>
    </row>
    <row r="215" spans="7:7">
      <c r="G215" s="321" t="str">
        <f t="shared" si="19"/>
        <v/>
      </c>
    </row>
    <row r="216" spans="7:7">
      <c r="G216" s="321" t="str">
        <f t="shared" si="19"/>
        <v/>
      </c>
    </row>
    <row r="217" spans="7:7">
      <c r="G217" s="321" t="str">
        <f t="shared" si="19"/>
        <v/>
      </c>
    </row>
    <row r="218" spans="7:7">
      <c r="G218" s="321" t="str">
        <f t="shared" si="19"/>
        <v/>
      </c>
    </row>
    <row r="219" spans="7:7">
      <c r="G219" s="321" t="str">
        <f t="shared" si="19"/>
        <v/>
      </c>
    </row>
    <row r="220" spans="7:7">
      <c r="G220" s="321" t="str">
        <f t="shared" si="19"/>
        <v/>
      </c>
    </row>
    <row r="221" spans="7:7">
      <c r="G221" s="321" t="str">
        <f t="shared" si="19"/>
        <v/>
      </c>
    </row>
    <row r="222" spans="7:7">
      <c r="G222" s="321" t="str">
        <f t="shared" si="19"/>
        <v/>
      </c>
    </row>
    <row r="223" spans="7:7">
      <c r="G223" s="321" t="str">
        <f t="shared" si="19"/>
        <v/>
      </c>
    </row>
    <row r="224" spans="7:7">
      <c r="G224" s="321" t="str">
        <f t="shared" si="19"/>
        <v/>
      </c>
    </row>
    <row r="225" spans="7:7">
      <c r="G225" s="321" t="str">
        <f t="shared" si="19"/>
        <v/>
      </c>
    </row>
    <row r="226" spans="7:7">
      <c r="G226" s="321" t="str">
        <f t="shared" si="19"/>
        <v/>
      </c>
    </row>
    <row r="227" spans="7:7">
      <c r="G227" s="321" t="str">
        <f t="shared" si="19"/>
        <v/>
      </c>
    </row>
    <row r="228" spans="7:7">
      <c r="G228" s="321" t="str">
        <f t="shared" si="19"/>
        <v/>
      </c>
    </row>
    <row r="229" spans="7:7">
      <c r="G229" s="321" t="str">
        <f t="shared" si="19"/>
        <v/>
      </c>
    </row>
    <row r="230" spans="7:7">
      <c r="G230" s="321" t="str">
        <f t="shared" si="19"/>
        <v/>
      </c>
    </row>
    <row r="231" spans="7:7">
      <c r="G231" s="321" t="str">
        <f t="shared" si="19"/>
        <v/>
      </c>
    </row>
    <row r="232" spans="7:7">
      <c r="G232" s="321" t="str">
        <f t="shared" si="19"/>
        <v/>
      </c>
    </row>
    <row r="233" spans="7:7">
      <c r="G233" s="321" t="str">
        <f t="shared" si="19"/>
        <v/>
      </c>
    </row>
    <row r="234" spans="7:7">
      <c r="G234" s="321" t="str">
        <f t="shared" si="19"/>
        <v/>
      </c>
    </row>
    <row r="235" spans="7:7">
      <c r="G235" s="321" t="str">
        <f t="shared" si="19"/>
        <v/>
      </c>
    </row>
    <row r="236" spans="7:7">
      <c r="G236" s="321" t="str">
        <f t="shared" si="19"/>
        <v/>
      </c>
    </row>
    <row r="237" spans="7:7">
      <c r="G237" s="321" t="str">
        <f t="shared" si="19"/>
        <v/>
      </c>
    </row>
    <row r="238" spans="7:7">
      <c r="G238" s="321" t="str">
        <f t="shared" si="19"/>
        <v/>
      </c>
    </row>
    <row r="239" spans="7:7">
      <c r="G239" s="321" t="str">
        <f t="shared" si="19"/>
        <v/>
      </c>
    </row>
    <row r="240" spans="7:7">
      <c r="G240" s="321" t="str">
        <f t="shared" si="19"/>
        <v/>
      </c>
    </row>
    <row r="241" spans="7:7">
      <c r="G241" s="321" t="str">
        <f t="shared" si="19"/>
        <v/>
      </c>
    </row>
    <row r="242" spans="7:7">
      <c r="G242" s="321" t="str">
        <f t="shared" si="19"/>
        <v/>
      </c>
    </row>
    <row r="243" spans="7:7">
      <c r="G243" s="321" t="str">
        <f t="shared" si="19"/>
        <v/>
      </c>
    </row>
    <row r="244" spans="7:7">
      <c r="G244" s="321" t="str">
        <f t="shared" si="19"/>
        <v/>
      </c>
    </row>
    <row r="245" spans="7:7">
      <c r="G245" s="321" t="str">
        <f t="shared" si="19"/>
        <v/>
      </c>
    </row>
    <row r="246" spans="7:7">
      <c r="G246" s="321" t="str">
        <f t="shared" si="19"/>
        <v/>
      </c>
    </row>
    <row r="247" spans="7:7">
      <c r="G247" s="321" t="str">
        <f t="shared" si="19"/>
        <v/>
      </c>
    </row>
    <row r="248" spans="7:7">
      <c r="G248" s="321" t="str">
        <f t="shared" si="19"/>
        <v/>
      </c>
    </row>
    <row r="249" spans="7:7">
      <c r="G249" s="321" t="str">
        <f t="shared" si="19"/>
        <v/>
      </c>
    </row>
    <row r="250" spans="7:7">
      <c r="G250" s="321" t="str">
        <f t="shared" si="19"/>
        <v/>
      </c>
    </row>
    <row r="251" spans="7:7">
      <c r="G251" s="321" t="str">
        <f t="shared" si="19"/>
        <v/>
      </c>
    </row>
    <row r="252" spans="7:7">
      <c r="G252" s="321" t="str">
        <f t="shared" si="19"/>
        <v/>
      </c>
    </row>
    <row r="253" spans="7:7">
      <c r="G253" s="321" t="str">
        <f t="shared" si="19"/>
        <v/>
      </c>
    </row>
    <row r="254" spans="7:7">
      <c r="G254" s="321" t="str">
        <f t="shared" si="19"/>
        <v/>
      </c>
    </row>
    <row r="255" spans="7:7">
      <c r="G255" s="321" t="str">
        <f t="shared" si="19"/>
        <v/>
      </c>
    </row>
    <row r="256" spans="7:7">
      <c r="G256" s="321" t="str">
        <f t="shared" si="19"/>
        <v/>
      </c>
    </row>
    <row r="257" spans="7:7">
      <c r="G257" s="321" t="str">
        <f t="shared" si="19"/>
        <v/>
      </c>
    </row>
    <row r="258" spans="7:7">
      <c r="G258" s="321" t="str">
        <f t="shared" si="19"/>
        <v/>
      </c>
    </row>
    <row r="259" spans="7:7">
      <c r="G259" s="321" t="str">
        <f t="shared" si="19"/>
        <v/>
      </c>
    </row>
    <row r="260" spans="7:7">
      <c r="G260" s="321" t="str">
        <f t="shared" si="19"/>
        <v/>
      </c>
    </row>
    <row r="261" spans="7:7">
      <c r="G261" s="321" t="str">
        <f t="shared" si="19"/>
        <v/>
      </c>
    </row>
    <row r="262" spans="7:7">
      <c r="G262" s="321" t="str">
        <f t="shared" si="19"/>
        <v/>
      </c>
    </row>
    <row r="263" spans="7:7">
      <c r="G263" s="321" t="str">
        <f t="shared" ref="G263:G326" si="20">IF(B263&lt;&gt;"",SUM(C263:F263),"")</f>
        <v/>
      </c>
    </row>
    <row r="264" spans="7:7">
      <c r="G264" s="321" t="str">
        <f t="shared" si="20"/>
        <v/>
      </c>
    </row>
    <row r="265" spans="7:7">
      <c r="G265" s="321" t="str">
        <f t="shared" si="20"/>
        <v/>
      </c>
    </row>
    <row r="266" spans="7:7">
      <c r="G266" s="321" t="str">
        <f t="shared" si="20"/>
        <v/>
      </c>
    </row>
    <row r="267" spans="7:7">
      <c r="G267" s="321" t="str">
        <f t="shared" si="20"/>
        <v/>
      </c>
    </row>
    <row r="268" spans="7:7">
      <c r="G268" s="321" t="str">
        <f t="shared" si="20"/>
        <v/>
      </c>
    </row>
    <row r="269" spans="7:7">
      <c r="G269" s="321" t="str">
        <f t="shared" si="20"/>
        <v/>
      </c>
    </row>
    <row r="270" spans="7:7">
      <c r="G270" s="321" t="str">
        <f t="shared" si="20"/>
        <v/>
      </c>
    </row>
    <row r="271" spans="7:7">
      <c r="G271" s="321" t="str">
        <f t="shared" si="20"/>
        <v/>
      </c>
    </row>
    <row r="272" spans="7:7">
      <c r="G272" s="321" t="str">
        <f t="shared" si="20"/>
        <v/>
      </c>
    </row>
    <row r="273" spans="7:7">
      <c r="G273" s="321" t="str">
        <f t="shared" si="20"/>
        <v/>
      </c>
    </row>
    <row r="274" spans="7:7">
      <c r="G274" s="321" t="str">
        <f t="shared" si="20"/>
        <v/>
      </c>
    </row>
    <row r="275" spans="7:7">
      <c r="G275" s="321" t="str">
        <f t="shared" si="20"/>
        <v/>
      </c>
    </row>
    <row r="276" spans="7:7">
      <c r="G276" s="321" t="str">
        <f t="shared" si="20"/>
        <v/>
      </c>
    </row>
    <row r="277" spans="7:7">
      <c r="G277" s="321" t="str">
        <f t="shared" si="20"/>
        <v/>
      </c>
    </row>
    <row r="278" spans="7:7">
      <c r="G278" s="321" t="str">
        <f t="shared" si="20"/>
        <v/>
      </c>
    </row>
    <row r="279" spans="7:7">
      <c r="G279" s="321" t="str">
        <f t="shared" si="20"/>
        <v/>
      </c>
    </row>
    <row r="280" spans="7:7">
      <c r="G280" s="321" t="str">
        <f t="shared" si="20"/>
        <v/>
      </c>
    </row>
    <row r="281" spans="7:7">
      <c r="G281" s="321" t="str">
        <f t="shared" si="20"/>
        <v/>
      </c>
    </row>
    <row r="282" spans="7:7">
      <c r="G282" s="321" t="str">
        <f t="shared" si="20"/>
        <v/>
      </c>
    </row>
    <row r="283" spans="7:7">
      <c r="G283" s="321" t="str">
        <f t="shared" si="20"/>
        <v/>
      </c>
    </row>
    <row r="284" spans="7:7">
      <c r="G284" s="321" t="str">
        <f t="shared" si="20"/>
        <v/>
      </c>
    </row>
    <row r="285" spans="7:7">
      <c r="G285" s="321" t="str">
        <f t="shared" si="20"/>
        <v/>
      </c>
    </row>
    <row r="286" spans="7:7">
      <c r="G286" s="321" t="str">
        <f t="shared" si="20"/>
        <v/>
      </c>
    </row>
    <row r="287" spans="7:7">
      <c r="G287" s="321" t="str">
        <f t="shared" si="20"/>
        <v/>
      </c>
    </row>
    <row r="288" spans="7:7">
      <c r="G288" s="321" t="str">
        <f t="shared" si="20"/>
        <v/>
      </c>
    </row>
    <row r="289" spans="7:7">
      <c r="G289" s="321" t="str">
        <f t="shared" si="20"/>
        <v/>
      </c>
    </row>
    <row r="290" spans="7:7">
      <c r="G290" s="321" t="str">
        <f t="shared" si="20"/>
        <v/>
      </c>
    </row>
    <row r="291" spans="7:7">
      <c r="G291" s="321" t="str">
        <f t="shared" si="20"/>
        <v/>
      </c>
    </row>
    <row r="292" spans="7:7">
      <c r="G292" s="321" t="str">
        <f t="shared" si="20"/>
        <v/>
      </c>
    </row>
    <row r="293" spans="7:7">
      <c r="G293" s="321" t="str">
        <f t="shared" si="20"/>
        <v/>
      </c>
    </row>
    <row r="294" spans="7:7">
      <c r="G294" s="321" t="str">
        <f t="shared" si="20"/>
        <v/>
      </c>
    </row>
    <row r="295" spans="7:7">
      <c r="G295" s="321" t="str">
        <f t="shared" si="20"/>
        <v/>
      </c>
    </row>
    <row r="296" spans="7:7">
      <c r="G296" s="321" t="str">
        <f t="shared" si="20"/>
        <v/>
      </c>
    </row>
    <row r="297" spans="7:7">
      <c r="G297" s="321" t="str">
        <f t="shared" si="20"/>
        <v/>
      </c>
    </row>
    <row r="298" spans="7:7">
      <c r="G298" s="321" t="str">
        <f t="shared" si="20"/>
        <v/>
      </c>
    </row>
    <row r="299" spans="7:7">
      <c r="G299" s="321" t="str">
        <f t="shared" si="20"/>
        <v/>
      </c>
    </row>
    <row r="300" spans="7:7">
      <c r="G300" s="321" t="str">
        <f t="shared" si="20"/>
        <v/>
      </c>
    </row>
    <row r="301" spans="7:7">
      <c r="G301" s="321" t="str">
        <f t="shared" si="20"/>
        <v/>
      </c>
    </row>
    <row r="302" spans="7:7">
      <c r="G302" s="321" t="str">
        <f t="shared" si="20"/>
        <v/>
      </c>
    </row>
    <row r="303" spans="7:7">
      <c r="G303" s="321" t="str">
        <f t="shared" si="20"/>
        <v/>
      </c>
    </row>
    <row r="304" spans="7:7">
      <c r="G304" s="321" t="str">
        <f t="shared" si="20"/>
        <v/>
      </c>
    </row>
    <row r="305" spans="7:7">
      <c r="G305" s="321" t="str">
        <f t="shared" si="20"/>
        <v/>
      </c>
    </row>
    <row r="306" spans="7:7">
      <c r="G306" s="321" t="str">
        <f t="shared" si="20"/>
        <v/>
      </c>
    </row>
    <row r="307" spans="7:7">
      <c r="G307" s="321" t="str">
        <f t="shared" si="20"/>
        <v/>
      </c>
    </row>
    <row r="308" spans="7:7">
      <c r="G308" s="321" t="str">
        <f t="shared" si="20"/>
        <v/>
      </c>
    </row>
    <row r="309" spans="7:7">
      <c r="G309" s="321" t="str">
        <f t="shared" si="20"/>
        <v/>
      </c>
    </row>
    <row r="310" spans="7:7">
      <c r="G310" s="321" t="str">
        <f t="shared" si="20"/>
        <v/>
      </c>
    </row>
    <row r="311" spans="7:7">
      <c r="G311" s="321" t="str">
        <f t="shared" si="20"/>
        <v/>
      </c>
    </row>
    <row r="312" spans="7:7">
      <c r="G312" s="321" t="str">
        <f t="shared" si="20"/>
        <v/>
      </c>
    </row>
    <row r="313" spans="7:7">
      <c r="G313" s="321" t="str">
        <f t="shared" si="20"/>
        <v/>
      </c>
    </row>
    <row r="314" spans="7:7">
      <c r="G314" s="321" t="str">
        <f t="shared" si="20"/>
        <v/>
      </c>
    </row>
    <row r="315" spans="7:7">
      <c r="G315" s="321" t="str">
        <f t="shared" si="20"/>
        <v/>
      </c>
    </row>
    <row r="316" spans="7:7">
      <c r="G316" s="321" t="str">
        <f t="shared" si="20"/>
        <v/>
      </c>
    </row>
    <row r="317" spans="7:7">
      <c r="G317" s="321" t="str">
        <f t="shared" si="20"/>
        <v/>
      </c>
    </row>
    <row r="318" spans="7:7">
      <c r="G318" s="321" t="str">
        <f t="shared" si="20"/>
        <v/>
      </c>
    </row>
    <row r="319" spans="7:7">
      <c r="G319" s="321" t="str">
        <f t="shared" si="20"/>
        <v/>
      </c>
    </row>
    <row r="320" spans="7:7">
      <c r="G320" s="321" t="str">
        <f t="shared" si="20"/>
        <v/>
      </c>
    </row>
    <row r="321" spans="7:7">
      <c r="G321" s="321" t="str">
        <f t="shared" si="20"/>
        <v/>
      </c>
    </row>
    <row r="322" spans="7:7">
      <c r="G322" s="321" t="str">
        <f t="shared" si="20"/>
        <v/>
      </c>
    </row>
    <row r="323" spans="7:7">
      <c r="G323" s="321" t="str">
        <f t="shared" si="20"/>
        <v/>
      </c>
    </row>
    <row r="324" spans="7:7">
      <c r="G324" s="321" t="str">
        <f t="shared" si="20"/>
        <v/>
      </c>
    </row>
    <row r="325" spans="7:7">
      <c r="G325" s="321" t="str">
        <f t="shared" si="20"/>
        <v/>
      </c>
    </row>
    <row r="326" spans="7:7">
      <c r="G326" s="321" t="str">
        <f t="shared" si="20"/>
        <v/>
      </c>
    </row>
    <row r="327" spans="7:7">
      <c r="G327" s="321" t="str">
        <f t="shared" ref="G327:G390" si="21">IF(B327&lt;&gt;"",SUM(C327:F327),"")</f>
        <v/>
      </c>
    </row>
    <row r="328" spans="7:7">
      <c r="G328" s="321" t="str">
        <f t="shared" si="21"/>
        <v/>
      </c>
    </row>
    <row r="329" spans="7:7">
      <c r="G329" s="321" t="str">
        <f t="shared" si="21"/>
        <v/>
      </c>
    </row>
    <row r="330" spans="7:7">
      <c r="G330" s="321" t="str">
        <f t="shared" si="21"/>
        <v/>
      </c>
    </row>
    <row r="331" spans="7:7">
      <c r="G331" s="321" t="str">
        <f t="shared" si="21"/>
        <v/>
      </c>
    </row>
    <row r="332" spans="7:7">
      <c r="G332" s="321" t="str">
        <f t="shared" si="21"/>
        <v/>
      </c>
    </row>
    <row r="333" spans="7:7">
      <c r="G333" s="321" t="str">
        <f t="shared" si="21"/>
        <v/>
      </c>
    </row>
    <row r="334" spans="7:7">
      <c r="G334" s="321" t="str">
        <f t="shared" si="21"/>
        <v/>
      </c>
    </row>
    <row r="335" spans="7:7">
      <c r="G335" s="321" t="str">
        <f t="shared" si="21"/>
        <v/>
      </c>
    </row>
    <row r="336" spans="7:7">
      <c r="G336" s="321" t="str">
        <f t="shared" si="21"/>
        <v/>
      </c>
    </row>
    <row r="337" spans="7:7">
      <c r="G337" s="321" t="str">
        <f t="shared" si="21"/>
        <v/>
      </c>
    </row>
    <row r="338" spans="7:7">
      <c r="G338" s="321" t="str">
        <f t="shared" si="21"/>
        <v/>
      </c>
    </row>
    <row r="339" spans="7:7">
      <c r="G339" s="321" t="str">
        <f t="shared" si="21"/>
        <v/>
      </c>
    </row>
    <row r="340" spans="7:7">
      <c r="G340" s="321" t="str">
        <f t="shared" si="21"/>
        <v/>
      </c>
    </row>
    <row r="341" spans="7:7">
      <c r="G341" s="321" t="str">
        <f t="shared" si="21"/>
        <v/>
      </c>
    </row>
    <row r="342" spans="7:7">
      <c r="G342" s="321" t="str">
        <f t="shared" si="21"/>
        <v/>
      </c>
    </row>
    <row r="343" spans="7:7">
      <c r="G343" s="321" t="str">
        <f t="shared" si="21"/>
        <v/>
      </c>
    </row>
    <row r="344" spans="7:7">
      <c r="G344" s="321" t="str">
        <f t="shared" si="21"/>
        <v/>
      </c>
    </row>
    <row r="345" spans="7:7">
      <c r="G345" s="321" t="str">
        <f t="shared" si="21"/>
        <v/>
      </c>
    </row>
    <row r="346" spans="7:7">
      <c r="G346" s="321" t="str">
        <f t="shared" si="21"/>
        <v/>
      </c>
    </row>
    <row r="347" spans="7:7">
      <c r="G347" s="321" t="str">
        <f t="shared" si="21"/>
        <v/>
      </c>
    </row>
    <row r="348" spans="7:7">
      <c r="G348" s="321" t="str">
        <f t="shared" si="21"/>
        <v/>
      </c>
    </row>
    <row r="349" spans="7:7">
      <c r="G349" s="321" t="str">
        <f t="shared" si="21"/>
        <v/>
      </c>
    </row>
    <row r="350" spans="7:7">
      <c r="G350" s="321" t="str">
        <f t="shared" si="21"/>
        <v/>
      </c>
    </row>
    <row r="351" spans="7:7">
      <c r="G351" s="321" t="str">
        <f t="shared" si="21"/>
        <v/>
      </c>
    </row>
    <row r="352" spans="7:7">
      <c r="G352" s="321" t="str">
        <f t="shared" si="21"/>
        <v/>
      </c>
    </row>
    <row r="353" spans="7:7">
      <c r="G353" s="321" t="str">
        <f t="shared" si="21"/>
        <v/>
      </c>
    </row>
    <row r="354" spans="7:7">
      <c r="G354" s="321" t="str">
        <f t="shared" si="21"/>
        <v/>
      </c>
    </row>
    <row r="355" spans="7:7">
      <c r="G355" s="321" t="str">
        <f t="shared" si="21"/>
        <v/>
      </c>
    </row>
    <row r="356" spans="7:7">
      <c r="G356" s="321" t="str">
        <f t="shared" si="21"/>
        <v/>
      </c>
    </row>
    <row r="357" spans="7:7">
      <c r="G357" s="321" t="str">
        <f t="shared" si="21"/>
        <v/>
      </c>
    </row>
    <row r="358" spans="7:7">
      <c r="G358" s="321" t="str">
        <f t="shared" si="21"/>
        <v/>
      </c>
    </row>
    <row r="359" spans="7:7">
      <c r="G359" s="321" t="str">
        <f t="shared" si="21"/>
        <v/>
      </c>
    </row>
    <row r="360" spans="7:7">
      <c r="G360" s="321" t="str">
        <f t="shared" si="21"/>
        <v/>
      </c>
    </row>
    <row r="361" spans="7:7">
      <c r="G361" s="321" t="str">
        <f t="shared" si="21"/>
        <v/>
      </c>
    </row>
    <row r="362" spans="7:7">
      <c r="G362" s="321" t="str">
        <f t="shared" si="21"/>
        <v/>
      </c>
    </row>
    <row r="363" spans="7:7">
      <c r="G363" s="321" t="str">
        <f t="shared" si="21"/>
        <v/>
      </c>
    </row>
    <row r="364" spans="7:7">
      <c r="G364" s="321" t="str">
        <f t="shared" si="21"/>
        <v/>
      </c>
    </row>
    <row r="365" spans="7:7">
      <c r="G365" s="321" t="str">
        <f t="shared" si="21"/>
        <v/>
      </c>
    </row>
    <row r="366" spans="7:7">
      <c r="G366" s="321" t="str">
        <f t="shared" si="21"/>
        <v/>
      </c>
    </row>
    <row r="367" spans="7:7">
      <c r="G367" s="321" t="str">
        <f t="shared" si="21"/>
        <v/>
      </c>
    </row>
    <row r="368" spans="7:7">
      <c r="G368" s="321" t="str">
        <f t="shared" si="21"/>
        <v/>
      </c>
    </row>
    <row r="369" spans="7:7">
      <c r="G369" s="321" t="str">
        <f t="shared" si="21"/>
        <v/>
      </c>
    </row>
    <row r="370" spans="7:7">
      <c r="G370" s="321" t="str">
        <f t="shared" si="21"/>
        <v/>
      </c>
    </row>
    <row r="371" spans="7:7">
      <c r="G371" s="321" t="str">
        <f t="shared" si="21"/>
        <v/>
      </c>
    </row>
    <row r="372" spans="7:7">
      <c r="G372" s="321" t="str">
        <f t="shared" si="21"/>
        <v/>
      </c>
    </row>
    <row r="373" spans="7:7">
      <c r="G373" s="321" t="str">
        <f t="shared" si="21"/>
        <v/>
      </c>
    </row>
    <row r="374" spans="7:7">
      <c r="G374" s="321" t="str">
        <f t="shared" si="21"/>
        <v/>
      </c>
    </row>
    <row r="375" spans="7:7">
      <c r="G375" s="321" t="str">
        <f t="shared" si="21"/>
        <v/>
      </c>
    </row>
    <row r="376" spans="7:7">
      <c r="G376" s="321" t="str">
        <f t="shared" si="21"/>
        <v/>
      </c>
    </row>
    <row r="377" spans="7:7">
      <c r="G377" s="321" t="str">
        <f t="shared" si="21"/>
        <v/>
      </c>
    </row>
    <row r="378" spans="7:7">
      <c r="G378" s="321" t="str">
        <f t="shared" si="21"/>
        <v/>
      </c>
    </row>
    <row r="379" spans="7:7">
      <c r="G379" s="321" t="str">
        <f t="shared" si="21"/>
        <v/>
      </c>
    </row>
    <row r="380" spans="7:7">
      <c r="G380" s="321" t="str">
        <f t="shared" si="21"/>
        <v/>
      </c>
    </row>
    <row r="381" spans="7:7">
      <c r="G381" s="321" t="str">
        <f t="shared" si="21"/>
        <v/>
      </c>
    </row>
    <row r="382" spans="7:7">
      <c r="G382" s="321" t="str">
        <f t="shared" si="21"/>
        <v/>
      </c>
    </row>
    <row r="383" spans="7:7">
      <c r="G383" s="321" t="str">
        <f t="shared" si="21"/>
        <v/>
      </c>
    </row>
    <row r="384" spans="7:7">
      <c r="G384" s="321" t="str">
        <f t="shared" si="21"/>
        <v/>
      </c>
    </row>
    <row r="385" spans="7:7">
      <c r="G385" s="321" t="str">
        <f t="shared" si="21"/>
        <v/>
      </c>
    </row>
    <row r="386" spans="7:7">
      <c r="G386" s="321" t="str">
        <f t="shared" si="21"/>
        <v/>
      </c>
    </row>
    <row r="387" spans="7:7">
      <c r="G387" s="321" t="str">
        <f t="shared" si="21"/>
        <v/>
      </c>
    </row>
    <row r="388" spans="7:7">
      <c r="G388" s="321" t="str">
        <f t="shared" si="21"/>
        <v/>
      </c>
    </row>
    <row r="389" spans="7:7">
      <c r="G389" s="321" t="str">
        <f t="shared" si="21"/>
        <v/>
      </c>
    </row>
    <row r="390" spans="7:7">
      <c r="G390" s="321" t="str">
        <f t="shared" si="21"/>
        <v/>
      </c>
    </row>
    <row r="391" spans="7:7">
      <c r="G391" s="321" t="str">
        <f t="shared" ref="G391:G422" si="22">IF(B391&lt;&gt;"",SUM(C391:F391),"")</f>
        <v/>
      </c>
    </row>
    <row r="392" spans="7:7">
      <c r="G392" s="321" t="str">
        <f t="shared" si="22"/>
        <v/>
      </c>
    </row>
    <row r="393" spans="7:7">
      <c r="G393" s="321" t="str">
        <f t="shared" si="22"/>
        <v/>
      </c>
    </row>
    <row r="394" spans="7:7">
      <c r="G394" s="321" t="str">
        <f t="shared" si="22"/>
        <v/>
      </c>
    </row>
    <row r="395" spans="7:7">
      <c r="G395" s="321" t="str">
        <f t="shared" si="22"/>
        <v/>
      </c>
    </row>
    <row r="396" spans="7:7">
      <c r="G396" s="321" t="str">
        <f t="shared" si="22"/>
        <v/>
      </c>
    </row>
    <row r="397" spans="7:7">
      <c r="G397" s="321" t="str">
        <f t="shared" si="22"/>
        <v/>
      </c>
    </row>
    <row r="398" spans="7:7">
      <c r="G398" s="321" t="str">
        <f t="shared" si="22"/>
        <v/>
      </c>
    </row>
    <row r="399" spans="7:7">
      <c r="G399" s="321" t="str">
        <f t="shared" si="22"/>
        <v/>
      </c>
    </row>
    <row r="400" spans="7:7">
      <c r="G400" s="321" t="str">
        <f t="shared" si="22"/>
        <v/>
      </c>
    </row>
    <row r="401" spans="7:7">
      <c r="G401" s="321" t="str">
        <f t="shared" si="22"/>
        <v/>
      </c>
    </row>
    <row r="402" spans="7:7">
      <c r="G402" s="321" t="str">
        <f t="shared" si="22"/>
        <v/>
      </c>
    </row>
    <row r="403" spans="7:7">
      <c r="G403" s="321" t="str">
        <f t="shared" si="22"/>
        <v/>
      </c>
    </row>
    <row r="404" spans="7:7">
      <c r="G404" s="321" t="str">
        <f t="shared" si="22"/>
        <v/>
      </c>
    </row>
    <row r="405" spans="7:7">
      <c r="G405" s="321" t="str">
        <f t="shared" si="22"/>
        <v/>
      </c>
    </row>
    <row r="406" spans="7:7">
      <c r="G406" s="321" t="str">
        <f t="shared" si="22"/>
        <v/>
      </c>
    </row>
    <row r="407" spans="7:7">
      <c r="G407" s="321" t="str">
        <f t="shared" si="22"/>
        <v/>
      </c>
    </row>
    <row r="408" spans="7:7">
      <c r="G408" s="321" t="str">
        <f t="shared" si="22"/>
        <v/>
      </c>
    </row>
    <row r="409" spans="7:7">
      <c r="G409" s="321" t="str">
        <f t="shared" si="22"/>
        <v/>
      </c>
    </row>
    <row r="410" spans="7:7">
      <c r="G410" s="321" t="str">
        <f t="shared" si="22"/>
        <v/>
      </c>
    </row>
    <row r="411" spans="7:7">
      <c r="G411" s="321" t="str">
        <f t="shared" si="22"/>
        <v/>
      </c>
    </row>
    <row r="412" spans="7:7">
      <c r="G412" s="321" t="str">
        <f t="shared" si="22"/>
        <v/>
      </c>
    </row>
    <row r="413" spans="7:7">
      <c r="G413" s="321" t="str">
        <f t="shared" si="22"/>
        <v/>
      </c>
    </row>
    <row r="414" spans="7:7">
      <c r="G414" s="321" t="str">
        <f t="shared" si="22"/>
        <v/>
      </c>
    </row>
    <row r="415" spans="7:7">
      <c r="G415" s="321" t="str">
        <f t="shared" si="22"/>
        <v/>
      </c>
    </row>
    <row r="416" spans="7:7">
      <c r="G416" s="321" t="str">
        <f t="shared" si="22"/>
        <v/>
      </c>
    </row>
    <row r="417" spans="7:7">
      <c r="G417" s="321" t="str">
        <f t="shared" si="22"/>
        <v/>
      </c>
    </row>
    <row r="418" spans="7:7">
      <c r="G418" s="321" t="str">
        <f t="shared" si="22"/>
        <v/>
      </c>
    </row>
    <row r="419" spans="7:7">
      <c r="G419" s="321" t="str">
        <f t="shared" si="22"/>
        <v/>
      </c>
    </row>
    <row r="420" spans="7:7">
      <c r="G420" s="321" t="str">
        <f t="shared" si="22"/>
        <v/>
      </c>
    </row>
    <row r="421" spans="7:7">
      <c r="G421" s="321" t="str">
        <f t="shared" si="22"/>
        <v/>
      </c>
    </row>
    <row r="422" spans="7:7">
      <c r="G422" s="321" t="str">
        <f t="shared" si="22"/>
        <v/>
      </c>
    </row>
  </sheetData>
  <sheetProtection sort="0" autoFilter="0" pivotTables="0"/>
  <autoFilter ref="H5:H66" xr:uid="{369E05A3-3252-4208-9D49-04C414999068}">
    <filterColumn colId="0">
      <filters blank="1">
        <filter val="120"/>
        <filter val="36"/>
        <filter val="50"/>
        <filter val="R$ 66.436,36"/>
      </filters>
    </filterColumn>
  </autoFilter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71854-8585-4FCD-ABCC-724B066ECDCA}">
  <sheetPr codeName="Planilha24">
    <tabColor rgb="FFFF0000"/>
    <pageSetUpPr fitToPage="1"/>
  </sheetPr>
  <dimension ref="B1:S506"/>
  <sheetViews>
    <sheetView workbookViewId="0">
      <pane ySplit="5" topLeftCell="A6" activePane="bottomLeft" state="frozen"/>
      <selection activeCell="H9" sqref="H9"/>
      <selection pane="bottomLeft" activeCell="D88" sqref="D88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35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2" t="s">
        <v>6</v>
      </c>
      <c r="C4" s="43"/>
      <c r="D4" s="43"/>
      <c r="E4" s="43"/>
      <c r="F4" s="44"/>
      <c r="G4" s="45"/>
      <c r="H4" s="46"/>
      <c r="I4" s="47" t="s">
        <v>48</v>
      </c>
      <c r="J4" s="48" t="s">
        <v>9</v>
      </c>
      <c r="K4" s="48" t="s">
        <v>9</v>
      </c>
      <c r="L4" s="49">
        <v>4.7619047619047616E-2</v>
      </c>
      <c r="M4" s="50" t="s">
        <v>15</v>
      </c>
      <c r="N4" s="36"/>
      <c r="O4" s="19"/>
      <c r="P4" s="19"/>
      <c r="Q4" s="19"/>
      <c r="R4" s="19"/>
      <c r="S4" s="19"/>
    </row>
    <row r="5" spans="2:19" ht="16.5" thickBot="1">
      <c r="B5" s="51" t="s">
        <v>5</v>
      </c>
      <c r="C5" s="52" t="s">
        <v>0</v>
      </c>
      <c r="D5" s="52" t="s">
        <v>12</v>
      </c>
      <c r="E5" s="52" t="s">
        <v>2</v>
      </c>
      <c r="F5" s="52" t="s">
        <v>3</v>
      </c>
      <c r="G5" s="53" t="s">
        <v>1</v>
      </c>
      <c r="H5" s="54" t="s">
        <v>4</v>
      </c>
      <c r="I5" s="54" t="s">
        <v>7</v>
      </c>
      <c r="J5" s="55" t="s">
        <v>8</v>
      </c>
      <c r="K5" s="55" t="s">
        <v>10</v>
      </c>
      <c r="L5" s="56" t="s">
        <v>11</v>
      </c>
      <c r="M5" s="5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81" t="s">
        <v>346</v>
      </c>
      <c r="C6" s="38"/>
      <c r="D6" s="38"/>
      <c r="E6" s="38"/>
      <c r="F6" s="39"/>
      <c r="G6" s="40"/>
      <c r="H6" s="24">
        <f t="shared" ref="H6:H69" si="0">SUM(C6:G6)</f>
        <v>0</v>
      </c>
      <c r="I6" s="41">
        <f t="shared" ref="I6:I33" si="1">L6-(L6*J6)</f>
        <v>0</v>
      </c>
      <c r="J6" s="16"/>
      <c r="K6" s="70"/>
      <c r="L6" s="65"/>
      <c r="M6" s="31"/>
      <c r="N6" s="25">
        <f t="shared" ref="N6:N33" si="2">I6*C6</f>
        <v>0</v>
      </c>
      <c r="O6" s="25">
        <f t="shared" ref="O6:O33" si="3">I6*D6</f>
        <v>0</v>
      </c>
      <c r="P6" s="25">
        <f t="shared" ref="P6:P33" si="4">I6*E6</f>
        <v>0</v>
      </c>
      <c r="Q6" s="26">
        <f t="shared" ref="Q6:Q33" si="5">I6*F6</f>
        <v>0</v>
      </c>
      <c r="R6" s="27">
        <f t="shared" ref="R6:R33" si="6">I6*G6</f>
        <v>0</v>
      </c>
      <c r="S6" s="28">
        <f>SUM(N6:R6)</f>
        <v>0</v>
      </c>
    </row>
    <row r="7" spans="2:19">
      <c r="B7" s="81" t="s">
        <v>347</v>
      </c>
      <c r="C7" s="13"/>
      <c r="D7" s="13"/>
      <c r="E7" s="13"/>
      <c r="F7" s="14"/>
      <c r="G7" s="8"/>
      <c r="H7" s="24">
        <f t="shared" si="0"/>
        <v>0</v>
      </c>
      <c r="I7" s="34">
        <f t="shared" si="1"/>
        <v>0</v>
      </c>
      <c r="J7" s="10"/>
      <c r="K7" s="70"/>
      <c r="L7" s="65"/>
      <c r="M7" s="32"/>
      <c r="N7" s="25">
        <f t="shared" si="2"/>
        <v>0</v>
      </c>
      <c r="O7" s="25">
        <f t="shared" si="3"/>
        <v>0</v>
      </c>
      <c r="P7" s="25">
        <f t="shared" si="4"/>
        <v>0</v>
      </c>
      <c r="Q7" s="26">
        <f t="shared" si="5"/>
        <v>0</v>
      </c>
      <c r="R7" s="27">
        <f t="shared" si="6"/>
        <v>0</v>
      </c>
      <c r="S7" s="28">
        <f t="shared" ref="S7:S69" si="7">SUM(N7:R7)</f>
        <v>0</v>
      </c>
    </row>
    <row r="8" spans="2:19">
      <c r="B8" s="81" t="s">
        <v>348</v>
      </c>
      <c r="C8" s="13"/>
      <c r="D8" s="13"/>
      <c r="E8" s="13"/>
      <c r="F8" s="14"/>
      <c r="G8" s="8"/>
      <c r="H8" s="24">
        <f t="shared" si="0"/>
        <v>0</v>
      </c>
      <c r="I8" s="34">
        <f t="shared" si="1"/>
        <v>0</v>
      </c>
      <c r="J8" s="10"/>
      <c r="K8" s="70"/>
      <c r="L8" s="65"/>
      <c r="M8" s="32"/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28">
        <f t="shared" si="7"/>
        <v>0</v>
      </c>
    </row>
    <row r="9" spans="2:19">
      <c r="B9" s="81" t="s">
        <v>349</v>
      </c>
      <c r="C9" s="13"/>
      <c r="D9" s="13"/>
      <c r="E9" s="13"/>
      <c r="F9" s="14"/>
      <c r="G9" s="8"/>
      <c r="H9" s="24">
        <f t="shared" si="0"/>
        <v>0</v>
      </c>
      <c r="I9" s="34">
        <f t="shared" si="1"/>
        <v>0</v>
      </c>
      <c r="J9" s="10"/>
      <c r="K9" s="70"/>
      <c r="L9" s="65"/>
      <c r="M9" s="32"/>
      <c r="N9" s="25">
        <f t="shared" si="2"/>
        <v>0</v>
      </c>
      <c r="O9" s="25">
        <f t="shared" si="3"/>
        <v>0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28">
        <f t="shared" si="7"/>
        <v>0</v>
      </c>
    </row>
    <row r="10" spans="2:19">
      <c r="B10" s="81" t="s">
        <v>350</v>
      </c>
      <c r="C10" s="13"/>
      <c r="D10" s="13"/>
      <c r="E10" s="13"/>
      <c r="F10" s="14"/>
      <c r="G10" s="8"/>
      <c r="H10" s="24">
        <f t="shared" si="0"/>
        <v>0</v>
      </c>
      <c r="I10" s="34">
        <f t="shared" si="1"/>
        <v>0</v>
      </c>
      <c r="J10" s="10"/>
      <c r="K10" s="70"/>
      <c r="L10" s="65"/>
      <c r="M10" s="32"/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28">
        <f t="shared" si="7"/>
        <v>0</v>
      </c>
    </row>
    <row r="11" spans="2:19">
      <c r="B11" s="81" t="s">
        <v>351</v>
      </c>
      <c r="C11" s="13"/>
      <c r="D11" s="13"/>
      <c r="E11" s="13"/>
      <c r="F11" s="14"/>
      <c r="G11" s="8"/>
      <c r="H11" s="24">
        <f t="shared" si="0"/>
        <v>0</v>
      </c>
      <c r="I11" s="34">
        <f t="shared" si="1"/>
        <v>5.26</v>
      </c>
      <c r="J11" s="10"/>
      <c r="K11" s="70">
        <v>5.26</v>
      </c>
      <c r="L11" s="65">
        <v>5.26</v>
      </c>
      <c r="M11" s="32"/>
      <c r="N11" s="25">
        <f t="shared" si="2"/>
        <v>0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28">
        <f t="shared" si="7"/>
        <v>0</v>
      </c>
    </row>
    <row r="12" spans="2:19">
      <c r="B12" s="81" t="s">
        <v>352</v>
      </c>
      <c r="C12" s="13"/>
      <c r="D12" s="13"/>
      <c r="E12" s="13"/>
      <c r="F12" s="14"/>
      <c r="G12" s="8"/>
      <c r="H12" s="24">
        <f t="shared" si="0"/>
        <v>0</v>
      </c>
      <c r="I12" s="34">
        <f t="shared" si="1"/>
        <v>12.44</v>
      </c>
      <c r="J12" s="10"/>
      <c r="K12" s="70">
        <v>12.472</v>
      </c>
      <c r="L12" s="65">
        <v>12.44</v>
      </c>
      <c r="M12" s="32"/>
      <c r="N12" s="25">
        <f t="shared" si="2"/>
        <v>0</v>
      </c>
      <c r="O12" s="25">
        <f t="shared" si="3"/>
        <v>0</v>
      </c>
      <c r="P12" s="25">
        <f t="shared" si="4"/>
        <v>0</v>
      </c>
      <c r="Q12" s="26">
        <f t="shared" si="5"/>
        <v>0</v>
      </c>
      <c r="R12" s="27">
        <f t="shared" si="6"/>
        <v>0</v>
      </c>
      <c r="S12" s="28">
        <f t="shared" si="7"/>
        <v>0</v>
      </c>
    </row>
    <row r="13" spans="2:19">
      <c r="B13" s="81" t="s">
        <v>353</v>
      </c>
      <c r="C13" s="13"/>
      <c r="D13" s="13"/>
      <c r="E13" s="13"/>
      <c r="F13" s="14"/>
      <c r="G13" s="8"/>
      <c r="H13" s="24">
        <f t="shared" si="0"/>
        <v>0</v>
      </c>
      <c r="I13" s="34">
        <f t="shared" si="1"/>
        <v>44.26</v>
      </c>
      <c r="J13" s="10"/>
      <c r="K13" s="70">
        <v>58.24</v>
      </c>
      <c r="L13" s="65">
        <v>44.26</v>
      </c>
      <c r="M13" s="32"/>
      <c r="N13" s="25">
        <f t="shared" si="2"/>
        <v>0</v>
      </c>
      <c r="O13" s="25">
        <f t="shared" si="3"/>
        <v>0</v>
      </c>
      <c r="P13" s="25">
        <f t="shared" si="4"/>
        <v>0</v>
      </c>
      <c r="Q13" s="26">
        <f t="shared" si="5"/>
        <v>0</v>
      </c>
      <c r="R13" s="27">
        <f t="shared" si="6"/>
        <v>0</v>
      </c>
      <c r="S13" s="28">
        <f t="shared" si="7"/>
        <v>0</v>
      </c>
    </row>
    <row r="14" spans="2:19">
      <c r="B14" s="81" t="s">
        <v>354</v>
      </c>
      <c r="C14" s="13"/>
      <c r="D14" s="13"/>
      <c r="E14" s="13"/>
      <c r="F14" s="14"/>
      <c r="G14" s="8"/>
      <c r="H14" s="24">
        <f t="shared" si="0"/>
        <v>0</v>
      </c>
      <c r="I14" s="34">
        <f t="shared" si="1"/>
        <v>79.819999999999993</v>
      </c>
      <c r="J14" s="10"/>
      <c r="K14" s="70">
        <v>80.03</v>
      </c>
      <c r="L14" s="65">
        <v>79.819999999999993</v>
      </c>
      <c r="M14" s="32"/>
      <c r="N14" s="25">
        <f t="shared" si="2"/>
        <v>0</v>
      </c>
      <c r="O14" s="25">
        <f t="shared" si="3"/>
        <v>0</v>
      </c>
      <c r="P14" s="25">
        <f t="shared" si="4"/>
        <v>0</v>
      </c>
      <c r="Q14" s="26">
        <f t="shared" si="5"/>
        <v>0</v>
      </c>
      <c r="R14" s="27">
        <f t="shared" si="6"/>
        <v>0</v>
      </c>
      <c r="S14" s="28">
        <f t="shared" si="7"/>
        <v>0</v>
      </c>
    </row>
    <row r="15" spans="2:19">
      <c r="B15" s="81" t="s">
        <v>355</v>
      </c>
      <c r="C15" s="13"/>
      <c r="D15" s="13">
        <v>6</v>
      </c>
      <c r="E15" s="13"/>
      <c r="F15" s="14"/>
      <c r="G15" s="8"/>
      <c r="H15" s="24">
        <f t="shared" si="0"/>
        <v>6</v>
      </c>
      <c r="I15" s="34">
        <f t="shared" si="1"/>
        <v>140.56</v>
      </c>
      <c r="J15" s="10"/>
      <c r="K15" s="70"/>
      <c r="L15" s="65">
        <v>140.56</v>
      </c>
      <c r="M15" s="32"/>
      <c r="N15" s="25">
        <f t="shared" si="2"/>
        <v>0</v>
      </c>
      <c r="O15" s="25">
        <f t="shared" si="3"/>
        <v>843.36</v>
      </c>
      <c r="P15" s="25">
        <f t="shared" si="4"/>
        <v>0</v>
      </c>
      <c r="Q15" s="26">
        <f t="shared" si="5"/>
        <v>0</v>
      </c>
      <c r="R15" s="27">
        <f t="shared" si="6"/>
        <v>0</v>
      </c>
      <c r="S15" s="28">
        <f t="shared" si="7"/>
        <v>843.36</v>
      </c>
    </row>
    <row r="16" spans="2:19" hidden="1">
      <c r="B16" s="7"/>
      <c r="C16" s="13"/>
      <c r="D16" s="13"/>
      <c r="E16" s="13"/>
      <c r="F16" s="14"/>
      <c r="G16" s="8"/>
      <c r="H16" s="24">
        <f t="shared" si="0"/>
        <v>0</v>
      </c>
      <c r="I16" s="34">
        <f t="shared" si="1"/>
        <v>0</v>
      </c>
      <c r="J16" s="10"/>
      <c r="K16" s="12"/>
      <c r="L16" s="11"/>
      <c r="M16" s="32"/>
      <c r="N16" s="25">
        <f t="shared" si="2"/>
        <v>0</v>
      </c>
      <c r="O16" s="25">
        <f t="shared" si="3"/>
        <v>0</v>
      </c>
      <c r="P16" s="25">
        <f t="shared" si="4"/>
        <v>0</v>
      </c>
      <c r="Q16" s="26">
        <f t="shared" si="5"/>
        <v>0</v>
      </c>
      <c r="R16" s="27">
        <f t="shared" si="6"/>
        <v>0</v>
      </c>
      <c r="S16" s="28">
        <f t="shared" si="7"/>
        <v>0</v>
      </c>
    </row>
    <row r="17" spans="2:19" hidden="1">
      <c r="B17" s="7"/>
      <c r="C17" s="13"/>
      <c r="D17" s="13"/>
      <c r="E17" s="13"/>
      <c r="F17" s="14"/>
      <c r="G17" s="8"/>
      <c r="H17" s="24">
        <f t="shared" si="0"/>
        <v>0</v>
      </c>
      <c r="I17" s="34">
        <f t="shared" si="1"/>
        <v>0</v>
      </c>
      <c r="J17" s="10"/>
      <c r="K17" s="12"/>
      <c r="L17" s="11"/>
      <c r="M17" s="32"/>
      <c r="N17" s="25">
        <f t="shared" si="2"/>
        <v>0</v>
      </c>
      <c r="O17" s="25">
        <f t="shared" si="3"/>
        <v>0</v>
      </c>
      <c r="P17" s="25">
        <f t="shared" si="4"/>
        <v>0</v>
      </c>
      <c r="Q17" s="26">
        <f t="shared" si="5"/>
        <v>0</v>
      </c>
      <c r="R17" s="27">
        <f t="shared" si="6"/>
        <v>0</v>
      </c>
      <c r="S17" s="28">
        <f t="shared" si="7"/>
        <v>0</v>
      </c>
    </row>
    <row r="18" spans="2:19" hidden="1">
      <c r="B18" s="7"/>
      <c r="C18" s="13"/>
      <c r="D18" s="13"/>
      <c r="E18" s="13"/>
      <c r="F18" s="14"/>
      <c r="G18" s="8"/>
      <c r="H18" s="24">
        <f t="shared" si="0"/>
        <v>0</v>
      </c>
      <c r="I18" s="34">
        <f t="shared" si="1"/>
        <v>0</v>
      </c>
      <c r="J18" s="10"/>
      <c r="K18" s="12"/>
      <c r="L18" s="11"/>
      <c r="M18" s="32"/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28">
        <f t="shared" si="7"/>
        <v>0</v>
      </c>
    </row>
    <row r="19" spans="2:19" hidden="1">
      <c r="B19" s="7"/>
      <c r="C19" s="13"/>
      <c r="D19" s="13"/>
      <c r="E19" s="13"/>
      <c r="F19" s="14"/>
      <c r="G19" s="8"/>
      <c r="H19" s="24">
        <f t="shared" si="0"/>
        <v>0</v>
      </c>
      <c r="I19" s="34">
        <f t="shared" si="1"/>
        <v>0</v>
      </c>
      <c r="J19" s="10"/>
      <c r="K19" s="12"/>
      <c r="L19" s="11"/>
      <c r="M19" s="32"/>
      <c r="N19" s="25">
        <f t="shared" si="2"/>
        <v>0</v>
      </c>
      <c r="O19" s="25">
        <f t="shared" si="3"/>
        <v>0</v>
      </c>
      <c r="P19" s="25">
        <f t="shared" si="4"/>
        <v>0</v>
      </c>
      <c r="Q19" s="26">
        <f t="shared" si="5"/>
        <v>0</v>
      </c>
      <c r="R19" s="27">
        <f t="shared" si="6"/>
        <v>0</v>
      </c>
      <c r="S19" s="28">
        <f t="shared" si="7"/>
        <v>0</v>
      </c>
    </row>
    <row r="20" spans="2:19" hidden="1">
      <c r="B20" s="7"/>
      <c r="C20" s="13"/>
      <c r="D20" s="13"/>
      <c r="E20" s="13"/>
      <c r="F20" s="14"/>
      <c r="G20" s="8"/>
      <c r="H20" s="24">
        <f t="shared" si="0"/>
        <v>0</v>
      </c>
      <c r="I20" s="34">
        <f t="shared" si="1"/>
        <v>0</v>
      </c>
      <c r="J20" s="10"/>
      <c r="K20" s="12"/>
      <c r="L20" s="11"/>
      <c r="M20" s="32"/>
      <c r="N20" s="25">
        <f t="shared" si="2"/>
        <v>0</v>
      </c>
      <c r="O20" s="25">
        <f t="shared" si="3"/>
        <v>0</v>
      </c>
      <c r="P20" s="25">
        <f t="shared" si="4"/>
        <v>0</v>
      </c>
      <c r="Q20" s="26">
        <f t="shared" si="5"/>
        <v>0</v>
      </c>
      <c r="R20" s="27">
        <f t="shared" si="6"/>
        <v>0</v>
      </c>
      <c r="S20" s="28">
        <f t="shared" si="7"/>
        <v>0</v>
      </c>
    </row>
    <row r="21" spans="2:19" hidden="1">
      <c r="B21" s="7"/>
      <c r="C21" s="13"/>
      <c r="D21" s="13"/>
      <c r="E21" s="13"/>
      <c r="F21" s="14"/>
      <c r="G21" s="8"/>
      <c r="H21" s="24">
        <f t="shared" si="0"/>
        <v>0</v>
      </c>
      <c r="I21" s="34">
        <f t="shared" si="1"/>
        <v>0</v>
      </c>
      <c r="J21" s="10"/>
      <c r="K21" s="12"/>
      <c r="L21" s="11"/>
      <c r="M21" s="32"/>
      <c r="N21" s="25">
        <f t="shared" si="2"/>
        <v>0</v>
      </c>
      <c r="O21" s="25">
        <f t="shared" si="3"/>
        <v>0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28">
        <f t="shared" si="7"/>
        <v>0</v>
      </c>
    </row>
    <row r="22" spans="2:19" hidden="1">
      <c r="B22" s="7"/>
      <c r="C22" s="13"/>
      <c r="D22" s="13"/>
      <c r="E22" s="13"/>
      <c r="F22" s="14"/>
      <c r="G22" s="8"/>
      <c r="H22" s="24">
        <f t="shared" si="0"/>
        <v>0</v>
      </c>
      <c r="I22" s="34">
        <f t="shared" si="1"/>
        <v>0</v>
      </c>
      <c r="J22" s="10"/>
      <c r="K22" s="12"/>
      <c r="L22" s="11"/>
      <c r="M22" s="32"/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28">
        <f t="shared" si="7"/>
        <v>0</v>
      </c>
    </row>
    <row r="23" spans="2:19" hidden="1">
      <c r="B23" s="7"/>
      <c r="C23" s="13"/>
      <c r="D23" s="13"/>
      <c r="E23" s="13"/>
      <c r="F23" s="14"/>
      <c r="G23" s="8"/>
      <c r="H23" s="24">
        <f t="shared" si="0"/>
        <v>0</v>
      </c>
      <c r="I23" s="34">
        <f t="shared" si="1"/>
        <v>0</v>
      </c>
      <c r="J23" s="10"/>
      <c r="K23" s="12"/>
      <c r="L23" s="11"/>
      <c r="M23" s="32"/>
      <c r="N23" s="25">
        <f t="shared" si="2"/>
        <v>0</v>
      </c>
      <c r="O23" s="25">
        <f t="shared" si="3"/>
        <v>0</v>
      </c>
      <c r="P23" s="25">
        <f t="shared" si="4"/>
        <v>0</v>
      </c>
      <c r="Q23" s="26">
        <f t="shared" si="5"/>
        <v>0</v>
      </c>
      <c r="R23" s="27">
        <f t="shared" si="6"/>
        <v>0</v>
      </c>
      <c r="S23" s="28">
        <f t="shared" si="7"/>
        <v>0</v>
      </c>
    </row>
    <row r="24" spans="2:19" hidden="1">
      <c r="B24" s="7"/>
      <c r="C24" s="13"/>
      <c r="D24" s="13"/>
      <c r="E24" s="13"/>
      <c r="F24" s="14"/>
      <c r="G24" s="8"/>
      <c r="H24" s="24">
        <f t="shared" si="0"/>
        <v>0</v>
      </c>
      <c r="I24" s="34">
        <f t="shared" si="1"/>
        <v>0</v>
      </c>
      <c r="J24" s="10"/>
      <c r="K24" s="12"/>
      <c r="L24" s="11"/>
      <c r="M24" s="32"/>
      <c r="N24" s="25">
        <f t="shared" si="2"/>
        <v>0</v>
      </c>
      <c r="O24" s="25">
        <f t="shared" si="3"/>
        <v>0</v>
      </c>
      <c r="P24" s="25">
        <f t="shared" si="4"/>
        <v>0</v>
      </c>
      <c r="Q24" s="26">
        <f t="shared" si="5"/>
        <v>0</v>
      </c>
      <c r="R24" s="27">
        <f t="shared" si="6"/>
        <v>0</v>
      </c>
      <c r="S24" s="28">
        <f t="shared" si="7"/>
        <v>0</v>
      </c>
    </row>
    <row r="25" spans="2:19" hidden="1">
      <c r="B25" s="7"/>
      <c r="C25" s="14"/>
      <c r="D25" s="14"/>
      <c r="E25" s="14"/>
      <c r="F25" s="14"/>
      <c r="G25" s="8"/>
      <c r="H25" s="24">
        <f t="shared" si="0"/>
        <v>0</v>
      </c>
      <c r="I25" s="34">
        <f t="shared" si="1"/>
        <v>0</v>
      </c>
      <c r="J25" s="10"/>
      <c r="K25" s="12"/>
      <c r="L25" s="11"/>
      <c r="M25" s="32"/>
      <c r="N25" s="25">
        <f t="shared" si="2"/>
        <v>0</v>
      </c>
      <c r="O25" s="25">
        <f t="shared" si="3"/>
        <v>0</v>
      </c>
      <c r="P25" s="25">
        <f t="shared" si="4"/>
        <v>0</v>
      </c>
      <c r="Q25" s="26">
        <f t="shared" si="5"/>
        <v>0</v>
      </c>
      <c r="R25" s="27">
        <f t="shared" si="6"/>
        <v>0</v>
      </c>
      <c r="S25" s="28">
        <f t="shared" si="7"/>
        <v>0</v>
      </c>
    </row>
    <row r="26" spans="2:19" hidden="1">
      <c r="B26" s="7"/>
      <c r="C26" s="14"/>
      <c r="D26" s="14"/>
      <c r="E26" s="14"/>
      <c r="F26" s="14"/>
      <c r="G26" s="8"/>
      <c r="H26" s="24">
        <f t="shared" si="0"/>
        <v>0</v>
      </c>
      <c r="I26" s="34">
        <f t="shared" si="1"/>
        <v>0</v>
      </c>
      <c r="J26" s="10"/>
      <c r="K26" s="12"/>
      <c r="L26" s="11"/>
      <c r="M26" s="32"/>
      <c r="N26" s="25">
        <f t="shared" si="2"/>
        <v>0</v>
      </c>
      <c r="O26" s="25">
        <f t="shared" si="3"/>
        <v>0</v>
      </c>
      <c r="P26" s="25">
        <f t="shared" si="4"/>
        <v>0</v>
      </c>
      <c r="Q26" s="26">
        <f t="shared" si="5"/>
        <v>0</v>
      </c>
      <c r="R26" s="27">
        <f t="shared" si="6"/>
        <v>0</v>
      </c>
      <c r="S26" s="28">
        <f t="shared" si="7"/>
        <v>0</v>
      </c>
    </row>
    <row r="27" spans="2:19" hidden="1">
      <c r="B27" s="7"/>
      <c r="C27" s="14"/>
      <c r="D27" s="14"/>
      <c r="E27" s="14"/>
      <c r="F27" s="14"/>
      <c r="G27" s="8"/>
      <c r="H27" s="24">
        <f t="shared" si="0"/>
        <v>0</v>
      </c>
      <c r="I27" s="34">
        <f t="shared" si="1"/>
        <v>0</v>
      </c>
      <c r="J27" s="10"/>
      <c r="K27" s="12"/>
      <c r="L27" s="11"/>
      <c r="M27" s="32"/>
      <c r="N27" s="25">
        <f t="shared" si="2"/>
        <v>0</v>
      </c>
      <c r="O27" s="25">
        <f t="shared" si="3"/>
        <v>0</v>
      </c>
      <c r="P27" s="25">
        <f t="shared" si="4"/>
        <v>0</v>
      </c>
      <c r="Q27" s="26">
        <f t="shared" si="5"/>
        <v>0</v>
      </c>
      <c r="R27" s="27">
        <f t="shared" si="6"/>
        <v>0</v>
      </c>
      <c r="S27" s="28">
        <f t="shared" si="7"/>
        <v>0</v>
      </c>
    </row>
    <row r="28" spans="2:19" hidden="1">
      <c r="B28" s="7"/>
      <c r="C28" s="14"/>
      <c r="D28" s="14"/>
      <c r="E28" s="14"/>
      <c r="F28" s="14"/>
      <c r="G28" s="8"/>
      <c r="H28" s="24">
        <f t="shared" si="0"/>
        <v>0</v>
      </c>
      <c r="I28" s="34">
        <f t="shared" si="1"/>
        <v>0</v>
      </c>
      <c r="J28" s="10"/>
      <c r="K28" s="12"/>
      <c r="L28" s="11"/>
      <c r="M28" s="32"/>
      <c r="N28" s="25">
        <f t="shared" si="2"/>
        <v>0</v>
      </c>
      <c r="O28" s="25">
        <f t="shared" si="3"/>
        <v>0</v>
      </c>
      <c r="P28" s="25">
        <f t="shared" si="4"/>
        <v>0</v>
      </c>
      <c r="Q28" s="26">
        <f t="shared" si="5"/>
        <v>0</v>
      </c>
      <c r="R28" s="27">
        <f t="shared" si="6"/>
        <v>0</v>
      </c>
      <c r="S28" s="28">
        <f t="shared" si="7"/>
        <v>0</v>
      </c>
    </row>
    <row r="29" spans="2:19" hidden="1">
      <c r="B29" s="7"/>
      <c r="C29" s="14"/>
      <c r="D29" s="14"/>
      <c r="E29" s="14"/>
      <c r="F29" s="14"/>
      <c r="G29" s="8"/>
      <c r="H29" s="24">
        <f t="shared" si="0"/>
        <v>0</v>
      </c>
      <c r="I29" s="34">
        <f t="shared" si="1"/>
        <v>0</v>
      </c>
      <c r="J29" s="10"/>
      <c r="K29" s="12"/>
      <c r="L29" s="11"/>
      <c r="M29" s="32"/>
      <c r="N29" s="25">
        <f t="shared" si="2"/>
        <v>0</v>
      </c>
      <c r="O29" s="25">
        <f t="shared" si="3"/>
        <v>0</v>
      </c>
      <c r="P29" s="25">
        <f t="shared" si="4"/>
        <v>0</v>
      </c>
      <c r="Q29" s="26">
        <f t="shared" si="5"/>
        <v>0</v>
      </c>
      <c r="R29" s="27">
        <f t="shared" si="6"/>
        <v>0</v>
      </c>
      <c r="S29" s="28">
        <f t="shared" si="7"/>
        <v>0</v>
      </c>
    </row>
    <row r="30" spans="2:19" hidden="1">
      <c r="B30" s="7"/>
      <c r="C30" s="14"/>
      <c r="D30" s="14"/>
      <c r="E30" s="14"/>
      <c r="F30" s="14"/>
      <c r="G30" s="8"/>
      <c r="H30" s="24">
        <f t="shared" si="0"/>
        <v>0</v>
      </c>
      <c r="I30" s="34">
        <f t="shared" si="1"/>
        <v>0</v>
      </c>
      <c r="J30" s="10"/>
      <c r="K30" s="12"/>
      <c r="L30" s="11"/>
      <c r="M30" s="32"/>
      <c r="N30" s="25">
        <f t="shared" si="2"/>
        <v>0</v>
      </c>
      <c r="O30" s="25">
        <f t="shared" si="3"/>
        <v>0</v>
      </c>
      <c r="P30" s="25">
        <f t="shared" si="4"/>
        <v>0</v>
      </c>
      <c r="Q30" s="26">
        <f t="shared" si="5"/>
        <v>0</v>
      </c>
      <c r="R30" s="27">
        <f t="shared" si="6"/>
        <v>0</v>
      </c>
      <c r="S30" s="28">
        <f t="shared" si="7"/>
        <v>0</v>
      </c>
    </row>
    <row r="31" spans="2:19" hidden="1">
      <c r="B31" s="7"/>
      <c r="C31" s="14"/>
      <c r="D31" s="14"/>
      <c r="E31" s="14"/>
      <c r="F31" s="14"/>
      <c r="G31" s="8"/>
      <c r="H31" s="24">
        <f t="shared" si="0"/>
        <v>0</v>
      </c>
      <c r="I31" s="34">
        <f t="shared" si="1"/>
        <v>0</v>
      </c>
      <c r="J31" s="10"/>
      <c r="K31" s="12"/>
      <c r="L31" s="11"/>
      <c r="M31" s="32"/>
      <c r="N31" s="25">
        <f t="shared" si="2"/>
        <v>0</v>
      </c>
      <c r="O31" s="25">
        <f t="shared" si="3"/>
        <v>0</v>
      </c>
      <c r="P31" s="25">
        <f t="shared" si="4"/>
        <v>0</v>
      </c>
      <c r="Q31" s="26">
        <f t="shared" si="5"/>
        <v>0</v>
      </c>
      <c r="R31" s="27">
        <f t="shared" si="6"/>
        <v>0</v>
      </c>
      <c r="S31" s="28">
        <f t="shared" si="7"/>
        <v>0</v>
      </c>
    </row>
    <row r="32" spans="2:19" hidden="1">
      <c r="B32" s="7"/>
      <c r="C32" s="14"/>
      <c r="D32" s="14"/>
      <c r="E32" s="14"/>
      <c r="F32" s="14"/>
      <c r="G32" s="8"/>
      <c r="H32" s="24">
        <f t="shared" si="0"/>
        <v>0</v>
      </c>
      <c r="I32" s="34">
        <f t="shared" si="1"/>
        <v>0</v>
      </c>
      <c r="J32" s="10"/>
      <c r="K32" s="12"/>
      <c r="L32" s="11"/>
      <c r="M32" s="32"/>
      <c r="N32" s="25">
        <f t="shared" si="2"/>
        <v>0</v>
      </c>
      <c r="O32" s="25">
        <f t="shared" si="3"/>
        <v>0</v>
      </c>
      <c r="P32" s="25">
        <f t="shared" si="4"/>
        <v>0</v>
      </c>
      <c r="Q32" s="26">
        <f t="shared" si="5"/>
        <v>0</v>
      </c>
      <c r="R32" s="27">
        <f t="shared" si="6"/>
        <v>0</v>
      </c>
      <c r="S32" s="28">
        <f t="shared" si="7"/>
        <v>0</v>
      </c>
    </row>
    <row r="33" spans="2:19" hidden="1">
      <c r="B33" s="7"/>
      <c r="C33" s="14"/>
      <c r="D33" s="14"/>
      <c r="E33" s="14"/>
      <c r="F33" s="14"/>
      <c r="G33" s="8"/>
      <c r="H33" s="24">
        <f t="shared" si="0"/>
        <v>0</v>
      </c>
      <c r="I33" s="34">
        <f t="shared" si="1"/>
        <v>0</v>
      </c>
      <c r="J33" s="10"/>
      <c r="K33" s="12"/>
      <c r="L33" s="11"/>
      <c r="M33" s="32"/>
      <c r="N33" s="25">
        <f t="shared" si="2"/>
        <v>0</v>
      </c>
      <c r="O33" s="25">
        <f t="shared" si="3"/>
        <v>0</v>
      </c>
      <c r="P33" s="25">
        <f t="shared" si="4"/>
        <v>0</v>
      </c>
      <c r="Q33" s="26">
        <f t="shared" si="5"/>
        <v>0</v>
      </c>
      <c r="R33" s="27">
        <f t="shared" si="6"/>
        <v>0</v>
      </c>
      <c r="S33" s="28">
        <f t="shared" si="7"/>
        <v>0</v>
      </c>
    </row>
    <row r="34" spans="2:19" hidden="1">
      <c r="B34" s="7"/>
      <c r="C34" s="14"/>
      <c r="D34" s="14"/>
      <c r="E34" s="14"/>
      <c r="F34" s="14"/>
      <c r="G34" s="8"/>
      <c r="H34" s="24">
        <f t="shared" si="0"/>
        <v>0</v>
      </c>
      <c r="I34" s="34">
        <f t="shared" ref="I34:I78" si="8">L34-(L34*J34)</f>
        <v>0</v>
      </c>
      <c r="J34" s="10"/>
      <c r="K34" s="12"/>
      <c r="L34" s="11"/>
      <c r="M34" s="32"/>
      <c r="N34" s="25">
        <f t="shared" ref="N34:N78" si="9">I34*C34</f>
        <v>0</v>
      </c>
      <c r="O34" s="25">
        <f t="shared" ref="O34:O78" si="10">I34*D34</f>
        <v>0</v>
      </c>
      <c r="P34" s="25">
        <f t="shared" ref="P34:P78" si="11">I34*E34</f>
        <v>0</v>
      </c>
      <c r="Q34" s="26">
        <f t="shared" ref="Q34:Q78" si="12">I34*F34</f>
        <v>0</v>
      </c>
      <c r="R34" s="27">
        <f t="shared" ref="R34:R78" si="13">I34*G34</f>
        <v>0</v>
      </c>
      <c r="S34" s="28">
        <f t="shared" si="7"/>
        <v>0</v>
      </c>
    </row>
    <row r="35" spans="2:19" hidden="1">
      <c r="B35" s="7"/>
      <c r="C35" s="14"/>
      <c r="D35" s="14"/>
      <c r="E35" s="14"/>
      <c r="F35" s="14"/>
      <c r="G35" s="8"/>
      <c r="H35" s="24">
        <f t="shared" si="0"/>
        <v>0</v>
      </c>
      <c r="I35" s="34">
        <f t="shared" si="8"/>
        <v>0</v>
      </c>
      <c r="J35" s="10"/>
      <c r="K35" s="12"/>
      <c r="L35" s="11"/>
      <c r="M35" s="32"/>
      <c r="N35" s="25">
        <f t="shared" si="9"/>
        <v>0</v>
      </c>
      <c r="O35" s="25">
        <f t="shared" si="10"/>
        <v>0</v>
      </c>
      <c r="P35" s="25">
        <f t="shared" si="11"/>
        <v>0</v>
      </c>
      <c r="Q35" s="26">
        <f t="shared" si="12"/>
        <v>0</v>
      </c>
      <c r="R35" s="27">
        <f t="shared" si="13"/>
        <v>0</v>
      </c>
      <c r="S35" s="28">
        <f t="shared" si="7"/>
        <v>0</v>
      </c>
    </row>
    <row r="36" spans="2:19" hidden="1">
      <c r="B36" s="7"/>
      <c r="C36" s="14"/>
      <c r="D36" s="14"/>
      <c r="E36" s="14"/>
      <c r="F36" s="14"/>
      <c r="G36" s="8"/>
      <c r="H36" s="24">
        <f t="shared" si="0"/>
        <v>0</v>
      </c>
      <c r="I36" s="34">
        <f t="shared" si="8"/>
        <v>0</v>
      </c>
      <c r="J36" s="10"/>
      <c r="K36" s="12"/>
      <c r="L36" s="11"/>
      <c r="M36" s="32"/>
      <c r="N36" s="25">
        <f t="shared" si="9"/>
        <v>0</v>
      </c>
      <c r="O36" s="25">
        <f t="shared" si="10"/>
        <v>0</v>
      </c>
      <c r="P36" s="25">
        <f t="shared" si="11"/>
        <v>0</v>
      </c>
      <c r="Q36" s="26">
        <f t="shared" si="12"/>
        <v>0</v>
      </c>
      <c r="R36" s="27">
        <f t="shared" si="13"/>
        <v>0</v>
      </c>
      <c r="S36" s="28">
        <f t="shared" si="7"/>
        <v>0</v>
      </c>
    </row>
    <row r="37" spans="2:19" hidden="1">
      <c r="B37" s="7"/>
      <c r="C37" s="14"/>
      <c r="D37" s="14"/>
      <c r="E37" s="14"/>
      <c r="F37" s="14"/>
      <c r="G37" s="8"/>
      <c r="H37" s="24">
        <f t="shared" si="0"/>
        <v>0</v>
      </c>
      <c r="I37" s="34">
        <f t="shared" si="8"/>
        <v>0</v>
      </c>
      <c r="J37" s="10"/>
      <c r="K37" s="12"/>
      <c r="L37" s="11"/>
      <c r="M37" s="32"/>
      <c r="N37" s="25">
        <f t="shared" si="9"/>
        <v>0</v>
      </c>
      <c r="O37" s="25">
        <f t="shared" si="10"/>
        <v>0</v>
      </c>
      <c r="P37" s="25">
        <f t="shared" si="11"/>
        <v>0</v>
      </c>
      <c r="Q37" s="26">
        <f t="shared" si="12"/>
        <v>0</v>
      </c>
      <c r="R37" s="27">
        <f t="shared" si="13"/>
        <v>0</v>
      </c>
      <c r="S37" s="28">
        <f t="shared" si="7"/>
        <v>0</v>
      </c>
    </row>
    <row r="38" spans="2:19" hidden="1">
      <c r="B38" s="7"/>
      <c r="C38" s="14"/>
      <c r="D38" s="14"/>
      <c r="E38" s="14"/>
      <c r="F38" s="14"/>
      <c r="G38" s="8"/>
      <c r="H38" s="24">
        <f t="shared" si="0"/>
        <v>0</v>
      </c>
      <c r="I38" s="34">
        <f t="shared" si="8"/>
        <v>0</v>
      </c>
      <c r="J38" s="10"/>
      <c r="K38" s="12"/>
      <c r="L38" s="11"/>
      <c r="M38" s="32"/>
      <c r="N38" s="25">
        <f t="shared" si="9"/>
        <v>0</v>
      </c>
      <c r="O38" s="25">
        <f t="shared" si="10"/>
        <v>0</v>
      </c>
      <c r="P38" s="25">
        <f t="shared" si="11"/>
        <v>0</v>
      </c>
      <c r="Q38" s="26">
        <f t="shared" si="12"/>
        <v>0</v>
      </c>
      <c r="R38" s="27">
        <f t="shared" si="13"/>
        <v>0</v>
      </c>
      <c r="S38" s="28">
        <f t="shared" si="7"/>
        <v>0</v>
      </c>
    </row>
    <row r="39" spans="2:19" hidden="1">
      <c r="B39" s="7"/>
      <c r="C39" s="14"/>
      <c r="D39" s="14"/>
      <c r="E39" s="14"/>
      <c r="F39" s="14"/>
      <c r="G39" s="8"/>
      <c r="H39" s="24">
        <f t="shared" si="0"/>
        <v>0</v>
      </c>
      <c r="I39" s="34">
        <f t="shared" si="8"/>
        <v>0</v>
      </c>
      <c r="J39" s="10"/>
      <c r="K39" s="12"/>
      <c r="L39" s="11"/>
      <c r="M39" s="32"/>
      <c r="N39" s="25">
        <f t="shared" si="9"/>
        <v>0</v>
      </c>
      <c r="O39" s="25">
        <f t="shared" si="10"/>
        <v>0</v>
      </c>
      <c r="P39" s="25">
        <f t="shared" si="11"/>
        <v>0</v>
      </c>
      <c r="Q39" s="26">
        <f t="shared" si="12"/>
        <v>0</v>
      </c>
      <c r="R39" s="27">
        <f t="shared" si="13"/>
        <v>0</v>
      </c>
      <c r="S39" s="28">
        <f t="shared" si="7"/>
        <v>0</v>
      </c>
    </row>
    <row r="40" spans="2:19" hidden="1">
      <c r="B40" s="7"/>
      <c r="C40" s="14"/>
      <c r="D40" s="14"/>
      <c r="E40" s="14"/>
      <c r="F40" s="14"/>
      <c r="G40" s="8"/>
      <c r="H40" s="24">
        <f t="shared" si="0"/>
        <v>0</v>
      </c>
      <c r="I40" s="34">
        <f t="shared" si="8"/>
        <v>0</v>
      </c>
      <c r="J40" s="10"/>
      <c r="K40" s="12"/>
      <c r="L40" s="11"/>
      <c r="M40" s="32"/>
      <c r="N40" s="25">
        <f t="shared" si="9"/>
        <v>0</v>
      </c>
      <c r="O40" s="25">
        <f t="shared" si="10"/>
        <v>0</v>
      </c>
      <c r="P40" s="25">
        <f t="shared" si="11"/>
        <v>0</v>
      </c>
      <c r="Q40" s="26">
        <f t="shared" si="12"/>
        <v>0</v>
      </c>
      <c r="R40" s="27">
        <f t="shared" si="13"/>
        <v>0</v>
      </c>
      <c r="S40" s="28">
        <f t="shared" si="7"/>
        <v>0</v>
      </c>
    </row>
    <row r="41" spans="2:19" hidden="1">
      <c r="B41" s="7"/>
      <c r="C41" s="14"/>
      <c r="D41" s="14"/>
      <c r="E41" s="14"/>
      <c r="F41" s="14"/>
      <c r="G41" s="8"/>
      <c r="H41" s="24">
        <f t="shared" si="0"/>
        <v>0</v>
      </c>
      <c r="I41" s="34">
        <f t="shared" si="8"/>
        <v>0</v>
      </c>
      <c r="J41" s="10"/>
      <c r="K41" s="12"/>
      <c r="L41" s="11"/>
      <c r="M41" s="32"/>
      <c r="N41" s="25">
        <f t="shared" si="9"/>
        <v>0</v>
      </c>
      <c r="O41" s="25">
        <f t="shared" si="10"/>
        <v>0</v>
      </c>
      <c r="P41" s="25">
        <f t="shared" si="11"/>
        <v>0</v>
      </c>
      <c r="Q41" s="26">
        <f t="shared" si="12"/>
        <v>0</v>
      </c>
      <c r="R41" s="27">
        <f t="shared" si="13"/>
        <v>0</v>
      </c>
      <c r="S41" s="28">
        <f t="shared" si="7"/>
        <v>0</v>
      </c>
    </row>
    <row r="42" spans="2:19" hidden="1">
      <c r="B42" s="7"/>
      <c r="C42" s="14"/>
      <c r="D42" s="14"/>
      <c r="E42" s="14"/>
      <c r="F42" s="14"/>
      <c r="G42" s="8"/>
      <c r="H42" s="24">
        <f t="shared" si="0"/>
        <v>0</v>
      </c>
      <c r="I42" s="34">
        <f t="shared" si="8"/>
        <v>0</v>
      </c>
      <c r="J42" s="10"/>
      <c r="K42" s="12"/>
      <c r="L42" s="11"/>
      <c r="M42" s="32"/>
      <c r="N42" s="25">
        <f t="shared" si="9"/>
        <v>0</v>
      </c>
      <c r="O42" s="25">
        <f t="shared" si="10"/>
        <v>0</v>
      </c>
      <c r="P42" s="25">
        <f t="shared" si="11"/>
        <v>0</v>
      </c>
      <c r="Q42" s="26">
        <f t="shared" si="12"/>
        <v>0</v>
      </c>
      <c r="R42" s="27">
        <f t="shared" si="13"/>
        <v>0</v>
      </c>
      <c r="S42" s="28">
        <f t="shared" si="7"/>
        <v>0</v>
      </c>
    </row>
    <row r="43" spans="2:19" hidden="1">
      <c r="B43" s="7"/>
      <c r="C43" s="14"/>
      <c r="D43" s="14"/>
      <c r="E43" s="14"/>
      <c r="F43" s="14"/>
      <c r="G43" s="8"/>
      <c r="H43" s="24">
        <f t="shared" si="0"/>
        <v>0</v>
      </c>
      <c r="I43" s="34">
        <f t="shared" si="8"/>
        <v>0</v>
      </c>
      <c r="J43" s="10"/>
      <c r="K43" s="12"/>
      <c r="L43" s="11"/>
      <c r="M43" s="32"/>
      <c r="N43" s="25">
        <f t="shared" si="9"/>
        <v>0</v>
      </c>
      <c r="O43" s="25">
        <f t="shared" si="10"/>
        <v>0</v>
      </c>
      <c r="P43" s="25">
        <f t="shared" si="11"/>
        <v>0</v>
      </c>
      <c r="Q43" s="26">
        <f t="shared" si="12"/>
        <v>0</v>
      </c>
      <c r="R43" s="27">
        <f t="shared" si="13"/>
        <v>0</v>
      </c>
      <c r="S43" s="28">
        <f t="shared" si="7"/>
        <v>0</v>
      </c>
    </row>
    <row r="44" spans="2:19" hidden="1">
      <c r="B44" s="7"/>
      <c r="C44" s="14"/>
      <c r="D44" s="14"/>
      <c r="E44" s="14"/>
      <c r="F44" s="14"/>
      <c r="G44" s="8"/>
      <c r="H44" s="24">
        <f t="shared" si="0"/>
        <v>0</v>
      </c>
      <c r="I44" s="34">
        <f t="shared" si="8"/>
        <v>0</v>
      </c>
      <c r="J44" s="10"/>
      <c r="K44" s="12"/>
      <c r="L44" s="11"/>
      <c r="M44" s="32"/>
      <c r="N44" s="25">
        <f t="shared" si="9"/>
        <v>0</v>
      </c>
      <c r="O44" s="25">
        <f t="shared" si="10"/>
        <v>0</v>
      </c>
      <c r="P44" s="25">
        <f t="shared" si="11"/>
        <v>0</v>
      </c>
      <c r="Q44" s="26">
        <f t="shared" si="12"/>
        <v>0</v>
      </c>
      <c r="R44" s="27">
        <f t="shared" si="13"/>
        <v>0</v>
      </c>
      <c r="S44" s="28">
        <f t="shared" si="7"/>
        <v>0</v>
      </c>
    </row>
    <row r="45" spans="2:19" hidden="1">
      <c r="B45" s="7"/>
      <c r="C45" s="14"/>
      <c r="D45" s="14"/>
      <c r="E45" s="14"/>
      <c r="F45" s="14"/>
      <c r="G45" s="8"/>
      <c r="H45" s="24">
        <f t="shared" si="0"/>
        <v>0</v>
      </c>
      <c r="I45" s="34">
        <f t="shared" si="8"/>
        <v>0</v>
      </c>
      <c r="J45" s="10"/>
      <c r="K45" s="12"/>
      <c r="L45" s="11"/>
      <c r="M45" s="32"/>
      <c r="N45" s="25">
        <f t="shared" si="9"/>
        <v>0</v>
      </c>
      <c r="O45" s="25">
        <f t="shared" si="10"/>
        <v>0</v>
      </c>
      <c r="P45" s="25">
        <f t="shared" si="11"/>
        <v>0</v>
      </c>
      <c r="Q45" s="26">
        <f t="shared" si="12"/>
        <v>0</v>
      </c>
      <c r="R45" s="27">
        <f t="shared" si="13"/>
        <v>0</v>
      </c>
      <c r="S45" s="28">
        <f t="shared" si="7"/>
        <v>0</v>
      </c>
    </row>
    <row r="46" spans="2:19" hidden="1">
      <c r="B46" s="7"/>
      <c r="C46" s="14"/>
      <c r="D46" s="14"/>
      <c r="E46" s="14"/>
      <c r="F46" s="14"/>
      <c r="G46" s="8"/>
      <c r="H46" s="24">
        <f t="shared" si="0"/>
        <v>0</v>
      </c>
      <c r="I46" s="34">
        <f t="shared" si="8"/>
        <v>0</v>
      </c>
      <c r="J46" s="10"/>
      <c r="K46" s="12"/>
      <c r="L46" s="11"/>
      <c r="M46" s="32"/>
      <c r="N46" s="25">
        <f t="shared" si="9"/>
        <v>0</v>
      </c>
      <c r="O46" s="25">
        <f t="shared" si="10"/>
        <v>0</v>
      </c>
      <c r="P46" s="25">
        <f t="shared" si="11"/>
        <v>0</v>
      </c>
      <c r="Q46" s="26">
        <f t="shared" si="12"/>
        <v>0</v>
      </c>
      <c r="R46" s="27">
        <f t="shared" si="13"/>
        <v>0</v>
      </c>
      <c r="S46" s="28">
        <f t="shared" si="7"/>
        <v>0</v>
      </c>
    </row>
    <row r="47" spans="2:19" hidden="1">
      <c r="B47" s="7"/>
      <c r="C47" s="14"/>
      <c r="D47" s="14"/>
      <c r="E47" s="14"/>
      <c r="F47" s="14"/>
      <c r="G47" s="8"/>
      <c r="H47" s="24">
        <f t="shared" si="0"/>
        <v>0</v>
      </c>
      <c r="I47" s="34">
        <f t="shared" si="8"/>
        <v>0</v>
      </c>
      <c r="J47" s="10"/>
      <c r="K47" s="12"/>
      <c r="L47" s="11"/>
      <c r="M47" s="32"/>
      <c r="N47" s="25">
        <f t="shared" si="9"/>
        <v>0</v>
      </c>
      <c r="O47" s="25">
        <f t="shared" si="10"/>
        <v>0</v>
      </c>
      <c r="P47" s="25">
        <f t="shared" si="11"/>
        <v>0</v>
      </c>
      <c r="Q47" s="26">
        <f t="shared" si="12"/>
        <v>0</v>
      </c>
      <c r="R47" s="27">
        <f t="shared" si="13"/>
        <v>0</v>
      </c>
      <c r="S47" s="28">
        <f t="shared" si="7"/>
        <v>0</v>
      </c>
    </row>
    <row r="48" spans="2:19" hidden="1">
      <c r="B48" s="7"/>
      <c r="C48" s="14"/>
      <c r="D48" s="14"/>
      <c r="E48" s="14"/>
      <c r="F48" s="14"/>
      <c r="G48" s="8"/>
      <c r="H48" s="24">
        <f t="shared" si="0"/>
        <v>0</v>
      </c>
      <c r="I48" s="34">
        <f t="shared" si="8"/>
        <v>0</v>
      </c>
      <c r="J48" s="10"/>
      <c r="K48" s="12"/>
      <c r="L48" s="11"/>
      <c r="M48" s="32"/>
      <c r="N48" s="25">
        <f t="shared" si="9"/>
        <v>0</v>
      </c>
      <c r="O48" s="25">
        <f t="shared" si="10"/>
        <v>0</v>
      </c>
      <c r="P48" s="25">
        <f t="shared" si="11"/>
        <v>0</v>
      </c>
      <c r="Q48" s="26">
        <f t="shared" si="12"/>
        <v>0</v>
      </c>
      <c r="R48" s="27">
        <f t="shared" si="13"/>
        <v>0</v>
      </c>
      <c r="S48" s="28">
        <f t="shared" si="7"/>
        <v>0</v>
      </c>
    </row>
    <row r="49" spans="2:19" hidden="1">
      <c r="B49" s="7"/>
      <c r="C49" s="14"/>
      <c r="D49" s="14"/>
      <c r="E49" s="14"/>
      <c r="F49" s="14"/>
      <c r="G49" s="8"/>
      <c r="H49" s="24">
        <f t="shared" si="0"/>
        <v>0</v>
      </c>
      <c r="I49" s="34">
        <f t="shared" si="8"/>
        <v>0</v>
      </c>
      <c r="J49" s="10"/>
      <c r="K49" s="12"/>
      <c r="L49" s="11"/>
      <c r="M49" s="32"/>
      <c r="N49" s="25">
        <f t="shared" si="9"/>
        <v>0</v>
      </c>
      <c r="O49" s="25">
        <f t="shared" si="10"/>
        <v>0</v>
      </c>
      <c r="P49" s="25">
        <f t="shared" si="11"/>
        <v>0</v>
      </c>
      <c r="Q49" s="26">
        <f t="shared" si="12"/>
        <v>0</v>
      </c>
      <c r="R49" s="27">
        <f t="shared" si="13"/>
        <v>0</v>
      </c>
      <c r="S49" s="28">
        <f t="shared" si="7"/>
        <v>0</v>
      </c>
    </row>
    <row r="50" spans="2:19" hidden="1">
      <c r="B50" s="7"/>
      <c r="C50" s="14"/>
      <c r="D50" s="14"/>
      <c r="E50" s="14"/>
      <c r="F50" s="14"/>
      <c r="G50" s="8"/>
      <c r="H50" s="24">
        <f t="shared" si="0"/>
        <v>0</v>
      </c>
      <c r="I50" s="34">
        <f t="shared" si="8"/>
        <v>0</v>
      </c>
      <c r="J50" s="10"/>
      <c r="K50" s="12"/>
      <c r="L50" s="11"/>
      <c r="M50" s="32"/>
      <c r="N50" s="25">
        <f t="shared" si="9"/>
        <v>0</v>
      </c>
      <c r="O50" s="25">
        <f t="shared" si="10"/>
        <v>0</v>
      </c>
      <c r="P50" s="25">
        <f t="shared" si="11"/>
        <v>0</v>
      </c>
      <c r="Q50" s="26">
        <f t="shared" si="12"/>
        <v>0</v>
      </c>
      <c r="R50" s="27">
        <f t="shared" si="13"/>
        <v>0</v>
      </c>
      <c r="S50" s="28">
        <f t="shared" si="7"/>
        <v>0</v>
      </c>
    </row>
    <row r="51" spans="2:19" hidden="1">
      <c r="B51" s="7"/>
      <c r="C51" s="14"/>
      <c r="D51" s="14"/>
      <c r="E51" s="14"/>
      <c r="F51" s="14"/>
      <c r="G51" s="8"/>
      <c r="H51" s="24">
        <f t="shared" si="0"/>
        <v>0</v>
      </c>
      <c r="I51" s="34">
        <f t="shared" si="8"/>
        <v>0</v>
      </c>
      <c r="J51" s="10"/>
      <c r="K51" s="12"/>
      <c r="L51" s="11"/>
      <c r="M51" s="32"/>
      <c r="N51" s="25">
        <f t="shared" si="9"/>
        <v>0</v>
      </c>
      <c r="O51" s="25">
        <f t="shared" si="10"/>
        <v>0</v>
      </c>
      <c r="P51" s="25">
        <f t="shared" si="11"/>
        <v>0</v>
      </c>
      <c r="Q51" s="26">
        <f t="shared" si="12"/>
        <v>0</v>
      </c>
      <c r="R51" s="27">
        <f t="shared" si="13"/>
        <v>0</v>
      </c>
      <c r="S51" s="28">
        <f t="shared" si="7"/>
        <v>0</v>
      </c>
    </row>
    <row r="52" spans="2:19" hidden="1">
      <c r="B52" s="7"/>
      <c r="C52" s="14"/>
      <c r="D52" s="14"/>
      <c r="E52" s="14"/>
      <c r="F52" s="14"/>
      <c r="G52" s="8"/>
      <c r="H52" s="24">
        <f t="shared" si="0"/>
        <v>0</v>
      </c>
      <c r="I52" s="34">
        <f t="shared" si="8"/>
        <v>0</v>
      </c>
      <c r="J52" s="10"/>
      <c r="K52" s="12"/>
      <c r="L52" s="11"/>
      <c r="M52" s="32"/>
      <c r="N52" s="25">
        <f t="shared" si="9"/>
        <v>0</v>
      </c>
      <c r="O52" s="25">
        <f t="shared" si="10"/>
        <v>0</v>
      </c>
      <c r="P52" s="25">
        <f t="shared" si="11"/>
        <v>0</v>
      </c>
      <c r="Q52" s="26">
        <f t="shared" si="12"/>
        <v>0</v>
      </c>
      <c r="R52" s="27">
        <f t="shared" si="13"/>
        <v>0</v>
      </c>
      <c r="S52" s="28">
        <f t="shared" si="7"/>
        <v>0</v>
      </c>
    </row>
    <row r="53" spans="2:19" hidden="1">
      <c r="B53" s="7"/>
      <c r="C53" s="14"/>
      <c r="D53" s="14"/>
      <c r="E53" s="14"/>
      <c r="F53" s="14"/>
      <c r="G53" s="8"/>
      <c r="H53" s="24">
        <f t="shared" si="0"/>
        <v>0</v>
      </c>
      <c r="I53" s="34">
        <f t="shared" si="8"/>
        <v>0</v>
      </c>
      <c r="J53" s="10"/>
      <c r="K53" s="12"/>
      <c r="L53" s="11"/>
      <c r="M53" s="32"/>
      <c r="N53" s="25">
        <f t="shared" si="9"/>
        <v>0</v>
      </c>
      <c r="O53" s="25">
        <f t="shared" si="10"/>
        <v>0</v>
      </c>
      <c r="P53" s="25">
        <f t="shared" si="11"/>
        <v>0</v>
      </c>
      <c r="Q53" s="26">
        <f t="shared" si="12"/>
        <v>0</v>
      </c>
      <c r="R53" s="27">
        <f t="shared" si="13"/>
        <v>0</v>
      </c>
      <c r="S53" s="28">
        <f t="shared" si="7"/>
        <v>0</v>
      </c>
    </row>
    <row r="54" spans="2:19" hidden="1">
      <c r="B54" s="7"/>
      <c r="C54" s="14"/>
      <c r="D54" s="14"/>
      <c r="E54" s="14"/>
      <c r="F54" s="14"/>
      <c r="G54" s="8"/>
      <c r="H54" s="24">
        <f t="shared" si="0"/>
        <v>0</v>
      </c>
      <c r="I54" s="34">
        <f t="shared" si="8"/>
        <v>0</v>
      </c>
      <c r="J54" s="10"/>
      <c r="K54" s="12"/>
      <c r="L54" s="11"/>
      <c r="M54" s="32"/>
      <c r="N54" s="25">
        <f t="shared" si="9"/>
        <v>0</v>
      </c>
      <c r="O54" s="25">
        <f t="shared" si="10"/>
        <v>0</v>
      </c>
      <c r="P54" s="25">
        <f t="shared" si="11"/>
        <v>0</v>
      </c>
      <c r="Q54" s="26">
        <f t="shared" si="12"/>
        <v>0</v>
      </c>
      <c r="R54" s="27">
        <f t="shared" si="13"/>
        <v>0</v>
      </c>
      <c r="S54" s="28">
        <f t="shared" si="7"/>
        <v>0</v>
      </c>
    </row>
    <row r="55" spans="2:19" hidden="1">
      <c r="B55" s="7"/>
      <c r="C55" s="14"/>
      <c r="D55" s="14"/>
      <c r="E55" s="14"/>
      <c r="F55" s="14"/>
      <c r="G55" s="8"/>
      <c r="H55" s="24">
        <f t="shared" si="0"/>
        <v>0</v>
      </c>
      <c r="I55" s="34">
        <f t="shared" si="8"/>
        <v>0</v>
      </c>
      <c r="J55" s="10"/>
      <c r="K55" s="12"/>
      <c r="L55" s="11"/>
      <c r="M55" s="32"/>
      <c r="N55" s="25">
        <f t="shared" si="9"/>
        <v>0</v>
      </c>
      <c r="O55" s="25">
        <f t="shared" si="10"/>
        <v>0</v>
      </c>
      <c r="P55" s="25">
        <f t="shared" si="11"/>
        <v>0</v>
      </c>
      <c r="Q55" s="26">
        <f t="shared" si="12"/>
        <v>0</v>
      </c>
      <c r="R55" s="27">
        <f t="shared" si="13"/>
        <v>0</v>
      </c>
      <c r="S55" s="28">
        <f t="shared" si="7"/>
        <v>0</v>
      </c>
    </row>
    <row r="56" spans="2:19" hidden="1">
      <c r="B56" s="7"/>
      <c r="C56" s="14"/>
      <c r="D56" s="14"/>
      <c r="E56" s="14"/>
      <c r="F56" s="14"/>
      <c r="G56" s="8"/>
      <c r="H56" s="24">
        <f t="shared" si="0"/>
        <v>0</v>
      </c>
      <c r="I56" s="34">
        <f t="shared" si="8"/>
        <v>0</v>
      </c>
      <c r="J56" s="10"/>
      <c r="K56" s="12"/>
      <c r="L56" s="11"/>
      <c r="M56" s="32"/>
      <c r="N56" s="25">
        <f t="shared" si="9"/>
        <v>0</v>
      </c>
      <c r="O56" s="25">
        <f t="shared" si="10"/>
        <v>0</v>
      </c>
      <c r="P56" s="25">
        <f t="shared" si="11"/>
        <v>0</v>
      </c>
      <c r="Q56" s="26">
        <f t="shared" si="12"/>
        <v>0</v>
      </c>
      <c r="R56" s="27">
        <f t="shared" si="13"/>
        <v>0</v>
      </c>
      <c r="S56" s="28">
        <f t="shared" si="7"/>
        <v>0</v>
      </c>
    </row>
    <row r="57" spans="2:19" hidden="1">
      <c r="B57" s="7"/>
      <c r="C57" s="14"/>
      <c r="D57" s="14"/>
      <c r="E57" s="14"/>
      <c r="F57" s="14"/>
      <c r="G57" s="8"/>
      <c r="H57" s="24">
        <f t="shared" si="0"/>
        <v>0</v>
      </c>
      <c r="I57" s="34">
        <f t="shared" si="8"/>
        <v>0</v>
      </c>
      <c r="J57" s="10"/>
      <c r="K57" s="12"/>
      <c r="L57" s="11"/>
      <c r="M57" s="32"/>
      <c r="N57" s="25">
        <f t="shared" si="9"/>
        <v>0</v>
      </c>
      <c r="O57" s="25">
        <f t="shared" si="10"/>
        <v>0</v>
      </c>
      <c r="P57" s="25">
        <f t="shared" si="11"/>
        <v>0</v>
      </c>
      <c r="Q57" s="26">
        <f t="shared" si="12"/>
        <v>0</v>
      </c>
      <c r="R57" s="27">
        <f t="shared" si="13"/>
        <v>0</v>
      </c>
      <c r="S57" s="28">
        <f t="shared" si="7"/>
        <v>0</v>
      </c>
    </row>
    <row r="58" spans="2:19" hidden="1">
      <c r="B58" s="7"/>
      <c r="C58" s="14"/>
      <c r="D58" s="14"/>
      <c r="E58" s="14"/>
      <c r="F58" s="14"/>
      <c r="G58" s="8"/>
      <c r="H58" s="24">
        <f t="shared" si="0"/>
        <v>0</v>
      </c>
      <c r="I58" s="34">
        <f t="shared" si="8"/>
        <v>0</v>
      </c>
      <c r="J58" s="10"/>
      <c r="K58" s="12"/>
      <c r="L58" s="11"/>
      <c r="M58" s="32"/>
      <c r="N58" s="25">
        <f t="shared" si="9"/>
        <v>0</v>
      </c>
      <c r="O58" s="25">
        <f t="shared" si="10"/>
        <v>0</v>
      </c>
      <c r="P58" s="25">
        <f t="shared" si="11"/>
        <v>0</v>
      </c>
      <c r="Q58" s="26">
        <f t="shared" si="12"/>
        <v>0</v>
      </c>
      <c r="R58" s="27">
        <f t="shared" si="13"/>
        <v>0</v>
      </c>
      <c r="S58" s="28">
        <f t="shared" si="7"/>
        <v>0</v>
      </c>
    </row>
    <row r="59" spans="2:19" hidden="1">
      <c r="B59" s="7"/>
      <c r="C59" s="14"/>
      <c r="D59" s="14"/>
      <c r="E59" s="14"/>
      <c r="F59" s="14"/>
      <c r="G59" s="8"/>
      <c r="H59" s="24">
        <f t="shared" si="0"/>
        <v>0</v>
      </c>
      <c r="I59" s="34">
        <f t="shared" si="8"/>
        <v>0</v>
      </c>
      <c r="J59" s="10"/>
      <c r="K59" s="12"/>
      <c r="L59" s="11"/>
      <c r="M59" s="32"/>
      <c r="N59" s="25">
        <f t="shared" si="9"/>
        <v>0</v>
      </c>
      <c r="O59" s="25">
        <f t="shared" si="10"/>
        <v>0</v>
      </c>
      <c r="P59" s="25">
        <f t="shared" si="11"/>
        <v>0</v>
      </c>
      <c r="Q59" s="26">
        <f t="shared" si="12"/>
        <v>0</v>
      </c>
      <c r="R59" s="27">
        <f t="shared" si="13"/>
        <v>0</v>
      </c>
      <c r="S59" s="28">
        <f t="shared" si="7"/>
        <v>0</v>
      </c>
    </row>
    <row r="60" spans="2:19" hidden="1">
      <c r="B60" s="7"/>
      <c r="C60" s="14"/>
      <c r="D60" s="14"/>
      <c r="E60" s="14"/>
      <c r="F60" s="14"/>
      <c r="G60" s="8"/>
      <c r="H60" s="24">
        <f t="shared" si="0"/>
        <v>0</v>
      </c>
      <c r="I60" s="34">
        <f t="shared" si="8"/>
        <v>0</v>
      </c>
      <c r="J60" s="10"/>
      <c r="K60" s="12"/>
      <c r="L60" s="11"/>
      <c r="M60" s="32"/>
      <c r="N60" s="25">
        <f t="shared" si="9"/>
        <v>0</v>
      </c>
      <c r="O60" s="25">
        <f t="shared" si="10"/>
        <v>0</v>
      </c>
      <c r="P60" s="25">
        <f t="shared" si="11"/>
        <v>0</v>
      </c>
      <c r="Q60" s="26">
        <f t="shared" si="12"/>
        <v>0</v>
      </c>
      <c r="R60" s="27">
        <f t="shared" si="13"/>
        <v>0</v>
      </c>
      <c r="S60" s="28">
        <f t="shared" si="7"/>
        <v>0</v>
      </c>
    </row>
    <row r="61" spans="2:19" hidden="1">
      <c r="B61" s="7"/>
      <c r="C61" s="14"/>
      <c r="D61" s="14"/>
      <c r="E61" s="14"/>
      <c r="F61" s="14"/>
      <c r="G61" s="8"/>
      <c r="H61" s="24">
        <f t="shared" si="0"/>
        <v>0</v>
      </c>
      <c r="I61" s="34">
        <f t="shared" si="8"/>
        <v>0</v>
      </c>
      <c r="J61" s="10"/>
      <c r="K61" s="12"/>
      <c r="L61" s="11"/>
      <c r="M61" s="32"/>
      <c r="N61" s="25">
        <f t="shared" si="9"/>
        <v>0</v>
      </c>
      <c r="O61" s="25">
        <f t="shared" si="10"/>
        <v>0</v>
      </c>
      <c r="P61" s="25">
        <f t="shared" si="11"/>
        <v>0</v>
      </c>
      <c r="Q61" s="26">
        <f t="shared" si="12"/>
        <v>0</v>
      </c>
      <c r="R61" s="27">
        <f t="shared" si="13"/>
        <v>0</v>
      </c>
      <c r="S61" s="28">
        <f t="shared" si="7"/>
        <v>0</v>
      </c>
    </row>
    <row r="62" spans="2:19" hidden="1">
      <c r="B62" s="7"/>
      <c r="C62" s="14"/>
      <c r="D62" s="14"/>
      <c r="E62" s="14"/>
      <c r="F62" s="14"/>
      <c r="G62" s="8"/>
      <c r="H62" s="24">
        <f t="shared" si="0"/>
        <v>0</v>
      </c>
      <c r="I62" s="34">
        <f t="shared" si="8"/>
        <v>0</v>
      </c>
      <c r="J62" s="10"/>
      <c r="K62" s="12"/>
      <c r="L62" s="11"/>
      <c r="M62" s="32"/>
      <c r="N62" s="25">
        <f t="shared" si="9"/>
        <v>0</v>
      </c>
      <c r="O62" s="25">
        <f t="shared" si="10"/>
        <v>0</v>
      </c>
      <c r="P62" s="25">
        <f t="shared" si="11"/>
        <v>0</v>
      </c>
      <c r="Q62" s="26">
        <f t="shared" si="12"/>
        <v>0</v>
      </c>
      <c r="R62" s="27">
        <f t="shared" si="13"/>
        <v>0</v>
      </c>
      <c r="S62" s="28">
        <f t="shared" si="7"/>
        <v>0</v>
      </c>
    </row>
    <row r="63" spans="2:19" hidden="1">
      <c r="B63" s="7"/>
      <c r="C63" s="14"/>
      <c r="D63" s="14"/>
      <c r="E63" s="14"/>
      <c r="F63" s="14"/>
      <c r="G63" s="8"/>
      <c r="H63" s="24">
        <f t="shared" si="0"/>
        <v>0</v>
      </c>
      <c r="I63" s="34">
        <f t="shared" si="8"/>
        <v>0</v>
      </c>
      <c r="J63" s="10"/>
      <c r="K63" s="12"/>
      <c r="L63" s="11"/>
      <c r="M63" s="32"/>
      <c r="N63" s="25">
        <f t="shared" si="9"/>
        <v>0</v>
      </c>
      <c r="O63" s="25">
        <f t="shared" si="10"/>
        <v>0</v>
      </c>
      <c r="P63" s="25">
        <f t="shared" si="11"/>
        <v>0</v>
      </c>
      <c r="Q63" s="26">
        <f t="shared" si="12"/>
        <v>0</v>
      </c>
      <c r="R63" s="27">
        <f t="shared" si="13"/>
        <v>0</v>
      </c>
      <c r="S63" s="28">
        <f t="shared" si="7"/>
        <v>0</v>
      </c>
    </row>
    <row r="64" spans="2:19" hidden="1">
      <c r="B64" s="7"/>
      <c r="C64" s="14"/>
      <c r="D64" s="14"/>
      <c r="E64" s="14"/>
      <c r="F64" s="14"/>
      <c r="G64" s="8"/>
      <c r="H64" s="24">
        <f t="shared" si="0"/>
        <v>0</v>
      </c>
      <c r="I64" s="34">
        <f t="shared" si="8"/>
        <v>0</v>
      </c>
      <c r="J64" s="10"/>
      <c r="K64" s="12"/>
      <c r="L64" s="11"/>
      <c r="M64" s="32"/>
      <c r="N64" s="25">
        <f t="shared" si="9"/>
        <v>0</v>
      </c>
      <c r="O64" s="25">
        <f t="shared" si="10"/>
        <v>0</v>
      </c>
      <c r="P64" s="25">
        <f t="shared" si="11"/>
        <v>0</v>
      </c>
      <c r="Q64" s="26">
        <f t="shared" si="12"/>
        <v>0</v>
      </c>
      <c r="R64" s="27">
        <f t="shared" si="13"/>
        <v>0</v>
      </c>
      <c r="S64" s="28">
        <f t="shared" si="7"/>
        <v>0</v>
      </c>
    </row>
    <row r="65" spans="2:19" hidden="1">
      <c r="B65" s="7"/>
      <c r="C65" s="14"/>
      <c r="D65" s="14"/>
      <c r="E65" s="14"/>
      <c r="F65" s="14"/>
      <c r="G65" s="8"/>
      <c r="H65" s="24">
        <f t="shared" si="0"/>
        <v>0</v>
      </c>
      <c r="I65" s="34">
        <f t="shared" si="8"/>
        <v>0</v>
      </c>
      <c r="J65" s="10"/>
      <c r="K65" s="12"/>
      <c r="L65" s="11"/>
      <c r="M65" s="32"/>
      <c r="N65" s="25">
        <f t="shared" si="9"/>
        <v>0</v>
      </c>
      <c r="O65" s="25">
        <f t="shared" si="10"/>
        <v>0</v>
      </c>
      <c r="P65" s="25">
        <f t="shared" si="11"/>
        <v>0</v>
      </c>
      <c r="Q65" s="26">
        <f t="shared" si="12"/>
        <v>0</v>
      </c>
      <c r="R65" s="27">
        <f t="shared" si="13"/>
        <v>0</v>
      </c>
      <c r="S65" s="28">
        <f t="shared" si="7"/>
        <v>0</v>
      </c>
    </row>
    <row r="66" spans="2:19" hidden="1">
      <c r="B66" s="7"/>
      <c r="C66" s="14"/>
      <c r="D66" s="14"/>
      <c r="E66" s="14"/>
      <c r="F66" s="14"/>
      <c r="G66" s="8"/>
      <c r="H66" s="24">
        <f t="shared" si="0"/>
        <v>0</v>
      </c>
      <c r="I66" s="34">
        <f t="shared" si="8"/>
        <v>0</v>
      </c>
      <c r="J66" s="10"/>
      <c r="K66" s="12"/>
      <c r="L66" s="11"/>
      <c r="M66" s="32"/>
      <c r="N66" s="25">
        <f t="shared" si="9"/>
        <v>0</v>
      </c>
      <c r="O66" s="25">
        <f t="shared" si="10"/>
        <v>0</v>
      </c>
      <c r="P66" s="25">
        <f t="shared" si="11"/>
        <v>0</v>
      </c>
      <c r="Q66" s="26">
        <f t="shared" si="12"/>
        <v>0</v>
      </c>
      <c r="R66" s="27">
        <f t="shared" si="13"/>
        <v>0</v>
      </c>
      <c r="S66" s="28">
        <f t="shared" si="7"/>
        <v>0</v>
      </c>
    </row>
    <row r="67" spans="2:19" hidden="1">
      <c r="B67" s="7"/>
      <c r="C67" s="14"/>
      <c r="D67" s="14"/>
      <c r="E67" s="14"/>
      <c r="F67" s="14"/>
      <c r="G67" s="8"/>
      <c r="H67" s="24">
        <f t="shared" si="0"/>
        <v>0</v>
      </c>
      <c r="I67" s="34">
        <f t="shared" si="8"/>
        <v>0</v>
      </c>
      <c r="J67" s="10"/>
      <c r="K67" s="12"/>
      <c r="L67" s="11"/>
      <c r="M67" s="32"/>
      <c r="N67" s="25">
        <f t="shared" si="9"/>
        <v>0</v>
      </c>
      <c r="O67" s="25">
        <f t="shared" si="10"/>
        <v>0</v>
      </c>
      <c r="P67" s="25">
        <f t="shared" si="11"/>
        <v>0</v>
      </c>
      <c r="Q67" s="26">
        <f t="shared" si="12"/>
        <v>0</v>
      </c>
      <c r="R67" s="27">
        <f t="shared" si="13"/>
        <v>0</v>
      </c>
      <c r="S67" s="28">
        <f t="shared" si="7"/>
        <v>0</v>
      </c>
    </row>
    <row r="68" spans="2:19" hidden="1">
      <c r="B68" s="7"/>
      <c r="C68" s="14"/>
      <c r="D68" s="14"/>
      <c r="E68" s="14"/>
      <c r="F68" s="14"/>
      <c r="G68" s="8"/>
      <c r="H68" s="24">
        <f t="shared" si="0"/>
        <v>0</v>
      </c>
      <c r="I68" s="34">
        <f t="shared" si="8"/>
        <v>0</v>
      </c>
      <c r="J68" s="10"/>
      <c r="K68" s="12"/>
      <c r="L68" s="11"/>
      <c r="M68" s="32"/>
      <c r="N68" s="25">
        <f t="shared" si="9"/>
        <v>0</v>
      </c>
      <c r="O68" s="25">
        <f t="shared" si="10"/>
        <v>0</v>
      </c>
      <c r="P68" s="25">
        <f t="shared" si="11"/>
        <v>0</v>
      </c>
      <c r="Q68" s="26">
        <f t="shared" si="12"/>
        <v>0</v>
      </c>
      <c r="R68" s="27">
        <f t="shared" si="13"/>
        <v>0</v>
      </c>
      <c r="S68" s="28">
        <f t="shared" si="7"/>
        <v>0</v>
      </c>
    </row>
    <row r="69" spans="2:19" hidden="1">
      <c r="B69" s="7"/>
      <c r="C69" s="14"/>
      <c r="D69" s="14"/>
      <c r="E69" s="14"/>
      <c r="F69" s="14"/>
      <c r="G69" s="8"/>
      <c r="H69" s="24">
        <f t="shared" si="0"/>
        <v>0</v>
      </c>
      <c r="I69" s="34">
        <f t="shared" si="8"/>
        <v>0</v>
      </c>
      <c r="J69" s="10"/>
      <c r="K69" s="12"/>
      <c r="L69" s="11"/>
      <c r="M69" s="32"/>
      <c r="N69" s="25">
        <f t="shared" si="9"/>
        <v>0</v>
      </c>
      <c r="O69" s="25">
        <f t="shared" si="10"/>
        <v>0</v>
      </c>
      <c r="P69" s="25">
        <f t="shared" si="11"/>
        <v>0</v>
      </c>
      <c r="Q69" s="26">
        <f t="shared" si="12"/>
        <v>0</v>
      </c>
      <c r="R69" s="27">
        <f t="shared" si="13"/>
        <v>0</v>
      </c>
      <c r="S69" s="28">
        <f t="shared" si="7"/>
        <v>0</v>
      </c>
    </row>
    <row r="70" spans="2:19" hidden="1">
      <c r="B70" s="7"/>
      <c r="C70" s="14"/>
      <c r="D70" s="14"/>
      <c r="E70" s="14"/>
      <c r="F70" s="14"/>
      <c r="G70" s="8"/>
      <c r="H70" s="24">
        <f t="shared" ref="H70:H78" si="14">SUM(C70:G70)</f>
        <v>0</v>
      </c>
      <c r="I70" s="34">
        <f t="shared" si="8"/>
        <v>0</v>
      </c>
      <c r="J70" s="10"/>
      <c r="K70" s="12"/>
      <c r="L70" s="11"/>
      <c r="M70" s="32"/>
      <c r="N70" s="25">
        <f t="shared" si="9"/>
        <v>0</v>
      </c>
      <c r="O70" s="25">
        <f t="shared" si="10"/>
        <v>0</v>
      </c>
      <c r="P70" s="25">
        <f t="shared" si="11"/>
        <v>0</v>
      </c>
      <c r="Q70" s="26">
        <f t="shared" si="12"/>
        <v>0</v>
      </c>
      <c r="R70" s="27">
        <f t="shared" si="13"/>
        <v>0</v>
      </c>
      <c r="S70" s="28">
        <f t="shared" ref="S70:S78" si="15">SUM(N70:R70)</f>
        <v>0</v>
      </c>
    </row>
    <row r="71" spans="2:19" hidden="1">
      <c r="B71" s="7"/>
      <c r="C71" s="14"/>
      <c r="D71" s="14"/>
      <c r="E71" s="14"/>
      <c r="F71" s="14"/>
      <c r="G71" s="8"/>
      <c r="H71" s="24">
        <f t="shared" si="14"/>
        <v>0</v>
      </c>
      <c r="I71" s="34">
        <f t="shared" si="8"/>
        <v>0</v>
      </c>
      <c r="J71" s="10"/>
      <c r="K71" s="12"/>
      <c r="L71" s="11"/>
      <c r="M71" s="32"/>
      <c r="N71" s="25">
        <f t="shared" si="9"/>
        <v>0</v>
      </c>
      <c r="O71" s="25">
        <f t="shared" si="10"/>
        <v>0</v>
      </c>
      <c r="P71" s="25">
        <f t="shared" si="11"/>
        <v>0</v>
      </c>
      <c r="Q71" s="26">
        <f t="shared" si="12"/>
        <v>0</v>
      </c>
      <c r="R71" s="27">
        <f t="shared" si="13"/>
        <v>0</v>
      </c>
      <c r="S71" s="28">
        <f t="shared" si="15"/>
        <v>0</v>
      </c>
    </row>
    <row r="72" spans="2:19" hidden="1">
      <c r="B72" s="7"/>
      <c r="C72" s="14"/>
      <c r="D72" s="14"/>
      <c r="E72" s="14"/>
      <c r="F72" s="14"/>
      <c r="G72" s="8"/>
      <c r="H72" s="24">
        <f t="shared" si="14"/>
        <v>0</v>
      </c>
      <c r="I72" s="34">
        <f t="shared" si="8"/>
        <v>0</v>
      </c>
      <c r="J72" s="10"/>
      <c r="K72" s="12"/>
      <c r="L72" s="11"/>
      <c r="M72" s="32"/>
      <c r="N72" s="25">
        <f t="shared" si="9"/>
        <v>0</v>
      </c>
      <c r="O72" s="25">
        <f t="shared" si="10"/>
        <v>0</v>
      </c>
      <c r="P72" s="25">
        <f t="shared" si="11"/>
        <v>0</v>
      </c>
      <c r="Q72" s="26">
        <f t="shared" si="12"/>
        <v>0</v>
      </c>
      <c r="R72" s="27">
        <f t="shared" si="13"/>
        <v>0</v>
      </c>
      <c r="S72" s="28">
        <f t="shared" si="15"/>
        <v>0</v>
      </c>
    </row>
    <row r="73" spans="2:19" hidden="1">
      <c r="B73" s="7"/>
      <c r="C73" s="14"/>
      <c r="D73" s="14"/>
      <c r="E73" s="14"/>
      <c r="F73" s="14"/>
      <c r="G73" s="8"/>
      <c r="H73" s="24">
        <f t="shared" si="14"/>
        <v>0</v>
      </c>
      <c r="I73" s="34">
        <f t="shared" si="8"/>
        <v>0</v>
      </c>
      <c r="J73" s="10"/>
      <c r="K73" s="12"/>
      <c r="L73" s="11"/>
      <c r="M73" s="32"/>
      <c r="N73" s="25">
        <f t="shared" si="9"/>
        <v>0</v>
      </c>
      <c r="O73" s="25">
        <f t="shared" si="10"/>
        <v>0</v>
      </c>
      <c r="P73" s="25">
        <f t="shared" si="11"/>
        <v>0</v>
      </c>
      <c r="Q73" s="26">
        <f t="shared" si="12"/>
        <v>0</v>
      </c>
      <c r="R73" s="27">
        <f t="shared" si="13"/>
        <v>0</v>
      </c>
      <c r="S73" s="28">
        <f t="shared" si="15"/>
        <v>0</v>
      </c>
    </row>
    <row r="74" spans="2:19" hidden="1">
      <c r="B74" s="7"/>
      <c r="C74" s="14"/>
      <c r="D74" s="14"/>
      <c r="E74" s="14"/>
      <c r="F74" s="14"/>
      <c r="G74" s="8"/>
      <c r="H74" s="24">
        <f t="shared" si="14"/>
        <v>0</v>
      </c>
      <c r="I74" s="34">
        <f t="shared" si="8"/>
        <v>0</v>
      </c>
      <c r="J74" s="10"/>
      <c r="K74" s="12"/>
      <c r="L74" s="11"/>
      <c r="M74" s="32"/>
      <c r="N74" s="25">
        <f t="shared" si="9"/>
        <v>0</v>
      </c>
      <c r="O74" s="25">
        <f t="shared" si="10"/>
        <v>0</v>
      </c>
      <c r="P74" s="25">
        <f t="shared" si="11"/>
        <v>0</v>
      </c>
      <c r="Q74" s="26">
        <f t="shared" si="12"/>
        <v>0</v>
      </c>
      <c r="R74" s="27">
        <f t="shared" si="13"/>
        <v>0</v>
      </c>
      <c r="S74" s="28">
        <f t="shared" si="15"/>
        <v>0</v>
      </c>
    </row>
    <row r="75" spans="2:19" hidden="1">
      <c r="B75" s="7"/>
      <c r="C75" s="14"/>
      <c r="D75" s="14"/>
      <c r="E75" s="14"/>
      <c r="F75" s="14"/>
      <c r="G75" s="8"/>
      <c r="H75" s="24">
        <f t="shared" si="14"/>
        <v>0</v>
      </c>
      <c r="I75" s="34">
        <f t="shared" si="8"/>
        <v>0</v>
      </c>
      <c r="J75" s="10"/>
      <c r="K75" s="12"/>
      <c r="L75" s="11"/>
      <c r="M75" s="32"/>
      <c r="N75" s="25">
        <f t="shared" si="9"/>
        <v>0</v>
      </c>
      <c r="O75" s="25">
        <f t="shared" si="10"/>
        <v>0</v>
      </c>
      <c r="P75" s="25">
        <f t="shared" si="11"/>
        <v>0</v>
      </c>
      <c r="Q75" s="26">
        <f t="shared" si="12"/>
        <v>0</v>
      </c>
      <c r="R75" s="27">
        <f t="shared" si="13"/>
        <v>0</v>
      </c>
      <c r="S75" s="28">
        <f t="shared" si="15"/>
        <v>0</v>
      </c>
    </row>
    <row r="76" spans="2:19" hidden="1">
      <c r="B76" s="7"/>
      <c r="C76" s="14"/>
      <c r="D76" s="14"/>
      <c r="E76" s="14"/>
      <c r="F76" s="14"/>
      <c r="G76" s="8"/>
      <c r="H76" s="24">
        <f t="shared" si="14"/>
        <v>0</v>
      </c>
      <c r="I76" s="34">
        <f t="shared" si="8"/>
        <v>0</v>
      </c>
      <c r="J76" s="10"/>
      <c r="K76" s="12"/>
      <c r="L76" s="11"/>
      <c r="M76" s="32"/>
      <c r="N76" s="25">
        <f t="shared" si="9"/>
        <v>0</v>
      </c>
      <c r="O76" s="25">
        <f t="shared" si="10"/>
        <v>0</v>
      </c>
      <c r="P76" s="25">
        <f t="shared" si="11"/>
        <v>0</v>
      </c>
      <c r="Q76" s="26">
        <f t="shared" si="12"/>
        <v>0</v>
      </c>
      <c r="R76" s="27">
        <f t="shared" si="13"/>
        <v>0</v>
      </c>
      <c r="S76" s="28">
        <f t="shared" si="15"/>
        <v>0</v>
      </c>
    </row>
    <row r="77" spans="2:19" hidden="1">
      <c r="B77" s="7"/>
      <c r="C77" s="14"/>
      <c r="D77" s="14"/>
      <c r="E77" s="14"/>
      <c r="F77" s="14"/>
      <c r="G77" s="8"/>
      <c r="H77" s="24">
        <f t="shared" si="14"/>
        <v>0</v>
      </c>
      <c r="I77" s="34">
        <f t="shared" si="8"/>
        <v>0</v>
      </c>
      <c r="J77" s="10"/>
      <c r="K77" s="12"/>
      <c r="L77" s="11"/>
      <c r="M77" s="32"/>
      <c r="N77" s="25">
        <f t="shared" si="9"/>
        <v>0</v>
      </c>
      <c r="O77" s="25">
        <f t="shared" si="10"/>
        <v>0</v>
      </c>
      <c r="P77" s="25">
        <f t="shared" si="11"/>
        <v>0</v>
      </c>
      <c r="Q77" s="26">
        <f t="shared" si="12"/>
        <v>0</v>
      </c>
      <c r="R77" s="27">
        <f t="shared" si="13"/>
        <v>0</v>
      </c>
      <c r="S77" s="28">
        <f t="shared" si="15"/>
        <v>0</v>
      </c>
    </row>
    <row r="78" spans="2:19" hidden="1">
      <c r="B78" s="7"/>
      <c r="C78" s="14"/>
      <c r="D78" s="14"/>
      <c r="E78" s="14"/>
      <c r="F78" s="14"/>
      <c r="G78" s="8"/>
      <c r="H78" s="24">
        <f t="shared" si="14"/>
        <v>0</v>
      </c>
      <c r="I78" s="34">
        <f t="shared" si="8"/>
        <v>0</v>
      </c>
      <c r="J78" s="10"/>
      <c r="K78" s="12"/>
      <c r="L78" s="11"/>
      <c r="M78" s="32"/>
      <c r="N78" s="25">
        <f t="shared" si="9"/>
        <v>0</v>
      </c>
      <c r="O78" s="25">
        <f t="shared" si="10"/>
        <v>0</v>
      </c>
      <c r="P78" s="25">
        <f t="shared" si="11"/>
        <v>0</v>
      </c>
      <c r="Q78" s="26">
        <f t="shared" si="12"/>
        <v>0</v>
      </c>
      <c r="R78" s="27">
        <f t="shared" si="13"/>
        <v>0</v>
      </c>
      <c r="S78" s="28">
        <f t="shared" si="15"/>
        <v>0</v>
      </c>
    </row>
    <row r="79" spans="2:19">
      <c r="B79" s="58" t="s">
        <v>13</v>
      </c>
      <c r="C79" s="33">
        <v>0</v>
      </c>
      <c r="D79" s="33">
        <v>843.36</v>
      </c>
      <c r="E79" s="33">
        <f t="shared" ref="E79" si="16">P79</f>
        <v>0</v>
      </c>
      <c r="F79" s="33">
        <v>0</v>
      </c>
      <c r="G79" s="33">
        <f t="shared" ref="G79" si="17">R79</f>
        <v>0</v>
      </c>
      <c r="H79" s="33">
        <f t="shared" ref="H79" si="18">S79</f>
        <v>843.36</v>
      </c>
      <c r="N79" s="29">
        <f t="shared" ref="N79:S79" si="19">SUM(N6:N78)</f>
        <v>0</v>
      </c>
      <c r="O79" s="29">
        <f t="shared" si="19"/>
        <v>843.36</v>
      </c>
      <c r="P79" s="29">
        <f t="shared" si="19"/>
        <v>0</v>
      </c>
      <c r="Q79" s="29">
        <f t="shared" si="19"/>
        <v>0</v>
      </c>
      <c r="R79" s="29">
        <f t="shared" si="19"/>
        <v>0</v>
      </c>
      <c r="S79" s="29">
        <f t="shared" si="19"/>
        <v>843.36</v>
      </c>
    </row>
    <row r="80" spans="2:19">
      <c r="B80" s="59" t="s">
        <v>46</v>
      </c>
    </row>
    <row r="81" spans="2:7" ht="16.5" thickBot="1">
      <c r="B81" s="2"/>
    </row>
    <row r="82" spans="2:7">
      <c r="B82" s="60" t="s">
        <v>47</v>
      </c>
    </row>
    <row r="83" spans="2:7">
      <c r="B83" s="61" t="s">
        <v>19</v>
      </c>
    </row>
    <row r="84" spans="2:7">
      <c r="B84" s="61" t="s">
        <v>17</v>
      </c>
    </row>
    <row r="85" spans="2:7" ht="16.5" thickBot="1">
      <c r="B85" s="62" t="s">
        <v>18</v>
      </c>
    </row>
    <row r="86" spans="2:7">
      <c r="B86" s="2"/>
    </row>
    <row r="87" spans="2:7">
      <c r="B87" s="30" t="s">
        <v>20</v>
      </c>
    </row>
    <row r="88" spans="2:7">
      <c r="B88" s="35"/>
    </row>
    <row r="89" spans="2:7">
      <c r="B89" s="35"/>
    </row>
    <row r="90" spans="2:7">
      <c r="B90" s="2"/>
      <c r="G90" s="5" t="str">
        <f>IF(B90&lt;&gt;"",SUM(C90:F90),"")</f>
        <v/>
      </c>
    </row>
    <row r="91" spans="2:7">
      <c r="G91" s="5" t="str">
        <f t="shared" ref="G91:G154" si="20">IF(B91&lt;&gt;"",SUM(C91:F91),"")</f>
        <v/>
      </c>
    </row>
    <row r="92" spans="2:7">
      <c r="G92" s="5" t="str">
        <f t="shared" si="20"/>
        <v/>
      </c>
    </row>
    <row r="93" spans="2:7">
      <c r="G93" s="5" t="str">
        <f t="shared" si="20"/>
        <v/>
      </c>
    </row>
    <row r="94" spans="2:7">
      <c r="G94" s="5" t="str">
        <f t="shared" si="20"/>
        <v/>
      </c>
    </row>
    <row r="95" spans="2:7">
      <c r="G95" s="5" t="str">
        <f t="shared" si="20"/>
        <v/>
      </c>
    </row>
    <row r="96" spans="2:7">
      <c r="G96" s="5" t="str">
        <f t="shared" si="20"/>
        <v/>
      </c>
    </row>
    <row r="97" spans="7:7">
      <c r="G97" s="5" t="str">
        <f t="shared" si="20"/>
        <v/>
      </c>
    </row>
    <row r="98" spans="7:7">
      <c r="G98" s="5" t="str">
        <f t="shared" si="20"/>
        <v/>
      </c>
    </row>
    <row r="99" spans="7:7">
      <c r="G99" s="5" t="str">
        <f t="shared" si="20"/>
        <v/>
      </c>
    </row>
    <row r="100" spans="7:7">
      <c r="G100" s="5" t="str">
        <f t="shared" si="20"/>
        <v/>
      </c>
    </row>
    <row r="101" spans="7:7">
      <c r="G101" s="5" t="str">
        <f t="shared" si="20"/>
        <v/>
      </c>
    </row>
    <row r="102" spans="7:7">
      <c r="G102" s="5" t="str">
        <f t="shared" si="20"/>
        <v/>
      </c>
    </row>
    <row r="103" spans="7:7">
      <c r="G103" s="5" t="str">
        <f t="shared" si="20"/>
        <v/>
      </c>
    </row>
    <row r="104" spans="7:7">
      <c r="G104" s="5" t="str">
        <f t="shared" si="20"/>
        <v/>
      </c>
    </row>
    <row r="105" spans="7:7">
      <c r="G105" s="5" t="str">
        <f t="shared" si="20"/>
        <v/>
      </c>
    </row>
    <row r="106" spans="7:7">
      <c r="G106" s="5" t="str">
        <f t="shared" si="20"/>
        <v/>
      </c>
    </row>
    <row r="107" spans="7:7">
      <c r="G107" s="5" t="str">
        <f t="shared" si="20"/>
        <v/>
      </c>
    </row>
    <row r="108" spans="7:7">
      <c r="G108" s="5" t="str">
        <f t="shared" si="20"/>
        <v/>
      </c>
    </row>
    <row r="109" spans="7:7">
      <c r="G109" s="5" t="str">
        <f t="shared" si="20"/>
        <v/>
      </c>
    </row>
    <row r="110" spans="7:7">
      <c r="G110" s="5" t="str">
        <f t="shared" si="20"/>
        <v/>
      </c>
    </row>
    <row r="111" spans="7:7">
      <c r="G111" s="5" t="str">
        <f t="shared" si="20"/>
        <v/>
      </c>
    </row>
    <row r="112" spans="7:7">
      <c r="G112" s="5" t="str">
        <f t="shared" si="20"/>
        <v/>
      </c>
    </row>
    <row r="113" spans="7:7">
      <c r="G113" s="5" t="str">
        <f t="shared" si="20"/>
        <v/>
      </c>
    </row>
    <row r="114" spans="7:7">
      <c r="G114" s="5" t="str">
        <f t="shared" si="20"/>
        <v/>
      </c>
    </row>
    <row r="115" spans="7:7">
      <c r="G115" s="5" t="str">
        <f t="shared" si="20"/>
        <v/>
      </c>
    </row>
    <row r="116" spans="7:7">
      <c r="G116" s="5" t="str">
        <f t="shared" si="20"/>
        <v/>
      </c>
    </row>
    <row r="117" spans="7:7">
      <c r="G117" s="5" t="str">
        <f t="shared" si="20"/>
        <v/>
      </c>
    </row>
    <row r="118" spans="7:7">
      <c r="G118" s="5" t="str">
        <f t="shared" si="20"/>
        <v/>
      </c>
    </row>
    <row r="119" spans="7:7">
      <c r="G119" s="5" t="str">
        <f t="shared" si="20"/>
        <v/>
      </c>
    </row>
    <row r="120" spans="7:7">
      <c r="G120" s="5" t="str">
        <f t="shared" si="20"/>
        <v/>
      </c>
    </row>
    <row r="121" spans="7:7">
      <c r="G121" s="5" t="str">
        <f t="shared" si="20"/>
        <v/>
      </c>
    </row>
    <row r="122" spans="7:7">
      <c r="G122" s="5" t="str">
        <f t="shared" si="20"/>
        <v/>
      </c>
    </row>
    <row r="123" spans="7:7">
      <c r="G123" s="5" t="str">
        <f t="shared" si="20"/>
        <v/>
      </c>
    </row>
    <row r="124" spans="7:7">
      <c r="G124" s="5" t="str">
        <f t="shared" si="20"/>
        <v/>
      </c>
    </row>
    <row r="125" spans="7:7">
      <c r="G125" s="5" t="str">
        <f t="shared" si="20"/>
        <v/>
      </c>
    </row>
    <row r="126" spans="7:7">
      <c r="G126" s="5" t="str">
        <f t="shared" si="20"/>
        <v/>
      </c>
    </row>
    <row r="127" spans="7:7">
      <c r="G127" s="5" t="str">
        <f t="shared" si="20"/>
        <v/>
      </c>
    </row>
    <row r="128" spans="7:7">
      <c r="G128" s="5" t="str">
        <f t="shared" si="20"/>
        <v/>
      </c>
    </row>
    <row r="129" spans="7:7">
      <c r="G129" s="5" t="str">
        <f t="shared" si="20"/>
        <v/>
      </c>
    </row>
    <row r="130" spans="7:7">
      <c r="G130" s="5" t="str">
        <f t="shared" si="20"/>
        <v/>
      </c>
    </row>
    <row r="131" spans="7:7">
      <c r="G131" s="5" t="str">
        <f t="shared" si="20"/>
        <v/>
      </c>
    </row>
    <row r="132" spans="7:7">
      <c r="G132" s="5" t="str">
        <f t="shared" si="20"/>
        <v/>
      </c>
    </row>
    <row r="133" spans="7:7">
      <c r="G133" s="5" t="str">
        <f t="shared" si="20"/>
        <v/>
      </c>
    </row>
    <row r="134" spans="7:7">
      <c r="G134" s="5" t="str">
        <f t="shared" si="20"/>
        <v/>
      </c>
    </row>
    <row r="135" spans="7:7">
      <c r="G135" s="5" t="str">
        <f t="shared" si="20"/>
        <v/>
      </c>
    </row>
    <row r="136" spans="7:7">
      <c r="G136" s="5" t="str">
        <f t="shared" si="20"/>
        <v/>
      </c>
    </row>
    <row r="137" spans="7:7">
      <c r="G137" s="5" t="str">
        <f t="shared" si="20"/>
        <v/>
      </c>
    </row>
    <row r="138" spans="7:7">
      <c r="G138" s="5" t="str">
        <f t="shared" si="20"/>
        <v/>
      </c>
    </row>
    <row r="139" spans="7:7">
      <c r="G139" s="5" t="str">
        <f t="shared" si="20"/>
        <v/>
      </c>
    </row>
    <row r="140" spans="7:7">
      <c r="G140" s="5" t="str">
        <f t="shared" si="20"/>
        <v/>
      </c>
    </row>
    <row r="141" spans="7:7">
      <c r="G141" s="5" t="str">
        <f t="shared" si="20"/>
        <v/>
      </c>
    </row>
    <row r="142" spans="7:7">
      <c r="G142" s="5" t="str">
        <f t="shared" si="20"/>
        <v/>
      </c>
    </row>
    <row r="143" spans="7:7">
      <c r="G143" s="5" t="str">
        <f t="shared" si="20"/>
        <v/>
      </c>
    </row>
    <row r="144" spans="7:7">
      <c r="G144" s="5" t="str">
        <f t="shared" si="20"/>
        <v/>
      </c>
    </row>
    <row r="145" spans="7:7">
      <c r="G145" s="5" t="str">
        <f t="shared" si="20"/>
        <v/>
      </c>
    </row>
    <row r="146" spans="7:7">
      <c r="G146" s="5" t="str">
        <f t="shared" si="20"/>
        <v/>
      </c>
    </row>
    <row r="147" spans="7:7">
      <c r="G147" s="5" t="str">
        <f t="shared" si="20"/>
        <v/>
      </c>
    </row>
    <row r="148" spans="7:7">
      <c r="G148" s="5" t="str">
        <f t="shared" si="20"/>
        <v/>
      </c>
    </row>
    <row r="149" spans="7:7">
      <c r="G149" s="5" t="str">
        <f t="shared" si="20"/>
        <v/>
      </c>
    </row>
    <row r="150" spans="7:7">
      <c r="G150" s="5" t="str">
        <f t="shared" si="20"/>
        <v/>
      </c>
    </row>
    <row r="151" spans="7:7">
      <c r="G151" s="5" t="str">
        <f t="shared" si="20"/>
        <v/>
      </c>
    </row>
    <row r="152" spans="7:7">
      <c r="G152" s="5" t="str">
        <f t="shared" si="20"/>
        <v/>
      </c>
    </row>
    <row r="153" spans="7:7">
      <c r="G153" s="5" t="str">
        <f t="shared" si="20"/>
        <v/>
      </c>
    </row>
    <row r="154" spans="7:7">
      <c r="G154" s="5" t="str">
        <f t="shared" si="20"/>
        <v/>
      </c>
    </row>
    <row r="155" spans="7:7">
      <c r="G155" s="5" t="str">
        <f t="shared" ref="G155:G218" si="21">IF(B155&lt;&gt;"",SUM(C155:F155),"")</f>
        <v/>
      </c>
    </row>
    <row r="156" spans="7:7">
      <c r="G156" s="5" t="str">
        <f t="shared" si="21"/>
        <v/>
      </c>
    </row>
    <row r="157" spans="7:7">
      <c r="G157" s="5" t="str">
        <f t="shared" si="21"/>
        <v/>
      </c>
    </row>
    <row r="158" spans="7:7">
      <c r="G158" s="5" t="str">
        <f t="shared" si="21"/>
        <v/>
      </c>
    </row>
    <row r="159" spans="7:7">
      <c r="G159" s="5" t="str">
        <f t="shared" si="21"/>
        <v/>
      </c>
    </row>
    <row r="160" spans="7:7">
      <c r="G160" s="5" t="str">
        <f t="shared" si="21"/>
        <v/>
      </c>
    </row>
    <row r="161" spans="7:7">
      <c r="G161" s="5" t="str">
        <f t="shared" si="21"/>
        <v/>
      </c>
    </row>
    <row r="162" spans="7:7">
      <c r="G162" s="5" t="str">
        <f t="shared" si="21"/>
        <v/>
      </c>
    </row>
    <row r="163" spans="7:7">
      <c r="G163" s="5" t="str">
        <f t="shared" si="21"/>
        <v/>
      </c>
    </row>
    <row r="164" spans="7:7">
      <c r="G164" s="5" t="str">
        <f t="shared" si="21"/>
        <v/>
      </c>
    </row>
    <row r="165" spans="7:7">
      <c r="G165" s="5" t="str">
        <f t="shared" si="21"/>
        <v/>
      </c>
    </row>
    <row r="166" spans="7:7">
      <c r="G166" s="5" t="str">
        <f t="shared" si="21"/>
        <v/>
      </c>
    </row>
    <row r="167" spans="7:7">
      <c r="G167" s="5" t="str">
        <f t="shared" si="21"/>
        <v/>
      </c>
    </row>
    <row r="168" spans="7:7">
      <c r="G168" s="5" t="str">
        <f t="shared" si="21"/>
        <v/>
      </c>
    </row>
    <row r="169" spans="7:7">
      <c r="G169" s="5" t="str">
        <f t="shared" si="21"/>
        <v/>
      </c>
    </row>
    <row r="170" spans="7:7">
      <c r="G170" s="5" t="str">
        <f t="shared" si="21"/>
        <v/>
      </c>
    </row>
    <row r="171" spans="7:7">
      <c r="G171" s="5" t="str">
        <f t="shared" si="21"/>
        <v/>
      </c>
    </row>
    <row r="172" spans="7:7">
      <c r="G172" s="5" t="str">
        <f t="shared" si="21"/>
        <v/>
      </c>
    </row>
    <row r="173" spans="7:7">
      <c r="G173" s="5" t="str">
        <f t="shared" si="21"/>
        <v/>
      </c>
    </row>
    <row r="174" spans="7:7">
      <c r="G174" s="5" t="str">
        <f t="shared" si="21"/>
        <v/>
      </c>
    </row>
    <row r="175" spans="7:7">
      <c r="G175" s="5" t="str">
        <f t="shared" si="21"/>
        <v/>
      </c>
    </row>
    <row r="176" spans="7:7">
      <c r="G176" s="5" t="str">
        <f t="shared" si="21"/>
        <v/>
      </c>
    </row>
    <row r="177" spans="7:7">
      <c r="G177" s="5" t="str">
        <f t="shared" si="21"/>
        <v/>
      </c>
    </row>
    <row r="178" spans="7:7">
      <c r="G178" s="5" t="str">
        <f t="shared" si="21"/>
        <v/>
      </c>
    </row>
    <row r="179" spans="7:7">
      <c r="G179" s="5" t="str">
        <f t="shared" si="21"/>
        <v/>
      </c>
    </row>
    <row r="180" spans="7:7">
      <c r="G180" s="5" t="str">
        <f t="shared" si="21"/>
        <v/>
      </c>
    </row>
    <row r="181" spans="7:7">
      <c r="G181" s="5" t="str">
        <f t="shared" si="21"/>
        <v/>
      </c>
    </row>
    <row r="182" spans="7:7">
      <c r="G182" s="5" t="str">
        <f t="shared" si="21"/>
        <v/>
      </c>
    </row>
    <row r="183" spans="7:7">
      <c r="G183" s="5" t="str">
        <f t="shared" si="21"/>
        <v/>
      </c>
    </row>
    <row r="184" spans="7:7">
      <c r="G184" s="5" t="str">
        <f t="shared" si="21"/>
        <v/>
      </c>
    </row>
    <row r="185" spans="7:7">
      <c r="G185" s="5" t="str">
        <f t="shared" si="21"/>
        <v/>
      </c>
    </row>
    <row r="186" spans="7:7">
      <c r="G186" s="5" t="str">
        <f t="shared" si="21"/>
        <v/>
      </c>
    </row>
    <row r="187" spans="7:7">
      <c r="G187" s="5" t="str">
        <f t="shared" si="21"/>
        <v/>
      </c>
    </row>
    <row r="188" spans="7:7">
      <c r="G188" s="5" t="str">
        <f t="shared" si="21"/>
        <v/>
      </c>
    </row>
    <row r="189" spans="7:7">
      <c r="G189" s="5" t="str">
        <f t="shared" si="21"/>
        <v/>
      </c>
    </row>
    <row r="190" spans="7:7">
      <c r="G190" s="5" t="str">
        <f t="shared" si="21"/>
        <v/>
      </c>
    </row>
    <row r="191" spans="7:7">
      <c r="G191" s="5" t="str">
        <f t="shared" si="21"/>
        <v/>
      </c>
    </row>
    <row r="192" spans="7:7">
      <c r="G192" s="5" t="str">
        <f t="shared" si="21"/>
        <v/>
      </c>
    </row>
    <row r="193" spans="7:7">
      <c r="G193" s="5" t="str">
        <f t="shared" si="21"/>
        <v/>
      </c>
    </row>
    <row r="194" spans="7:7">
      <c r="G194" s="5" t="str">
        <f t="shared" si="21"/>
        <v/>
      </c>
    </row>
    <row r="195" spans="7:7">
      <c r="G195" s="5" t="str">
        <f t="shared" si="21"/>
        <v/>
      </c>
    </row>
    <row r="196" spans="7:7">
      <c r="G196" s="5" t="str">
        <f t="shared" si="21"/>
        <v/>
      </c>
    </row>
    <row r="197" spans="7:7">
      <c r="G197" s="5" t="str">
        <f t="shared" si="21"/>
        <v/>
      </c>
    </row>
    <row r="198" spans="7:7">
      <c r="G198" s="5" t="str">
        <f t="shared" si="21"/>
        <v/>
      </c>
    </row>
    <row r="199" spans="7:7">
      <c r="G199" s="5" t="str">
        <f t="shared" si="21"/>
        <v/>
      </c>
    </row>
    <row r="200" spans="7:7">
      <c r="G200" s="5" t="str">
        <f t="shared" si="21"/>
        <v/>
      </c>
    </row>
    <row r="201" spans="7:7">
      <c r="G201" s="5" t="str">
        <f t="shared" si="21"/>
        <v/>
      </c>
    </row>
    <row r="202" spans="7:7">
      <c r="G202" s="5" t="str">
        <f t="shared" si="21"/>
        <v/>
      </c>
    </row>
    <row r="203" spans="7:7">
      <c r="G203" s="5" t="str">
        <f t="shared" si="21"/>
        <v/>
      </c>
    </row>
    <row r="204" spans="7:7">
      <c r="G204" s="5" t="str">
        <f t="shared" si="21"/>
        <v/>
      </c>
    </row>
    <row r="205" spans="7:7">
      <c r="G205" s="5" t="str">
        <f t="shared" si="21"/>
        <v/>
      </c>
    </row>
    <row r="206" spans="7:7">
      <c r="G206" s="5" t="str">
        <f t="shared" si="21"/>
        <v/>
      </c>
    </row>
    <row r="207" spans="7:7">
      <c r="G207" s="5" t="str">
        <f t="shared" si="21"/>
        <v/>
      </c>
    </row>
    <row r="208" spans="7:7">
      <c r="G208" s="5" t="str">
        <f t="shared" si="21"/>
        <v/>
      </c>
    </row>
    <row r="209" spans="7:7">
      <c r="G209" s="5" t="str">
        <f t="shared" si="21"/>
        <v/>
      </c>
    </row>
    <row r="210" spans="7:7">
      <c r="G210" s="5" t="str">
        <f t="shared" si="21"/>
        <v/>
      </c>
    </row>
    <row r="211" spans="7:7">
      <c r="G211" s="5" t="str">
        <f t="shared" si="21"/>
        <v/>
      </c>
    </row>
    <row r="212" spans="7:7">
      <c r="G212" s="5" t="str">
        <f t="shared" si="21"/>
        <v/>
      </c>
    </row>
    <row r="213" spans="7:7">
      <c r="G213" s="5" t="str">
        <f t="shared" si="21"/>
        <v/>
      </c>
    </row>
    <row r="214" spans="7:7">
      <c r="G214" s="5" t="str">
        <f t="shared" si="21"/>
        <v/>
      </c>
    </row>
    <row r="215" spans="7:7">
      <c r="G215" s="5" t="str">
        <f t="shared" si="21"/>
        <v/>
      </c>
    </row>
    <row r="216" spans="7:7">
      <c r="G216" s="5" t="str">
        <f t="shared" si="21"/>
        <v/>
      </c>
    </row>
    <row r="217" spans="7:7">
      <c r="G217" s="5" t="str">
        <f t="shared" si="21"/>
        <v/>
      </c>
    </row>
    <row r="218" spans="7:7">
      <c r="G218" s="5" t="str">
        <f t="shared" si="21"/>
        <v/>
      </c>
    </row>
    <row r="219" spans="7:7">
      <c r="G219" s="5" t="str">
        <f t="shared" ref="G219:G282" si="22">IF(B219&lt;&gt;"",SUM(C219:F219),"")</f>
        <v/>
      </c>
    </row>
    <row r="220" spans="7:7">
      <c r="G220" s="5" t="str">
        <f t="shared" si="22"/>
        <v/>
      </c>
    </row>
    <row r="221" spans="7:7">
      <c r="G221" s="5" t="str">
        <f t="shared" si="22"/>
        <v/>
      </c>
    </row>
    <row r="222" spans="7:7">
      <c r="G222" s="5" t="str">
        <f t="shared" si="22"/>
        <v/>
      </c>
    </row>
    <row r="223" spans="7:7">
      <c r="G223" s="5" t="str">
        <f t="shared" si="22"/>
        <v/>
      </c>
    </row>
    <row r="224" spans="7:7">
      <c r="G224" s="5" t="str">
        <f t="shared" si="22"/>
        <v/>
      </c>
    </row>
    <row r="225" spans="7:7">
      <c r="G225" s="5" t="str">
        <f t="shared" si="22"/>
        <v/>
      </c>
    </row>
    <row r="226" spans="7:7">
      <c r="G226" s="5" t="str">
        <f t="shared" si="22"/>
        <v/>
      </c>
    </row>
    <row r="227" spans="7:7">
      <c r="G227" s="5" t="str">
        <f t="shared" si="22"/>
        <v/>
      </c>
    </row>
    <row r="228" spans="7:7">
      <c r="G228" s="5" t="str">
        <f t="shared" si="22"/>
        <v/>
      </c>
    </row>
    <row r="229" spans="7:7">
      <c r="G229" s="5" t="str">
        <f t="shared" si="22"/>
        <v/>
      </c>
    </row>
    <row r="230" spans="7:7">
      <c r="G230" s="5" t="str">
        <f t="shared" si="22"/>
        <v/>
      </c>
    </row>
    <row r="231" spans="7:7">
      <c r="G231" s="5" t="str">
        <f t="shared" si="22"/>
        <v/>
      </c>
    </row>
    <row r="232" spans="7:7">
      <c r="G232" s="5" t="str">
        <f t="shared" si="22"/>
        <v/>
      </c>
    </row>
    <row r="233" spans="7:7">
      <c r="G233" s="5" t="str">
        <f t="shared" si="22"/>
        <v/>
      </c>
    </row>
    <row r="234" spans="7:7">
      <c r="G234" s="5" t="str">
        <f t="shared" si="22"/>
        <v/>
      </c>
    </row>
    <row r="235" spans="7:7">
      <c r="G235" s="5" t="str">
        <f t="shared" si="22"/>
        <v/>
      </c>
    </row>
    <row r="236" spans="7:7">
      <c r="G236" s="5" t="str">
        <f t="shared" si="22"/>
        <v/>
      </c>
    </row>
    <row r="237" spans="7:7">
      <c r="G237" s="5" t="str">
        <f t="shared" si="22"/>
        <v/>
      </c>
    </row>
    <row r="238" spans="7:7">
      <c r="G238" s="5" t="str">
        <f t="shared" si="22"/>
        <v/>
      </c>
    </row>
    <row r="239" spans="7:7">
      <c r="G239" s="5" t="str">
        <f t="shared" si="22"/>
        <v/>
      </c>
    </row>
    <row r="240" spans="7:7">
      <c r="G240" s="5" t="str">
        <f t="shared" si="22"/>
        <v/>
      </c>
    </row>
    <row r="241" spans="7:7">
      <c r="G241" s="5" t="str">
        <f t="shared" si="22"/>
        <v/>
      </c>
    </row>
    <row r="242" spans="7:7">
      <c r="G242" s="5" t="str">
        <f t="shared" si="22"/>
        <v/>
      </c>
    </row>
    <row r="243" spans="7:7">
      <c r="G243" s="5" t="str">
        <f t="shared" si="22"/>
        <v/>
      </c>
    </row>
    <row r="244" spans="7:7">
      <c r="G244" s="5" t="str">
        <f t="shared" si="22"/>
        <v/>
      </c>
    </row>
    <row r="245" spans="7:7">
      <c r="G245" s="5" t="str">
        <f t="shared" si="22"/>
        <v/>
      </c>
    </row>
    <row r="246" spans="7:7">
      <c r="G246" s="5" t="str">
        <f t="shared" si="22"/>
        <v/>
      </c>
    </row>
    <row r="247" spans="7:7">
      <c r="G247" s="5" t="str">
        <f t="shared" si="22"/>
        <v/>
      </c>
    </row>
    <row r="248" spans="7:7">
      <c r="G248" s="5" t="str">
        <f t="shared" si="22"/>
        <v/>
      </c>
    </row>
    <row r="249" spans="7:7">
      <c r="G249" s="5" t="str">
        <f t="shared" si="22"/>
        <v/>
      </c>
    </row>
    <row r="250" spans="7:7">
      <c r="G250" s="5" t="str">
        <f t="shared" si="22"/>
        <v/>
      </c>
    </row>
    <row r="251" spans="7:7">
      <c r="G251" s="5" t="str">
        <f t="shared" si="22"/>
        <v/>
      </c>
    </row>
    <row r="252" spans="7:7">
      <c r="G252" s="5" t="str">
        <f t="shared" si="22"/>
        <v/>
      </c>
    </row>
    <row r="253" spans="7:7">
      <c r="G253" s="5" t="str">
        <f t="shared" si="22"/>
        <v/>
      </c>
    </row>
    <row r="254" spans="7:7">
      <c r="G254" s="5" t="str">
        <f t="shared" si="22"/>
        <v/>
      </c>
    </row>
    <row r="255" spans="7:7">
      <c r="G255" s="5" t="str">
        <f t="shared" si="22"/>
        <v/>
      </c>
    </row>
    <row r="256" spans="7:7">
      <c r="G256" s="5" t="str">
        <f t="shared" si="22"/>
        <v/>
      </c>
    </row>
    <row r="257" spans="7:7">
      <c r="G257" s="5" t="str">
        <f t="shared" si="22"/>
        <v/>
      </c>
    </row>
    <row r="258" spans="7:7">
      <c r="G258" s="5" t="str">
        <f t="shared" si="22"/>
        <v/>
      </c>
    </row>
    <row r="259" spans="7:7">
      <c r="G259" s="5" t="str">
        <f t="shared" si="22"/>
        <v/>
      </c>
    </row>
    <row r="260" spans="7:7">
      <c r="G260" s="5" t="str">
        <f t="shared" si="22"/>
        <v/>
      </c>
    </row>
    <row r="261" spans="7:7">
      <c r="G261" s="5" t="str">
        <f t="shared" si="22"/>
        <v/>
      </c>
    </row>
    <row r="262" spans="7:7">
      <c r="G262" s="5" t="str">
        <f t="shared" si="22"/>
        <v/>
      </c>
    </row>
    <row r="263" spans="7:7">
      <c r="G263" s="5" t="str">
        <f t="shared" si="22"/>
        <v/>
      </c>
    </row>
    <row r="264" spans="7:7">
      <c r="G264" s="5" t="str">
        <f t="shared" si="22"/>
        <v/>
      </c>
    </row>
    <row r="265" spans="7:7">
      <c r="G265" s="5" t="str">
        <f t="shared" si="22"/>
        <v/>
      </c>
    </row>
    <row r="266" spans="7:7">
      <c r="G266" s="5" t="str">
        <f t="shared" si="22"/>
        <v/>
      </c>
    </row>
    <row r="267" spans="7:7">
      <c r="G267" s="5" t="str">
        <f t="shared" si="22"/>
        <v/>
      </c>
    </row>
    <row r="268" spans="7:7">
      <c r="G268" s="5" t="str">
        <f t="shared" si="22"/>
        <v/>
      </c>
    </row>
    <row r="269" spans="7:7">
      <c r="G269" s="5" t="str">
        <f t="shared" si="22"/>
        <v/>
      </c>
    </row>
    <row r="270" spans="7:7">
      <c r="G270" s="5" t="str">
        <f t="shared" si="22"/>
        <v/>
      </c>
    </row>
    <row r="271" spans="7:7">
      <c r="G271" s="5" t="str">
        <f t="shared" si="22"/>
        <v/>
      </c>
    </row>
    <row r="272" spans="7:7">
      <c r="G272" s="5" t="str">
        <f t="shared" si="22"/>
        <v/>
      </c>
    </row>
    <row r="273" spans="7:7">
      <c r="G273" s="5" t="str">
        <f t="shared" si="22"/>
        <v/>
      </c>
    </row>
    <row r="274" spans="7:7">
      <c r="G274" s="5" t="str">
        <f t="shared" si="22"/>
        <v/>
      </c>
    </row>
    <row r="275" spans="7:7">
      <c r="G275" s="5" t="str">
        <f t="shared" si="22"/>
        <v/>
      </c>
    </row>
    <row r="276" spans="7:7">
      <c r="G276" s="5" t="str">
        <f t="shared" si="22"/>
        <v/>
      </c>
    </row>
    <row r="277" spans="7:7">
      <c r="G277" s="5" t="str">
        <f t="shared" si="22"/>
        <v/>
      </c>
    </row>
    <row r="278" spans="7:7">
      <c r="G278" s="5" t="str">
        <f t="shared" si="22"/>
        <v/>
      </c>
    </row>
    <row r="279" spans="7:7">
      <c r="G279" s="5" t="str">
        <f t="shared" si="22"/>
        <v/>
      </c>
    </row>
    <row r="280" spans="7:7">
      <c r="G280" s="5" t="str">
        <f t="shared" si="22"/>
        <v/>
      </c>
    </row>
    <row r="281" spans="7:7">
      <c r="G281" s="5" t="str">
        <f t="shared" si="22"/>
        <v/>
      </c>
    </row>
    <row r="282" spans="7:7">
      <c r="G282" s="5" t="str">
        <f t="shared" si="22"/>
        <v/>
      </c>
    </row>
    <row r="283" spans="7:7">
      <c r="G283" s="5" t="str">
        <f t="shared" ref="G283:G346" si="23">IF(B283&lt;&gt;"",SUM(C283:F283),"")</f>
        <v/>
      </c>
    </row>
    <row r="284" spans="7:7">
      <c r="G284" s="5" t="str">
        <f t="shared" si="23"/>
        <v/>
      </c>
    </row>
    <row r="285" spans="7:7">
      <c r="G285" s="5" t="str">
        <f t="shared" si="23"/>
        <v/>
      </c>
    </row>
    <row r="286" spans="7:7">
      <c r="G286" s="5" t="str">
        <f t="shared" si="23"/>
        <v/>
      </c>
    </row>
    <row r="287" spans="7:7">
      <c r="G287" s="5" t="str">
        <f t="shared" si="23"/>
        <v/>
      </c>
    </row>
    <row r="288" spans="7:7">
      <c r="G288" s="5" t="str">
        <f t="shared" si="23"/>
        <v/>
      </c>
    </row>
    <row r="289" spans="7:7">
      <c r="G289" s="5" t="str">
        <f t="shared" si="23"/>
        <v/>
      </c>
    </row>
    <row r="290" spans="7:7">
      <c r="G290" s="5" t="str">
        <f t="shared" si="23"/>
        <v/>
      </c>
    </row>
    <row r="291" spans="7:7">
      <c r="G291" s="5" t="str">
        <f t="shared" si="23"/>
        <v/>
      </c>
    </row>
    <row r="292" spans="7:7">
      <c r="G292" s="5" t="str">
        <f t="shared" si="23"/>
        <v/>
      </c>
    </row>
    <row r="293" spans="7:7">
      <c r="G293" s="5" t="str">
        <f t="shared" si="23"/>
        <v/>
      </c>
    </row>
    <row r="294" spans="7:7">
      <c r="G294" s="5" t="str">
        <f t="shared" si="23"/>
        <v/>
      </c>
    </row>
    <row r="295" spans="7:7">
      <c r="G295" s="5" t="str">
        <f t="shared" si="23"/>
        <v/>
      </c>
    </row>
    <row r="296" spans="7:7">
      <c r="G296" s="5" t="str">
        <f t="shared" si="23"/>
        <v/>
      </c>
    </row>
    <row r="297" spans="7:7">
      <c r="G297" s="5" t="str">
        <f t="shared" si="23"/>
        <v/>
      </c>
    </row>
    <row r="298" spans="7:7">
      <c r="G298" s="5" t="str">
        <f t="shared" si="23"/>
        <v/>
      </c>
    </row>
    <row r="299" spans="7:7">
      <c r="G299" s="5" t="str">
        <f t="shared" si="23"/>
        <v/>
      </c>
    </row>
    <row r="300" spans="7:7">
      <c r="G300" s="5" t="str">
        <f t="shared" si="23"/>
        <v/>
      </c>
    </row>
    <row r="301" spans="7:7">
      <c r="G301" s="5" t="str">
        <f t="shared" si="23"/>
        <v/>
      </c>
    </row>
    <row r="302" spans="7:7">
      <c r="G302" s="5" t="str">
        <f t="shared" si="23"/>
        <v/>
      </c>
    </row>
    <row r="303" spans="7:7">
      <c r="G303" s="5" t="str">
        <f t="shared" si="23"/>
        <v/>
      </c>
    </row>
    <row r="304" spans="7:7">
      <c r="G304" s="5" t="str">
        <f t="shared" si="23"/>
        <v/>
      </c>
    </row>
    <row r="305" spans="7:7">
      <c r="G305" s="5" t="str">
        <f t="shared" si="23"/>
        <v/>
      </c>
    </row>
    <row r="306" spans="7:7">
      <c r="G306" s="5" t="str">
        <f t="shared" si="23"/>
        <v/>
      </c>
    </row>
    <row r="307" spans="7:7">
      <c r="G307" s="5" t="str">
        <f t="shared" si="23"/>
        <v/>
      </c>
    </row>
    <row r="308" spans="7:7">
      <c r="G308" s="5" t="str">
        <f t="shared" si="23"/>
        <v/>
      </c>
    </row>
    <row r="309" spans="7:7">
      <c r="G309" s="5" t="str">
        <f t="shared" si="23"/>
        <v/>
      </c>
    </row>
    <row r="310" spans="7:7">
      <c r="G310" s="5" t="str">
        <f t="shared" si="23"/>
        <v/>
      </c>
    </row>
    <row r="311" spans="7:7">
      <c r="G311" s="5" t="str">
        <f t="shared" si="23"/>
        <v/>
      </c>
    </row>
    <row r="312" spans="7:7">
      <c r="G312" s="5" t="str">
        <f t="shared" si="23"/>
        <v/>
      </c>
    </row>
    <row r="313" spans="7:7">
      <c r="G313" s="5" t="str">
        <f t="shared" si="23"/>
        <v/>
      </c>
    </row>
    <row r="314" spans="7:7">
      <c r="G314" s="5" t="str">
        <f t="shared" si="23"/>
        <v/>
      </c>
    </row>
    <row r="315" spans="7:7">
      <c r="G315" s="5" t="str">
        <f t="shared" si="23"/>
        <v/>
      </c>
    </row>
    <row r="316" spans="7:7">
      <c r="G316" s="5" t="str">
        <f t="shared" si="23"/>
        <v/>
      </c>
    </row>
    <row r="317" spans="7:7">
      <c r="G317" s="5" t="str">
        <f t="shared" si="23"/>
        <v/>
      </c>
    </row>
    <row r="318" spans="7:7">
      <c r="G318" s="5" t="str">
        <f t="shared" si="23"/>
        <v/>
      </c>
    </row>
    <row r="319" spans="7:7">
      <c r="G319" s="5" t="str">
        <f t="shared" si="23"/>
        <v/>
      </c>
    </row>
    <row r="320" spans="7:7">
      <c r="G320" s="5" t="str">
        <f t="shared" si="23"/>
        <v/>
      </c>
    </row>
    <row r="321" spans="7:7">
      <c r="G321" s="5" t="str">
        <f t="shared" si="23"/>
        <v/>
      </c>
    </row>
    <row r="322" spans="7:7">
      <c r="G322" s="5" t="str">
        <f t="shared" si="23"/>
        <v/>
      </c>
    </row>
    <row r="323" spans="7:7">
      <c r="G323" s="5" t="str">
        <f t="shared" si="23"/>
        <v/>
      </c>
    </row>
    <row r="324" spans="7:7">
      <c r="G324" s="5" t="str">
        <f t="shared" si="23"/>
        <v/>
      </c>
    </row>
    <row r="325" spans="7:7">
      <c r="G325" s="5" t="str">
        <f t="shared" si="23"/>
        <v/>
      </c>
    </row>
    <row r="326" spans="7:7">
      <c r="G326" s="5" t="str">
        <f t="shared" si="23"/>
        <v/>
      </c>
    </row>
    <row r="327" spans="7:7">
      <c r="G327" s="5" t="str">
        <f t="shared" si="23"/>
        <v/>
      </c>
    </row>
    <row r="328" spans="7:7">
      <c r="G328" s="5" t="str">
        <f t="shared" si="23"/>
        <v/>
      </c>
    </row>
    <row r="329" spans="7:7">
      <c r="G329" s="5" t="str">
        <f t="shared" si="23"/>
        <v/>
      </c>
    </row>
    <row r="330" spans="7:7">
      <c r="G330" s="5" t="str">
        <f t="shared" si="23"/>
        <v/>
      </c>
    </row>
    <row r="331" spans="7:7">
      <c r="G331" s="5" t="str">
        <f t="shared" si="23"/>
        <v/>
      </c>
    </row>
    <row r="332" spans="7:7">
      <c r="G332" s="5" t="str">
        <f t="shared" si="23"/>
        <v/>
      </c>
    </row>
    <row r="333" spans="7:7">
      <c r="G333" s="5" t="str">
        <f t="shared" si="23"/>
        <v/>
      </c>
    </row>
    <row r="334" spans="7:7">
      <c r="G334" s="5" t="str">
        <f t="shared" si="23"/>
        <v/>
      </c>
    </row>
    <row r="335" spans="7:7">
      <c r="G335" s="5" t="str">
        <f t="shared" si="23"/>
        <v/>
      </c>
    </row>
    <row r="336" spans="7:7">
      <c r="G336" s="5" t="str">
        <f t="shared" si="23"/>
        <v/>
      </c>
    </row>
    <row r="337" spans="7:7">
      <c r="G337" s="5" t="str">
        <f t="shared" si="23"/>
        <v/>
      </c>
    </row>
    <row r="338" spans="7:7">
      <c r="G338" s="5" t="str">
        <f t="shared" si="23"/>
        <v/>
      </c>
    </row>
    <row r="339" spans="7:7">
      <c r="G339" s="5" t="str">
        <f t="shared" si="23"/>
        <v/>
      </c>
    </row>
    <row r="340" spans="7:7">
      <c r="G340" s="5" t="str">
        <f t="shared" si="23"/>
        <v/>
      </c>
    </row>
    <row r="341" spans="7:7">
      <c r="G341" s="5" t="str">
        <f t="shared" si="23"/>
        <v/>
      </c>
    </row>
    <row r="342" spans="7:7">
      <c r="G342" s="5" t="str">
        <f t="shared" si="23"/>
        <v/>
      </c>
    </row>
    <row r="343" spans="7:7">
      <c r="G343" s="5" t="str">
        <f t="shared" si="23"/>
        <v/>
      </c>
    </row>
    <row r="344" spans="7:7">
      <c r="G344" s="5" t="str">
        <f t="shared" si="23"/>
        <v/>
      </c>
    </row>
    <row r="345" spans="7:7">
      <c r="G345" s="5" t="str">
        <f t="shared" si="23"/>
        <v/>
      </c>
    </row>
    <row r="346" spans="7:7">
      <c r="G346" s="5" t="str">
        <f t="shared" si="23"/>
        <v/>
      </c>
    </row>
    <row r="347" spans="7:7">
      <c r="G347" s="5" t="str">
        <f t="shared" ref="G347:G410" si="24">IF(B347&lt;&gt;"",SUM(C347:F347),"")</f>
        <v/>
      </c>
    </row>
    <row r="348" spans="7:7">
      <c r="G348" s="5" t="str">
        <f t="shared" si="24"/>
        <v/>
      </c>
    </row>
    <row r="349" spans="7:7">
      <c r="G349" s="5" t="str">
        <f t="shared" si="24"/>
        <v/>
      </c>
    </row>
    <row r="350" spans="7:7">
      <c r="G350" s="5" t="str">
        <f t="shared" si="24"/>
        <v/>
      </c>
    </row>
    <row r="351" spans="7:7">
      <c r="G351" s="5" t="str">
        <f t="shared" si="24"/>
        <v/>
      </c>
    </row>
    <row r="352" spans="7:7">
      <c r="G352" s="5" t="str">
        <f t="shared" si="24"/>
        <v/>
      </c>
    </row>
    <row r="353" spans="7:7">
      <c r="G353" s="5" t="str">
        <f t="shared" si="24"/>
        <v/>
      </c>
    </row>
    <row r="354" spans="7:7">
      <c r="G354" s="5" t="str">
        <f t="shared" si="24"/>
        <v/>
      </c>
    </row>
    <row r="355" spans="7:7">
      <c r="G355" s="5" t="str">
        <f t="shared" si="24"/>
        <v/>
      </c>
    </row>
    <row r="356" spans="7:7">
      <c r="G356" s="5" t="str">
        <f t="shared" si="24"/>
        <v/>
      </c>
    </row>
    <row r="357" spans="7:7">
      <c r="G357" s="5" t="str">
        <f t="shared" si="24"/>
        <v/>
      </c>
    </row>
    <row r="358" spans="7:7">
      <c r="G358" s="5" t="str">
        <f t="shared" si="24"/>
        <v/>
      </c>
    </row>
    <row r="359" spans="7:7">
      <c r="G359" s="5" t="str">
        <f t="shared" si="24"/>
        <v/>
      </c>
    </row>
    <row r="360" spans="7:7">
      <c r="G360" s="5" t="str">
        <f t="shared" si="24"/>
        <v/>
      </c>
    </row>
    <row r="361" spans="7:7">
      <c r="G361" s="5" t="str">
        <f t="shared" si="24"/>
        <v/>
      </c>
    </row>
    <row r="362" spans="7:7">
      <c r="G362" s="5" t="str">
        <f t="shared" si="24"/>
        <v/>
      </c>
    </row>
    <row r="363" spans="7:7">
      <c r="G363" s="5" t="str">
        <f t="shared" si="24"/>
        <v/>
      </c>
    </row>
    <row r="364" spans="7:7">
      <c r="G364" s="5" t="str">
        <f t="shared" si="24"/>
        <v/>
      </c>
    </row>
    <row r="365" spans="7:7">
      <c r="G365" s="5" t="str">
        <f t="shared" si="24"/>
        <v/>
      </c>
    </row>
    <row r="366" spans="7:7">
      <c r="G366" s="5" t="str">
        <f t="shared" si="24"/>
        <v/>
      </c>
    </row>
    <row r="367" spans="7:7">
      <c r="G367" s="5" t="str">
        <f t="shared" si="24"/>
        <v/>
      </c>
    </row>
    <row r="368" spans="7:7">
      <c r="G368" s="5" t="str">
        <f t="shared" si="24"/>
        <v/>
      </c>
    </row>
    <row r="369" spans="7:7">
      <c r="G369" s="5" t="str">
        <f t="shared" si="24"/>
        <v/>
      </c>
    </row>
    <row r="370" spans="7:7">
      <c r="G370" s="5" t="str">
        <f t="shared" si="24"/>
        <v/>
      </c>
    </row>
    <row r="371" spans="7:7">
      <c r="G371" s="5" t="str">
        <f t="shared" si="24"/>
        <v/>
      </c>
    </row>
    <row r="372" spans="7:7">
      <c r="G372" s="5" t="str">
        <f t="shared" si="24"/>
        <v/>
      </c>
    </row>
    <row r="373" spans="7:7">
      <c r="G373" s="5" t="str">
        <f t="shared" si="24"/>
        <v/>
      </c>
    </row>
    <row r="374" spans="7:7">
      <c r="G374" s="5" t="str">
        <f t="shared" si="24"/>
        <v/>
      </c>
    </row>
    <row r="375" spans="7:7">
      <c r="G375" s="5" t="str">
        <f t="shared" si="24"/>
        <v/>
      </c>
    </row>
    <row r="376" spans="7:7">
      <c r="G376" s="5" t="str">
        <f t="shared" si="24"/>
        <v/>
      </c>
    </row>
    <row r="377" spans="7:7">
      <c r="G377" s="5" t="str">
        <f t="shared" si="24"/>
        <v/>
      </c>
    </row>
    <row r="378" spans="7:7">
      <c r="G378" s="5" t="str">
        <f t="shared" si="24"/>
        <v/>
      </c>
    </row>
    <row r="379" spans="7:7">
      <c r="G379" s="5" t="str">
        <f t="shared" si="24"/>
        <v/>
      </c>
    </row>
    <row r="380" spans="7:7">
      <c r="G380" s="5" t="str">
        <f t="shared" si="24"/>
        <v/>
      </c>
    </row>
    <row r="381" spans="7:7">
      <c r="G381" s="5" t="str">
        <f t="shared" si="24"/>
        <v/>
      </c>
    </row>
    <row r="382" spans="7:7">
      <c r="G382" s="5" t="str">
        <f t="shared" si="24"/>
        <v/>
      </c>
    </row>
    <row r="383" spans="7:7">
      <c r="G383" s="5" t="str">
        <f t="shared" si="24"/>
        <v/>
      </c>
    </row>
    <row r="384" spans="7:7">
      <c r="G384" s="5" t="str">
        <f t="shared" si="24"/>
        <v/>
      </c>
    </row>
    <row r="385" spans="7:7">
      <c r="G385" s="5" t="str">
        <f t="shared" si="24"/>
        <v/>
      </c>
    </row>
    <row r="386" spans="7:7">
      <c r="G386" s="5" t="str">
        <f t="shared" si="24"/>
        <v/>
      </c>
    </row>
    <row r="387" spans="7:7">
      <c r="G387" s="5" t="str">
        <f t="shared" si="24"/>
        <v/>
      </c>
    </row>
    <row r="388" spans="7:7">
      <c r="G388" s="5" t="str">
        <f t="shared" si="24"/>
        <v/>
      </c>
    </row>
    <row r="389" spans="7:7">
      <c r="G389" s="5" t="str">
        <f t="shared" si="24"/>
        <v/>
      </c>
    </row>
    <row r="390" spans="7:7">
      <c r="G390" s="5" t="str">
        <f t="shared" si="24"/>
        <v/>
      </c>
    </row>
    <row r="391" spans="7:7">
      <c r="G391" s="5" t="str">
        <f t="shared" si="24"/>
        <v/>
      </c>
    </row>
    <row r="392" spans="7:7">
      <c r="G392" s="5" t="str">
        <f t="shared" si="24"/>
        <v/>
      </c>
    </row>
    <row r="393" spans="7:7">
      <c r="G393" s="5" t="str">
        <f t="shared" si="24"/>
        <v/>
      </c>
    </row>
    <row r="394" spans="7:7">
      <c r="G394" s="5" t="str">
        <f t="shared" si="24"/>
        <v/>
      </c>
    </row>
    <row r="395" spans="7:7">
      <c r="G395" s="5" t="str">
        <f t="shared" si="24"/>
        <v/>
      </c>
    </row>
    <row r="396" spans="7:7">
      <c r="G396" s="5" t="str">
        <f t="shared" si="24"/>
        <v/>
      </c>
    </row>
    <row r="397" spans="7:7">
      <c r="G397" s="5" t="str">
        <f t="shared" si="24"/>
        <v/>
      </c>
    </row>
    <row r="398" spans="7:7">
      <c r="G398" s="5" t="str">
        <f t="shared" si="24"/>
        <v/>
      </c>
    </row>
    <row r="399" spans="7:7">
      <c r="G399" s="5" t="str">
        <f t="shared" si="24"/>
        <v/>
      </c>
    </row>
    <row r="400" spans="7:7">
      <c r="G400" s="5" t="str">
        <f t="shared" si="24"/>
        <v/>
      </c>
    </row>
    <row r="401" spans="7:7">
      <c r="G401" s="5" t="str">
        <f t="shared" si="24"/>
        <v/>
      </c>
    </row>
    <row r="402" spans="7:7">
      <c r="G402" s="5" t="str">
        <f t="shared" si="24"/>
        <v/>
      </c>
    </row>
    <row r="403" spans="7:7">
      <c r="G403" s="5" t="str">
        <f t="shared" si="24"/>
        <v/>
      </c>
    </row>
    <row r="404" spans="7:7">
      <c r="G404" s="5" t="str">
        <f t="shared" si="24"/>
        <v/>
      </c>
    </row>
    <row r="405" spans="7:7">
      <c r="G405" s="5" t="str">
        <f t="shared" si="24"/>
        <v/>
      </c>
    </row>
    <row r="406" spans="7:7">
      <c r="G406" s="5" t="str">
        <f t="shared" si="24"/>
        <v/>
      </c>
    </row>
    <row r="407" spans="7:7">
      <c r="G407" s="5" t="str">
        <f t="shared" si="24"/>
        <v/>
      </c>
    </row>
    <row r="408" spans="7:7">
      <c r="G408" s="5" t="str">
        <f t="shared" si="24"/>
        <v/>
      </c>
    </row>
    <row r="409" spans="7:7">
      <c r="G409" s="5" t="str">
        <f t="shared" si="24"/>
        <v/>
      </c>
    </row>
    <row r="410" spans="7:7">
      <c r="G410" s="5" t="str">
        <f t="shared" si="24"/>
        <v/>
      </c>
    </row>
    <row r="411" spans="7:7">
      <c r="G411" s="5" t="str">
        <f t="shared" ref="G411:G474" si="25">IF(B411&lt;&gt;"",SUM(C411:F411),"")</f>
        <v/>
      </c>
    </row>
    <row r="412" spans="7:7">
      <c r="G412" s="5" t="str">
        <f t="shared" si="25"/>
        <v/>
      </c>
    </row>
    <row r="413" spans="7:7">
      <c r="G413" s="5" t="str">
        <f t="shared" si="25"/>
        <v/>
      </c>
    </row>
    <row r="414" spans="7:7">
      <c r="G414" s="5" t="str">
        <f t="shared" si="25"/>
        <v/>
      </c>
    </row>
    <row r="415" spans="7:7">
      <c r="G415" s="5" t="str">
        <f t="shared" si="25"/>
        <v/>
      </c>
    </row>
    <row r="416" spans="7:7">
      <c r="G416" s="5" t="str">
        <f t="shared" si="25"/>
        <v/>
      </c>
    </row>
    <row r="417" spans="7:7">
      <c r="G417" s="5" t="str">
        <f t="shared" si="25"/>
        <v/>
      </c>
    </row>
    <row r="418" spans="7:7">
      <c r="G418" s="5" t="str">
        <f t="shared" si="25"/>
        <v/>
      </c>
    </row>
    <row r="419" spans="7:7">
      <c r="G419" s="5" t="str">
        <f t="shared" si="25"/>
        <v/>
      </c>
    </row>
    <row r="420" spans="7:7">
      <c r="G420" s="5" t="str">
        <f t="shared" si="25"/>
        <v/>
      </c>
    </row>
    <row r="421" spans="7:7">
      <c r="G421" s="5" t="str">
        <f t="shared" si="25"/>
        <v/>
      </c>
    </row>
    <row r="422" spans="7:7">
      <c r="G422" s="5" t="str">
        <f t="shared" si="25"/>
        <v/>
      </c>
    </row>
    <row r="423" spans="7:7">
      <c r="G423" s="5" t="str">
        <f t="shared" si="25"/>
        <v/>
      </c>
    </row>
    <row r="424" spans="7:7">
      <c r="G424" s="5" t="str">
        <f t="shared" si="25"/>
        <v/>
      </c>
    </row>
    <row r="425" spans="7:7">
      <c r="G425" s="5" t="str">
        <f t="shared" si="25"/>
        <v/>
      </c>
    </row>
    <row r="426" spans="7:7">
      <c r="G426" s="5" t="str">
        <f t="shared" si="25"/>
        <v/>
      </c>
    </row>
    <row r="427" spans="7:7">
      <c r="G427" s="5" t="str">
        <f t="shared" si="25"/>
        <v/>
      </c>
    </row>
    <row r="428" spans="7:7">
      <c r="G428" s="5" t="str">
        <f t="shared" si="25"/>
        <v/>
      </c>
    </row>
    <row r="429" spans="7:7">
      <c r="G429" s="5" t="str">
        <f t="shared" si="25"/>
        <v/>
      </c>
    </row>
    <row r="430" spans="7:7">
      <c r="G430" s="5" t="str">
        <f t="shared" si="25"/>
        <v/>
      </c>
    </row>
    <row r="431" spans="7:7">
      <c r="G431" s="5" t="str">
        <f t="shared" si="25"/>
        <v/>
      </c>
    </row>
    <row r="432" spans="7:7">
      <c r="G432" s="5" t="str">
        <f t="shared" si="25"/>
        <v/>
      </c>
    </row>
    <row r="433" spans="7:7">
      <c r="G433" s="5" t="str">
        <f t="shared" si="25"/>
        <v/>
      </c>
    </row>
    <row r="434" spans="7:7">
      <c r="G434" s="5" t="str">
        <f t="shared" si="25"/>
        <v/>
      </c>
    </row>
    <row r="435" spans="7:7">
      <c r="G435" s="5" t="str">
        <f t="shared" si="25"/>
        <v/>
      </c>
    </row>
    <row r="436" spans="7:7">
      <c r="G436" s="5" t="str">
        <f t="shared" si="25"/>
        <v/>
      </c>
    </row>
    <row r="437" spans="7:7">
      <c r="G437" s="5" t="str">
        <f t="shared" si="25"/>
        <v/>
      </c>
    </row>
    <row r="438" spans="7:7">
      <c r="G438" s="5" t="str">
        <f t="shared" si="25"/>
        <v/>
      </c>
    </row>
    <row r="439" spans="7:7">
      <c r="G439" s="5" t="str">
        <f t="shared" si="25"/>
        <v/>
      </c>
    </row>
    <row r="440" spans="7:7">
      <c r="G440" s="5" t="str">
        <f t="shared" si="25"/>
        <v/>
      </c>
    </row>
    <row r="441" spans="7:7">
      <c r="G441" s="5" t="str">
        <f t="shared" si="25"/>
        <v/>
      </c>
    </row>
    <row r="442" spans="7:7">
      <c r="G442" s="5" t="str">
        <f t="shared" si="25"/>
        <v/>
      </c>
    </row>
    <row r="443" spans="7:7">
      <c r="G443" s="5" t="str">
        <f t="shared" si="25"/>
        <v/>
      </c>
    </row>
    <row r="444" spans="7:7">
      <c r="G444" s="5" t="str">
        <f t="shared" si="25"/>
        <v/>
      </c>
    </row>
    <row r="445" spans="7:7">
      <c r="G445" s="5" t="str">
        <f t="shared" si="25"/>
        <v/>
      </c>
    </row>
    <row r="446" spans="7:7">
      <c r="G446" s="5" t="str">
        <f t="shared" si="25"/>
        <v/>
      </c>
    </row>
    <row r="447" spans="7:7">
      <c r="G447" s="5" t="str">
        <f t="shared" si="25"/>
        <v/>
      </c>
    </row>
    <row r="448" spans="7:7">
      <c r="G448" s="5" t="str">
        <f t="shared" si="25"/>
        <v/>
      </c>
    </row>
    <row r="449" spans="7:7">
      <c r="G449" s="5" t="str">
        <f t="shared" si="25"/>
        <v/>
      </c>
    </row>
    <row r="450" spans="7:7">
      <c r="G450" s="5" t="str">
        <f t="shared" si="25"/>
        <v/>
      </c>
    </row>
    <row r="451" spans="7:7">
      <c r="G451" s="5" t="str">
        <f t="shared" si="25"/>
        <v/>
      </c>
    </row>
    <row r="452" spans="7:7">
      <c r="G452" s="5" t="str">
        <f t="shared" si="25"/>
        <v/>
      </c>
    </row>
    <row r="453" spans="7:7">
      <c r="G453" s="5" t="str">
        <f t="shared" si="25"/>
        <v/>
      </c>
    </row>
    <row r="454" spans="7:7">
      <c r="G454" s="5" t="str">
        <f t="shared" si="25"/>
        <v/>
      </c>
    </row>
    <row r="455" spans="7:7">
      <c r="G455" s="5" t="str">
        <f t="shared" si="25"/>
        <v/>
      </c>
    </row>
    <row r="456" spans="7:7">
      <c r="G456" s="5" t="str">
        <f t="shared" si="25"/>
        <v/>
      </c>
    </row>
    <row r="457" spans="7:7">
      <c r="G457" s="5" t="str">
        <f t="shared" si="25"/>
        <v/>
      </c>
    </row>
    <row r="458" spans="7:7">
      <c r="G458" s="5" t="str">
        <f t="shared" si="25"/>
        <v/>
      </c>
    </row>
    <row r="459" spans="7:7">
      <c r="G459" s="5" t="str">
        <f t="shared" si="25"/>
        <v/>
      </c>
    </row>
    <row r="460" spans="7:7">
      <c r="G460" s="5" t="str">
        <f t="shared" si="25"/>
        <v/>
      </c>
    </row>
    <row r="461" spans="7:7">
      <c r="G461" s="5" t="str">
        <f t="shared" si="25"/>
        <v/>
      </c>
    </row>
    <row r="462" spans="7:7">
      <c r="G462" s="5" t="str">
        <f t="shared" si="25"/>
        <v/>
      </c>
    </row>
    <row r="463" spans="7:7">
      <c r="G463" s="5" t="str">
        <f t="shared" si="25"/>
        <v/>
      </c>
    </row>
    <row r="464" spans="7:7">
      <c r="G464" s="5" t="str">
        <f t="shared" si="25"/>
        <v/>
      </c>
    </row>
    <row r="465" spans="7:7">
      <c r="G465" s="5" t="str">
        <f t="shared" si="25"/>
        <v/>
      </c>
    </row>
    <row r="466" spans="7:7">
      <c r="G466" s="5" t="str">
        <f t="shared" si="25"/>
        <v/>
      </c>
    </row>
    <row r="467" spans="7:7">
      <c r="G467" s="5" t="str">
        <f t="shared" si="25"/>
        <v/>
      </c>
    </row>
    <row r="468" spans="7:7">
      <c r="G468" s="5" t="str">
        <f t="shared" si="25"/>
        <v/>
      </c>
    </row>
    <row r="469" spans="7:7">
      <c r="G469" s="5" t="str">
        <f t="shared" si="25"/>
        <v/>
      </c>
    </row>
    <row r="470" spans="7:7">
      <c r="G470" s="5" t="str">
        <f t="shared" si="25"/>
        <v/>
      </c>
    </row>
    <row r="471" spans="7:7">
      <c r="G471" s="5" t="str">
        <f t="shared" si="25"/>
        <v/>
      </c>
    </row>
    <row r="472" spans="7:7">
      <c r="G472" s="5" t="str">
        <f t="shared" si="25"/>
        <v/>
      </c>
    </row>
    <row r="473" spans="7:7">
      <c r="G473" s="5" t="str">
        <f t="shared" si="25"/>
        <v/>
      </c>
    </row>
    <row r="474" spans="7:7">
      <c r="G474" s="5" t="str">
        <f t="shared" si="25"/>
        <v/>
      </c>
    </row>
    <row r="475" spans="7:7">
      <c r="G475" s="5" t="str">
        <f t="shared" ref="G475:G506" si="26">IF(B475&lt;&gt;"",SUM(C475:F475),"")</f>
        <v/>
      </c>
    </row>
    <row r="476" spans="7:7">
      <c r="G476" s="5" t="str">
        <f t="shared" si="26"/>
        <v/>
      </c>
    </row>
    <row r="477" spans="7:7">
      <c r="G477" s="5" t="str">
        <f t="shared" si="26"/>
        <v/>
      </c>
    </row>
    <row r="478" spans="7:7">
      <c r="G478" s="5" t="str">
        <f t="shared" si="26"/>
        <v/>
      </c>
    </row>
    <row r="479" spans="7:7">
      <c r="G479" s="5" t="str">
        <f t="shared" si="26"/>
        <v/>
      </c>
    </row>
    <row r="480" spans="7:7">
      <c r="G480" s="5" t="str">
        <f t="shared" si="26"/>
        <v/>
      </c>
    </row>
    <row r="481" spans="7:7">
      <c r="G481" s="5" t="str">
        <f t="shared" si="26"/>
        <v/>
      </c>
    </row>
    <row r="482" spans="7:7">
      <c r="G482" s="5" t="str">
        <f t="shared" si="26"/>
        <v/>
      </c>
    </row>
    <row r="483" spans="7:7">
      <c r="G483" s="5" t="str">
        <f t="shared" si="26"/>
        <v/>
      </c>
    </row>
    <row r="484" spans="7:7">
      <c r="G484" s="5" t="str">
        <f t="shared" si="26"/>
        <v/>
      </c>
    </row>
    <row r="485" spans="7:7">
      <c r="G485" s="5" t="str">
        <f t="shared" si="26"/>
        <v/>
      </c>
    </row>
    <row r="486" spans="7:7">
      <c r="G486" s="5" t="str">
        <f t="shared" si="26"/>
        <v/>
      </c>
    </row>
    <row r="487" spans="7:7">
      <c r="G487" s="5" t="str">
        <f t="shared" si="26"/>
        <v/>
      </c>
    </row>
    <row r="488" spans="7:7">
      <c r="G488" s="5" t="str">
        <f t="shared" si="26"/>
        <v/>
      </c>
    </row>
    <row r="489" spans="7:7">
      <c r="G489" s="5" t="str">
        <f t="shared" si="26"/>
        <v/>
      </c>
    </row>
    <row r="490" spans="7:7">
      <c r="G490" s="5" t="str">
        <f t="shared" si="26"/>
        <v/>
      </c>
    </row>
    <row r="491" spans="7:7">
      <c r="G491" s="5" t="str">
        <f t="shared" si="26"/>
        <v/>
      </c>
    </row>
    <row r="492" spans="7:7">
      <c r="G492" s="5" t="str">
        <f t="shared" si="26"/>
        <v/>
      </c>
    </row>
    <row r="493" spans="7:7">
      <c r="G493" s="5" t="str">
        <f t="shared" si="26"/>
        <v/>
      </c>
    </row>
    <row r="494" spans="7:7">
      <c r="G494" s="5" t="str">
        <f t="shared" si="26"/>
        <v/>
      </c>
    </row>
    <row r="495" spans="7:7">
      <c r="G495" s="5" t="str">
        <f t="shared" si="26"/>
        <v/>
      </c>
    </row>
    <row r="496" spans="7:7">
      <c r="G496" s="5" t="str">
        <f t="shared" si="26"/>
        <v/>
      </c>
    </row>
    <row r="497" spans="7:7">
      <c r="G497" s="5" t="str">
        <f t="shared" si="26"/>
        <v/>
      </c>
    </row>
    <row r="498" spans="7:7">
      <c r="G498" s="5" t="str">
        <f t="shared" si="26"/>
        <v/>
      </c>
    </row>
    <row r="499" spans="7:7">
      <c r="G499" s="5" t="str">
        <f t="shared" si="26"/>
        <v/>
      </c>
    </row>
    <row r="500" spans="7:7">
      <c r="G500" s="5" t="str">
        <f t="shared" si="26"/>
        <v/>
      </c>
    </row>
    <row r="501" spans="7:7">
      <c r="G501" s="5" t="str">
        <f t="shared" si="26"/>
        <v/>
      </c>
    </row>
    <row r="502" spans="7:7">
      <c r="G502" s="5" t="str">
        <f t="shared" si="26"/>
        <v/>
      </c>
    </row>
    <row r="503" spans="7:7">
      <c r="G503" s="5" t="str">
        <f t="shared" si="26"/>
        <v/>
      </c>
    </row>
    <row r="504" spans="7:7">
      <c r="G504" s="5" t="str">
        <f t="shared" si="26"/>
        <v/>
      </c>
    </row>
    <row r="505" spans="7:7">
      <c r="G505" s="5" t="str">
        <f t="shared" si="26"/>
        <v/>
      </c>
    </row>
    <row r="506" spans="7:7">
      <c r="G506" s="5" t="str">
        <f t="shared" si="26"/>
        <v/>
      </c>
    </row>
  </sheetData>
  <sheetProtection algorithmName="SHA-512" hashValue="CH9YswlJjEsbf8r7xl9KXDgEuEcJQE9JjqEChsSEe2Dd023pUZ2xz7ATOfrOS5P6vy0g9fnobuM6Ob7kDbC4WQ==" saltValue="ZK3wvES6nfPVUnv8f/PCGA==" spinCount="100000" sheet="1" sort="0" autoFilter="0" pivotTables="0"/>
  <autoFilter ref="H5:H79" xr:uid="{E6F514B6-7492-48F4-9AA6-307C9F63B80F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9784A-F5A2-4C4E-90D0-FA371B5B6802}">
  <sheetPr codeName="Planilha25">
    <tabColor rgb="FF006600"/>
    <pageSetUpPr fitToPage="1"/>
  </sheetPr>
  <dimension ref="A1:S435"/>
  <sheetViews>
    <sheetView workbookViewId="0">
      <pane ySplit="5" topLeftCell="A6" activePane="bottomLeft" state="frozen"/>
      <selection activeCell="H9" sqref="H9"/>
      <selection pane="bottomLeft" activeCell="I20" sqref="I20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1:19" ht="4.5" customHeight="1">
      <c r="B1" s="1"/>
      <c r="C1" s="4"/>
      <c r="D1" s="4"/>
      <c r="E1" s="4"/>
      <c r="F1" s="4"/>
      <c r="G1" s="4"/>
    </row>
    <row r="2" spans="1:19" ht="59.25" customHeight="1">
      <c r="B2" s="63" t="s">
        <v>848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1:19" ht="4.5" customHeight="1" thickBot="1">
      <c r="B3" s="1"/>
      <c r="C3" s="4"/>
      <c r="D3" s="4"/>
      <c r="E3" s="4"/>
      <c r="F3" s="4"/>
      <c r="G3" s="4"/>
    </row>
    <row r="4" spans="1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1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98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1:19">
      <c r="A6" s="144"/>
      <c r="B6" s="124" t="s">
        <v>846</v>
      </c>
      <c r="C6" s="145"/>
      <c r="D6" s="146"/>
      <c r="E6" s="146"/>
      <c r="F6" s="128"/>
      <c r="G6" s="129"/>
      <c r="H6" s="130">
        <f t="shared" ref="H6:H7" si="0">SUM(C6:G6)</f>
        <v>0</v>
      </c>
      <c r="I6" s="475">
        <v>0</v>
      </c>
      <c r="J6" s="131"/>
      <c r="K6" s="148"/>
      <c r="L6" s="126">
        <v>20.52</v>
      </c>
      <c r="M6" s="150">
        <v>10</v>
      </c>
      <c r="N6" s="125">
        <f t="shared" ref="N6:N7" si="1">I6*C6</f>
        <v>0</v>
      </c>
      <c r="O6" s="25">
        <f t="shared" ref="O6:O7" si="2">I6*D6</f>
        <v>0</v>
      </c>
      <c r="P6" s="25">
        <f t="shared" ref="P6:P7" si="3">I6*E6</f>
        <v>0</v>
      </c>
      <c r="Q6" s="26">
        <f t="shared" ref="Q6:Q7" si="4">I6*F6</f>
        <v>0</v>
      </c>
      <c r="R6" s="27">
        <f t="shared" ref="R6:R7" si="5">I6*G6</f>
        <v>0</v>
      </c>
      <c r="S6" s="28">
        <f>SUM(N6:R6)</f>
        <v>0</v>
      </c>
    </row>
    <row r="7" spans="1:19">
      <c r="A7" s="144"/>
      <c r="B7" s="124" t="s">
        <v>847</v>
      </c>
      <c r="C7" s="147"/>
      <c r="D7" s="138"/>
      <c r="E7" s="138">
        <v>600</v>
      </c>
      <c r="F7" s="133"/>
      <c r="G7" s="134"/>
      <c r="H7" s="135">
        <f t="shared" si="0"/>
        <v>600</v>
      </c>
      <c r="I7" s="499">
        <v>18.329999999999998</v>
      </c>
      <c r="J7" s="136"/>
      <c r="K7" s="149"/>
      <c r="L7" s="126">
        <v>17.29</v>
      </c>
      <c r="M7" s="150">
        <v>10</v>
      </c>
      <c r="N7" s="125">
        <f t="shared" si="1"/>
        <v>0</v>
      </c>
      <c r="O7" s="25">
        <f t="shared" si="2"/>
        <v>0</v>
      </c>
      <c r="P7" s="25">
        <f t="shared" si="3"/>
        <v>10997.999999999998</v>
      </c>
      <c r="Q7" s="26">
        <f t="shared" si="4"/>
        <v>0</v>
      </c>
      <c r="R7" s="27">
        <f t="shared" si="5"/>
        <v>0</v>
      </c>
      <c r="S7" s="28">
        <f t="shared" ref="S7" si="6">SUM(N7:R7)</f>
        <v>10997.999999999998</v>
      </c>
    </row>
    <row r="8" spans="1:19">
      <c r="B8" s="58" t="s">
        <v>13</v>
      </c>
      <c r="C8" s="288">
        <v>0</v>
      </c>
      <c r="D8" s="288">
        <v>0</v>
      </c>
      <c r="E8" s="288">
        <v>0</v>
      </c>
      <c r="F8" s="288">
        <v>0</v>
      </c>
      <c r="G8" s="288">
        <f t="shared" ref="G8:H8" si="7">R8</f>
        <v>0</v>
      </c>
      <c r="H8" s="288">
        <f t="shared" si="7"/>
        <v>10997.999999999998</v>
      </c>
      <c r="N8" s="29">
        <f t="shared" ref="N8:S8" si="8">SUM(N6:N7)</f>
        <v>0</v>
      </c>
      <c r="O8" s="29">
        <f t="shared" si="8"/>
        <v>0</v>
      </c>
      <c r="P8" s="29">
        <f t="shared" si="8"/>
        <v>10997.999999999998</v>
      </c>
      <c r="Q8" s="29">
        <f t="shared" si="8"/>
        <v>0</v>
      </c>
      <c r="R8" s="29">
        <f t="shared" si="8"/>
        <v>0</v>
      </c>
      <c r="S8" s="29">
        <f t="shared" si="8"/>
        <v>10997.999999999998</v>
      </c>
    </row>
    <row r="9" spans="1:19">
      <c r="B9" s="59" t="s">
        <v>46</v>
      </c>
    </row>
    <row r="10" spans="1:19" ht="16.5" thickBot="1">
      <c r="B10" s="2"/>
    </row>
    <row r="11" spans="1:19">
      <c r="B11" s="60" t="s">
        <v>47</v>
      </c>
    </row>
    <row r="12" spans="1:19">
      <c r="B12" s="61" t="s">
        <v>1552</v>
      </c>
    </row>
    <row r="13" spans="1:19">
      <c r="B13" s="61" t="s">
        <v>17</v>
      </c>
    </row>
    <row r="14" spans="1:19" ht="16.5" thickBot="1">
      <c r="B14" s="62" t="s">
        <v>18</v>
      </c>
    </row>
    <row r="15" spans="1:19">
      <c r="B15" s="2"/>
    </row>
    <row r="16" spans="1:19">
      <c r="B16" s="30" t="s">
        <v>20</v>
      </c>
    </row>
    <row r="17" spans="2:7">
      <c r="B17" s="35"/>
    </row>
    <row r="18" spans="2:7">
      <c r="B18" s="35"/>
    </row>
    <row r="19" spans="2:7">
      <c r="B19" s="2"/>
      <c r="G19" s="5" t="str">
        <f>IF(B19&lt;&gt;"",SUM(C19:F19),"")</f>
        <v/>
      </c>
    </row>
    <row r="20" spans="2:7">
      <c r="G20" s="5" t="str">
        <f t="shared" ref="G20:G83" si="9">IF(B20&lt;&gt;"",SUM(C20:F20),"")</f>
        <v/>
      </c>
    </row>
    <row r="21" spans="2:7">
      <c r="G21" s="5" t="str">
        <f t="shared" si="9"/>
        <v/>
      </c>
    </row>
    <row r="22" spans="2:7">
      <c r="G22" s="5" t="str">
        <f t="shared" si="9"/>
        <v/>
      </c>
    </row>
    <row r="23" spans="2:7">
      <c r="G23" s="5" t="str">
        <f t="shared" si="9"/>
        <v/>
      </c>
    </row>
    <row r="24" spans="2:7">
      <c r="G24" s="5" t="str">
        <f t="shared" si="9"/>
        <v/>
      </c>
    </row>
    <row r="25" spans="2:7">
      <c r="G25" s="5" t="str">
        <f t="shared" si="9"/>
        <v/>
      </c>
    </row>
    <row r="26" spans="2:7">
      <c r="G26" s="5" t="str">
        <f t="shared" si="9"/>
        <v/>
      </c>
    </row>
    <row r="27" spans="2:7">
      <c r="G27" s="5" t="str">
        <f t="shared" si="9"/>
        <v/>
      </c>
    </row>
    <row r="28" spans="2:7">
      <c r="G28" s="5" t="str">
        <f t="shared" si="9"/>
        <v/>
      </c>
    </row>
    <row r="29" spans="2:7">
      <c r="G29" s="5" t="str">
        <f t="shared" si="9"/>
        <v/>
      </c>
    </row>
    <row r="30" spans="2:7">
      <c r="G30" s="5" t="str">
        <f t="shared" si="9"/>
        <v/>
      </c>
    </row>
    <row r="31" spans="2:7">
      <c r="G31" s="5" t="str">
        <f t="shared" si="9"/>
        <v/>
      </c>
    </row>
    <row r="32" spans="2:7">
      <c r="G32" s="5" t="str">
        <f t="shared" si="9"/>
        <v/>
      </c>
    </row>
    <row r="33" spans="7:7">
      <c r="G33" s="5" t="str">
        <f t="shared" si="9"/>
        <v/>
      </c>
    </row>
    <row r="34" spans="7:7">
      <c r="G34" s="5" t="str">
        <f t="shared" si="9"/>
        <v/>
      </c>
    </row>
    <row r="35" spans="7:7">
      <c r="G35" s="5" t="str">
        <f t="shared" si="9"/>
        <v/>
      </c>
    </row>
    <row r="36" spans="7:7">
      <c r="G36" s="5" t="str">
        <f t="shared" si="9"/>
        <v/>
      </c>
    </row>
    <row r="37" spans="7:7">
      <c r="G37" s="5" t="str">
        <f t="shared" si="9"/>
        <v/>
      </c>
    </row>
    <row r="38" spans="7:7">
      <c r="G38" s="5" t="str">
        <f t="shared" si="9"/>
        <v/>
      </c>
    </row>
    <row r="39" spans="7:7">
      <c r="G39" s="5" t="str">
        <f t="shared" si="9"/>
        <v/>
      </c>
    </row>
    <row r="40" spans="7:7">
      <c r="G40" s="5" t="str">
        <f t="shared" si="9"/>
        <v/>
      </c>
    </row>
    <row r="41" spans="7:7">
      <c r="G41" s="5" t="str">
        <f t="shared" si="9"/>
        <v/>
      </c>
    </row>
    <row r="42" spans="7:7">
      <c r="G42" s="5" t="str">
        <f t="shared" si="9"/>
        <v/>
      </c>
    </row>
    <row r="43" spans="7:7">
      <c r="G43" s="5" t="str">
        <f t="shared" si="9"/>
        <v/>
      </c>
    </row>
    <row r="44" spans="7:7">
      <c r="G44" s="5" t="str">
        <f t="shared" si="9"/>
        <v/>
      </c>
    </row>
    <row r="45" spans="7:7">
      <c r="G45" s="5" t="str">
        <f t="shared" si="9"/>
        <v/>
      </c>
    </row>
    <row r="46" spans="7:7">
      <c r="G46" s="5" t="str">
        <f t="shared" si="9"/>
        <v/>
      </c>
    </row>
    <row r="47" spans="7:7">
      <c r="G47" s="5" t="str">
        <f t="shared" si="9"/>
        <v/>
      </c>
    </row>
    <row r="48" spans="7:7">
      <c r="G48" s="5" t="str">
        <f t="shared" si="9"/>
        <v/>
      </c>
    </row>
    <row r="49" spans="7:7">
      <c r="G49" s="5" t="str">
        <f t="shared" si="9"/>
        <v/>
      </c>
    </row>
    <row r="50" spans="7:7">
      <c r="G50" s="5" t="str">
        <f t="shared" si="9"/>
        <v/>
      </c>
    </row>
    <row r="51" spans="7:7">
      <c r="G51" s="5" t="str">
        <f t="shared" si="9"/>
        <v/>
      </c>
    </row>
    <row r="52" spans="7:7">
      <c r="G52" s="5" t="str">
        <f t="shared" si="9"/>
        <v/>
      </c>
    </row>
    <row r="53" spans="7:7">
      <c r="G53" s="5" t="str">
        <f t="shared" si="9"/>
        <v/>
      </c>
    </row>
    <row r="54" spans="7:7">
      <c r="G54" s="5" t="str">
        <f t="shared" si="9"/>
        <v/>
      </c>
    </row>
    <row r="55" spans="7:7">
      <c r="G55" s="5" t="str">
        <f t="shared" si="9"/>
        <v/>
      </c>
    </row>
    <row r="56" spans="7:7">
      <c r="G56" s="5" t="str">
        <f t="shared" si="9"/>
        <v/>
      </c>
    </row>
    <row r="57" spans="7:7">
      <c r="G57" s="5" t="str">
        <f t="shared" si="9"/>
        <v/>
      </c>
    </row>
    <row r="58" spans="7:7">
      <c r="G58" s="5" t="str">
        <f t="shared" si="9"/>
        <v/>
      </c>
    </row>
    <row r="59" spans="7:7">
      <c r="G59" s="5" t="str">
        <f t="shared" si="9"/>
        <v/>
      </c>
    </row>
    <row r="60" spans="7:7">
      <c r="G60" s="5" t="str">
        <f t="shared" si="9"/>
        <v/>
      </c>
    </row>
    <row r="61" spans="7:7">
      <c r="G61" s="5" t="str">
        <f t="shared" si="9"/>
        <v/>
      </c>
    </row>
    <row r="62" spans="7:7">
      <c r="G62" s="5" t="str">
        <f t="shared" si="9"/>
        <v/>
      </c>
    </row>
    <row r="63" spans="7:7">
      <c r="G63" s="5" t="str">
        <f t="shared" si="9"/>
        <v/>
      </c>
    </row>
    <row r="64" spans="7:7">
      <c r="G64" s="5" t="str">
        <f t="shared" si="9"/>
        <v/>
      </c>
    </row>
    <row r="65" spans="7:7">
      <c r="G65" s="5" t="str">
        <f t="shared" si="9"/>
        <v/>
      </c>
    </row>
    <row r="66" spans="7:7">
      <c r="G66" s="5" t="str">
        <f t="shared" si="9"/>
        <v/>
      </c>
    </row>
    <row r="67" spans="7:7">
      <c r="G67" s="5" t="str">
        <f t="shared" si="9"/>
        <v/>
      </c>
    </row>
    <row r="68" spans="7:7">
      <c r="G68" s="5" t="str">
        <f t="shared" si="9"/>
        <v/>
      </c>
    </row>
    <row r="69" spans="7:7">
      <c r="G69" s="5" t="str">
        <f t="shared" si="9"/>
        <v/>
      </c>
    </row>
    <row r="70" spans="7:7">
      <c r="G70" s="5" t="str">
        <f t="shared" si="9"/>
        <v/>
      </c>
    </row>
    <row r="71" spans="7:7">
      <c r="G71" s="5" t="str">
        <f t="shared" si="9"/>
        <v/>
      </c>
    </row>
    <row r="72" spans="7:7">
      <c r="G72" s="5" t="str">
        <f t="shared" si="9"/>
        <v/>
      </c>
    </row>
    <row r="73" spans="7:7">
      <c r="G73" s="5" t="str">
        <f t="shared" si="9"/>
        <v/>
      </c>
    </row>
    <row r="74" spans="7:7">
      <c r="G74" s="5" t="str">
        <f t="shared" si="9"/>
        <v/>
      </c>
    </row>
    <row r="75" spans="7:7">
      <c r="G75" s="5" t="str">
        <f t="shared" si="9"/>
        <v/>
      </c>
    </row>
    <row r="76" spans="7:7">
      <c r="G76" s="5" t="str">
        <f t="shared" si="9"/>
        <v/>
      </c>
    </row>
    <row r="77" spans="7:7">
      <c r="G77" s="5" t="str">
        <f t="shared" si="9"/>
        <v/>
      </c>
    </row>
    <row r="78" spans="7:7">
      <c r="G78" s="5" t="str">
        <f t="shared" si="9"/>
        <v/>
      </c>
    </row>
    <row r="79" spans="7:7">
      <c r="G79" s="5" t="str">
        <f t="shared" si="9"/>
        <v/>
      </c>
    </row>
    <row r="80" spans="7:7">
      <c r="G80" s="5" t="str">
        <f t="shared" si="9"/>
        <v/>
      </c>
    </row>
    <row r="81" spans="7:7">
      <c r="G81" s="5" t="str">
        <f t="shared" si="9"/>
        <v/>
      </c>
    </row>
    <row r="82" spans="7:7">
      <c r="G82" s="5" t="str">
        <f t="shared" si="9"/>
        <v/>
      </c>
    </row>
    <row r="83" spans="7:7">
      <c r="G83" s="5" t="str">
        <f t="shared" si="9"/>
        <v/>
      </c>
    </row>
    <row r="84" spans="7:7">
      <c r="G84" s="5" t="str">
        <f t="shared" ref="G84:G147" si="10">IF(B84&lt;&gt;"",SUM(C84:F84),"")</f>
        <v/>
      </c>
    </row>
    <row r="85" spans="7:7">
      <c r="G85" s="5" t="str">
        <f t="shared" si="10"/>
        <v/>
      </c>
    </row>
    <row r="86" spans="7:7">
      <c r="G86" s="5" t="str">
        <f t="shared" si="10"/>
        <v/>
      </c>
    </row>
    <row r="87" spans="7:7">
      <c r="G87" s="5" t="str">
        <f t="shared" si="10"/>
        <v/>
      </c>
    </row>
    <row r="88" spans="7:7">
      <c r="G88" s="5" t="str">
        <f t="shared" si="10"/>
        <v/>
      </c>
    </row>
    <row r="89" spans="7:7">
      <c r="G89" s="5" t="str">
        <f t="shared" si="10"/>
        <v/>
      </c>
    </row>
    <row r="90" spans="7:7">
      <c r="G90" s="5" t="str">
        <f t="shared" si="10"/>
        <v/>
      </c>
    </row>
    <row r="91" spans="7:7">
      <c r="G91" s="5" t="str">
        <f t="shared" si="10"/>
        <v/>
      </c>
    </row>
    <row r="92" spans="7:7">
      <c r="G92" s="5" t="str">
        <f t="shared" si="10"/>
        <v/>
      </c>
    </row>
    <row r="93" spans="7:7">
      <c r="G93" s="5" t="str">
        <f t="shared" si="10"/>
        <v/>
      </c>
    </row>
    <row r="94" spans="7:7">
      <c r="G94" s="5" t="str">
        <f t="shared" si="10"/>
        <v/>
      </c>
    </row>
    <row r="95" spans="7:7">
      <c r="G95" s="5" t="str">
        <f t="shared" si="10"/>
        <v/>
      </c>
    </row>
    <row r="96" spans="7:7">
      <c r="G96" s="5" t="str">
        <f t="shared" si="10"/>
        <v/>
      </c>
    </row>
    <row r="97" spans="7:7">
      <c r="G97" s="5" t="str">
        <f t="shared" si="10"/>
        <v/>
      </c>
    </row>
    <row r="98" spans="7:7">
      <c r="G98" s="5" t="str">
        <f t="shared" si="10"/>
        <v/>
      </c>
    </row>
    <row r="99" spans="7:7">
      <c r="G99" s="5" t="str">
        <f t="shared" si="10"/>
        <v/>
      </c>
    </row>
    <row r="100" spans="7:7">
      <c r="G100" s="5" t="str">
        <f t="shared" si="10"/>
        <v/>
      </c>
    </row>
    <row r="101" spans="7:7">
      <c r="G101" s="5" t="str">
        <f t="shared" si="10"/>
        <v/>
      </c>
    </row>
    <row r="102" spans="7:7">
      <c r="G102" s="5" t="str">
        <f t="shared" si="10"/>
        <v/>
      </c>
    </row>
    <row r="103" spans="7:7">
      <c r="G103" s="5" t="str">
        <f t="shared" si="10"/>
        <v/>
      </c>
    </row>
    <row r="104" spans="7:7">
      <c r="G104" s="5" t="str">
        <f t="shared" si="10"/>
        <v/>
      </c>
    </row>
    <row r="105" spans="7:7">
      <c r="G105" s="5" t="str">
        <f t="shared" si="10"/>
        <v/>
      </c>
    </row>
    <row r="106" spans="7:7">
      <c r="G106" s="5" t="str">
        <f t="shared" si="10"/>
        <v/>
      </c>
    </row>
    <row r="107" spans="7:7">
      <c r="G107" s="5" t="str">
        <f t="shared" si="10"/>
        <v/>
      </c>
    </row>
    <row r="108" spans="7:7">
      <c r="G108" s="5" t="str">
        <f t="shared" si="10"/>
        <v/>
      </c>
    </row>
    <row r="109" spans="7:7">
      <c r="G109" s="5" t="str">
        <f t="shared" si="10"/>
        <v/>
      </c>
    </row>
    <row r="110" spans="7:7">
      <c r="G110" s="5" t="str">
        <f t="shared" si="10"/>
        <v/>
      </c>
    </row>
    <row r="111" spans="7:7">
      <c r="G111" s="5" t="str">
        <f t="shared" si="10"/>
        <v/>
      </c>
    </row>
    <row r="112" spans="7:7">
      <c r="G112" s="5" t="str">
        <f t="shared" si="10"/>
        <v/>
      </c>
    </row>
    <row r="113" spans="7:7">
      <c r="G113" s="5" t="str">
        <f t="shared" si="10"/>
        <v/>
      </c>
    </row>
    <row r="114" spans="7:7">
      <c r="G114" s="5" t="str">
        <f t="shared" si="10"/>
        <v/>
      </c>
    </row>
    <row r="115" spans="7:7">
      <c r="G115" s="5" t="str">
        <f t="shared" si="10"/>
        <v/>
      </c>
    </row>
    <row r="116" spans="7:7">
      <c r="G116" s="5" t="str">
        <f t="shared" si="10"/>
        <v/>
      </c>
    </row>
    <row r="117" spans="7:7">
      <c r="G117" s="5" t="str">
        <f t="shared" si="10"/>
        <v/>
      </c>
    </row>
    <row r="118" spans="7:7">
      <c r="G118" s="5" t="str">
        <f t="shared" si="10"/>
        <v/>
      </c>
    </row>
    <row r="119" spans="7:7">
      <c r="G119" s="5" t="str">
        <f t="shared" si="10"/>
        <v/>
      </c>
    </row>
    <row r="120" spans="7:7">
      <c r="G120" s="5" t="str">
        <f t="shared" si="10"/>
        <v/>
      </c>
    </row>
    <row r="121" spans="7:7">
      <c r="G121" s="5" t="str">
        <f t="shared" si="10"/>
        <v/>
      </c>
    </row>
    <row r="122" spans="7:7">
      <c r="G122" s="5" t="str">
        <f t="shared" si="10"/>
        <v/>
      </c>
    </row>
    <row r="123" spans="7:7">
      <c r="G123" s="5" t="str">
        <f t="shared" si="10"/>
        <v/>
      </c>
    </row>
    <row r="124" spans="7:7">
      <c r="G124" s="5" t="str">
        <f t="shared" si="10"/>
        <v/>
      </c>
    </row>
    <row r="125" spans="7:7">
      <c r="G125" s="5" t="str">
        <f t="shared" si="10"/>
        <v/>
      </c>
    </row>
    <row r="126" spans="7:7">
      <c r="G126" s="5" t="str">
        <f t="shared" si="10"/>
        <v/>
      </c>
    </row>
    <row r="127" spans="7:7">
      <c r="G127" s="5" t="str">
        <f t="shared" si="10"/>
        <v/>
      </c>
    </row>
    <row r="128" spans="7:7">
      <c r="G128" s="5" t="str">
        <f t="shared" si="10"/>
        <v/>
      </c>
    </row>
    <row r="129" spans="7:7">
      <c r="G129" s="5" t="str">
        <f t="shared" si="10"/>
        <v/>
      </c>
    </row>
    <row r="130" spans="7:7">
      <c r="G130" s="5" t="str">
        <f t="shared" si="10"/>
        <v/>
      </c>
    </row>
    <row r="131" spans="7:7">
      <c r="G131" s="5" t="str">
        <f t="shared" si="10"/>
        <v/>
      </c>
    </row>
    <row r="132" spans="7:7">
      <c r="G132" s="5" t="str">
        <f t="shared" si="10"/>
        <v/>
      </c>
    </row>
    <row r="133" spans="7:7">
      <c r="G133" s="5" t="str">
        <f t="shared" si="10"/>
        <v/>
      </c>
    </row>
    <row r="134" spans="7:7">
      <c r="G134" s="5" t="str">
        <f t="shared" si="10"/>
        <v/>
      </c>
    </row>
    <row r="135" spans="7:7">
      <c r="G135" s="5" t="str">
        <f t="shared" si="10"/>
        <v/>
      </c>
    </row>
    <row r="136" spans="7:7">
      <c r="G136" s="5" t="str">
        <f t="shared" si="10"/>
        <v/>
      </c>
    </row>
    <row r="137" spans="7:7">
      <c r="G137" s="5" t="str">
        <f t="shared" si="10"/>
        <v/>
      </c>
    </row>
    <row r="138" spans="7:7">
      <c r="G138" s="5" t="str">
        <f t="shared" si="10"/>
        <v/>
      </c>
    </row>
    <row r="139" spans="7:7">
      <c r="G139" s="5" t="str">
        <f t="shared" si="10"/>
        <v/>
      </c>
    </row>
    <row r="140" spans="7:7">
      <c r="G140" s="5" t="str">
        <f t="shared" si="10"/>
        <v/>
      </c>
    </row>
    <row r="141" spans="7:7">
      <c r="G141" s="5" t="str">
        <f t="shared" si="10"/>
        <v/>
      </c>
    </row>
    <row r="142" spans="7:7">
      <c r="G142" s="5" t="str">
        <f t="shared" si="10"/>
        <v/>
      </c>
    </row>
    <row r="143" spans="7:7">
      <c r="G143" s="5" t="str">
        <f t="shared" si="10"/>
        <v/>
      </c>
    </row>
    <row r="144" spans="7:7">
      <c r="G144" s="5" t="str">
        <f t="shared" si="10"/>
        <v/>
      </c>
    </row>
    <row r="145" spans="7:7">
      <c r="G145" s="5" t="str">
        <f t="shared" si="10"/>
        <v/>
      </c>
    </row>
    <row r="146" spans="7:7">
      <c r="G146" s="5" t="str">
        <f t="shared" si="10"/>
        <v/>
      </c>
    </row>
    <row r="147" spans="7:7">
      <c r="G147" s="5" t="str">
        <f t="shared" si="10"/>
        <v/>
      </c>
    </row>
    <row r="148" spans="7:7">
      <c r="G148" s="5" t="str">
        <f t="shared" ref="G148:G211" si="11">IF(B148&lt;&gt;"",SUM(C148:F148),"")</f>
        <v/>
      </c>
    </row>
    <row r="149" spans="7:7">
      <c r="G149" s="5" t="str">
        <f t="shared" si="11"/>
        <v/>
      </c>
    </row>
    <row r="150" spans="7:7">
      <c r="G150" s="5" t="str">
        <f t="shared" si="11"/>
        <v/>
      </c>
    </row>
    <row r="151" spans="7:7">
      <c r="G151" s="5" t="str">
        <f t="shared" si="11"/>
        <v/>
      </c>
    </row>
    <row r="152" spans="7:7">
      <c r="G152" s="5" t="str">
        <f t="shared" si="11"/>
        <v/>
      </c>
    </row>
    <row r="153" spans="7:7">
      <c r="G153" s="5" t="str">
        <f t="shared" si="11"/>
        <v/>
      </c>
    </row>
    <row r="154" spans="7:7">
      <c r="G154" s="5" t="str">
        <f t="shared" si="11"/>
        <v/>
      </c>
    </row>
    <row r="155" spans="7:7">
      <c r="G155" s="5" t="str">
        <f t="shared" si="11"/>
        <v/>
      </c>
    </row>
    <row r="156" spans="7:7">
      <c r="G156" s="5" t="str">
        <f t="shared" si="11"/>
        <v/>
      </c>
    </row>
    <row r="157" spans="7:7">
      <c r="G157" s="5" t="str">
        <f t="shared" si="11"/>
        <v/>
      </c>
    </row>
    <row r="158" spans="7:7">
      <c r="G158" s="5" t="str">
        <f t="shared" si="11"/>
        <v/>
      </c>
    </row>
    <row r="159" spans="7:7">
      <c r="G159" s="5" t="str">
        <f t="shared" si="11"/>
        <v/>
      </c>
    </row>
    <row r="160" spans="7:7">
      <c r="G160" s="5" t="str">
        <f t="shared" si="11"/>
        <v/>
      </c>
    </row>
    <row r="161" spans="7:7">
      <c r="G161" s="5" t="str">
        <f t="shared" si="11"/>
        <v/>
      </c>
    </row>
    <row r="162" spans="7:7">
      <c r="G162" s="5" t="str">
        <f t="shared" si="11"/>
        <v/>
      </c>
    </row>
    <row r="163" spans="7:7">
      <c r="G163" s="5" t="str">
        <f t="shared" si="11"/>
        <v/>
      </c>
    </row>
    <row r="164" spans="7:7">
      <c r="G164" s="5" t="str">
        <f t="shared" si="11"/>
        <v/>
      </c>
    </row>
    <row r="165" spans="7:7">
      <c r="G165" s="5" t="str">
        <f t="shared" si="11"/>
        <v/>
      </c>
    </row>
    <row r="166" spans="7:7">
      <c r="G166" s="5" t="str">
        <f t="shared" si="11"/>
        <v/>
      </c>
    </row>
    <row r="167" spans="7:7">
      <c r="G167" s="5" t="str">
        <f t="shared" si="11"/>
        <v/>
      </c>
    </row>
    <row r="168" spans="7:7">
      <c r="G168" s="5" t="str">
        <f t="shared" si="11"/>
        <v/>
      </c>
    </row>
    <row r="169" spans="7:7">
      <c r="G169" s="5" t="str">
        <f t="shared" si="11"/>
        <v/>
      </c>
    </row>
    <row r="170" spans="7:7">
      <c r="G170" s="5" t="str">
        <f t="shared" si="11"/>
        <v/>
      </c>
    </row>
    <row r="171" spans="7:7">
      <c r="G171" s="5" t="str">
        <f t="shared" si="11"/>
        <v/>
      </c>
    </row>
    <row r="172" spans="7:7">
      <c r="G172" s="5" t="str">
        <f t="shared" si="11"/>
        <v/>
      </c>
    </row>
    <row r="173" spans="7:7">
      <c r="G173" s="5" t="str">
        <f t="shared" si="11"/>
        <v/>
      </c>
    </row>
    <row r="174" spans="7:7">
      <c r="G174" s="5" t="str">
        <f t="shared" si="11"/>
        <v/>
      </c>
    </row>
    <row r="175" spans="7:7">
      <c r="G175" s="5" t="str">
        <f t="shared" si="11"/>
        <v/>
      </c>
    </row>
    <row r="176" spans="7:7">
      <c r="G176" s="5" t="str">
        <f t="shared" si="11"/>
        <v/>
      </c>
    </row>
    <row r="177" spans="7:7">
      <c r="G177" s="5" t="str">
        <f t="shared" si="11"/>
        <v/>
      </c>
    </row>
    <row r="178" spans="7:7">
      <c r="G178" s="5" t="str">
        <f t="shared" si="11"/>
        <v/>
      </c>
    </row>
    <row r="179" spans="7:7">
      <c r="G179" s="5" t="str">
        <f t="shared" si="11"/>
        <v/>
      </c>
    </row>
    <row r="180" spans="7:7">
      <c r="G180" s="5" t="str">
        <f t="shared" si="11"/>
        <v/>
      </c>
    </row>
    <row r="181" spans="7:7">
      <c r="G181" s="5" t="str">
        <f t="shared" si="11"/>
        <v/>
      </c>
    </row>
    <row r="182" spans="7:7">
      <c r="G182" s="5" t="str">
        <f t="shared" si="11"/>
        <v/>
      </c>
    </row>
    <row r="183" spans="7:7">
      <c r="G183" s="5" t="str">
        <f t="shared" si="11"/>
        <v/>
      </c>
    </row>
    <row r="184" spans="7:7">
      <c r="G184" s="5" t="str">
        <f t="shared" si="11"/>
        <v/>
      </c>
    </row>
    <row r="185" spans="7:7">
      <c r="G185" s="5" t="str">
        <f t="shared" si="11"/>
        <v/>
      </c>
    </row>
    <row r="186" spans="7:7">
      <c r="G186" s="5" t="str">
        <f t="shared" si="11"/>
        <v/>
      </c>
    </row>
    <row r="187" spans="7:7">
      <c r="G187" s="5" t="str">
        <f t="shared" si="11"/>
        <v/>
      </c>
    </row>
    <row r="188" spans="7:7">
      <c r="G188" s="5" t="str">
        <f t="shared" si="11"/>
        <v/>
      </c>
    </row>
    <row r="189" spans="7:7">
      <c r="G189" s="5" t="str">
        <f t="shared" si="11"/>
        <v/>
      </c>
    </row>
    <row r="190" spans="7:7">
      <c r="G190" s="5" t="str">
        <f t="shared" si="11"/>
        <v/>
      </c>
    </row>
    <row r="191" spans="7:7">
      <c r="G191" s="5" t="str">
        <f t="shared" si="11"/>
        <v/>
      </c>
    </row>
    <row r="192" spans="7:7">
      <c r="G192" s="5" t="str">
        <f t="shared" si="11"/>
        <v/>
      </c>
    </row>
    <row r="193" spans="7:7">
      <c r="G193" s="5" t="str">
        <f t="shared" si="11"/>
        <v/>
      </c>
    </row>
    <row r="194" spans="7:7">
      <c r="G194" s="5" t="str">
        <f t="shared" si="11"/>
        <v/>
      </c>
    </row>
    <row r="195" spans="7:7">
      <c r="G195" s="5" t="str">
        <f t="shared" si="11"/>
        <v/>
      </c>
    </row>
    <row r="196" spans="7:7">
      <c r="G196" s="5" t="str">
        <f t="shared" si="11"/>
        <v/>
      </c>
    </row>
    <row r="197" spans="7:7">
      <c r="G197" s="5" t="str">
        <f t="shared" si="11"/>
        <v/>
      </c>
    </row>
    <row r="198" spans="7:7">
      <c r="G198" s="5" t="str">
        <f t="shared" si="11"/>
        <v/>
      </c>
    </row>
    <row r="199" spans="7:7">
      <c r="G199" s="5" t="str">
        <f t="shared" si="11"/>
        <v/>
      </c>
    </row>
    <row r="200" spans="7:7">
      <c r="G200" s="5" t="str">
        <f t="shared" si="11"/>
        <v/>
      </c>
    </row>
    <row r="201" spans="7:7">
      <c r="G201" s="5" t="str">
        <f t="shared" si="11"/>
        <v/>
      </c>
    </row>
    <row r="202" spans="7:7">
      <c r="G202" s="5" t="str">
        <f t="shared" si="11"/>
        <v/>
      </c>
    </row>
    <row r="203" spans="7:7">
      <c r="G203" s="5" t="str">
        <f t="shared" si="11"/>
        <v/>
      </c>
    </row>
    <row r="204" spans="7:7">
      <c r="G204" s="5" t="str">
        <f t="shared" si="11"/>
        <v/>
      </c>
    </row>
    <row r="205" spans="7:7">
      <c r="G205" s="5" t="str">
        <f t="shared" si="11"/>
        <v/>
      </c>
    </row>
    <row r="206" spans="7:7">
      <c r="G206" s="5" t="str">
        <f t="shared" si="11"/>
        <v/>
      </c>
    </row>
    <row r="207" spans="7:7">
      <c r="G207" s="5" t="str">
        <f t="shared" si="11"/>
        <v/>
      </c>
    </row>
    <row r="208" spans="7:7">
      <c r="G208" s="5" t="str">
        <f t="shared" si="11"/>
        <v/>
      </c>
    </row>
    <row r="209" spans="7:7">
      <c r="G209" s="5" t="str">
        <f t="shared" si="11"/>
        <v/>
      </c>
    </row>
    <row r="210" spans="7:7">
      <c r="G210" s="5" t="str">
        <f t="shared" si="11"/>
        <v/>
      </c>
    </row>
    <row r="211" spans="7:7">
      <c r="G211" s="5" t="str">
        <f t="shared" si="11"/>
        <v/>
      </c>
    </row>
    <row r="212" spans="7:7">
      <c r="G212" s="5" t="str">
        <f t="shared" ref="G212:G275" si="12">IF(B212&lt;&gt;"",SUM(C212:F212),"")</f>
        <v/>
      </c>
    </row>
    <row r="213" spans="7:7">
      <c r="G213" s="5" t="str">
        <f t="shared" si="12"/>
        <v/>
      </c>
    </row>
    <row r="214" spans="7:7">
      <c r="G214" s="5" t="str">
        <f t="shared" si="12"/>
        <v/>
      </c>
    </row>
    <row r="215" spans="7:7">
      <c r="G215" s="5" t="str">
        <f t="shared" si="12"/>
        <v/>
      </c>
    </row>
    <row r="216" spans="7:7">
      <c r="G216" s="5" t="str">
        <f t="shared" si="12"/>
        <v/>
      </c>
    </row>
    <row r="217" spans="7:7">
      <c r="G217" s="5" t="str">
        <f t="shared" si="12"/>
        <v/>
      </c>
    </row>
    <row r="218" spans="7:7">
      <c r="G218" s="5" t="str">
        <f t="shared" si="12"/>
        <v/>
      </c>
    </row>
    <row r="219" spans="7:7">
      <c r="G219" s="5" t="str">
        <f t="shared" si="12"/>
        <v/>
      </c>
    </row>
    <row r="220" spans="7:7">
      <c r="G220" s="5" t="str">
        <f t="shared" si="12"/>
        <v/>
      </c>
    </row>
    <row r="221" spans="7:7">
      <c r="G221" s="5" t="str">
        <f t="shared" si="12"/>
        <v/>
      </c>
    </row>
    <row r="222" spans="7:7">
      <c r="G222" s="5" t="str">
        <f t="shared" si="12"/>
        <v/>
      </c>
    </row>
    <row r="223" spans="7:7">
      <c r="G223" s="5" t="str">
        <f t="shared" si="12"/>
        <v/>
      </c>
    </row>
    <row r="224" spans="7:7">
      <c r="G224" s="5" t="str">
        <f t="shared" si="12"/>
        <v/>
      </c>
    </row>
    <row r="225" spans="7:7">
      <c r="G225" s="5" t="str">
        <f t="shared" si="12"/>
        <v/>
      </c>
    </row>
    <row r="226" spans="7:7">
      <c r="G226" s="5" t="str">
        <f t="shared" si="12"/>
        <v/>
      </c>
    </row>
    <row r="227" spans="7:7">
      <c r="G227" s="5" t="str">
        <f t="shared" si="12"/>
        <v/>
      </c>
    </row>
    <row r="228" spans="7:7">
      <c r="G228" s="5" t="str">
        <f t="shared" si="12"/>
        <v/>
      </c>
    </row>
    <row r="229" spans="7:7">
      <c r="G229" s="5" t="str">
        <f t="shared" si="12"/>
        <v/>
      </c>
    </row>
    <row r="230" spans="7:7">
      <c r="G230" s="5" t="str">
        <f t="shared" si="12"/>
        <v/>
      </c>
    </row>
    <row r="231" spans="7:7">
      <c r="G231" s="5" t="str">
        <f t="shared" si="12"/>
        <v/>
      </c>
    </row>
    <row r="232" spans="7:7">
      <c r="G232" s="5" t="str">
        <f t="shared" si="12"/>
        <v/>
      </c>
    </row>
    <row r="233" spans="7:7">
      <c r="G233" s="5" t="str">
        <f t="shared" si="12"/>
        <v/>
      </c>
    </row>
    <row r="234" spans="7:7">
      <c r="G234" s="5" t="str">
        <f t="shared" si="12"/>
        <v/>
      </c>
    </row>
    <row r="235" spans="7:7">
      <c r="G235" s="5" t="str">
        <f t="shared" si="12"/>
        <v/>
      </c>
    </row>
    <row r="236" spans="7:7">
      <c r="G236" s="5" t="str">
        <f t="shared" si="12"/>
        <v/>
      </c>
    </row>
    <row r="237" spans="7:7">
      <c r="G237" s="5" t="str">
        <f t="shared" si="12"/>
        <v/>
      </c>
    </row>
    <row r="238" spans="7:7">
      <c r="G238" s="5" t="str">
        <f t="shared" si="12"/>
        <v/>
      </c>
    </row>
    <row r="239" spans="7:7">
      <c r="G239" s="5" t="str">
        <f t="shared" si="12"/>
        <v/>
      </c>
    </row>
    <row r="240" spans="7:7">
      <c r="G240" s="5" t="str">
        <f t="shared" si="12"/>
        <v/>
      </c>
    </row>
    <row r="241" spans="7:7">
      <c r="G241" s="5" t="str">
        <f t="shared" si="12"/>
        <v/>
      </c>
    </row>
    <row r="242" spans="7:7">
      <c r="G242" s="5" t="str">
        <f t="shared" si="12"/>
        <v/>
      </c>
    </row>
    <row r="243" spans="7:7">
      <c r="G243" s="5" t="str">
        <f t="shared" si="12"/>
        <v/>
      </c>
    </row>
    <row r="244" spans="7:7">
      <c r="G244" s="5" t="str">
        <f t="shared" si="12"/>
        <v/>
      </c>
    </row>
    <row r="245" spans="7:7">
      <c r="G245" s="5" t="str">
        <f t="shared" si="12"/>
        <v/>
      </c>
    </row>
    <row r="246" spans="7:7">
      <c r="G246" s="5" t="str">
        <f t="shared" si="12"/>
        <v/>
      </c>
    </row>
    <row r="247" spans="7:7">
      <c r="G247" s="5" t="str">
        <f t="shared" si="12"/>
        <v/>
      </c>
    </row>
    <row r="248" spans="7:7">
      <c r="G248" s="5" t="str">
        <f t="shared" si="12"/>
        <v/>
      </c>
    </row>
    <row r="249" spans="7:7">
      <c r="G249" s="5" t="str">
        <f t="shared" si="12"/>
        <v/>
      </c>
    </row>
    <row r="250" spans="7:7">
      <c r="G250" s="5" t="str">
        <f t="shared" si="12"/>
        <v/>
      </c>
    </row>
    <row r="251" spans="7:7">
      <c r="G251" s="5" t="str">
        <f t="shared" si="12"/>
        <v/>
      </c>
    </row>
    <row r="252" spans="7:7">
      <c r="G252" s="5" t="str">
        <f t="shared" si="12"/>
        <v/>
      </c>
    </row>
    <row r="253" spans="7:7">
      <c r="G253" s="5" t="str">
        <f t="shared" si="12"/>
        <v/>
      </c>
    </row>
    <row r="254" spans="7:7">
      <c r="G254" s="5" t="str">
        <f t="shared" si="12"/>
        <v/>
      </c>
    </row>
    <row r="255" spans="7:7">
      <c r="G255" s="5" t="str">
        <f t="shared" si="12"/>
        <v/>
      </c>
    </row>
    <row r="256" spans="7:7">
      <c r="G256" s="5" t="str">
        <f t="shared" si="12"/>
        <v/>
      </c>
    </row>
    <row r="257" spans="7:7">
      <c r="G257" s="5" t="str">
        <f t="shared" si="12"/>
        <v/>
      </c>
    </row>
    <row r="258" spans="7:7">
      <c r="G258" s="5" t="str">
        <f t="shared" si="12"/>
        <v/>
      </c>
    </row>
    <row r="259" spans="7:7">
      <c r="G259" s="5" t="str">
        <f t="shared" si="12"/>
        <v/>
      </c>
    </row>
    <row r="260" spans="7:7">
      <c r="G260" s="5" t="str">
        <f t="shared" si="12"/>
        <v/>
      </c>
    </row>
    <row r="261" spans="7:7">
      <c r="G261" s="5" t="str">
        <f t="shared" si="12"/>
        <v/>
      </c>
    </row>
    <row r="262" spans="7:7">
      <c r="G262" s="5" t="str">
        <f t="shared" si="12"/>
        <v/>
      </c>
    </row>
    <row r="263" spans="7:7">
      <c r="G263" s="5" t="str">
        <f t="shared" si="12"/>
        <v/>
      </c>
    </row>
    <row r="264" spans="7:7">
      <c r="G264" s="5" t="str">
        <f t="shared" si="12"/>
        <v/>
      </c>
    </row>
    <row r="265" spans="7:7">
      <c r="G265" s="5" t="str">
        <f t="shared" si="12"/>
        <v/>
      </c>
    </row>
    <row r="266" spans="7:7">
      <c r="G266" s="5" t="str">
        <f t="shared" si="12"/>
        <v/>
      </c>
    </row>
    <row r="267" spans="7:7">
      <c r="G267" s="5" t="str">
        <f t="shared" si="12"/>
        <v/>
      </c>
    </row>
    <row r="268" spans="7:7">
      <c r="G268" s="5" t="str">
        <f t="shared" si="12"/>
        <v/>
      </c>
    </row>
    <row r="269" spans="7:7">
      <c r="G269" s="5" t="str">
        <f t="shared" si="12"/>
        <v/>
      </c>
    </row>
    <row r="270" spans="7:7">
      <c r="G270" s="5" t="str">
        <f t="shared" si="12"/>
        <v/>
      </c>
    </row>
    <row r="271" spans="7:7">
      <c r="G271" s="5" t="str">
        <f t="shared" si="12"/>
        <v/>
      </c>
    </row>
    <row r="272" spans="7:7">
      <c r="G272" s="5" t="str">
        <f t="shared" si="12"/>
        <v/>
      </c>
    </row>
    <row r="273" spans="7:7">
      <c r="G273" s="5" t="str">
        <f t="shared" si="12"/>
        <v/>
      </c>
    </row>
    <row r="274" spans="7:7">
      <c r="G274" s="5" t="str">
        <f t="shared" si="12"/>
        <v/>
      </c>
    </row>
    <row r="275" spans="7:7">
      <c r="G275" s="5" t="str">
        <f t="shared" si="12"/>
        <v/>
      </c>
    </row>
    <row r="276" spans="7:7">
      <c r="G276" s="5" t="str">
        <f t="shared" ref="G276:G339" si="13">IF(B276&lt;&gt;"",SUM(C276:F276),"")</f>
        <v/>
      </c>
    </row>
    <row r="277" spans="7:7">
      <c r="G277" s="5" t="str">
        <f t="shared" si="13"/>
        <v/>
      </c>
    </row>
    <row r="278" spans="7:7">
      <c r="G278" s="5" t="str">
        <f t="shared" si="13"/>
        <v/>
      </c>
    </row>
    <row r="279" spans="7:7">
      <c r="G279" s="5" t="str">
        <f t="shared" si="13"/>
        <v/>
      </c>
    </row>
    <row r="280" spans="7:7">
      <c r="G280" s="5" t="str">
        <f t="shared" si="13"/>
        <v/>
      </c>
    </row>
    <row r="281" spans="7:7">
      <c r="G281" s="5" t="str">
        <f t="shared" si="13"/>
        <v/>
      </c>
    </row>
    <row r="282" spans="7:7">
      <c r="G282" s="5" t="str">
        <f t="shared" si="13"/>
        <v/>
      </c>
    </row>
    <row r="283" spans="7:7">
      <c r="G283" s="5" t="str">
        <f t="shared" si="13"/>
        <v/>
      </c>
    </row>
    <row r="284" spans="7:7">
      <c r="G284" s="5" t="str">
        <f t="shared" si="13"/>
        <v/>
      </c>
    </row>
    <row r="285" spans="7:7">
      <c r="G285" s="5" t="str">
        <f t="shared" si="13"/>
        <v/>
      </c>
    </row>
    <row r="286" spans="7:7">
      <c r="G286" s="5" t="str">
        <f t="shared" si="13"/>
        <v/>
      </c>
    </row>
    <row r="287" spans="7:7">
      <c r="G287" s="5" t="str">
        <f t="shared" si="13"/>
        <v/>
      </c>
    </row>
    <row r="288" spans="7:7">
      <c r="G288" s="5" t="str">
        <f t="shared" si="13"/>
        <v/>
      </c>
    </row>
    <row r="289" spans="7:7">
      <c r="G289" s="5" t="str">
        <f t="shared" si="13"/>
        <v/>
      </c>
    </row>
    <row r="290" spans="7:7">
      <c r="G290" s="5" t="str">
        <f t="shared" si="13"/>
        <v/>
      </c>
    </row>
    <row r="291" spans="7:7">
      <c r="G291" s="5" t="str">
        <f t="shared" si="13"/>
        <v/>
      </c>
    </row>
    <row r="292" spans="7:7">
      <c r="G292" s="5" t="str">
        <f t="shared" si="13"/>
        <v/>
      </c>
    </row>
    <row r="293" spans="7:7">
      <c r="G293" s="5" t="str">
        <f t="shared" si="13"/>
        <v/>
      </c>
    </row>
    <row r="294" spans="7:7">
      <c r="G294" s="5" t="str">
        <f t="shared" si="13"/>
        <v/>
      </c>
    </row>
    <row r="295" spans="7:7">
      <c r="G295" s="5" t="str">
        <f t="shared" si="13"/>
        <v/>
      </c>
    </row>
    <row r="296" spans="7:7">
      <c r="G296" s="5" t="str">
        <f t="shared" si="13"/>
        <v/>
      </c>
    </row>
    <row r="297" spans="7:7">
      <c r="G297" s="5" t="str">
        <f t="shared" si="13"/>
        <v/>
      </c>
    </row>
    <row r="298" spans="7:7">
      <c r="G298" s="5" t="str">
        <f t="shared" si="13"/>
        <v/>
      </c>
    </row>
    <row r="299" spans="7:7">
      <c r="G299" s="5" t="str">
        <f t="shared" si="13"/>
        <v/>
      </c>
    </row>
    <row r="300" spans="7:7">
      <c r="G300" s="5" t="str">
        <f t="shared" si="13"/>
        <v/>
      </c>
    </row>
    <row r="301" spans="7:7">
      <c r="G301" s="5" t="str">
        <f t="shared" si="13"/>
        <v/>
      </c>
    </row>
    <row r="302" spans="7:7">
      <c r="G302" s="5" t="str">
        <f t="shared" si="13"/>
        <v/>
      </c>
    </row>
    <row r="303" spans="7:7">
      <c r="G303" s="5" t="str">
        <f t="shared" si="13"/>
        <v/>
      </c>
    </row>
    <row r="304" spans="7:7">
      <c r="G304" s="5" t="str">
        <f t="shared" si="13"/>
        <v/>
      </c>
    </row>
    <row r="305" spans="7:7">
      <c r="G305" s="5" t="str">
        <f t="shared" si="13"/>
        <v/>
      </c>
    </row>
    <row r="306" spans="7:7">
      <c r="G306" s="5" t="str">
        <f t="shared" si="13"/>
        <v/>
      </c>
    </row>
    <row r="307" spans="7:7">
      <c r="G307" s="5" t="str">
        <f t="shared" si="13"/>
        <v/>
      </c>
    </row>
    <row r="308" spans="7:7">
      <c r="G308" s="5" t="str">
        <f t="shared" si="13"/>
        <v/>
      </c>
    </row>
    <row r="309" spans="7:7">
      <c r="G309" s="5" t="str">
        <f t="shared" si="13"/>
        <v/>
      </c>
    </row>
    <row r="310" spans="7:7">
      <c r="G310" s="5" t="str">
        <f t="shared" si="13"/>
        <v/>
      </c>
    </row>
    <row r="311" spans="7:7">
      <c r="G311" s="5" t="str">
        <f t="shared" si="13"/>
        <v/>
      </c>
    </row>
    <row r="312" spans="7:7">
      <c r="G312" s="5" t="str">
        <f t="shared" si="13"/>
        <v/>
      </c>
    </row>
    <row r="313" spans="7:7">
      <c r="G313" s="5" t="str">
        <f t="shared" si="13"/>
        <v/>
      </c>
    </row>
    <row r="314" spans="7:7">
      <c r="G314" s="5" t="str">
        <f t="shared" si="13"/>
        <v/>
      </c>
    </row>
    <row r="315" spans="7:7">
      <c r="G315" s="5" t="str">
        <f t="shared" si="13"/>
        <v/>
      </c>
    </row>
    <row r="316" spans="7:7">
      <c r="G316" s="5" t="str">
        <f t="shared" si="13"/>
        <v/>
      </c>
    </row>
    <row r="317" spans="7:7">
      <c r="G317" s="5" t="str">
        <f t="shared" si="13"/>
        <v/>
      </c>
    </row>
    <row r="318" spans="7:7">
      <c r="G318" s="5" t="str">
        <f t="shared" si="13"/>
        <v/>
      </c>
    </row>
    <row r="319" spans="7:7">
      <c r="G319" s="5" t="str">
        <f t="shared" si="13"/>
        <v/>
      </c>
    </row>
    <row r="320" spans="7:7">
      <c r="G320" s="5" t="str">
        <f t="shared" si="13"/>
        <v/>
      </c>
    </row>
    <row r="321" spans="7:7">
      <c r="G321" s="5" t="str">
        <f t="shared" si="13"/>
        <v/>
      </c>
    </row>
    <row r="322" spans="7:7">
      <c r="G322" s="5" t="str">
        <f t="shared" si="13"/>
        <v/>
      </c>
    </row>
    <row r="323" spans="7:7">
      <c r="G323" s="5" t="str">
        <f t="shared" si="13"/>
        <v/>
      </c>
    </row>
    <row r="324" spans="7:7">
      <c r="G324" s="5" t="str">
        <f t="shared" si="13"/>
        <v/>
      </c>
    </row>
    <row r="325" spans="7:7">
      <c r="G325" s="5" t="str">
        <f t="shared" si="13"/>
        <v/>
      </c>
    </row>
    <row r="326" spans="7:7">
      <c r="G326" s="5" t="str">
        <f t="shared" si="13"/>
        <v/>
      </c>
    </row>
    <row r="327" spans="7:7">
      <c r="G327" s="5" t="str">
        <f t="shared" si="13"/>
        <v/>
      </c>
    </row>
    <row r="328" spans="7:7">
      <c r="G328" s="5" t="str">
        <f t="shared" si="13"/>
        <v/>
      </c>
    </row>
    <row r="329" spans="7:7">
      <c r="G329" s="5" t="str">
        <f t="shared" si="13"/>
        <v/>
      </c>
    </row>
    <row r="330" spans="7:7">
      <c r="G330" s="5" t="str">
        <f t="shared" si="13"/>
        <v/>
      </c>
    </row>
    <row r="331" spans="7:7">
      <c r="G331" s="5" t="str">
        <f t="shared" si="13"/>
        <v/>
      </c>
    </row>
    <row r="332" spans="7:7">
      <c r="G332" s="5" t="str">
        <f t="shared" si="13"/>
        <v/>
      </c>
    </row>
    <row r="333" spans="7:7">
      <c r="G333" s="5" t="str">
        <f t="shared" si="13"/>
        <v/>
      </c>
    </row>
    <row r="334" spans="7:7">
      <c r="G334" s="5" t="str">
        <f t="shared" si="13"/>
        <v/>
      </c>
    </row>
    <row r="335" spans="7:7">
      <c r="G335" s="5" t="str">
        <f t="shared" si="13"/>
        <v/>
      </c>
    </row>
    <row r="336" spans="7:7">
      <c r="G336" s="5" t="str">
        <f t="shared" si="13"/>
        <v/>
      </c>
    </row>
    <row r="337" spans="7:7">
      <c r="G337" s="5" t="str">
        <f t="shared" si="13"/>
        <v/>
      </c>
    </row>
    <row r="338" spans="7:7">
      <c r="G338" s="5" t="str">
        <f t="shared" si="13"/>
        <v/>
      </c>
    </row>
    <row r="339" spans="7:7">
      <c r="G339" s="5" t="str">
        <f t="shared" si="13"/>
        <v/>
      </c>
    </row>
    <row r="340" spans="7:7">
      <c r="G340" s="5" t="str">
        <f t="shared" ref="G340:G403" si="14">IF(B340&lt;&gt;"",SUM(C340:F340),"")</f>
        <v/>
      </c>
    </row>
    <row r="341" spans="7:7">
      <c r="G341" s="5" t="str">
        <f t="shared" si="14"/>
        <v/>
      </c>
    </row>
    <row r="342" spans="7:7">
      <c r="G342" s="5" t="str">
        <f t="shared" si="14"/>
        <v/>
      </c>
    </row>
    <row r="343" spans="7:7">
      <c r="G343" s="5" t="str">
        <f t="shared" si="14"/>
        <v/>
      </c>
    </row>
    <row r="344" spans="7:7">
      <c r="G344" s="5" t="str">
        <f t="shared" si="14"/>
        <v/>
      </c>
    </row>
    <row r="345" spans="7:7">
      <c r="G345" s="5" t="str">
        <f t="shared" si="14"/>
        <v/>
      </c>
    </row>
    <row r="346" spans="7:7">
      <c r="G346" s="5" t="str">
        <f t="shared" si="14"/>
        <v/>
      </c>
    </row>
    <row r="347" spans="7:7">
      <c r="G347" s="5" t="str">
        <f t="shared" si="14"/>
        <v/>
      </c>
    </row>
    <row r="348" spans="7:7">
      <c r="G348" s="5" t="str">
        <f t="shared" si="14"/>
        <v/>
      </c>
    </row>
    <row r="349" spans="7:7">
      <c r="G349" s="5" t="str">
        <f t="shared" si="14"/>
        <v/>
      </c>
    </row>
    <row r="350" spans="7:7">
      <c r="G350" s="5" t="str">
        <f t="shared" si="14"/>
        <v/>
      </c>
    </row>
    <row r="351" spans="7:7">
      <c r="G351" s="5" t="str">
        <f t="shared" si="14"/>
        <v/>
      </c>
    </row>
    <row r="352" spans="7:7">
      <c r="G352" s="5" t="str">
        <f t="shared" si="14"/>
        <v/>
      </c>
    </row>
    <row r="353" spans="7:7">
      <c r="G353" s="5" t="str">
        <f t="shared" si="14"/>
        <v/>
      </c>
    </row>
    <row r="354" spans="7:7">
      <c r="G354" s="5" t="str">
        <f t="shared" si="14"/>
        <v/>
      </c>
    </row>
    <row r="355" spans="7:7">
      <c r="G355" s="5" t="str">
        <f t="shared" si="14"/>
        <v/>
      </c>
    </row>
    <row r="356" spans="7:7">
      <c r="G356" s="5" t="str">
        <f t="shared" si="14"/>
        <v/>
      </c>
    </row>
    <row r="357" spans="7:7">
      <c r="G357" s="5" t="str">
        <f t="shared" si="14"/>
        <v/>
      </c>
    </row>
    <row r="358" spans="7:7">
      <c r="G358" s="5" t="str">
        <f t="shared" si="14"/>
        <v/>
      </c>
    </row>
    <row r="359" spans="7:7">
      <c r="G359" s="5" t="str">
        <f t="shared" si="14"/>
        <v/>
      </c>
    </row>
    <row r="360" spans="7:7">
      <c r="G360" s="5" t="str">
        <f t="shared" si="14"/>
        <v/>
      </c>
    </row>
    <row r="361" spans="7:7">
      <c r="G361" s="5" t="str">
        <f t="shared" si="14"/>
        <v/>
      </c>
    </row>
    <row r="362" spans="7:7">
      <c r="G362" s="5" t="str">
        <f t="shared" si="14"/>
        <v/>
      </c>
    </row>
    <row r="363" spans="7:7">
      <c r="G363" s="5" t="str">
        <f t="shared" si="14"/>
        <v/>
      </c>
    </row>
    <row r="364" spans="7:7">
      <c r="G364" s="5" t="str">
        <f t="shared" si="14"/>
        <v/>
      </c>
    </row>
    <row r="365" spans="7:7">
      <c r="G365" s="5" t="str">
        <f t="shared" si="14"/>
        <v/>
      </c>
    </row>
    <row r="366" spans="7:7">
      <c r="G366" s="5" t="str">
        <f t="shared" si="14"/>
        <v/>
      </c>
    </row>
    <row r="367" spans="7:7">
      <c r="G367" s="5" t="str">
        <f t="shared" si="14"/>
        <v/>
      </c>
    </row>
    <row r="368" spans="7:7">
      <c r="G368" s="5" t="str">
        <f t="shared" si="14"/>
        <v/>
      </c>
    </row>
    <row r="369" spans="7:7">
      <c r="G369" s="5" t="str">
        <f t="shared" si="14"/>
        <v/>
      </c>
    </row>
    <row r="370" spans="7:7">
      <c r="G370" s="5" t="str">
        <f t="shared" si="14"/>
        <v/>
      </c>
    </row>
    <row r="371" spans="7:7">
      <c r="G371" s="5" t="str">
        <f t="shared" si="14"/>
        <v/>
      </c>
    </row>
    <row r="372" spans="7:7">
      <c r="G372" s="5" t="str">
        <f t="shared" si="14"/>
        <v/>
      </c>
    </row>
    <row r="373" spans="7:7">
      <c r="G373" s="5" t="str">
        <f t="shared" si="14"/>
        <v/>
      </c>
    </row>
    <row r="374" spans="7:7">
      <c r="G374" s="5" t="str">
        <f t="shared" si="14"/>
        <v/>
      </c>
    </row>
    <row r="375" spans="7:7">
      <c r="G375" s="5" t="str">
        <f t="shared" si="14"/>
        <v/>
      </c>
    </row>
    <row r="376" spans="7:7">
      <c r="G376" s="5" t="str">
        <f t="shared" si="14"/>
        <v/>
      </c>
    </row>
    <row r="377" spans="7:7">
      <c r="G377" s="5" t="str">
        <f t="shared" si="14"/>
        <v/>
      </c>
    </row>
    <row r="378" spans="7:7">
      <c r="G378" s="5" t="str">
        <f t="shared" si="14"/>
        <v/>
      </c>
    </row>
    <row r="379" spans="7:7">
      <c r="G379" s="5" t="str">
        <f t="shared" si="14"/>
        <v/>
      </c>
    </row>
    <row r="380" spans="7:7">
      <c r="G380" s="5" t="str">
        <f t="shared" si="14"/>
        <v/>
      </c>
    </row>
    <row r="381" spans="7:7">
      <c r="G381" s="5" t="str">
        <f t="shared" si="14"/>
        <v/>
      </c>
    </row>
    <row r="382" spans="7:7">
      <c r="G382" s="5" t="str">
        <f t="shared" si="14"/>
        <v/>
      </c>
    </row>
    <row r="383" spans="7:7">
      <c r="G383" s="5" t="str">
        <f t="shared" si="14"/>
        <v/>
      </c>
    </row>
    <row r="384" spans="7:7">
      <c r="G384" s="5" t="str">
        <f t="shared" si="14"/>
        <v/>
      </c>
    </row>
    <row r="385" spans="7:7">
      <c r="G385" s="5" t="str">
        <f t="shared" si="14"/>
        <v/>
      </c>
    </row>
    <row r="386" spans="7:7">
      <c r="G386" s="5" t="str">
        <f t="shared" si="14"/>
        <v/>
      </c>
    </row>
    <row r="387" spans="7:7">
      <c r="G387" s="5" t="str">
        <f t="shared" si="14"/>
        <v/>
      </c>
    </row>
    <row r="388" spans="7:7">
      <c r="G388" s="5" t="str">
        <f t="shared" si="14"/>
        <v/>
      </c>
    </row>
    <row r="389" spans="7:7">
      <c r="G389" s="5" t="str">
        <f t="shared" si="14"/>
        <v/>
      </c>
    </row>
    <row r="390" spans="7:7">
      <c r="G390" s="5" t="str">
        <f t="shared" si="14"/>
        <v/>
      </c>
    </row>
    <row r="391" spans="7:7">
      <c r="G391" s="5" t="str">
        <f t="shared" si="14"/>
        <v/>
      </c>
    </row>
    <row r="392" spans="7:7">
      <c r="G392" s="5" t="str">
        <f t="shared" si="14"/>
        <v/>
      </c>
    </row>
    <row r="393" spans="7:7">
      <c r="G393" s="5" t="str">
        <f t="shared" si="14"/>
        <v/>
      </c>
    </row>
    <row r="394" spans="7:7">
      <c r="G394" s="5" t="str">
        <f t="shared" si="14"/>
        <v/>
      </c>
    </row>
    <row r="395" spans="7:7">
      <c r="G395" s="5" t="str">
        <f t="shared" si="14"/>
        <v/>
      </c>
    </row>
    <row r="396" spans="7:7">
      <c r="G396" s="5" t="str">
        <f t="shared" si="14"/>
        <v/>
      </c>
    </row>
    <row r="397" spans="7:7">
      <c r="G397" s="5" t="str">
        <f t="shared" si="14"/>
        <v/>
      </c>
    </row>
    <row r="398" spans="7:7">
      <c r="G398" s="5" t="str">
        <f t="shared" si="14"/>
        <v/>
      </c>
    </row>
    <row r="399" spans="7:7">
      <c r="G399" s="5" t="str">
        <f t="shared" si="14"/>
        <v/>
      </c>
    </row>
    <row r="400" spans="7:7">
      <c r="G400" s="5" t="str">
        <f t="shared" si="14"/>
        <v/>
      </c>
    </row>
    <row r="401" spans="7:7">
      <c r="G401" s="5" t="str">
        <f t="shared" si="14"/>
        <v/>
      </c>
    </row>
    <row r="402" spans="7:7">
      <c r="G402" s="5" t="str">
        <f t="shared" si="14"/>
        <v/>
      </c>
    </row>
    <row r="403" spans="7:7">
      <c r="G403" s="5" t="str">
        <f t="shared" si="14"/>
        <v/>
      </c>
    </row>
    <row r="404" spans="7:7">
      <c r="G404" s="5" t="str">
        <f t="shared" ref="G404:G435" si="15">IF(B404&lt;&gt;"",SUM(C404:F404),"")</f>
        <v/>
      </c>
    </row>
    <row r="405" spans="7:7">
      <c r="G405" s="5" t="str">
        <f t="shared" si="15"/>
        <v/>
      </c>
    </row>
    <row r="406" spans="7:7">
      <c r="G406" s="5" t="str">
        <f t="shared" si="15"/>
        <v/>
      </c>
    </row>
    <row r="407" spans="7:7">
      <c r="G407" s="5" t="str">
        <f t="shared" si="15"/>
        <v/>
      </c>
    </row>
    <row r="408" spans="7:7">
      <c r="G408" s="5" t="str">
        <f t="shared" si="15"/>
        <v/>
      </c>
    </row>
    <row r="409" spans="7:7">
      <c r="G409" s="5" t="str">
        <f t="shared" si="15"/>
        <v/>
      </c>
    </row>
    <row r="410" spans="7:7">
      <c r="G410" s="5" t="str">
        <f t="shared" si="15"/>
        <v/>
      </c>
    </row>
    <row r="411" spans="7:7">
      <c r="G411" s="5" t="str">
        <f t="shared" si="15"/>
        <v/>
      </c>
    </row>
    <row r="412" spans="7:7">
      <c r="G412" s="5" t="str">
        <f t="shared" si="15"/>
        <v/>
      </c>
    </row>
    <row r="413" spans="7:7">
      <c r="G413" s="5" t="str">
        <f t="shared" si="15"/>
        <v/>
      </c>
    </row>
    <row r="414" spans="7:7">
      <c r="G414" s="5" t="str">
        <f t="shared" si="15"/>
        <v/>
      </c>
    </row>
    <row r="415" spans="7:7">
      <c r="G415" s="5" t="str">
        <f t="shared" si="15"/>
        <v/>
      </c>
    </row>
    <row r="416" spans="7:7">
      <c r="G416" s="5" t="str">
        <f t="shared" si="15"/>
        <v/>
      </c>
    </row>
    <row r="417" spans="7:7">
      <c r="G417" s="5" t="str">
        <f t="shared" si="15"/>
        <v/>
      </c>
    </row>
    <row r="418" spans="7:7">
      <c r="G418" s="5" t="str">
        <f t="shared" si="15"/>
        <v/>
      </c>
    </row>
    <row r="419" spans="7:7">
      <c r="G419" s="5" t="str">
        <f t="shared" si="15"/>
        <v/>
      </c>
    </row>
    <row r="420" spans="7:7">
      <c r="G420" s="5" t="str">
        <f t="shared" si="15"/>
        <v/>
      </c>
    </row>
    <row r="421" spans="7:7">
      <c r="G421" s="5" t="str">
        <f t="shared" si="15"/>
        <v/>
      </c>
    </row>
    <row r="422" spans="7:7">
      <c r="G422" s="5" t="str">
        <f t="shared" si="15"/>
        <v/>
      </c>
    </row>
    <row r="423" spans="7:7">
      <c r="G423" s="5" t="str">
        <f t="shared" si="15"/>
        <v/>
      </c>
    </row>
    <row r="424" spans="7:7">
      <c r="G424" s="5" t="str">
        <f t="shared" si="15"/>
        <v/>
      </c>
    </row>
    <row r="425" spans="7:7">
      <c r="G425" s="5" t="str">
        <f t="shared" si="15"/>
        <v/>
      </c>
    </row>
    <row r="426" spans="7:7">
      <c r="G426" s="5" t="str">
        <f t="shared" si="15"/>
        <v/>
      </c>
    </row>
    <row r="427" spans="7:7">
      <c r="G427" s="5" t="str">
        <f t="shared" si="15"/>
        <v/>
      </c>
    </row>
    <row r="428" spans="7:7">
      <c r="G428" s="5" t="str">
        <f t="shared" si="15"/>
        <v/>
      </c>
    </row>
    <row r="429" spans="7:7">
      <c r="G429" s="5" t="str">
        <f t="shared" si="15"/>
        <v/>
      </c>
    </row>
    <row r="430" spans="7:7">
      <c r="G430" s="5" t="str">
        <f t="shared" si="15"/>
        <v/>
      </c>
    </row>
    <row r="431" spans="7:7">
      <c r="G431" s="5" t="str">
        <f t="shared" si="15"/>
        <v/>
      </c>
    </row>
    <row r="432" spans="7:7">
      <c r="G432" s="5" t="str">
        <f t="shared" si="15"/>
        <v/>
      </c>
    </row>
    <row r="433" spans="7:7">
      <c r="G433" s="5" t="str">
        <f t="shared" si="15"/>
        <v/>
      </c>
    </row>
    <row r="434" spans="7:7">
      <c r="G434" s="5" t="str">
        <f t="shared" si="15"/>
        <v/>
      </c>
    </row>
    <row r="435" spans="7:7">
      <c r="G435" s="5" t="str">
        <f t="shared" si="15"/>
        <v/>
      </c>
    </row>
  </sheetData>
  <sheetProtection sort="0" autoFilter="0" pivotTables="0"/>
  <autoFilter ref="H5:H8" xr:uid="{20C129BA-5B2D-4C7A-B1BC-D71D90B73EA7}"/>
  <sortState xmlns:xlrd2="http://schemas.microsoft.com/office/spreadsheetml/2017/richdata2" ref="B6:M7">
    <sortCondition ref="B6:B7"/>
  </sortState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F7E44-8B2A-4E69-A87D-BE40F2B17AC7}">
  <sheetPr codeName="Planilha26" filterMode="1">
    <tabColor rgb="FF006600"/>
    <pageSetUpPr fitToPage="1"/>
  </sheetPr>
  <dimension ref="B1:T477"/>
  <sheetViews>
    <sheetView workbookViewId="0">
      <pane ySplit="5" topLeftCell="A6" activePane="bottomLeft" state="frozen"/>
      <selection activeCell="H9" sqref="H9"/>
      <selection pane="bottomLeft" activeCell="I55" sqref="I55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20" ht="4.5" customHeight="1">
      <c r="B1" s="1"/>
      <c r="C1" s="4"/>
      <c r="D1" s="4"/>
      <c r="E1" s="4"/>
      <c r="F1" s="4"/>
      <c r="G1" s="4"/>
    </row>
    <row r="2" spans="2:20" ht="59.25" customHeight="1">
      <c r="B2" s="63" t="s">
        <v>1075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20" ht="4.5" customHeight="1" thickBot="1">
      <c r="B3" s="1"/>
      <c r="C3" s="4"/>
      <c r="D3" s="4"/>
      <c r="E3" s="4"/>
      <c r="F3" s="4"/>
      <c r="G3" s="4"/>
    </row>
    <row r="4" spans="2:20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20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5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20">
      <c r="B6" s="500" t="s">
        <v>357</v>
      </c>
      <c r="C6" s="106"/>
      <c r="D6" s="38"/>
      <c r="E6" s="38">
        <v>10</v>
      </c>
      <c r="F6" s="39">
        <v>24</v>
      </c>
      <c r="G6" s="40"/>
      <c r="H6" s="23">
        <f t="shared" ref="H6" si="0">SUM(C6:G6)</f>
        <v>34</v>
      </c>
      <c r="I6" s="464"/>
      <c r="J6" s="16" t="s">
        <v>2515</v>
      </c>
      <c r="K6" s="12">
        <v>0.03</v>
      </c>
      <c r="L6" s="405">
        <v>77.39</v>
      </c>
      <c r="M6" s="240"/>
      <c r="N6" s="125">
        <f>I6*C6</f>
        <v>0</v>
      </c>
      <c r="O6" s="25">
        <f>I6*D6</f>
        <v>0</v>
      </c>
      <c r="P6" s="25">
        <f>I6*E6</f>
        <v>0</v>
      </c>
      <c r="Q6" s="26">
        <f>I6*F6</f>
        <v>0</v>
      </c>
      <c r="R6" s="27">
        <f>I6*G6</f>
        <v>0</v>
      </c>
      <c r="S6" s="28">
        <f>SUM(N6:R6)</f>
        <v>0</v>
      </c>
    </row>
    <row r="7" spans="2:20">
      <c r="B7" s="501" t="s">
        <v>358</v>
      </c>
      <c r="C7" s="107"/>
      <c r="D7" s="13"/>
      <c r="E7" s="13"/>
      <c r="F7" s="14"/>
      <c r="G7" s="8">
        <v>60</v>
      </c>
      <c r="H7" s="23">
        <f t="shared" ref="H7:H49" si="1">SUM(C7:G7)</f>
        <v>60</v>
      </c>
      <c r="I7" s="464">
        <f t="shared" ref="I7:I49" si="2">L7-(L7*J7)</f>
        <v>12.27</v>
      </c>
      <c r="J7" s="10"/>
      <c r="K7" s="12">
        <v>0.03</v>
      </c>
      <c r="L7" s="405">
        <v>12.27</v>
      </c>
      <c r="M7" s="240"/>
      <c r="N7" s="125">
        <f t="shared" ref="N7:N49" si="3">I7*C7</f>
        <v>0</v>
      </c>
      <c r="O7" s="25">
        <f t="shared" ref="O7:O49" si="4">I7*D7</f>
        <v>0</v>
      </c>
      <c r="P7" s="25">
        <f t="shared" ref="P7:P49" si="5">I7*E7</f>
        <v>0</v>
      </c>
      <c r="Q7" s="26">
        <f t="shared" ref="Q7:Q49" si="6">I7*F7</f>
        <v>0</v>
      </c>
      <c r="R7" s="27">
        <f t="shared" ref="R7:R49" si="7">I7*G7</f>
        <v>736.19999999999993</v>
      </c>
      <c r="S7" s="28">
        <f t="shared" ref="S7:S49" si="8">SUM(N7:R7)</f>
        <v>736.19999999999993</v>
      </c>
    </row>
    <row r="8" spans="2:20" hidden="1">
      <c r="B8" s="501" t="s">
        <v>729</v>
      </c>
      <c r="C8" s="107"/>
      <c r="D8" s="13"/>
      <c r="E8" s="13"/>
      <c r="F8" s="14"/>
      <c r="G8" s="8"/>
      <c r="H8" s="23">
        <f t="shared" si="1"/>
        <v>0</v>
      </c>
      <c r="I8" s="464">
        <f t="shared" si="2"/>
        <v>40.94</v>
      </c>
      <c r="J8" s="10"/>
      <c r="K8" s="12">
        <v>0.03</v>
      </c>
      <c r="L8" s="405">
        <v>40.94</v>
      </c>
      <c r="M8" s="240"/>
      <c r="N8" s="125">
        <f t="shared" si="3"/>
        <v>0</v>
      </c>
      <c r="O8" s="25">
        <f t="shared" si="4"/>
        <v>0</v>
      </c>
      <c r="P8" s="25">
        <f t="shared" si="5"/>
        <v>0</v>
      </c>
      <c r="Q8" s="26">
        <f t="shared" si="6"/>
        <v>0</v>
      </c>
      <c r="R8" s="27">
        <f t="shared" si="7"/>
        <v>0</v>
      </c>
      <c r="S8" s="28">
        <f t="shared" si="8"/>
        <v>0</v>
      </c>
    </row>
    <row r="9" spans="2:20" hidden="1">
      <c r="B9" s="501" t="s">
        <v>730</v>
      </c>
      <c r="C9" s="107"/>
      <c r="D9" s="13"/>
      <c r="E9" s="13"/>
      <c r="F9" s="14"/>
      <c r="G9" s="8"/>
      <c r="H9" s="23">
        <f t="shared" si="1"/>
        <v>0</v>
      </c>
      <c r="I9" s="464">
        <f t="shared" si="2"/>
        <v>21.87</v>
      </c>
      <c r="J9" s="10"/>
      <c r="K9" s="12">
        <v>0.03</v>
      </c>
      <c r="L9" s="405">
        <v>21.87</v>
      </c>
      <c r="M9" s="240"/>
      <c r="N9" s="125">
        <f t="shared" si="3"/>
        <v>0</v>
      </c>
      <c r="O9" s="25">
        <f t="shared" si="4"/>
        <v>0</v>
      </c>
      <c r="P9" s="25">
        <f t="shared" si="5"/>
        <v>0</v>
      </c>
      <c r="Q9" s="26">
        <f t="shared" si="6"/>
        <v>0</v>
      </c>
      <c r="R9" s="27">
        <f t="shared" si="7"/>
        <v>0</v>
      </c>
      <c r="S9" s="28">
        <f t="shared" si="8"/>
        <v>0</v>
      </c>
    </row>
    <row r="10" spans="2:20" hidden="1">
      <c r="B10" s="502" t="s">
        <v>718</v>
      </c>
      <c r="C10" s="107"/>
      <c r="D10" s="13"/>
      <c r="E10" s="13"/>
      <c r="F10" s="14"/>
      <c r="G10" s="8"/>
      <c r="H10" s="23">
        <f t="shared" si="1"/>
        <v>0</v>
      </c>
      <c r="I10" s="464">
        <f t="shared" si="2"/>
        <v>43.46</v>
      </c>
      <c r="J10" s="10"/>
      <c r="K10" s="12">
        <v>0.03</v>
      </c>
      <c r="L10" s="405">
        <v>43.46</v>
      </c>
      <c r="M10" s="240"/>
      <c r="N10" s="125">
        <f t="shared" si="3"/>
        <v>0</v>
      </c>
      <c r="O10" s="25">
        <f t="shared" si="4"/>
        <v>0</v>
      </c>
      <c r="P10" s="25">
        <f t="shared" si="5"/>
        <v>0</v>
      </c>
      <c r="Q10" s="26">
        <f t="shared" si="6"/>
        <v>0</v>
      </c>
      <c r="R10" s="27">
        <f t="shared" si="7"/>
        <v>0</v>
      </c>
      <c r="S10" s="28">
        <f t="shared" si="8"/>
        <v>0</v>
      </c>
    </row>
    <row r="11" spans="2:20" hidden="1">
      <c r="B11" s="502" t="s">
        <v>719</v>
      </c>
      <c r="C11" s="107"/>
      <c r="D11" s="13"/>
      <c r="E11" s="13"/>
      <c r="F11" s="14"/>
      <c r="G11" s="8"/>
      <c r="H11" s="23">
        <f t="shared" si="1"/>
        <v>0</v>
      </c>
      <c r="I11" s="464">
        <f t="shared" si="2"/>
        <v>169.64</v>
      </c>
      <c r="J11" s="10"/>
      <c r="K11" s="12">
        <v>0.03</v>
      </c>
      <c r="L11" s="405">
        <v>169.64</v>
      </c>
      <c r="M11" s="240"/>
      <c r="N11" s="125">
        <f t="shared" si="3"/>
        <v>0</v>
      </c>
      <c r="O11" s="25">
        <f t="shared" si="4"/>
        <v>0</v>
      </c>
      <c r="P11" s="25">
        <f t="shared" si="5"/>
        <v>0</v>
      </c>
      <c r="Q11" s="26">
        <f t="shared" si="6"/>
        <v>0</v>
      </c>
      <c r="R11" s="27">
        <f t="shared" si="7"/>
        <v>0</v>
      </c>
      <c r="S11" s="28">
        <f t="shared" si="8"/>
        <v>0</v>
      </c>
    </row>
    <row r="12" spans="2:20" hidden="1">
      <c r="B12" s="502" t="s">
        <v>720</v>
      </c>
      <c r="C12" s="107"/>
      <c r="D12" s="13"/>
      <c r="E12" s="13"/>
      <c r="F12" s="14"/>
      <c r="G12" s="8"/>
      <c r="H12" s="23">
        <f t="shared" si="1"/>
        <v>0</v>
      </c>
      <c r="I12" s="464">
        <f t="shared" si="2"/>
        <v>46.34</v>
      </c>
      <c r="J12" s="10"/>
      <c r="K12" s="12">
        <v>0.03</v>
      </c>
      <c r="L12" s="405">
        <v>46.34</v>
      </c>
      <c r="M12" s="240"/>
      <c r="N12" s="125">
        <f t="shared" si="3"/>
        <v>0</v>
      </c>
      <c r="O12" s="25">
        <f t="shared" si="4"/>
        <v>0</v>
      </c>
      <c r="P12" s="25">
        <f t="shared" si="5"/>
        <v>0</v>
      </c>
      <c r="Q12" s="26">
        <f t="shared" si="6"/>
        <v>0</v>
      </c>
      <c r="R12" s="27">
        <f t="shared" si="7"/>
        <v>0</v>
      </c>
      <c r="S12" s="28">
        <f t="shared" si="8"/>
        <v>0</v>
      </c>
    </row>
    <row r="13" spans="2:20">
      <c r="B13" s="503" t="s">
        <v>1553</v>
      </c>
      <c r="C13" s="107"/>
      <c r="D13" s="13"/>
      <c r="E13" s="13"/>
      <c r="F13" s="14">
        <v>20</v>
      </c>
      <c r="G13" s="8"/>
      <c r="H13" s="23">
        <f t="shared" si="1"/>
        <v>20</v>
      </c>
      <c r="I13" s="464">
        <f t="shared" si="2"/>
        <v>62.55</v>
      </c>
      <c r="J13" s="10"/>
      <c r="K13" s="12">
        <v>0.03</v>
      </c>
      <c r="L13" s="405">
        <v>62.55</v>
      </c>
      <c r="M13" s="240"/>
      <c r="N13" s="125">
        <f t="shared" si="3"/>
        <v>0</v>
      </c>
      <c r="O13" s="25">
        <f t="shared" si="4"/>
        <v>0</v>
      </c>
      <c r="P13" s="25">
        <f t="shared" si="5"/>
        <v>0</v>
      </c>
      <c r="Q13" s="26">
        <f t="shared" si="6"/>
        <v>1251</v>
      </c>
      <c r="R13" s="27">
        <f t="shared" si="7"/>
        <v>0</v>
      </c>
      <c r="S13" s="28">
        <f t="shared" si="8"/>
        <v>1251</v>
      </c>
    </row>
    <row r="14" spans="2:20" hidden="1">
      <c r="B14" s="503" t="s">
        <v>1554</v>
      </c>
      <c r="C14" s="107"/>
      <c r="D14" s="13"/>
      <c r="E14" s="13"/>
      <c r="F14" s="14"/>
      <c r="G14" s="8"/>
      <c r="H14" s="23">
        <f t="shared" si="1"/>
        <v>0</v>
      </c>
      <c r="I14" s="464">
        <f t="shared" si="2"/>
        <v>14.69</v>
      </c>
      <c r="J14" s="10"/>
      <c r="K14" s="12">
        <v>0.03</v>
      </c>
      <c r="L14" s="404">
        <v>14.69</v>
      </c>
      <c r="M14" s="240"/>
      <c r="N14" s="125">
        <f t="shared" si="3"/>
        <v>0</v>
      </c>
      <c r="O14" s="25">
        <f t="shared" si="4"/>
        <v>0</v>
      </c>
      <c r="P14" s="25">
        <f t="shared" si="5"/>
        <v>0</v>
      </c>
      <c r="Q14" s="26">
        <f t="shared" si="6"/>
        <v>0</v>
      </c>
      <c r="R14" s="27">
        <f t="shared" si="7"/>
        <v>0</v>
      </c>
      <c r="S14" s="28">
        <f t="shared" si="8"/>
        <v>0</v>
      </c>
    </row>
    <row r="15" spans="2:20" hidden="1">
      <c r="B15" s="503" t="s">
        <v>1555</v>
      </c>
      <c r="C15" s="107"/>
      <c r="D15" s="13"/>
      <c r="E15" s="13"/>
      <c r="F15" s="14"/>
      <c r="G15" s="8"/>
      <c r="H15" s="23">
        <f t="shared" si="1"/>
        <v>0</v>
      </c>
      <c r="I15" s="464">
        <f t="shared" si="2"/>
        <v>757.93</v>
      </c>
      <c r="J15" s="10"/>
      <c r="K15" s="12">
        <v>0.03</v>
      </c>
      <c r="L15" s="404">
        <v>757.93</v>
      </c>
      <c r="M15" s="240"/>
      <c r="N15" s="125">
        <f t="shared" si="3"/>
        <v>0</v>
      </c>
      <c r="O15" s="25">
        <f t="shared" si="4"/>
        <v>0</v>
      </c>
      <c r="P15" s="25">
        <f t="shared" si="5"/>
        <v>0</v>
      </c>
      <c r="Q15" s="26">
        <f t="shared" si="6"/>
        <v>0</v>
      </c>
      <c r="R15" s="27">
        <f t="shared" si="7"/>
        <v>0</v>
      </c>
      <c r="S15" s="28">
        <f t="shared" si="8"/>
        <v>0</v>
      </c>
      <c r="T15" s="437"/>
    </row>
    <row r="16" spans="2:20" hidden="1">
      <c r="B16" s="503" t="s">
        <v>1556</v>
      </c>
      <c r="C16" s="107"/>
      <c r="D16" s="13"/>
      <c r="E16" s="13"/>
      <c r="F16" s="14"/>
      <c r="G16" s="8"/>
      <c r="H16" s="23">
        <f t="shared" si="1"/>
        <v>0</v>
      </c>
      <c r="I16" s="464">
        <f t="shared" si="2"/>
        <v>38.65</v>
      </c>
      <c r="J16" s="10"/>
      <c r="K16" s="12">
        <v>0.03</v>
      </c>
      <c r="L16" s="404">
        <v>38.65</v>
      </c>
      <c r="M16" s="240"/>
      <c r="N16" s="125">
        <f t="shared" si="3"/>
        <v>0</v>
      </c>
      <c r="O16" s="25">
        <f t="shared" si="4"/>
        <v>0</v>
      </c>
      <c r="P16" s="25">
        <f t="shared" si="5"/>
        <v>0</v>
      </c>
      <c r="Q16" s="26">
        <f t="shared" si="6"/>
        <v>0</v>
      </c>
      <c r="R16" s="27">
        <f t="shared" si="7"/>
        <v>0</v>
      </c>
      <c r="S16" s="28">
        <f t="shared" si="8"/>
        <v>0</v>
      </c>
    </row>
    <row r="17" spans="2:20" hidden="1">
      <c r="B17" s="503" t="s">
        <v>1557</v>
      </c>
      <c r="C17" s="107"/>
      <c r="D17" s="13"/>
      <c r="E17" s="13"/>
      <c r="F17" s="14"/>
      <c r="G17" s="8"/>
      <c r="H17" s="23">
        <f t="shared" si="1"/>
        <v>0</v>
      </c>
      <c r="I17" s="464">
        <f t="shared" si="2"/>
        <v>9.6199999999999992</v>
      </c>
      <c r="J17" s="10"/>
      <c r="K17" s="12">
        <v>0.03</v>
      </c>
      <c r="L17" s="404">
        <v>9.6199999999999992</v>
      </c>
      <c r="M17" s="240"/>
      <c r="N17" s="125">
        <f t="shared" si="3"/>
        <v>0</v>
      </c>
      <c r="O17" s="25">
        <f t="shared" si="4"/>
        <v>0</v>
      </c>
      <c r="P17" s="25">
        <f t="shared" si="5"/>
        <v>0</v>
      </c>
      <c r="Q17" s="26">
        <f t="shared" si="6"/>
        <v>0</v>
      </c>
      <c r="R17" s="27">
        <f t="shared" si="7"/>
        <v>0</v>
      </c>
      <c r="S17" s="28">
        <f t="shared" si="8"/>
        <v>0</v>
      </c>
    </row>
    <row r="18" spans="2:20">
      <c r="B18" s="503" t="s">
        <v>1558</v>
      </c>
      <c r="C18" s="107"/>
      <c r="D18" s="13"/>
      <c r="E18" s="13"/>
      <c r="F18" s="14">
        <v>48</v>
      </c>
      <c r="G18" s="8"/>
      <c r="H18" s="23">
        <f t="shared" si="1"/>
        <v>48</v>
      </c>
      <c r="I18" s="464">
        <f t="shared" si="2"/>
        <v>19.82</v>
      </c>
      <c r="J18" s="10"/>
      <c r="K18" s="12">
        <v>0.03</v>
      </c>
      <c r="L18" s="404">
        <v>19.82</v>
      </c>
      <c r="M18" s="240"/>
      <c r="N18" s="125">
        <f t="shared" si="3"/>
        <v>0</v>
      </c>
      <c r="O18" s="25">
        <f t="shared" si="4"/>
        <v>0</v>
      </c>
      <c r="P18" s="25">
        <f t="shared" si="5"/>
        <v>0</v>
      </c>
      <c r="Q18" s="26">
        <f t="shared" si="6"/>
        <v>951.36</v>
      </c>
      <c r="R18" s="27">
        <f t="shared" si="7"/>
        <v>0</v>
      </c>
      <c r="S18" s="28">
        <f t="shared" si="8"/>
        <v>951.36</v>
      </c>
      <c r="T18" s="437"/>
    </row>
    <row r="19" spans="2:20" hidden="1">
      <c r="B19" s="502" t="s">
        <v>721</v>
      </c>
      <c r="C19" s="107"/>
      <c r="D19" s="13"/>
      <c r="E19" s="13"/>
      <c r="F19" s="14"/>
      <c r="G19" s="8"/>
      <c r="H19" s="23">
        <f t="shared" si="1"/>
        <v>0</v>
      </c>
      <c r="I19" s="464">
        <f t="shared" si="2"/>
        <v>162.31</v>
      </c>
      <c r="J19" s="10"/>
      <c r="K19" s="12">
        <v>0.03</v>
      </c>
      <c r="L19" s="404">
        <v>162.31</v>
      </c>
      <c r="M19" s="240"/>
      <c r="N19" s="125">
        <f t="shared" si="3"/>
        <v>0</v>
      </c>
      <c r="O19" s="25">
        <f t="shared" si="4"/>
        <v>0</v>
      </c>
      <c r="P19" s="25">
        <f t="shared" si="5"/>
        <v>0</v>
      </c>
      <c r="Q19" s="26">
        <f t="shared" si="6"/>
        <v>0</v>
      </c>
      <c r="R19" s="27">
        <f t="shared" si="7"/>
        <v>0</v>
      </c>
      <c r="S19" s="28">
        <f t="shared" si="8"/>
        <v>0</v>
      </c>
    </row>
    <row r="20" spans="2:20" hidden="1">
      <c r="B20" s="502" t="s">
        <v>1072</v>
      </c>
      <c r="C20" s="107"/>
      <c r="D20" s="13"/>
      <c r="E20" s="13"/>
      <c r="F20" s="14"/>
      <c r="G20" s="8"/>
      <c r="H20" s="23">
        <f t="shared" si="1"/>
        <v>0</v>
      </c>
      <c r="I20" s="464">
        <f t="shared" si="2"/>
        <v>18.13</v>
      </c>
      <c r="J20" s="10"/>
      <c r="K20" s="12">
        <v>0.03</v>
      </c>
      <c r="L20" s="405">
        <v>18.13</v>
      </c>
      <c r="M20" s="240"/>
      <c r="N20" s="125">
        <f t="shared" si="3"/>
        <v>0</v>
      </c>
      <c r="O20" s="25">
        <f t="shared" si="4"/>
        <v>0</v>
      </c>
      <c r="P20" s="25">
        <f t="shared" si="5"/>
        <v>0</v>
      </c>
      <c r="Q20" s="26">
        <f t="shared" si="6"/>
        <v>0</v>
      </c>
      <c r="R20" s="27">
        <f t="shared" si="7"/>
        <v>0</v>
      </c>
      <c r="S20" s="28">
        <f t="shared" si="8"/>
        <v>0</v>
      </c>
    </row>
    <row r="21" spans="2:20">
      <c r="B21" s="502" t="s">
        <v>1559</v>
      </c>
      <c r="C21" s="107">
        <v>600</v>
      </c>
      <c r="D21" s="13"/>
      <c r="E21" s="13"/>
      <c r="F21" s="14"/>
      <c r="G21" s="8"/>
      <c r="H21" s="23">
        <f t="shared" si="1"/>
        <v>600</v>
      </c>
      <c r="I21" s="464">
        <f>(L21-(L21*J21))/30</f>
        <v>2.3180000000000001</v>
      </c>
      <c r="J21" s="10"/>
      <c r="K21" s="12">
        <v>0.03</v>
      </c>
      <c r="L21" s="405">
        <v>69.540000000000006</v>
      </c>
      <c r="M21" s="240"/>
      <c r="N21" s="125">
        <f t="shared" si="3"/>
        <v>1390.8</v>
      </c>
      <c r="O21" s="25">
        <f t="shared" si="4"/>
        <v>0</v>
      </c>
      <c r="P21" s="25">
        <f t="shared" si="5"/>
        <v>0</v>
      </c>
      <c r="Q21" s="26">
        <f t="shared" si="6"/>
        <v>0</v>
      </c>
      <c r="R21" s="27">
        <f t="shared" si="7"/>
        <v>0</v>
      </c>
      <c r="S21" s="28">
        <f t="shared" si="8"/>
        <v>1390.8</v>
      </c>
    </row>
    <row r="22" spans="2:20" hidden="1">
      <c r="B22" s="502" t="s">
        <v>722</v>
      </c>
      <c r="C22" s="107"/>
      <c r="D22" s="13"/>
      <c r="E22" s="13"/>
      <c r="F22" s="14"/>
      <c r="G22" s="8"/>
      <c r="H22" s="23">
        <f t="shared" si="1"/>
        <v>0</v>
      </c>
      <c r="I22" s="464">
        <f t="shared" si="2"/>
        <v>45.55</v>
      </c>
      <c r="J22" s="10"/>
      <c r="K22" s="12">
        <v>0.03</v>
      </c>
      <c r="L22" s="405">
        <v>45.55</v>
      </c>
      <c r="M22" s="240"/>
      <c r="N22" s="125">
        <f t="shared" si="3"/>
        <v>0</v>
      </c>
      <c r="O22" s="25">
        <f t="shared" si="4"/>
        <v>0</v>
      </c>
      <c r="P22" s="25">
        <f t="shared" si="5"/>
        <v>0</v>
      </c>
      <c r="Q22" s="26">
        <f t="shared" si="6"/>
        <v>0</v>
      </c>
      <c r="R22" s="27">
        <f t="shared" si="7"/>
        <v>0</v>
      </c>
      <c r="S22" s="28">
        <f t="shared" si="8"/>
        <v>0</v>
      </c>
      <c r="T22" s="437"/>
    </row>
    <row r="23" spans="2:20" hidden="1">
      <c r="B23" s="502" t="s">
        <v>1560</v>
      </c>
      <c r="C23" s="107"/>
      <c r="D23" s="13"/>
      <c r="E23" s="13"/>
      <c r="F23" s="14"/>
      <c r="G23" s="8"/>
      <c r="H23" s="23">
        <f t="shared" si="1"/>
        <v>0</v>
      </c>
      <c r="I23" s="464">
        <f t="shared" si="2"/>
        <v>163.57</v>
      </c>
      <c r="J23" s="10"/>
      <c r="K23" s="12">
        <v>0.03</v>
      </c>
      <c r="L23" s="405">
        <v>163.57</v>
      </c>
      <c r="M23" s="240"/>
      <c r="N23" s="125">
        <f t="shared" si="3"/>
        <v>0</v>
      </c>
      <c r="O23" s="25">
        <f t="shared" si="4"/>
        <v>0</v>
      </c>
      <c r="P23" s="25">
        <f t="shared" si="5"/>
        <v>0</v>
      </c>
      <c r="Q23" s="26">
        <f t="shared" si="6"/>
        <v>0</v>
      </c>
      <c r="R23" s="27">
        <f t="shared" si="7"/>
        <v>0</v>
      </c>
      <c r="S23" s="28">
        <f t="shared" si="8"/>
        <v>0</v>
      </c>
      <c r="T23" s="437"/>
    </row>
    <row r="24" spans="2:20" hidden="1">
      <c r="B24" s="502" t="s">
        <v>723</v>
      </c>
      <c r="C24" s="107"/>
      <c r="D24" s="13"/>
      <c r="E24" s="13"/>
      <c r="F24" s="14"/>
      <c r="G24" s="8"/>
      <c r="H24" s="23">
        <f t="shared" si="1"/>
        <v>0</v>
      </c>
      <c r="I24" s="464">
        <f t="shared" si="2"/>
        <v>1762.88</v>
      </c>
      <c r="J24" s="10"/>
      <c r="K24" s="12">
        <v>0.03</v>
      </c>
      <c r="L24" s="405">
        <v>1762.88</v>
      </c>
      <c r="M24" s="240"/>
      <c r="N24" s="125">
        <f t="shared" si="3"/>
        <v>0</v>
      </c>
      <c r="O24" s="25">
        <f t="shared" si="4"/>
        <v>0</v>
      </c>
      <c r="P24" s="25">
        <f t="shared" si="5"/>
        <v>0</v>
      </c>
      <c r="Q24" s="26">
        <f t="shared" si="6"/>
        <v>0</v>
      </c>
      <c r="R24" s="27">
        <f t="shared" si="7"/>
        <v>0</v>
      </c>
      <c r="S24" s="28">
        <f t="shared" si="8"/>
        <v>0</v>
      </c>
      <c r="T24" s="437"/>
    </row>
    <row r="25" spans="2:20" hidden="1">
      <c r="B25" s="502" t="s">
        <v>724</v>
      </c>
      <c r="C25" s="107"/>
      <c r="D25" s="13"/>
      <c r="E25" s="13"/>
      <c r="F25" s="14"/>
      <c r="G25" s="8"/>
      <c r="H25" s="23">
        <f t="shared" si="1"/>
        <v>0</v>
      </c>
      <c r="I25" s="464">
        <f t="shared" si="2"/>
        <v>43.72</v>
      </c>
      <c r="J25" s="10"/>
      <c r="K25" s="12">
        <v>0.03</v>
      </c>
      <c r="L25" s="405">
        <v>43.72</v>
      </c>
      <c r="M25" s="240"/>
      <c r="N25" s="125">
        <f t="shared" si="3"/>
        <v>0</v>
      </c>
      <c r="O25" s="25">
        <f t="shared" si="4"/>
        <v>0</v>
      </c>
      <c r="P25" s="25">
        <f t="shared" si="5"/>
        <v>0</v>
      </c>
      <c r="Q25" s="26">
        <f t="shared" si="6"/>
        <v>0</v>
      </c>
      <c r="R25" s="27">
        <f t="shared" si="7"/>
        <v>0</v>
      </c>
      <c r="S25" s="28">
        <f t="shared" si="8"/>
        <v>0</v>
      </c>
    </row>
    <row r="26" spans="2:20">
      <c r="B26" s="502" t="s">
        <v>359</v>
      </c>
      <c r="C26" s="107">
        <v>24</v>
      </c>
      <c r="D26" s="13"/>
      <c r="E26" s="13"/>
      <c r="F26" s="14"/>
      <c r="G26" s="8"/>
      <c r="H26" s="23">
        <f t="shared" si="1"/>
        <v>24</v>
      </c>
      <c r="I26" s="464">
        <f t="shared" si="2"/>
        <v>11.43</v>
      </c>
      <c r="J26" s="10"/>
      <c r="K26" s="12">
        <v>0.03</v>
      </c>
      <c r="L26" s="406">
        <v>11.43</v>
      </c>
      <c r="M26" s="240"/>
      <c r="N26" s="125">
        <f t="shared" si="3"/>
        <v>274.32</v>
      </c>
      <c r="O26" s="25">
        <f t="shared" si="4"/>
        <v>0</v>
      </c>
      <c r="P26" s="25">
        <f t="shared" si="5"/>
        <v>0</v>
      </c>
      <c r="Q26" s="26">
        <f t="shared" si="6"/>
        <v>0</v>
      </c>
      <c r="R26" s="27">
        <f t="shared" si="7"/>
        <v>0</v>
      </c>
      <c r="S26" s="28">
        <f t="shared" si="8"/>
        <v>274.32</v>
      </c>
    </row>
    <row r="27" spans="2:20">
      <c r="B27" s="501" t="s">
        <v>360</v>
      </c>
      <c r="C27" s="107">
        <v>24</v>
      </c>
      <c r="D27" s="13"/>
      <c r="E27" s="13"/>
      <c r="F27" s="14"/>
      <c r="G27" s="8"/>
      <c r="H27" s="23">
        <f t="shared" si="1"/>
        <v>24</v>
      </c>
      <c r="I27" s="464">
        <f t="shared" si="2"/>
        <v>35.729999999999997</v>
      </c>
      <c r="J27" s="10"/>
      <c r="K27" s="12">
        <v>0.03</v>
      </c>
      <c r="L27" s="405">
        <v>35.729999999999997</v>
      </c>
      <c r="M27" s="240"/>
      <c r="N27" s="125">
        <f t="shared" si="3"/>
        <v>857.52</v>
      </c>
      <c r="O27" s="25">
        <f t="shared" si="4"/>
        <v>0</v>
      </c>
      <c r="P27" s="25">
        <f t="shared" si="5"/>
        <v>0</v>
      </c>
      <c r="Q27" s="26">
        <f t="shared" si="6"/>
        <v>0</v>
      </c>
      <c r="R27" s="27">
        <f t="shared" si="7"/>
        <v>0</v>
      </c>
      <c r="S27" s="28">
        <f t="shared" si="8"/>
        <v>857.52</v>
      </c>
    </row>
    <row r="28" spans="2:20" hidden="1">
      <c r="B28" s="501" t="s">
        <v>725</v>
      </c>
      <c r="C28" s="107"/>
      <c r="D28" s="13"/>
      <c r="E28" s="13"/>
      <c r="F28" s="14"/>
      <c r="G28" s="8"/>
      <c r="H28" s="23">
        <f t="shared" si="1"/>
        <v>0</v>
      </c>
      <c r="I28" s="464">
        <f t="shared" si="2"/>
        <v>10.57</v>
      </c>
      <c r="J28" s="10"/>
      <c r="K28" s="12">
        <v>0.03</v>
      </c>
      <c r="L28" s="405">
        <v>10.57</v>
      </c>
      <c r="M28" s="240"/>
      <c r="N28" s="125">
        <f t="shared" si="3"/>
        <v>0</v>
      </c>
      <c r="O28" s="25">
        <f t="shared" si="4"/>
        <v>0</v>
      </c>
      <c r="P28" s="25">
        <f t="shared" si="5"/>
        <v>0</v>
      </c>
      <c r="Q28" s="26">
        <f t="shared" si="6"/>
        <v>0</v>
      </c>
      <c r="R28" s="27">
        <f t="shared" si="7"/>
        <v>0</v>
      </c>
      <c r="S28" s="28">
        <f t="shared" si="8"/>
        <v>0</v>
      </c>
      <c r="T28" s="437"/>
    </row>
    <row r="29" spans="2:20" hidden="1">
      <c r="B29" s="501" t="s">
        <v>1561</v>
      </c>
      <c r="C29" s="107"/>
      <c r="D29" s="13"/>
      <c r="E29" s="13"/>
      <c r="F29" s="14"/>
      <c r="G29" s="8"/>
      <c r="H29" s="23">
        <f t="shared" si="1"/>
        <v>0</v>
      </c>
      <c r="I29" s="464">
        <f t="shared" si="2"/>
        <v>283.89</v>
      </c>
      <c r="J29" s="10"/>
      <c r="K29" s="12">
        <v>0.03</v>
      </c>
      <c r="L29" s="405">
        <v>283.89</v>
      </c>
      <c r="M29" s="240"/>
      <c r="N29" s="125">
        <f t="shared" si="3"/>
        <v>0</v>
      </c>
      <c r="O29" s="25">
        <f t="shared" si="4"/>
        <v>0</v>
      </c>
      <c r="P29" s="25">
        <f t="shared" si="5"/>
        <v>0</v>
      </c>
      <c r="Q29" s="26">
        <f t="shared" si="6"/>
        <v>0</v>
      </c>
      <c r="R29" s="27">
        <f t="shared" si="7"/>
        <v>0</v>
      </c>
      <c r="S29" s="28">
        <f t="shared" si="8"/>
        <v>0</v>
      </c>
    </row>
    <row r="30" spans="2:20">
      <c r="B30" s="501" t="s">
        <v>731</v>
      </c>
      <c r="C30" s="107"/>
      <c r="D30" s="13"/>
      <c r="E30" s="13">
        <v>600</v>
      </c>
      <c r="F30" s="14"/>
      <c r="G30" s="8"/>
      <c r="H30" s="23">
        <f t="shared" si="1"/>
        <v>600</v>
      </c>
      <c r="I30" s="464">
        <f t="shared" si="2"/>
        <v>9.39</v>
      </c>
      <c r="J30" s="10"/>
      <c r="K30" s="12">
        <v>0.03</v>
      </c>
      <c r="L30" s="405">
        <v>9.39</v>
      </c>
      <c r="M30" s="240"/>
      <c r="N30" s="125">
        <f t="shared" si="3"/>
        <v>0</v>
      </c>
      <c r="O30" s="25">
        <f t="shared" si="4"/>
        <v>0</v>
      </c>
      <c r="P30" s="25">
        <f t="shared" si="5"/>
        <v>5634</v>
      </c>
      <c r="Q30" s="26">
        <f t="shared" si="6"/>
        <v>0</v>
      </c>
      <c r="R30" s="27">
        <f t="shared" si="7"/>
        <v>0</v>
      </c>
      <c r="S30" s="28">
        <f t="shared" si="8"/>
        <v>5634</v>
      </c>
    </row>
    <row r="31" spans="2:20">
      <c r="B31" s="501" t="s">
        <v>361</v>
      </c>
      <c r="C31" s="107">
        <v>160</v>
      </c>
      <c r="D31" s="13"/>
      <c r="E31" s="13">
        <v>32</v>
      </c>
      <c r="F31" s="14"/>
      <c r="G31" s="8"/>
      <c r="H31" s="23">
        <f t="shared" si="1"/>
        <v>192</v>
      </c>
      <c r="I31" s="464">
        <f t="shared" si="2"/>
        <v>47.3</v>
      </c>
      <c r="J31" s="10"/>
      <c r="K31" s="12">
        <v>0.03</v>
      </c>
      <c r="L31" s="405">
        <v>47.3</v>
      </c>
      <c r="M31" s="240"/>
      <c r="N31" s="125">
        <f t="shared" si="3"/>
        <v>7568</v>
      </c>
      <c r="O31" s="25">
        <f t="shared" si="4"/>
        <v>0</v>
      </c>
      <c r="P31" s="25">
        <f t="shared" si="5"/>
        <v>1513.6</v>
      </c>
      <c r="Q31" s="26">
        <f t="shared" si="6"/>
        <v>0</v>
      </c>
      <c r="R31" s="27">
        <f t="shared" si="7"/>
        <v>0</v>
      </c>
      <c r="S31" s="28">
        <f t="shared" si="8"/>
        <v>9081.6</v>
      </c>
    </row>
    <row r="32" spans="2:20" hidden="1">
      <c r="B32" s="501" t="s">
        <v>726</v>
      </c>
      <c r="C32" s="107"/>
      <c r="D32" s="13"/>
      <c r="E32" s="13"/>
      <c r="F32" s="14"/>
      <c r="G32" s="8"/>
      <c r="H32" s="23">
        <f t="shared" si="1"/>
        <v>0</v>
      </c>
      <c r="I32" s="464">
        <f t="shared" si="2"/>
        <v>116.85</v>
      </c>
      <c r="J32" s="10"/>
      <c r="K32" s="12">
        <v>0.03</v>
      </c>
      <c r="L32" s="405">
        <v>116.85</v>
      </c>
      <c r="M32" s="240"/>
      <c r="N32" s="125">
        <f t="shared" si="3"/>
        <v>0</v>
      </c>
      <c r="O32" s="25">
        <f t="shared" si="4"/>
        <v>0</v>
      </c>
      <c r="P32" s="25">
        <f t="shared" si="5"/>
        <v>0</v>
      </c>
      <c r="Q32" s="26">
        <f t="shared" si="6"/>
        <v>0</v>
      </c>
      <c r="R32" s="27">
        <f t="shared" si="7"/>
        <v>0</v>
      </c>
      <c r="S32" s="28">
        <f t="shared" si="8"/>
        <v>0</v>
      </c>
      <c r="T32" s="437"/>
    </row>
    <row r="33" spans="2:20" hidden="1">
      <c r="B33" s="501" t="s">
        <v>727</v>
      </c>
      <c r="C33" s="107"/>
      <c r="D33" s="13"/>
      <c r="E33" s="13"/>
      <c r="F33" s="14"/>
      <c r="G33" s="8"/>
      <c r="H33" s="23">
        <f t="shared" si="1"/>
        <v>0</v>
      </c>
      <c r="I33" s="464">
        <f t="shared" si="2"/>
        <v>517.16999999999996</v>
      </c>
      <c r="J33" s="10"/>
      <c r="K33" s="12">
        <v>0.03</v>
      </c>
      <c r="L33" s="405">
        <v>517.16999999999996</v>
      </c>
      <c r="M33" s="240"/>
      <c r="N33" s="125">
        <f t="shared" si="3"/>
        <v>0</v>
      </c>
      <c r="O33" s="25">
        <f t="shared" si="4"/>
        <v>0</v>
      </c>
      <c r="P33" s="25">
        <f t="shared" si="5"/>
        <v>0</v>
      </c>
      <c r="Q33" s="26">
        <f t="shared" si="6"/>
        <v>0</v>
      </c>
      <c r="R33" s="27">
        <f t="shared" si="7"/>
        <v>0</v>
      </c>
      <c r="S33" s="28">
        <f t="shared" si="8"/>
        <v>0</v>
      </c>
    </row>
    <row r="34" spans="2:20">
      <c r="B34" s="501" t="s">
        <v>362</v>
      </c>
      <c r="C34" s="107"/>
      <c r="D34" s="13"/>
      <c r="E34" s="13"/>
      <c r="F34" s="14"/>
      <c r="G34" s="8">
        <v>240</v>
      </c>
      <c r="H34" s="23">
        <f t="shared" si="1"/>
        <v>240</v>
      </c>
      <c r="I34" s="464">
        <f t="shared" si="2"/>
        <v>16.28</v>
      </c>
      <c r="J34" s="10"/>
      <c r="K34" s="12">
        <v>0.03</v>
      </c>
      <c r="L34" s="405">
        <v>16.28</v>
      </c>
      <c r="M34" s="240"/>
      <c r="N34" s="125">
        <f t="shared" si="3"/>
        <v>0</v>
      </c>
      <c r="O34" s="25">
        <f t="shared" si="4"/>
        <v>0</v>
      </c>
      <c r="P34" s="25">
        <f t="shared" si="5"/>
        <v>0</v>
      </c>
      <c r="Q34" s="26">
        <f t="shared" si="6"/>
        <v>0</v>
      </c>
      <c r="R34" s="27">
        <f t="shared" si="7"/>
        <v>3907.2000000000003</v>
      </c>
      <c r="S34" s="28">
        <f t="shared" si="8"/>
        <v>3907.2000000000003</v>
      </c>
    </row>
    <row r="35" spans="2:20">
      <c r="B35" s="501" t="s">
        <v>363</v>
      </c>
      <c r="C35" s="107"/>
      <c r="D35" s="13"/>
      <c r="E35" s="13"/>
      <c r="F35" s="14"/>
      <c r="G35" s="8"/>
      <c r="H35" s="23">
        <f t="shared" si="1"/>
        <v>0</v>
      </c>
      <c r="I35" s="464"/>
      <c r="J35" s="10" t="s">
        <v>2516</v>
      </c>
      <c r="K35" s="12">
        <v>0.03</v>
      </c>
      <c r="L35" s="405">
        <v>17.350000000000001</v>
      </c>
      <c r="M35" s="240"/>
      <c r="N35" s="125">
        <f t="shared" si="3"/>
        <v>0</v>
      </c>
      <c r="O35" s="25">
        <f t="shared" si="4"/>
        <v>0</v>
      </c>
      <c r="P35" s="25">
        <f t="shared" si="5"/>
        <v>0</v>
      </c>
      <c r="Q35" s="26">
        <f t="shared" si="6"/>
        <v>0</v>
      </c>
      <c r="R35" s="27">
        <f t="shared" si="7"/>
        <v>0</v>
      </c>
      <c r="S35" s="28">
        <f t="shared" si="8"/>
        <v>0</v>
      </c>
    </row>
    <row r="36" spans="2:20" hidden="1">
      <c r="B36" s="502" t="s">
        <v>732</v>
      </c>
      <c r="C36" s="107"/>
      <c r="D36" s="13"/>
      <c r="E36" s="13"/>
      <c r="F36" s="14"/>
      <c r="G36" s="8"/>
      <c r="H36" s="23">
        <f t="shared" si="1"/>
        <v>0</v>
      </c>
      <c r="I36" s="464">
        <f t="shared" si="2"/>
        <v>12.65</v>
      </c>
      <c r="J36" s="10"/>
      <c r="K36" s="12">
        <v>0.03</v>
      </c>
      <c r="L36" s="405">
        <v>12.65</v>
      </c>
      <c r="M36" s="240"/>
      <c r="N36" s="125">
        <f t="shared" si="3"/>
        <v>0</v>
      </c>
      <c r="O36" s="25">
        <f t="shared" si="4"/>
        <v>0</v>
      </c>
      <c r="P36" s="25">
        <f t="shared" si="5"/>
        <v>0</v>
      </c>
      <c r="Q36" s="26">
        <f t="shared" si="6"/>
        <v>0</v>
      </c>
      <c r="R36" s="27">
        <f t="shared" si="7"/>
        <v>0</v>
      </c>
      <c r="S36" s="28">
        <f t="shared" si="8"/>
        <v>0</v>
      </c>
    </row>
    <row r="37" spans="2:20" hidden="1">
      <c r="B37" s="502" t="s">
        <v>733</v>
      </c>
      <c r="C37" s="107"/>
      <c r="D37" s="13"/>
      <c r="E37" s="13"/>
      <c r="F37" s="14"/>
      <c r="G37" s="8"/>
      <c r="H37" s="23">
        <f t="shared" si="1"/>
        <v>0</v>
      </c>
      <c r="I37" s="464">
        <f t="shared" si="2"/>
        <v>15.25</v>
      </c>
      <c r="J37" s="10"/>
      <c r="K37" s="12">
        <v>0.03</v>
      </c>
      <c r="L37" s="405">
        <v>15.25</v>
      </c>
      <c r="M37" s="240"/>
      <c r="N37" s="125">
        <f t="shared" si="3"/>
        <v>0</v>
      </c>
      <c r="O37" s="25">
        <f t="shared" si="4"/>
        <v>0</v>
      </c>
      <c r="P37" s="25">
        <f t="shared" si="5"/>
        <v>0</v>
      </c>
      <c r="Q37" s="26">
        <f t="shared" si="6"/>
        <v>0</v>
      </c>
      <c r="R37" s="27">
        <f t="shared" si="7"/>
        <v>0</v>
      </c>
      <c r="S37" s="28">
        <f t="shared" si="8"/>
        <v>0</v>
      </c>
    </row>
    <row r="38" spans="2:20" hidden="1">
      <c r="B38" s="501" t="s">
        <v>1562</v>
      </c>
      <c r="C38" s="107"/>
      <c r="D38" s="13"/>
      <c r="E38" s="13"/>
      <c r="F38" s="14"/>
      <c r="G38" s="8"/>
      <c r="H38" s="23">
        <f t="shared" si="1"/>
        <v>0</v>
      </c>
      <c r="I38" s="464">
        <f t="shared" si="2"/>
        <v>119.08</v>
      </c>
      <c r="J38" s="10"/>
      <c r="K38" s="12">
        <v>0.03</v>
      </c>
      <c r="L38" s="405">
        <v>119.08</v>
      </c>
      <c r="M38" s="240"/>
      <c r="N38" s="125">
        <f t="shared" si="3"/>
        <v>0</v>
      </c>
      <c r="O38" s="25">
        <f t="shared" si="4"/>
        <v>0</v>
      </c>
      <c r="P38" s="25">
        <f t="shared" si="5"/>
        <v>0</v>
      </c>
      <c r="Q38" s="26">
        <f t="shared" si="6"/>
        <v>0</v>
      </c>
      <c r="R38" s="27">
        <f t="shared" si="7"/>
        <v>0</v>
      </c>
      <c r="S38" s="28">
        <f t="shared" si="8"/>
        <v>0</v>
      </c>
    </row>
    <row r="39" spans="2:20" hidden="1">
      <c r="B39" s="502" t="s">
        <v>1563</v>
      </c>
      <c r="C39" s="107"/>
      <c r="D39" s="13"/>
      <c r="E39" s="13"/>
      <c r="F39" s="14"/>
      <c r="G39" s="8"/>
      <c r="H39" s="23">
        <f t="shared" si="1"/>
        <v>0</v>
      </c>
      <c r="I39" s="464">
        <f t="shared" si="2"/>
        <v>64.239999999999995</v>
      </c>
      <c r="J39" s="10"/>
      <c r="K39" s="12">
        <v>0.03</v>
      </c>
      <c r="L39" s="405">
        <v>64.239999999999995</v>
      </c>
      <c r="M39" s="240"/>
      <c r="N39" s="125">
        <f t="shared" si="3"/>
        <v>0</v>
      </c>
      <c r="O39" s="25">
        <f t="shared" si="4"/>
        <v>0</v>
      </c>
      <c r="P39" s="25">
        <f t="shared" si="5"/>
        <v>0</v>
      </c>
      <c r="Q39" s="26">
        <f t="shared" si="6"/>
        <v>0</v>
      </c>
      <c r="R39" s="27">
        <f t="shared" si="7"/>
        <v>0</v>
      </c>
      <c r="S39" s="28">
        <f t="shared" si="8"/>
        <v>0</v>
      </c>
    </row>
    <row r="40" spans="2:20" hidden="1">
      <c r="B40" s="502" t="s">
        <v>1564</v>
      </c>
      <c r="C40" s="107"/>
      <c r="D40" s="13"/>
      <c r="E40" s="13"/>
      <c r="F40" s="14"/>
      <c r="G40" s="8"/>
      <c r="H40" s="23">
        <f t="shared" si="1"/>
        <v>0</v>
      </c>
      <c r="I40" s="464">
        <f t="shared" si="2"/>
        <v>27.42</v>
      </c>
      <c r="J40" s="10"/>
      <c r="K40" s="12">
        <v>0.03</v>
      </c>
      <c r="L40" s="405">
        <v>27.42</v>
      </c>
      <c r="M40" s="240"/>
      <c r="N40" s="125">
        <f t="shared" si="3"/>
        <v>0</v>
      </c>
      <c r="O40" s="25">
        <f t="shared" si="4"/>
        <v>0</v>
      </c>
      <c r="P40" s="25">
        <f t="shared" si="5"/>
        <v>0</v>
      </c>
      <c r="Q40" s="26">
        <f t="shared" si="6"/>
        <v>0</v>
      </c>
      <c r="R40" s="27">
        <f t="shared" si="7"/>
        <v>0</v>
      </c>
      <c r="S40" s="28">
        <f t="shared" si="8"/>
        <v>0</v>
      </c>
    </row>
    <row r="41" spans="2:20" hidden="1">
      <c r="B41" s="502" t="s">
        <v>1565</v>
      </c>
      <c r="C41" s="107"/>
      <c r="D41" s="13"/>
      <c r="E41" s="13"/>
      <c r="F41" s="14"/>
      <c r="G41" s="8"/>
      <c r="H41" s="23">
        <f t="shared" si="1"/>
        <v>0</v>
      </c>
      <c r="I41" s="464">
        <f t="shared" si="2"/>
        <v>127.12</v>
      </c>
      <c r="J41" s="10"/>
      <c r="K41" s="12">
        <v>0.03</v>
      </c>
      <c r="L41" s="405">
        <v>127.12</v>
      </c>
      <c r="M41" s="240"/>
      <c r="N41" s="125">
        <f t="shared" si="3"/>
        <v>0</v>
      </c>
      <c r="O41" s="25">
        <f t="shared" si="4"/>
        <v>0</v>
      </c>
      <c r="P41" s="25">
        <f t="shared" si="5"/>
        <v>0</v>
      </c>
      <c r="Q41" s="26">
        <f t="shared" si="6"/>
        <v>0</v>
      </c>
      <c r="R41" s="27">
        <f t="shared" si="7"/>
        <v>0</v>
      </c>
      <c r="S41" s="28">
        <f t="shared" si="8"/>
        <v>0</v>
      </c>
    </row>
    <row r="42" spans="2:20" hidden="1">
      <c r="B42" s="501" t="s">
        <v>728</v>
      </c>
      <c r="C42" s="107"/>
      <c r="D42" s="13"/>
      <c r="E42" s="13"/>
      <c r="F42" s="14"/>
      <c r="G42" s="8"/>
      <c r="H42" s="23">
        <f t="shared" si="1"/>
        <v>0</v>
      </c>
      <c r="I42" s="464">
        <f t="shared" si="2"/>
        <v>25.9</v>
      </c>
      <c r="J42" s="10"/>
      <c r="K42" s="12">
        <v>0.03</v>
      </c>
      <c r="L42" s="405">
        <v>25.9</v>
      </c>
      <c r="M42" s="240"/>
      <c r="N42" s="125">
        <f t="shared" si="3"/>
        <v>0</v>
      </c>
      <c r="O42" s="25">
        <f t="shared" si="4"/>
        <v>0</v>
      </c>
      <c r="P42" s="25">
        <f t="shared" si="5"/>
        <v>0</v>
      </c>
      <c r="Q42" s="26">
        <f t="shared" si="6"/>
        <v>0</v>
      </c>
      <c r="R42" s="27">
        <f t="shared" si="7"/>
        <v>0</v>
      </c>
      <c r="S42" s="28">
        <f t="shared" si="8"/>
        <v>0</v>
      </c>
    </row>
    <row r="43" spans="2:20" hidden="1">
      <c r="B43" s="501" t="s">
        <v>1073</v>
      </c>
      <c r="C43" s="107"/>
      <c r="D43" s="13"/>
      <c r="E43" s="13"/>
      <c r="F43" s="14"/>
      <c r="G43" s="8"/>
      <c r="H43" s="23">
        <f t="shared" si="1"/>
        <v>0</v>
      </c>
      <c r="I43" s="464">
        <f t="shared" si="2"/>
        <v>18.89</v>
      </c>
      <c r="J43" s="10"/>
      <c r="K43" s="12">
        <v>0.03</v>
      </c>
      <c r="L43" s="405">
        <v>18.89</v>
      </c>
      <c r="M43" s="240"/>
      <c r="N43" s="125">
        <f t="shared" si="3"/>
        <v>0</v>
      </c>
      <c r="O43" s="25">
        <f t="shared" si="4"/>
        <v>0</v>
      </c>
      <c r="P43" s="25">
        <f t="shared" si="5"/>
        <v>0</v>
      </c>
      <c r="Q43" s="26">
        <f t="shared" si="6"/>
        <v>0</v>
      </c>
      <c r="R43" s="27">
        <f t="shared" si="7"/>
        <v>0</v>
      </c>
      <c r="S43" s="28">
        <f t="shared" si="8"/>
        <v>0</v>
      </c>
    </row>
    <row r="44" spans="2:20" hidden="1">
      <c r="B44" s="501" t="s">
        <v>1074</v>
      </c>
      <c r="C44" s="107"/>
      <c r="D44" s="13"/>
      <c r="E44" s="13"/>
      <c r="F44" s="14"/>
      <c r="G44" s="8"/>
      <c r="H44" s="23">
        <f t="shared" si="1"/>
        <v>0</v>
      </c>
      <c r="I44" s="464">
        <f t="shared" si="2"/>
        <v>34.01</v>
      </c>
      <c r="J44" s="10"/>
      <c r="K44" s="12">
        <v>0.03</v>
      </c>
      <c r="L44" s="405">
        <v>34.01</v>
      </c>
      <c r="M44" s="240"/>
      <c r="N44" s="125">
        <f t="shared" si="3"/>
        <v>0</v>
      </c>
      <c r="O44" s="25">
        <f t="shared" si="4"/>
        <v>0</v>
      </c>
      <c r="P44" s="25">
        <f t="shared" si="5"/>
        <v>0</v>
      </c>
      <c r="Q44" s="26">
        <f t="shared" si="6"/>
        <v>0</v>
      </c>
      <c r="R44" s="27">
        <f t="shared" si="7"/>
        <v>0</v>
      </c>
      <c r="S44" s="28">
        <f t="shared" si="8"/>
        <v>0</v>
      </c>
      <c r="T44" s="437"/>
    </row>
    <row r="45" spans="2:20" hidden="1">
      <c r="B45" s="501" t="s">
        <v>364</v>
      </c>
      <c r="C45" s="107"/>
      <c r="D45" s="13"/>
      <c r="E45" s="13"/>
      <c r="F45" s="14"/>
      <c r="G45" s="8"/>
      <c r="H45" s="23">
        <f t="shared" si="1"/>
        <v>0</v>
      </c>
      <c r="I45" s="464">
        <f t="shared" si="2"/>
        <v>37.299999999999997</v>
      </c>
      <c r="J45" s="10"/>
      <c r="K45" s="12">
        <v>0.03</v>
      </c>
      <c r="L45" s="405">
        <v>37.299999999999997</v>
      </c>
      <c r="M45" s="240"/>
      <c r="N45" s="125">
        <f t="shared" si="3"/>
        <v>0</v>
      </c>
      <c r="O45" s="25">
        <f t="shared" si="4"/>
        <v>0</v>
      </c>
      <c r="P45" s="25">
        <f t="shared" si="5"/>
        <v>0</v>
      </c>
      <c r="Q45" s="26">
        <f t="shared" si="6"/>
        <v>0</v>
      </c>
      <c r="R45" s="27">
        <f t="shared" si="7"/>
        <v>0</v>
      </c>
      <c r="S45" s="28">
        <f t="shared" si="8"/>
        <v>0</v>
      </c>
    </row>
    <row r="46" spans="2:20" hidden="1">
      <c r="B46" s="501" t="s">
        <v>365</v>
      </c>
      <c r="C46" s="107"/>
      <c r="D46" s="13"/>
      <c r="E46" s="13"/>
      <c r="F46" s="14"/>
      <c r="G46" s="8"/>
      <c r="H46" s="23">
        <f t="shared" si="1"/>
        <v>0</v>
      </c>
      <c r="I46" s="464">
        <f t="shared" si="2"/>
        <v>109.11</v>
      </c>
      <c r="J46" s="10"/>
      <c r="K46" s="12">
        <v>0.03</v>
      </c>
      <c r="L46" s="405">
        <v>109.11</v>
      </c>
      <c r="M46" s="240"/>
      <c r="N46" s="125">
        <f t="shared" si="3"/>
        <v>0</v>
      </c>
      <c r="O46" s="25">
        <f t="shared" si="4"/>
        <v>0</v>
      </c>
      <c r="P46" s="25">
        <f t="shared" si="5"/>
        <v>0</v>
      </c>
      <c r="Q46" s="26">
        <f t="shared" si="6"/>
        <v>0</v>
      </c>
      <c r="R46" s="27">
        <f t="shared" si="7"/>
        <v>0</v>
      </c>
      <c r="S46" s="28">
        <f t="shared" si="8"/>
        <v>0</v>
      </c>
    </row>
    <row r="47" spans="2:20">
      <c r="B47" s="501" t="s">
        <v>366</v>
      </c>
      <c r="C47" s="107"/>
      <c r="D47" s="13"/>
      <c r="E47" s="13">
        <v>12</v>
      </c>
      <c r="F47" s="14">
        <v>12</v>
      </c>
      <c r="G47" s="8"/>
      <c r="H47" s="23">
        <f t="shared" si="1"/>
        <v>24</v>
      </c>
      <c r="I47" s="464">
        <f t="shared" si="2"/>
        <v>35.35</v>
      </c>
      <c r="J47" s="10"/>
      <c r="K47" s="12">
        <v>0.03</v>
      </c>
      <c r="L47" s="405">
        <v>35.35</v>
      </c>
      <c r="M47" s="240"/>
      <c r="N47" s="125">
        <f t="shared" si="3"/>
        <v>0</v>
      </c>
      <c r="O47" s="25">
        <f t="shared" si="4"/>
        <v>0</v>
      </c>
      <c r="P47" s="25">
        <f t="shared" si="5"/>
        <v>424.20000000000005</v>
      </c>
      <c r="Q47" s="26">
        <f t="shared" si="6"/>
        <v>424.20000000000005</v>
      </c>
      <c r="R47" s="27">
        <f t="shared" si="7"/>
        <v>0</v>
      </c>
      <c r="S47" s="28">
        <f t="shared" si="8"/>
        <v>848.40000000000009</v>
      </c>
    </row>
    <row r="48" spans="2:20" hidden="1">
      <c r="B48" s="501" t="s">
        <v>367</v>
      </c>
      <c r="C48" s="107"/>
      <c r="D48" s="13"/>
      <c r="E48" s="13"/>
      <c r="F48" s="14"/>
      <c r="G48" s="8"/>
      <c r="H48" s="23">
        <f t="shared" si="1"/>
        <v>0</v>
      </c>
      <c r="I48" s="464">
        <f t="shared" si="2"/>
        <v>88.4</v>
      </c>
      <c r="J48" s="10"/>
      <c r="K48" s="12">
        <v>0.03</v>
      </c>
      <c r="L48" s="405">
        <v>88.4</v>
      </c>
      <c r="M48" s="240"/>
      <c r="N48" s="125">
        <f t="shared" si="3"/>
        <v>0</v>
      </c>
      <c r="O48" s="25">
        <f t="shared" si="4"/>
        <v>0</v>
      </c>
      <c r="P48" s="25">
        <f t="shared" si="5"/>
        <v>0</v>
      </c>
      <c r="Q48" s="26">
        <f t="shared" si="6"/>
        <v>0</v>
      </c>
      <c r="R48" s="27">
        <f t="shared" si="7"/>
        <v>0</v>
      </c>
      <c r="S48" s="28">
        <f t="shared" si="8"/>
        <v>0</v>
      </c>
    </row>
    <row r="49" spans="2:19">
      <c r="B49" s="501" t="s">
        <v>368</v>
      </c>
      <c r="C49" s="107"/>
      <c r="D49" s="13"/>
      <c r="E49" s="13"/>
      <c r="F49" s="14">
        <v>24</v>
      </c>
      <c r="G49" s="8"/>
      <c r="H49" s="23">
        <f t="shared" si="1"/>
        <v>24</v>
      </c>
      <c r="I49" s="464">
        <f t="shared" si="2"/>
        <v>29.13</v>
      </c>
      <c r="J49" s="10"/>
      <c r="K49" s="12">
        <v>0.03</v>
      </c>
      <c r="L49" s="405">
        <v>29.13</v>
      </c>
      <c r="M49" s="240"/>
      <c r="N49" s="125">
        <f t="shared" si="3"/>
        <v>0</v>
      </c>
      <c r="O49" s="25">
        <f t="shared" si="4"/>
        <v>0</v>
      </c>
      <c r="P49" s="25">
        <f t="shared" si="5"/>
        <v>0</v>
      </c>
      <c r="Q49" s="26">
        <f t="shared" si="6"/>
        <v>699.12</v>
      </c>
      <c r="R49" s="27">
        <f t="shared" si="7"/>
        <v>0</v>
      </c>
      <c r="S49" s="28">
        <f t="shared" si="8"/>
        <v>699.12</v>
      </c>
    </row>
    <row r="50" spans="2:19">
      <c r="B50" s="58" t="s">
        <v>13</v>
      </c>
      <c r="C50" s="288">
        <f t="shared" ref="C50" si="9">N50</f>
        <v>10090.64</v>
      </c>
      <c r="D50" s="288">
        <f t="shared" ref="D50" si="10">O50</f>
        <v>0</v>
      </c>
      <c r="E50" s="288">
        <f t="shared" ref="E50" si="11">P50</f>
        <v>7571.8</v>
      </c>
      <c r="F50" s="288">
        <f t="shared" ref="F50" si="12">Q50</f>
        <v>3325.6800000000003</v>
      </c>
      <c r="G50" s="288">
        <f t="shared" ref="G50" si="13">R50</f>
        <v>4643.4000000000005</v>
      </c>
      <c r="H50" s="288">
        <f t="shared" ref="H50" si="14">S50</f>
        <v>25631.52</v>
      </c>
      <c r="N50" s="29">
        <f t="shared" ref="N50:S50" si="15">SUM(N6:N49)</f>
        <v>10090.64</v>
      </c>
      <c r="O50" s="29">
        <f t="shared" si="15"/>
        <v>0</v>
      </c>
      <c r="P50" s="29">
        <f t="shared" si="15"/>
        <v>7571.8</v>
      </c>
      <c r="Q50" s="29">
        <f t="shared" si="15"/>
        <v>3325.6800000000003</v>
      </c>
      <c r="R50" s="29">
        <f t="shared" si="15"/>
        <v>4643.4000000000005</v>
      </c>
      <c r="S50" s="29">
        <f t="shared" si="15"/>
        <v>25631.52</v>
      </c>
    </row>
    <row r="51" spans="2:19">
      <c r="B51" s="59" t="s">
        <v>46</v>
      </c>
    </row>
    <row r="52" spans="2:19" ht="16.5" thickBot="1">
      <c r="B52" s="2"/>
    </row>
    <row r="53" spans="2:19">
      <c r="B53" s="60" t="s">
        <v>47</v>
      </c>
    </row>
    <row r="54" spans="2:19">
      <c r="B54" s="61" t="s">
        <v>19</v>
      </c>
    </row>
    <row r="55" spans="2:19">
      <c r="B55" s="61" t="s">
        <v>17</v>
      </c>
    </row>
    <row r="56" spans="2:19" ht="16.5" thickBot="1">
      <c r="B56" s="62" t="s">
        <v>18</v>
      </c>
    </row>
    <row r="57" spans="2:19">
      <c r="B57" s="2"/>
    </row>
    <row r="58" spans="2:19">
      <c r="B58" s="30" t="s">
        <v>20</v>
      </c>
    </row>
    <row r="59" spans="2:19">
      <c r="B59" s="35"/>
    </row>
    <row r="60" spans="2:19">
      <c r="B60" s="35"/>
    </row>
    <row r="61" spans="2:19">
      <c r="B61" s="2"/>
      <c r="G61" s="5" t="str">
        <f>IF(B61&lt;&gt;"",SUM(C61:F61),"")</f>
        <v/>
      </c>
    </row>
    <row r="62" spans="2:19">
      <c r="G62" s="5" t="str">
        <f t="shared" ref="G62:G125" si="16">IF(B62&lt;&gt;"",SUM(C62:F62),"")</f>
        <v/>
      </c>
    </row>
    <row r="63" spans="2:19">
      <c r="G63" s="5" t="str">
        <f t="shared" si="16"/>
        <v/>
      </c>
    </row>
    <row r="64" spans="2:19">
      <c r="G64" s="5" t="str">
        <f t="shared" si="16"/>
        <v/>
      </c>
    </row>
    <row r="65" spans="7:7">
      <c r="G65" s="5" t="str">
        <f t="shared" si="16"/>
        <v/>
      </c>
    </row>
    <row r="66" spans="7:7">
      <c r="G66" s="5" t="str">
        <f t="shared" si="16"/>
        <v/>
      </c>
    </row>
    <row r="67" spans="7:7">
      <c r="G67" s="5" t="str">
        <f t="shared" si="16"/>
        <v/>
      </c>
    </row>
    <row r="68" spans="7:7">
      <c r="G68" s="5" t="str">
        <f t="shared" si="16"/>
        <v/>
      </c>
    </row>
    <row r="69" spans="7:7">
      <c r="G69" s="5" t="str">
        <f t="shared" si="16"/>
        <v/>
      </c>
    </row>
    <row r="70" spans="7:7">
      <c r="G70" s="5" t="str">
        <f t="shared" si="16"/>
        <v/>
      </c>
    </row>
    <row r="71" spans="7:7">
      <c r="G71" s="5" t="str">
        <f t="shared" si="16"/>
        <v/>
      </c>
    </row>
    <row r="72" spans="7:7">
      <c r="G72" s="5" t="str">
        <f t="shared" si="16"/>
        <v/>
      </c>
    </row>
    <row r="73" spans="7:7">
      <c r="G73" s="5" t="str">
        <f t="shared" si="16"/>
        <v/>
      </c>
    </row>
    <row r="74" spans="7:7">
      <c r="G74" s="5" t="str">
        <f t="shared" si="16"/>
        <v/>
      </c>
    </row>
    <row r="75" spans="7:7">
      <c r="G75" s="5" t="str">
        <f t="shared" si="16"/>
        <v/>
      </c>
    </row>
    <row r="76" spans="7:7">
      <c r="G76" s="5" t="str">
        <f t="shared" si="16"/>
        <v/>
      </c>
    </row>
    <row r="77" spans="7:7">
      <c r="G77" s="5" t="str">
        <f t="shared" si="16"/>
        <v/>
      </c>
    </row>
    <row r="78" spans="7:7">
      <c r="G78" s="5" t="str">
        <f t="shared" si="16"/>
        <v/>
      </c>
    </row>
    <row r="79" spans="7:7">
      <c r="G79" s="5" t="str">
        <f t="shared" si="16"/>
        <v/>
      </c>
    </row>
    <row r="80" spans="7:7">
      <c r="G80" s="5" t="str">
        <f t="shared" si="16"/>
        <v/>
      </c>
    </row>
    <row r="81" spans="7:7">
      <c r="G81" s="5" t="str">
        <f t="shared" si="16"/>
        <v/>
      </c>
    </row>
    <row r="82" spans="7:7">
      <c r="G82" s="5" t="str">
        <f t="shared" si="16"/>
        <v/>
      </c>
    </row>
    <row r="83" spans="7:7">
      <c r="G83" s="5" t="str">
        <f t="shared" si="16"/>
        <v/>
      </c>
    </row>
    <row r="84" spans="7:7">
      <c r="G84" s="5" t="str">
        <f t="shared" si="16"/>
        <v/>
      </c>
    </row>
    <row r="85" spans="7:7">
      <c r="G85" s="5" t="str">
        <f t="shared" si="16"/>
        <v/>
      </c>
    </row>
    <row r="86" spans="7:7">
      <c r="G86" s="5" t="str">
        <f t="shared" si="16"/>
        <v/>
      </c>
    </row>
    <row r="87" spans="7:7">
      <c r="G87" s="5" t="str">
        <f t="shared" si="16"/>
        <v/>
      </c>
    </row>
    <row r="88" spans="7:7">
      <c r="G88" s="5" t="str">
        <f t="shared" si="16"/>
        <v/>
      </c>
    </row>
    <row r="89" spans="7:7">
      <c r="G89" s="5" t="str">
        <f t="shared" si="16"/>
        <v/>
      </c>
    </row>
    <row r="90" spans="7:7">
      <c r="G90" s="5" t="str">
        <f t="shared" si="16"/>
        <v/>
      </c>
    </row>
    <row r="91" spans="7:7">
      <c r="G91" s="5" t="str">
        <f t="shared" si="16"/>
        <v/>
      </c>
    </row>
    <row r="92" spans="7:7">
      <c r="G92" s="5" t="str">
        <f t="shared" si="16"/>
        <v/>
      </c>
    </row>
    <row r="93" spans="7:7">
      <c r="G93" s="5" t="str">
        <f t="shared" si="16"/>
        <v/>
      </c>
    </row>
    <row r="94" spans="7:7">
      <c r="G94" s="5" t="str">
        <f t="shared" si="16"/>
        <v/>
      </c>
    </row>
    <row r="95" spans="7:7">
      <c r="G95" s="5" t="str">
        <f t="shared" si="16"/>
        <v/>
      </c>
    </row>
    <row r="96" spans="7:7">
      <c r="G96" s="5" t="str">
        <f t="shared" si="16"/>
        <v/>
      </c>
    </row>
    <row r="97" spans="7:7">
      <c r="G97" s="5" t="str">
        <f t="shared" si="16"/>
        <v/>
      </c>
    </row>
    <row r="98" spans="7:7">
      <c r="G98" s="5" t="str">
        <f t="shared" si="16"/>
        <v/>
      </c>
    </row>
    <row r="99" spans="7:7">
      <c r="G99" s="5" t="str">
        <f t="shared" si="16"/>
        <v/>
      </c>
    </row>
    <row r="100" spans="7:7">
      <c r="G100" s="5" t="str">
        <f t="shared" si="16"/>
        <v/>
      </c>
    </row>
    <row r="101" spans="7:7">
      <c r="G101" s="5" t="str">
        <f t="shared" si="16"/>
        <v/>
      </c>
    </row>
    <row r="102" spans="7:7">
      <c r="G102" s="5" t="str">
        <f t="shared" si="16"/>
        <v/>
      </c>
    </row>
    <row r="103" spans="7:7">
      <c r="G103" s="5" t="str">
        <f t="shared" si="16"/>
        <v/>
      </c>
    </row>
    <row r="104" spans="7:7">
      <c r="G104" s="5" t="str">
        <f t="shared" si="16"/>
        <v/>
      </c>
    </row>
    <row r="105" spans="7:7">
      <c r="G105" s="5" t="str">
        <f t="shared" si="16"/>
        <v/>
      </c>
    </row>
    <row r="106" spans="7:7">
      <c r="G106" s="5" t="str">
        <f t="shared" si="16"/>
        <v/>
      </c>
    </row>
    <row r="107" spans="7:7">
      <c r="G107" s="5" t="str">
        <f t="shared" si="16"/>
        <v/>
      </c>
    </row>
    <row r="108" spans="7:7">
      <c r="G108" s="5" t="str">
        <f t="shared" si="16"/>
        <v/>
      </c>
    </row>
    <row r="109" spans="7:7">
      <c r="G109" s="5" t="str">
        <f t="shared" si="16"/>
        <v/>
      </c>
    </row>
    <row r="110" spans="7:7">
      <c r="G110" s="5" t="str">
        <f t="shared" si="16"/>
        <v/>
      </c>
    </row>
    <row r="111" spans="7:7">
      <c r="G111" s="5" t="str">
        <f t="shared" si="16"/>
        <v/>
      </c>
    </row>
    <row r="112" spans="7:7">
      <c r="G112" s="5" t="str">
        <f t="shared" si="16"/>
        <v/>
      </c>
    </row>
    <row r="113" spans="7:7">
      <c r="G113" s="5" t="str">
        <f t="shared" si="16"/>
        <v/>
      </c>
    </row>
    <row r="114" spans="7:7">
      <c r="G114" s="5" t="str">
        <f t="shared" si="16"/>
        <v/>
      </c>
    </row>
    <row r="115" spans="7:7">
      <c r="G115" s="5" t="str">
        <f t="shared" si="16"/>
        <v/>
      </c>
    </row>
    <row r="116" spans="7:7">
      <c r="G116" s="5" t="str">
        <f t="shared" si="16"/>
        <v/>
      </c>
    </row>
    <row r="117" spans="7:7">
      <c r="G117" s="5" t="str">
        <f t="shared" si="16"/>
        <v/>
      </c>
    </row>
    <row r="118" spans="7:7">
      <c r="G118" s="5" t="str">
        <f t="shared" si="16"/>
        <v/>
      </c>
    </row>
    <row r="119" spans="7:7">
      <c r="G119" s="5" t="str">
        <f t="shared" si="16"/>
        <v/>
      </c>
    </row>
    <row r="120" spans="7:7">
      <c r="G120" s="5" t="str">
        <f t="shared" si="16"/>
        <v/>
      </c>
    </row>
    <row r="121" spans="7:7">
      <c r="G121" s="5" t="str">
        <f t="shared" si="16"/>
        <v/>
      </c>
    </row>
    <row r="122" spans="7:7">
      <c r="G122" s="5" t="str">
        <f t="shared" si="16"/>
        <v/>
      </c>
    </row>
    <row r="123" spans="7:7">
      <c r="G123" s="5" t="str">
        <f t="shared" si="16"/>
        <v/>
      </c>
    </row>
    <row r="124" spans="7:7">
      <c r="G124" s="5" t="str">
        <f t="shared" si="16"/>
        <v/>
      </c>
    </row>
    <row r="125" spans="7:7">
      <c r="G125" s="5" t="str">
        <f t="shared" si="16"/>
        <v/>
      </c>
    </row>
    <row r="126" spans="7:7">
      <c r="G126" s="5" t="str">
        <f t="shared" ref="G126:G189" si="17">IF(B126&lt;&gt;"",SUM(C126:F126),"")</f>
        <v/>
      </c>
    </row>
    <row r="127" spans="7:7">
      <c r="G127" s="5" t="str">
        <f t="shared" si="17"/>
        <v/>
      </c>
    </row>
    <row r="128" spans="7:7">
      <c r="G128" s="5" t="str">
        <f t="shared" si="17"/>
        <v/>
      </c>
    </row>
    <row r="129" spans="7:7">
      <c r="G129" s="5" t="str">
        <f t="shared" si="17"/>
        <v/>
      </c>
    </row>
    <row r="130" spans="7:7">
      <c r="G130" s="5" t="str">
        <f t="shared" si="17"/>
        <v/>
      </c>
    </row>
    <row r="131" spans="7:7">
      <c r="G131" s="5" t="str">
        <f t="shared" si="17"/>
        <v/>
      </c>
    </row>
    <row r="132" spans="7:7">
      <c r="G132" s="5" t="str">
        <f t="shared" si="17"/>
        <v/>
      </c>
    </row>
    <row r="133" spans="7:7">
      <c r="G133" s="5" t="str">
        <f t="shared" si="17"/>
        <v/>
      </c>
    </row>
    <row r="134" spans="7:7">
      <c r="G134" s="5" t="str">
        <f t="shared" si="17"/>
        <v/>
      </c>
    </row>
    <row r="135" spans="7:7">
      <c r="G135" s="5" t="str">
        <f t="shared" si="17"/>
        <v/>
      </c>
    </row>
    <row r="136" spans="7:7">
      <c r="G136" s="5" t="str">
        <f t="shared" si="17"/>
        <v/>
      </c>
    </row>
    <row r="137" spans="7:7">
      <c r="G137" s="5" t="str">
        <f t="shared" si="17"/>
        <v/>
      </c>
    </row>
    <row r="138" spans="7:7">
      <c r="G138" s="5" t="str">
        <f t="shared" si="17"/>
        <v/>
      </c>
    </row>
    <row r="139" spans="7:7">
      <c r="G139" s="5" t="str">
        <f t="shared" si="17"/>
        <v/>
      </c>
    </row>
    <row r="140" spans="7:7">
      <c r="G140" s="5" t="str">
        <f t="shared" si="17"/>
        <v/>
      </c>
    </row>
    <row r="141" spans="7:7">
      <c r="G141" s="5" t="str">
        <f t="shared" si="17"/>
        <v/>
      </c>
    </row>
    <row r="142" spans="7:7">
      <c r="G142" s="5" t="str">
        <f t="shared" si="17"/>
        <v/>
      </c>
    </row>
    <row r="143" spans="7:7">
      <c r="G143" s="5" t="str">
        <f t="shared" si="17"/>
        <v/>
      </c>
    </row>
    <row r="144" spans="7:7">
      <c r="G144" s="5" t="str">
        <f t="shared" si="17"/>
        <v/>
      </c>
    </row>
    <row r="145" spans="7:7">
      <c r="G145" s="5" t="str">
        <f t="shared" si="17"/>
        <v/>
      </c>
    </row>
    <row r="146" spans="7:7">
      <c r="G146" s="5" t="str">
        <f t="shared" si="17"/>
        <v/>
      </c>
    </row>
    <row r="147" spans="7:7">
      <c r="G147" s="5" t="str">
        <f t="shared" si="17"/>
        <v/>
      </c>
    </row>
    <row r="148" spans="7:7">
      <c r="G148" s="5" t="str">
        <f t="shared" si="17"/>
        <v/>
      </c>
    </row>
    <row r="149" spans="7:7">
      <c r="G149" s="5" t="str">
        <f t="shared" si="17"/>
        <v/>
      </c>
    </row>
    <row r="150" spans="7:7">
      <c r="G150" s="5" t="str">
        <f t="shared" si="17"/>
        <v/>
      </c>
    </row>
    <row r="151" spans="7:7">
      <c r="G151" s="5" t="str">
        <f t="shared" si="17"/>
        <v/>
      </c>
    </row>
    <row r="152" spans="7:7">
      <c r="G152" s="5" t="str">
        <f t="shared" si="17"/>
        <v/>
      </c>
    </row>
    <row r="153" spans="7:7">
      <c r="G153" s="5" t="str">
        <f t="shared" si="17"/>
        <v/>
      </c>
    </row>
    <row r="154" spans="7:7">
      <c r="G154" s="5" t="str">
        <f t="shared" si="17"/>
        <v/>
      </c>
    </row>
    <row r="155" spans="7:7">
      <c r="G155" s="5" t="str">
        <f t="shared" si="17"/>
        <v/>
      </c>
    </row>
    <row r="156" spans="7:7">
      <c r="G156" s="5" t="str">
        <f t="shared" si="17"/>
        <v/>
      </c>
    </row>
    <row r="157" spans="7:7">
      <c r="G157" s="5" t="str">
        <f t="shared" si="17"/>
        <v/>
      </c>
    </row>
    <row r="158" spans="7:7">
      <c r="G158" s="5" t="str">
        <f t="shared" si="17"/>
        <v/>
      </c>
    </row>
    <row r="159" spans="7:7">
      <c r="G159" s="5" t="str">
        <f t="shared" si="17"/>
        <v/>
      </c>
    </row>
    <row r="160" spans="7:7">
      <c r="G160" s="5" t="str">
        <f t="shared" si="17"/>
        <v/>
      </c>
    </row>
    <row r="161" spans="7:7">
      <c r="G161" s="5" t="str">
        <f t="shared" si="17"/>
        <v/>
      </c>
    </row>
    <row r="162" spans="7:7">
      <c r="G162" s="5" t="str">
        <f t="shared" si="17"/>
        <v/>
      </c>
    </row>
    <row r="163" spans="7:7">
      <c r="G163" s="5" t="str">
        <f t="shared" si="17"/>
        <v/>
      </c>
    </row>
    <row r="164" spans="7:7">
      <c r="G164" s="5" t="str">
        <f t="shared" si="17"/>
        <v/>
      </c>
    </row>
    <row r="165" spans="7:7">
      <c r="G165" s="5" t="str">
        <f t="shared" si="17"/>
        <v/>
      </c>
    </row>
    <row r="166" spans="7:7">
      <c r="G166" s="5" t="str">
        <f t="shared" si="17"/>
        <v/>
      </c>
    </row>
    <row r="167" spans="7:7">
      <c r="G167" s="5" t="str">
        <f t="shared" si="17"/>
        <v/>
      </c>
    </row>
    <row r="168" spans="7:7">
      <c r="G168" s="5" t="str">
        <f t="shared" si="17"/>
        <v/>
      </c>
    </row>
    <row r="169" spans="7:7">
      <c r="G169" s="5" t="str">
        <f t="shared" si="17"/>
        <v/>
      </c>
    </row>
    <row r="170" spans="7:7">
      <c r="G170" s="5" t="str">
        <f t="shared" si="17"/>
        <v/>
      </c>
    </row>
    <row r="171" spans="7:7">
      <c r="G171" s="5" t="str">
        <f t="shared" si="17"/>
        <v/>
      </c>
    </row>
    <row r="172" spans="7:7">
      <c r="G172" s="5" t="str">
        <f t="shared" si="17"/>
        <v/>
      </c>
    </row>
    <row r="173" spans="7:7">
      <c r="G173" s="5" t="str">
        <f t="shared" si="17"/>
        <v/>
      </c>
    </row>
    <row r="174" spans="7:7">
      <c r="G174" s="5" t="str">
        <f t="shared" si="17"/>
        <v/>
      </c>
    </row>
    <row r="175" spans="7:7">
      <c r="G175" s="5" t="str">
        <f t="shared" si="17"/>
        <v/>
      </c>
    </row>
    <row r="176" spans="7:7">
      <c r="G176" s="5" t="str">
        <f t="shared" si="17"/>
        <v/>
      </c>
    </row>
    <row r="177" spans="7:7">
      <c r="G177" s="5" t="str">
        <f t="shared" si="17"/>
        <v/>
      </c>
    </row>
    <row r="178" spans="7:7">
      <c r="G178" s="5" t="str">
        <f t="shared" si="17"/>
        <v/>
      </c>
    </row>
    <row r="179" spans="7:7">
      <c r="G179" s="5" t="str">
        <f t="shared" si="17"/>
        <v/>
      </c>
    </row>
    <row r="180" spans="7:7">
      <c r="G180" s="5" t="str">
        <f t="shared" si="17"/>
        <v/>
      </c>
    </row>
    <row r="181" spans="7:7">
      <c r="G181" s="5" t="str">
        <f t="shared" si="17"/>
        <v/>
      </c>
    </row>
    <row r="182" spans="7:7">
      <c r="G182" s="5" t="str">
        <f t="shared" si="17"/>
        <v/>
      </c>
    </row>
    <row r="183" spans="7:7">
      <c r="G183" s="5" t="str">
        <f t="shared" si="17"/>
        <v/>
      </c>
    </row>
    <row r="184" spans="7:7">
      <c r="G184" s="5" t="str">
        <f t="shared" si="17"/>
        <v/>
      </c>
    </row>
    <row r="185" spans="7:7">
      <c r="G185" s="5" t="str">
        <f t="shared" si="17"/>
        <v/>
      </c>
    </row>
    <row r="186" spans="7:7">
      <c r="G186" s="5" t="str">
        <f t="shared" si="17"/>
        <v/>
      </c>
    </row>
    <row r="187" spans="7:7">
      <c r="G187" s="5" t="str">
        <f t="shared" si="17"/>
        <v/>
      </c>
    </row>
    <row r="188" spans="7:7">
      <c r="G188" s="5" t="str">
        <f t="shared" si="17"/>
        <v/>
      </c>
    </row>
    <row r="189" spans="7:7">
      <c r="G189" s="5" t="str">
        <f t="shared" si="17"/>
        <v/>
      </c>
    </row>
    <row r="190" spans="7:7">
      <c r="G190" s="5" t="str">
        <f t="shared" ref="G190:G253" si="18">IF(B190&lt;&gt;"",SUM(C190:F190),"")</f>
        <v/>
      </c>
    </row>
    <row r="191" spans="7:7">
      <c r="G191" s="5" t="str">
        <f t="shared" si="18"/>
        <v/>
      </c>
    </row>
    <row r="192" spans="7:7">
      <c r="G192" s="5" t="str">
        <f t="shared" si="18"/>
        <v/>
      </c>
    </row>
    <row r="193" spans="7:7">
      <c r="G193" s="5" t="str">
        <f t="shared" si="18"/>
        <v/>
      </c>
    </row>
    <row r="194" spans="7:7">
      <c r="G194" s="5" t="str">
        <f t="shared" si="18"/>
        <v/>
      </c>
    </row>
    <row r="195" spans="7:7">
      <c r="G195" s="5" t="str">
        <f t="shared" si="18"/>
        <v/>
      </c>
    </row>
    <row r="196" spans="7:7">
      <c r="G196" s="5" t="str">
        <f t="shared" si="18"/>
        <v/>
      </c>
    </row>
    <row r="197" spans="7:7">
      <c r="G197" s="5" t="str">
        <f t="shared" si="18"/>
        <v/>
      </c>
    </row>
    <row r="198" spans="7:7">
      <c r="G198" s="5" t="str">
        <f t="shared" si="18"/>
        <v/>
      </c>
    </row>
    <row r="199" spans="7:7">
      <c r="G199" s="5" t="str">
        <f t="shared" si="18"/>
        <v/>
      </c>
    </row>
    <row r="200" spans="7:7">
      <c r="G200" s="5" t="str">
        <f t="shared" si="18"/>
        <v/>
      </c>
    </row>
    <row r="201" spans="7:7">
      <c r="G201" s="5" t="str">
        <f t="shared" si="18"/>
        <v/>
      </c>
    </row>
    <row r="202" spans="7:7">
      <c r="G202" s="5" t="str">
        <f t="shared" si="18"/>
        <v/>
      </c>
    </row>
    <row r="203" spans="7:7">
      <c r="G203" s="5" t="str">
        <f t="shared" si="18"/>
        <v/>
      </c>
    </row>
    <row r="204" spans="7:7">
      <c r="G204" s="5" t="str">
        <f t="shared" si="18"/>
        <v/>
      </c>
    </row>
    <row r="205" spans="7:7">
      <c r="G205" s="5" t="str">
        <f t="shared" si="18"/>
        <v/>
      </c>
    </row>
    <row r="206" spans="7:7">
      <c r="G206" s="5" t="str">
        <f t="shared" si="18"/>
        <v/>
      </c>
    </row>
    <row r="207" spans="7:7">
      <c r="G207" s="5" t="str">
        <f t="shared" si="18"/>
        <v/>
      </c>
    </row>
    <row r="208" spans="7:7">
      <c r="G208" s="5" t="str">
        <f t="shared" si="18"/>
        <v/>
      </c>
    </row>
    <row r="209" spans="7:7">
      <c r="G209" s="5" t="str">
        <f t="shared" si="18"/>
        <v/>
      </c>
    </row>
    <row r="210" spans="7:7">
      <c r="G210" s="5" t="str">
        <f t="shared" si="18"/>
        <v/>
      </c>
    </row>
    <row r="211" spans="7:7">
      <c r="G211" s="5" t="str">
        <f t="shared" si="18"/>
        <v/>
      </c>
    </row>
    <row r="212" spans="7:7">
      <c r="G212" s="5" t="str">
        <f t="shared" si="18"/>
        <v/>
      </c>
    </row>
    <row r="213" spans="7:7">
      <c r="G213" s="5" t="str">
        <f t="shared" si="18"/>
        <v/>
      </c>
    </row>
    <row r="214" spans="7:7">
      <c r="G214" s="5" t="str">
        <f t="shared" si="18"/>
        <v/>
      </c>
    </row>
    <row r="215" spans="7:7">
      <c r="G215" s="5" t="str">
        <f t="shared" si="18"/>
        <v/>
      </c>
    </row>
    <row r="216" spans="7:7">
      <c r="G216" s="5" t="str">
        <f t="shared" si="18"/>
        <v/>
      </c>
    </row>
    <row r="217" spans="7:7">
      <c r="G217" s="5" t="str">
        <f t="shared" si="18"/>
        <v/>
      </c>
    </row>
    <row r="218" spans="7:7">
      <c r="G218" s="5" t="str">
        <f t="shared" si="18"/>
        <v/>
      </c>
    </row>
    <row r="219" spans="7:7">
      <c r="G219" s="5" t="str">
        <f t="shared" si="18"/>
        <v/>
      </c>
    </row>
    <row r="220" spans="7:7">
      <c r="G220" s="5" t="str">
        <f t="shared" si="18"/>
        <v/>
      </c>
    </row>
    <row r="221" spans="7:7">
      <c r="G221" s="5" t="str">
        <f t="shared" si="18"/>
        <v/>
      </c>
    </row>
    <row r="222" spans="7:7">
      <c r="G222" s="5" t="str">
        <f t="shared" si="18"/>
        <v/>
      </c>
    </row>
    <row r="223" spans="7:7">
      <c r="G223" s="5" t="str">
        <f t="shared" si="18"/>
        <v/>
      </c>
    </row>
    <row r="224" spans="7:7">
      <c r="G224" s="5" t="str">
        <f t="shared" si="18"/>
        <v/>
      </c>
    </row>
    <row r="225" spans="7:7">
      <c r="G225" s="5" t="str">
        <f t="shared" si="18"/>
        <v/>
      </c>
    </row>
    <row r="226" spans="7:7">
      <c r="G226" s="5" t="str">
        <f t="shared" si="18"/>
        <v/>
      </c>
    </row>
    <row r="227" spans="7:7">
      <c r="G227" s="5" t="str">
        <f t="shared" si="18"/>
        <v/>
      </c>
    </row>
    <row r="228" spans="7:7">
      <c r="G228" s="5" t="str">
        <f t="shared" si="18"/>
        <v/>
      </c>
    </row>
    <row r="229" spans="7:7">
      <c r="G229" s="5" t="str">
        <f t="shared" si="18"/>
        <v/>
      </c>
    </row>
    <row r="230" spans="7:7">
      <c r="G230" s="5" t="str">
        <f t="shared" si="18"/>
        <v/>
      </c>
    </row>
    <row r="231" spans="7:7">
      <c r="G231" s="5" t="str">
        <f t="shared" si="18"/>
        <v/>
      </c>
    </row>
    <row r="232" spans="7:7">
      <c r="G232" s="5" t="str">
        <f t="shared" si="18"/>
        <v/>
      </c>
    </row>
    <row r="233" spans="7:7">
      <c r="G233" s="5" t="str">
        <f t="shared" si="18"/>
        <v/>
      </c>
    </row>
    <row r="234" spans="7:7">
      <c r="G234" s="5" t="str">
        <f t="shared" si="18"/>
        <v/>
      </c>
    </row>
    <row r="235" spans="7:7">
      <c r="G235" s="5" t="str">
        <f t="shared" si="18"/>
        <v/>
      </c>
    </row>
    <row r="236" spans="7:7">
      <c r="G236" s="5" t="str">
        <f t="shared" si="18"/>
        <v/>
      </c>
    </row>
    <row r="237" spans="7:7">
      <c r="G237" s="5" t="str">
        <f t="shared" si="18"/>
        <v/>
      </c>
    </row>
    <row r="238" spans="7:7">
      <c r="G238" s="5" t="str">
        <f t="shared" si="18"/>
        <v/>
      </c>
    </row>
    <row r="239" spans="7:7">
      <c r="G239" s="5" t="str">
        <f t="shared" si="18"/>
        <v/>
      </c>
    </row>
    <row r="240" spans="7:7">
      <c r="G240" s="5" t="str">
        <f t="shared" si="18"/>
        <v/>
      </c>
    </row>
    <row r="241" spans="7:7">
      <c r="G241" s="5" t="str">
        <f t="shared" si="18"/>
        <v/>
      </c>
    </row>
    <row r="242" spans="7:7">
      <c r="G242" s="5" t="str">
        <f t="shared" si="18"/>
        <v/>
      </c>
    </row>
    <row r="243" spans="7:7">
      <c r="G243" s="5" t="str">
        <f t="shared" si="18"/>
        <v/>
      </c>
    </row>
    <row r="244" spans="7:7">
      <c r="G244" s="5" t="str">
        <f t="shared" si="18"/>
        <v/>
      </c>
    </row>
    <row r="245" spans="7:7">
      <c r="G245" s="5" t="str">
        <f t="shared" si="18"/>
        <v/>
      </c>
    </row>
    <row r="246" spans="7:7">
      <c r="G246" s="5" t="str">
        <f t="shared" si="18"/>
        <v/>
      </c>
    </row>
    <row r="247" spans="7:7">
      <c r="G247" s="5" t="str">
        <f t="shared" si="18"/>
        <v/>
      </c>
    </row>
    <row r="248" spans="7:7">
      <c r="G248" s="5" t="str">
        <f t="shared" si="18"/>
        <v/>
      </c>
    </row>
    <row r="249" spans="7:7">
      <c r="G249" s="5" t="str">
        <f t="shared" si="18"/>
        <v/>
      </c>
    </row>
    <row r="250" spans="7:7">
      <c r="G250" s="5" t="str">
        <f t="shared" si="18"/>
        <v/>
      </c>
    </row>
    <row r="251" spans="7:7">
      <c r="G251" s="5" t="str">
        <f t="shared" si="18"/>
        <v/>
      </c>
    </row>
    <row r="252" spans="7:7">
      <c r="G252" s="5" t="str">
        <f t="shared" si="18"/>
        <v/>
      </c>
    </row>
    <row r="253" spans="7:7">
      <c r="G253" s="5" t="str">
        <f t="shared" si="18"/>
        <v/>
      </c>
    </row>
    <row r="254" spans="7:7">
      <c r="G254" s="5" t="str">
        <f t="shared" ref="G254:G317" si="19">IF(B254&lt;&gt;"",SUM(C254:F254),"")</f>
        <v/>
      </c>
    </row>
    <row r="255" spans="7:7">
      <c r="G255" s="5" t="str">
        <f t="shared" si="19"/>
        <v/>
      </c>
    </row>
    <row r="256" spans="7:7">
      <c r="G256" s="5" t="str">
        <f t="shared" si="19"/>
        <v/>
      </c>
    </row>
    <row r="257" spans="7:7">
      <c r="G257" s="5" t="str">
        <f t="shared" si="19"/>
        <v/>
      </c>
    </row>
    <row r="258" spans="7:7">
      <c r="G258" s="5" t="str">
        <f t="shared" si="19"/>
        <v/>
      </c>
    </row>
    <row r="259" spans="7:7">
      <c r="G259" s="5" t="str">
        <f t="shared" si="19"/>
        <v/>
      </c>
    </row>
    <row r="260" spans="7:7">
      <c r="G260" s="5" t="str">
        <f t="shared" si="19"/>
        <v/>
      </c>
    </row>
    <row r="261" spans="7:7">
      <c r="G261" s="5" t="str">
        <f t="shared" si="19"/>
        <v/>
      </c>
    </row>
    <row r="262" spans="7:7">
      <c r="G262" s="5" t="str">
        <f t="shared" si="19"/>
        <v/>
      </c>
    </row>
    <row r="263" spans="7:7">
      <c r="G263" s="5" t="str">
        <f t="shared" si="19"/>
        <v/>
      </c>
    </row>
    <row r="264" spans="7:7">
      <c r="G264" s="5" t="str">
        <f t="shared" si="19"/>
        <v/>
      </c>
    </row>
    <row r="265" spans="7:7">
      <c r="G265" s="5" t="str">
        <f t="shared" si="19"/>
        <v/>
      </c>
    </row>
    <row r="266" spans="7:7">
      <c r="G266" s="5" t="str">
        <f t="shared" si="19"/>
        <v/>
      </c>
    </row>
    <row r="267" spans="7:7">
      <c r="G267" s="5" t="str">
        <f t="shared" si="19"/>
        <v/>
      </c>
    </row>
    <row r="268" spans="7:7">
      <c r="G268" s="5" t="str">
        <f t="shared" si="19"/>
        <v/>
      </c>
    </row>
    <row r="269" spans="7:7">
      <c r="G269" s="5" t="str">
        <f t="shared" si="19"/>
        <v/>
      </c>
    </row>
    <row r="270" spans="7:7">
      <c r="G270" s="5" t="str">
        <f t="shared" si="19"/>
        <v/>
      </c>
    </row>
    <row r="271" spans="7:7">
      <c r="G271" s="5" t="str">
        <f t="shared" si="19"/>
        <v/>
      </c>
    </row>
    <row r="272" spans="7:7">
      <c r="G272" s="5" t="str">
        <f t="shared" si="19"/>
        <v/>
      </c>
    </row>
    <row r="273" spans="7:7">
      <c r="G273" s="5" t="str">
        <f t="shared" si="19"/>
        <v/>
      </c>
    </row>
    <row r="274" spans="7:7">
      <c r="G274" s="5" t="str">
        <f t="shared" si="19"/>
        <v/>
      </c>
    </row>
    <row r="275" spans="7:7">
      <c r="G275" s="5" t="str">
        <f t="shared" si="19"/>
        <v/>
      </c>
    </row>
    <row r="276" spans="7:7">
      <c r="G276" s="5" t="str">
        <f t="shared" si="19"/>
        <v/>
      </c>
    </row>
    <row r="277" spans="7:7">
      <c r="G277" s="5" t="str">
        <f t="shared" si="19"/>
        <v/>
      </c>
    </row>
    <row r="278" spans="7:7">
      <c r="G278" s="5" t="str">
        <f t="shared" si="19"/>
        <v/>
      </c>
    </row>
    <row r="279" spans="7:7">
      <c r="G279" s="5" t="str">
        <f t="shared" si="19"/>
        <v/>
      </c>
    </row>
    <row r="280" spans="7:7">
      <c r="G280" s="5" t="str">
        <f t="shared" si="19"/>
        <v/>
      </c>
    </row>
    <row r="281" spans="7:7">
      <c r="G281" s="5" t="str">
        <f t="shared" si="19"/>
        <v/>
      </c>
    </row>
    <row r="282" spans="7:7">
      <c r="G282" s="5" t="str">
        <f t="shared" si="19"/>
        <v/>
      </c>
    </row>
    <row r="283" spans="7:7">
      <c r="G283" s="5" t="str">
        <f t="shared" si="19"/>
        <v/>
      </c>
    </row>
    <row r="284" spans="7:7">
      <c r="G284" s="5" t="str">
        <f t="shared" si="19"/>
        <v/>
      </c>
    </row>
    <row r="285" spans="7:7">
      <c r="G285" s="5" t="str">
        <f t="shared" si="19"/>
        <v/>
      </c>
    </row>
    <row r="286" spans="7:7">
      <c r="G286" s="5" t="str">
        <f t="shared" si="19"/>
        <v/>
      </c>
    </row>
    <row r="287" spans="7:7">
      <c r="G287" s="5" t="str">
        <f t="shared" si="19"/>
        <v/>
      </c>
    </row>
    <row r="288" spans="7:7">
      <c r="G288" s="5" t="str">
        <f t="shared" si="19"/>
        <v/>
      </c>
    </row>
    <row r="289" spans="7:7">
      <c r="G289" s="5" t="str">
        <f t="shared" si="19"/>
        <v/>
      </c>
    </row>
    <row r="290" spans="7:7">
      <c r="G290" s="5" t="str">
        <f t="shared" si="19"/>
        <v/>
      </c>
    </row>
    <row r="291" spans="7:7">
      <c r="G291" s="5" t="str">
        <f t="shared" si="19"/>
        <v/>
      </c>
    </row>
    <row r="292" spans="7:7">
      <c r="G292" s="5" t="str">
        <f t="shared" si="19"/>
        <v/>
      </c>
    </row>
    <row r="293" spans="7:7">
      <c r="G293" s="5" t="str">
        <f t="shared" si="19"/>
        <v/>
      </c>
    </row>
    <row r="294" spans="7:7">
      <c r="G294" s="5" t="str">
        <f t="shared" si="19"/>
        <v/>
      </c>
    </row>
    <row r="295" spans="7:7">
      <c r="G295" s="5" t="str">
        <f t="shared" si="19"/>
        <v/>
      </c>
    </row>
    <row r="296" spans="7:7">
      <c r="G296" s="5" t="str">
        <f t="shared" si="19"/>
        <v/>
      </c>
    </row>
    <row r="297" spans="7:7">
      <c r="G297" s="5" t="str">
        <f t="shared" si="19"/>
        <v/>
      </c>
    </row>
    <row r="298" spans="7:7">
      <c r="G298" s="5" t="str">
        <f t="shared" si="19"/>
        <v/>
      </c>
    </row>
    <row r="299" spans="7:7">
      <c r="G299" s="5" t="str">
        <f t="shared" si="19"/>
        <v/>
      </c>
    </row>
    <row r="300" spans="7:7">
      <c r="G300" s="5" t="str">
        <f t="shared" si="19"/>
        <v/>
      </c>
    </row>
    <row r="301" spans="7:7">
      <c r="G301" s="5" t="str">
        <f t="shared" si="19"/>
        <v/>
      </c>
    </row>
    <row r="302" spans="7:7">
      <c r="G302" s="5" t="str">
        <f t="shared" si="19"/>
        <v/>
      </c>
    </row>
    <row r="303" spans="7:7">
      <c r="G303" s="5" t="str">
        <f t="shared" si="19"/>
        <v/>
      </c>
    </row>
    <row r="304" spans="7:7">
      <c r="G304" s="5" t="str">
        <f t="shared" si="19"/>
        <v/>
      </c>
    </row>
    <row r="305" spans="7:7">
      <c r="G305" s="5" t="str">
        <f t="shared" si="19"/>
        <v/>
      </c>
    </row>
    <row r="306" spans="7:7">
      <c r="G306" s="5" t="str">
        <f t="shared" si="19"/>
        <v/>
      </c>
    </row>
    <row r="307" spans="7:7">
      <c r="G307" s="5" t="str">
        <f t="shared" si="19"/>
        <v/>
      </c>
    </row>
    <row r="308" spans="7:7">
      <c r="G308" s="5" t="str">
        <f t="shared" si="19"/>
        <v/>
      </c>
    </row>
    <row r="309" spans="7:7">
      <c r="G309" s="5" t="str">
        <f t="shared" si="19"/>
        <v/>
      </c>
    </row>
    <row r="310" spans="7:7">
      <c r="G310" s="5" t="str">
        <f t="shared" si="19"/>
        <v/>
      </c>
    </row>
    <row r="311" spans="7:7">
      <c r="G311" s="5" t="str">
        <f t="shared" si="19"/>
        <v/>
      </c>
    </row>
    <row r="312" spans="7:7">
      <c r="G312" s="5" t="str">
        <f t="shared" si="19"/>
        <v/>
      </c>
    </row>
    <row r="313" spans="7:7">
      <c r="G313" s="5" t="str">
        <f t="shared" si="19"/>
        <v/>
      </c>
    </row>
    <row r="314" spans="7:7">
      <c r="G314" s="5" t="str">
        <f t="shared" si="19"/>
        <v/>
      </c>
    </row>
    <row r="315" spans="7:7">
      <c r="G315" s="5" t="str">
        <f t="shared" si="19"/>
        <v/>
      </c>
    </row>
    <row r="316" spans="7:7">
      <c r="G316" s="5" t="str">
        <f t="shared" si="19"/>
        <v/>
      </c>
    </row>
    <row r="317" spans="7:7">
      <c r="G317" s="5" t="str">
        <f t="shared" si="19"/>
        <v/>
      </c>
    </row>
    <row r="318" spans="7:7">
      <c r="G318" s="5" t="str">
        <f t="shared" ref="G318:G381" si="20">IF(B318&lt;&gt;"",SUM(C318:F318),"")</f>
        <v/>
      </c>
    </row>
    <row r="319" spans="7:7">
      <c r="G319" s="5" t="str">
        <f t="shared" si="20"/>
        <v/>
      </c>
    </row>
    <row r="320" spans="7:7">
      <c r="G320" s="5" t="str">
        <f t="shared" si="20"/>
        <v/>
      </c>
    </row>
    <row r="321" spans="7:7">
      <c r="G321" s="5" t="str">
        <f t="shared" si="20"/>
        <v/>
      </c>
    </row>
    <row r="322" spans="7:7">
      <c r="G322" s="5" t="str">
        <f t="shared" si="20"/>
        <v/>
      </c>
    </row>
    <row r="323" spans="7:7">
      <c r="G323" s="5" t="str">
        <f t="shared" si="20"/>
        <v/>
      </c>
    </row>
    <row r="324" spans="7:7">
      <c r="G324" s="5" t="str">
        <f t="shared" si="20"/>
        <v/>
      </c>
    </row>
    <row r="325" spans="7:7">
      <c r="G325" s="5" t="str">
        <f t="shared" si="20"/>
        <v/>
      </c>
    </row>
    <row r="326" spans="7:7">
      <c r="G326" s="5" t="str">
        <f t="shared" si="20"/>
        <v/>
      </c>
    </row>
    <row r="327" spans="7:7">
      <c r="G327" s="5" t="str">
        <f t="shared" si="20"/>
        <v/>
      </c>
    </row>
    <row r="328" spans="7:7">
      <c r="G328" s="5" t="str">
        <f t="shared" si="20"/>
        <v/>
      </c>
    </row>
    <row r="329" spans="7:7">
      <c r="G329" s="5" t="str">
        <f t="shared" si="20"/>
        <v/>
      </c>
    </row>
    <row r="330" spans="7:7">
      <c r="G330" s="5" t="str">
        <f t="shared" si="20"/>
        <v/>
      </c>
    </row>
    <row r="331" spans="7:7">
      <c r="G331" s="5" t="str">
        <f t="shared" si="20"/>
        <v/>
      </c>
    </row>
    <row r="332" spans="7:7">
      <c r="G332" s="5" t="str">
        <f t="shared" si="20"/>
        <v/>
      </c>
    </row>
    <row r="333" spans="7:7">
      <c r="G333" s="5" t="str">
        <f t="shared" si="20"/>
        <v/>
      </c>
    </row>
    <row r="334" spans="7:7">
      <c r="G334" s="5" t="str">
        <f t="shared" si="20"/>
        <v/>
      </c>
    </row>
    <row r="335" spans="7:7">
      <c r="G335" s="5" t="str">
        <f t="shared" si="20"/>
        <v/>
      </c>
    </row>
    <row r="336" spans="7:7">
      <c r="G336" s="5" t="str">
        <f t="shared" si="20"/>
        <v/>
      </c>
    </row>
    <row r="337" spans="7:7">
      <c r="G337" s="5" t="str">
        <f t="shared" si="20"/>
        <v/>
      </c>
    </row>
    <row r="338" spans="7:7">
      <c r="G338" s="5" t="str">
        <f t="shared" si="20"/>
        <v/>
      </c>
    </row>
    <row r="339" spans="7:7">
      <c r="G339" s="5" t="str">
        <f t="shared" si="20"/>
        <v/>
      </c>
    </row>
    <row r="340" spans="7:7">
      <c r="G340" s="5" t="str">
        <f t="shared" si="20"/>
        <v/>
      </c>
    </row>
    <row r="341" spans="7:7">
      <c r="G341" s="5" t="str">
        <f t="shared" si="20"/>
        <v/>
      </c>
    </row>
    <row r="342" spans="7:7">
      <c r="G342" s="5" t="str">
        <f t="shared" si="20"/>
        <v/>
      </c>
    </row>
    <row r="343" spans="7:7">
      <c r="G343" s="5" t="str">
        <f t="shared" si="20"/>
        <v/>
      </c>
    </row>
    <row r="344" spans="7:7">
      <c r="G344" s="5" t="str">
        <f t="shared" si="20"/>
        <v/>
      </c>
    </row>
    <row r="345" spans="7:7">
      <c r="G345" s="5" t="str">
        <f t="shared" si="20"/>
        <v/>
      </c>
    </row>
    <row r="346" spans="7:7">
      <c r="G346" s="5" t="str">
        <f t="shared" si="20"/>
        <v/>
      </c>
    </row>
    <row r="347" spans="7:7">
      <c r="G347" s="5" t="str">
        <f t="shared" si="20"/>
        <v/>
      </c>
    </row>
    <row r="348" spans="7:7">
      <c r="G348" s="5" t="str">
        <f t="shared" si="20"/>
        <v/>
      </c>
    </row>
    <row r="349" spans="7:7">
      <c r="G349" s="5" t="str">
        <f t="shared" si="20"/>
        <v/>
      </c>
    </row>
    <row r="350" spans="7:7">
      <c r="G350" s="5" t="str">
        <f t="shared" si="20"/>
        <v/>
      </c>
    </row>
    <row r="351" spans="7:7">
      <c r="G351" s="5" t="str">
        <f t="shared" si="20"/>
        <v/>
      </c>
    </row>
    <row r="352" spans="7:7">
      <c r="G352" s="5" t="str">
        <f t="shared" si="20"/>
        <v/>
      </c>
    </row>
    <row r="353" spans="7:7">
      <c r="G353" s="5" t="str">
        <f t="shared" si="20"/>
        <v/>
      </c>
    </row>
    <row r="354" spans="7:7">
      <c r="G354" s="5" t="str">
        <f t="shared" si="20"/>
        <v/>
      </c>
    </row>
    <row r="355" spans="7:7">
      <c r="G355" s="5" t="str">
        <f t="shared" si="20"/>
        <v/>
      </c>
    </row>
    <row r="356" spans="7:7">
      <c r="G356" s="5" t="str">
        <f t="shared" si="20"/>
        <v/>
      </c>
    </row>
    <row r="357" spans="7:7">
      <c r="G357" s="5" t="str">
        <f t="shared" si="20"/>
        <v/>
      </c>
    </row>
    <row r="358" spans="7:7">
      <c r="G358" s="5" t="str">
        <f t="shared" si="20"/>
        <v/>
      </c>
    </row>
    <row r="359" spans="7:7">
      <c r="G359" s="5" t="str">
        <f t="shared" si="20"/>
        <v/>
      </c>
    </row>
    <row r="360" spans="7:7">
      <c r="G360" s="5" t="str">
        <f t="shared" si="20"/>
        <v/>
      </c>
    </row>
    <row r="361" spans="7:7">
      <c r="G361" s="5" t="str">
        <f t="shared" si="20"/>
        <v/>
      </c>
    </row>
    <row r="362" spans="7:7">
      <c r="G362" s="5" t="str">
        <f t="shared" si="20"/>
        <v/>
      </c>
    </row>
    <row r="363" spans="7:7">
      <c r="G363" s="5" t="str">
        <f t="shared" si="20"/>
        <v/>
      </c>
    </row>
    <row r="364" spans="7:7">
      <c r="G364" s="5" t="str">
        <f t="shared" si="20"/>
        <v/>
      </c>
    </row>
    <row r="365" spans="7:7">
      <c r="G365" s="5" t="str">
        <f t="shared" si="20"/>
        <v/>
      </c>
    </row>
    <row r="366" spans="7:7">
      <c r="G366" s="5" t="str">
        <f t="shared" si="20"/>
        <v/>
      </c>
    </row>
    <row r="367" spans="7:7">
      <c r="G367" s="5" t="str">
        <f t="shared" si="20"/>
        <v/>
      </c>
    </row>
    <row r="368" spans="7:7">
      <c r="G368" s="5" t="str">
        <f t="shared" si="20"/>
        <v/>
      </c>
    </row>
    <row r="369" spans="7:7">
      <c r="G369" s="5" t="str">
        <f t="shared" si="20"/>
        <v/>
      </c>
    </row>
    <row r="370" spans="7:7">
      <c r="G370" s="5" t="str">
        <f t="shared" si="20"/>
        <v/>
      </c>
    </row>
    <row r="371" spans="7:7">
      <c r="G371" s="5" t="str">
        <f t="shared" si="20"/>
        <v/>
      </c>
    </row>
    <row r="372" spans="7:7">
      <c r="G372" s="5" t="str">
        <f t="shared" si="20"/>
        <v/>
      </c>
    </row>
    <row r="373" spans="7:7">
      <c r="G373" s="5" t="str">
        <f t="shared" si="20"/>
        <v/>
      </c>
    </row>
    <row r="374" spans="7:7">
      <c r="G374" s="5" t="str">
        <f t="shared" si="20"/>
        <v/>
      </c>
    </row>
    <row r="375" spans="7:7">
      <c r="G375" s="5" t="str">
        <f t="shared" si="20"/>
        <v/>
      </c>
    </row>
    <row r="376" spans="7:7">
      <c r="G376" s="5" t="str">
        <f t="shared" si="20"/>
        <v/>
      </c>
    </row>
    <row r="377" spans="7:7">
      <c r="G377" s="5" t="str">
        <f t="shared" si="20"/>
        <v/>
      </c>
    </row>
    <row r="378" spans="7:7">
      <c r="G378" s="5" t="str">
        <f t="shared" si="20"/>
        <v/>
      </c>
    </row>
    <row r="379" spans="7:7">
      <c r="G379" s="5" t="str">
        <f t="shared" si="20"/>
        <v/>
      </c>
    </row>
    <row r="380" spans="7:7">
      <c r="G380" s="5" t="str">
        <f t="shared" si="20"/>
        <v/>
      </c>
    </row>
    <row r="381" spans="7:7">
      <c r="G381" s="5" t="str">
        <f t="shared" si="20"/>
        <v/>
      </c>
    </row>
    <row r="382" spans="7:7">
      <c r="G382" s="5" t="str">
        <f t="shared" ref="G382:G445" si="21">IF(B382&lt;&gt;"",SUM(C382:F382),"")</f>
        <v/>
      </c>
    </row>
    <row r="383" spans="7:7">
      <c r="G383" s="5" t="str">
        <f t="shared" si="21"/>
        <v/>
      </c>
    </row>
    <row r="384" spans="7:7">
      <c r="G384" s="5" t="str">
        <f t="shared" si="21"/>
        <v/>
      </c>
    </row>
    <row r="385" spans="7:7">
      <c r="G385" s="5" t="str">
        <f t="shared" si="21"/>
        <v/>
      </c>
    </row>
    <row r="386" spans="7:7">
      <c r="G386" s="5" t="str">
        <f t="shared" si="21"/>
        <v/>
      </c>
    </row>
    <row r="387" spans="7:7">
      <c r="G387" s="5" t="str">
        <f t="shared" si="21"/>
        <v/>
      </c>
    </row>
    <row r="388" spans="7:7">
      <c r="G388" s="5" t="str">
        <f t="shared" si="21"/>
        <v/>
      </c>
    </row>
    <row r="389" spans="7:7">
      <c r="G389" s="5" t="str">
        <f t="shared" si="21"/>
        <v/>
      </c>
    </row>
    <row r="390" spans="7:7">
      <c r="G390" s="5" t="str">
        <f t="shared" si="21"/>
        <v/>
      </c>
    </row>
    <row r="391" spans="7:7">
      <c r="G391" s="5" t="str">
        <f t="shared" si="21"/>
        <v/>
      </c>
    </row>
    <row r="392" spans="7:7">
      <c r="G392" s="5" t="str">
        <f t="shared" si="21"/>
        <v/>
      </c>
    </row>
    <row r="393" spans="7:7">
      <c r="G393" s="5" t="str">
        <f t="shared" si="21"/>
        <v/>
      </c>
    </row>
    <row r="394" spans="7:7">
      <c r="G394" s="5" t="str">
        <f t="shared" si="21"/>
        <v/>
      </c>
    </row>
    <row r="395" spans="7:7">
      <c r="G395" s="5" t="str">
        <f t="shared" si="21"/>
        <v/>
      </c>
    </row>
    <row r="396" spans="7:7">
      <c r="G396" s="5" t="str">
        <f t="shared" si="21"/>
        <v/>
      </c>
    </row>
    <row r="397" spans="7:7">
      <c r="G397" s="5" t="str">
        <f t="shared" si="21"/>
        <v/>
      </c>
    </row>
    <row r="398" spans="7:7">
      <c r="G398" s="5" t="str">
        <f t="shared" si="21"/>
        <v/>
      </c>
    </row>
    <row r="399" spans="7:7">
      <c r="G399" s="5" t="str">
        <f t="shared" si="21"/>
        <v/>
      </c>
    </row>
    <row r="400" spans="7:7">
      <c r="G400" s="5" t="str">
        <f t="shared" si="21"/>
        <v/>
      </c>
    </row>
    <row r="401" spans="7:7">
      <c r="G401" s="5" t="str">
        <f t="shared" si="21"/>
        <v/>
      </c>
    </row>
    <row r="402" spans="7:7">
      <c r="G402" s="5" t="str">
        <f t="shared" si="21"/>
        <v/>
      </c>
    </row>
    <row r="403" spans="7:7">
      <c r="G403" s="5" t="str">
        <f t="shared" si="21"/>
        <v/>
      </c>
    </row>
    <row r="404" spans="7:7">
      <c r="G404" s="5" t="str">
        <f t="shared" si="21"/>
        <v/>
      </c>
    </row>
    <row r="405" spans="7:7">
      <c r="G405" s="5" t="str">
        <f t="shared" si="21"/>
        <v/>
      </c>
    </row>
    <row r="406" spans="7:7">
      <c r="G406" s="5" t="str">
        <f t="shared" si="21"/>
        <v/>
      </c>
    </row>
    <row r="407" spans="7:7">
      <c r="G407" s="5" t="str">
        <f t="shared" si="21"/>
        <v/>
      </c>
    </row>
    <row r="408" spans="7:7">
      <c r="G408" s="5" t="str">
        <f t="shared" si="21"/>
        <v/>
      </c>
    </row>
    <row r="409" spans="7:7">
      <c r="G409" s="5" t="str">
        <f t="shared" si="21"/>
        <v/>
      </c>
    </row>
    <row r="410" spans="7:7">
      <c r="G410" s="5" t="str">
        <f t="shared" si="21"/>
        <v/>
      </c>
    </row>
    <row r="411" spans="7:7">
      <c r="G411" s="5" t="str">
        <f t="shared" si="21"/>
        <v/>
      </c>
    </row>
    <row r="412" spans="7:7">
      <c r="G412" s="5" t="str">
        <f t="shared" si="21"/>
        <v/>
      </c>
    </row>
    <row r="413" spans="7:7">
      <c r="G413" s="5" t="str">
        <f t="shared" si="21"/>
        <v/>
      </c>
    </row>
    <row r="414" spans="7:7">
      <c r="G414" s="5" t="str">
        <f t="shared" si="21"/>
        <v/>
      </c>
    </row>
    <row r="415" spans="7:7">
      <c r="G415" s="5" t="str">
        <f t="shared" si="21"/>
        <v/>
      </c>
    </row>
    <row r="416" spans="7:7">
      <c r="G416" s="5" t="str">
        <f t="shared" si="21"/>
        <v/>
      </c>
    </row>
    <row r="417" spans="7:7">
      <c r="G417" s="5" t="str">
        <f t="shared" si="21"/>
        <v/>
      </c>
    </row>
    <row r="418" spans="7:7">
      <c r="G418" s="5" t="str">
        <f t="shared" si="21"/>
        <v/>
      </c>
    </row>
    <row r="419" spans="7:7">
      <c r="G419" s="5" t="str">
        <f t="shared" si="21"/>
        <v/>
      </c>
    </row>
    <row r="420" spans="7:7">
      <c r="G420" s="5" t="str">
        <f t="shared" si="21"/>
        <v/>
      </c>
    </row>
    <row r="421" spans="7:7">
      <c r="G421" s="5" t="str">
        <f t="shared" si="21"/>
        <v/>
      </c>
    </row>
    <row r="422" spans="7:7">
      <c r="G422" s="5" t="str">
        <f t="shared" si="21"/>
        <v/>
      </c>
    </row>
    <row r="423" spans="7:7">
      <c r="G423" s="5" t="str">
        <f t="shared" si="21"/>
        <v/>
      </c>
    </row>
    <row r="424" spans="7:7">
      <c r="G424" s="5" t="str">
        <f t="shared" si="21"/>
        <v/>
      </c>
    </row>
    <row r="425" spans="7:7">
      <c r="G425" s="5" t="str">
        <f t="shared" si="21"/>
        <v/>
      </c>
    </row>
    <row r="426" spans="7:7">
      <c r="G426" s="5" t="str">
        <f t="shared" si="21"/>
        <v/>
      </c>
    </row>
    <row r="427" spans="7:7">
      <c r="G427" s="5" t="str">
        <f t="shared" si="21"/>
        <v/>
      </c>
    </row>
    <row r="428" spans="7:7">
      <c r="G428" s="5" t="str">
        <f t="shared" si="21"/>
        <v/>
      </c>
    </row>
    <row r="429" spans="7:7">
      <c r="G429" s="5" t="str">
        <f t="shared" si="21"/>
        <v/>
      </c>
    </row>
    <row r="430" spans="7:7">
      <c r="G430" s="5" t="str">
        <f t="shared" si="21"/>
        <v/>
      </c>
    </row>
    <row r="431" spans="7:7">
      <c r="G431" s="5" t="str">
        <f t="shared" si="21"/>
        <v/>
      </c>
    </row>
    <row r="432" spans="7:7">
      <c r="G432" s="5" t="str">
        <f t="shared" si="21"/>
        <v/>
      </c>
    </row>
    <row r="433" spans="7:7">
      <c r="G433" s="5" t="str">
        <f t="shared" si="21"/>
        <v/>
      </c>
    </row>
    <row r="434" spans="7:7">
      <c r="G434" s="5" t="str">
        <f t="shared" si="21"/>
        <v/>
      </c>
    </row>
    <row r="435" spans="7:7">
      <c r="G435" s="5" t="str">
        <f t="shared" si="21"/>
        <v/>
      </c>
    </row>
    <row r="436" spans="7:7">
      <c r="G436" s="5" t="str">
        <f t="shared" si="21"/>
        <v/>
      </c>
    </row>
    <row r="437" spans="7:7">
      <c r="G437" s="5" t="str">
        <f t="shared" si="21"/>
        <v/>
      </c>
    </row>
    <row r="438" spans="7:7">
      <c r="G438" s="5" t="str">
        <f t="shared" si="21"/>
        <v/>
      </c>
    </row>
    <row r="439" spans="7:7">
      <c r="G439" s="5" t="str">
        <f t="shared" si="21"/>
        <v/>
      </c>
    </row>
    <row r="440" spans="7:7">
      <c r="G440" s="5" t="str">
        <f t="shared" si="21"/>
        <v/>
      </c>
    </row>
    <row r="441" spans="7:7">
      <c r="G441" s="5" t="str">
        <f t="shared" si="21"/>
        <v/>
      </c>
    </row>
    <row r="442" spans="7:7">
      <c r="G442" s="5" t="str">
        <f t="shared" si="21"/>
        <v/>
      </c>
    </row>
    <row r="443" spans="7:7">
      <c r="G443" s="5" t="str">
        <f t="shared" si="21"/>
        <v/>
      </c>
    </row>
    <row r="444" spans="7:7">
      <c r="G444" s="5" t="str">
        <f t="shared" si="21"/>
        <v/>
      </c>
    </row>
    <row r="445" spans="7:7">
      <c r="G445" s="5" t="str">
        <f t="shared" si="21"/>
        <v/>
      </c>
    </row>
    <row r="446" spans="7:7">
      <c r="G446" s="5" t="str">
        <f t="shared" ref="G446:G477" si="22">IF(B446&lt;&gt;"",SUM(C446:F446),"")</f>
        <v/>
      </c>
    </row>
    <row r="447" spans="7:7">
      <c r="G447" s="5" t="str">
        <f t="shared" si="22"/>
        <v/>
      </c>
    </row>
    <row r="448" spans="7:7">
      <c r="G448" s="5" t="str">
        <f t="shared" si="22"/>
        <v/>
      </c>
    </row>
    <row r="449" spans="7:7">
      <c r="G449" s="5" t="str">
        <f t="shared" si="22"/>
        <v/>
      </c>
    </row>
    <row r="450" spans="7:7">
      <c r="G450" s="5" t="str">
        <f t="shared" si="22"/>
        <v/>
      </c>
    </row>
    <row r="451" spans="7:7">
      <c r="G451" s="5" t="str">
        <f t="shared" si="22"/>
        <v/>
      </c>
    </row>
    <row r="452" spans="7:7">
      <c r="G452" s="5" t="str">
        <f t="shared" si="22"/>
        <v/>
      </c>
    </row>
    <row r="453" spans="7:7">
      <c r="G453" s="5" t="str">
        <f t="shared" si="22"/>
        <v/>
      </c>
    </row>
    <row r="454" spans="7:7">
      <c r="G454" s="5" t="str">
        <f t="shared" si="22"/>
        <v/>
      </c>
    </row>
    <row r="455" spans="7:7">
      <c r="G455" s="5" t="str">
        <f t="shared" si="22"/>
        <v/>
      </c>
    </row>
    <row r="456" spans="7:7">
      <c r="G456" s="5" t="str">
        <f t="shared" si="22"/>
        <v/>
      </c>
    </row>
    <row r="457" spans="7:7">
      <c r="G457" s="5" t="str">
        <f t="shared" si="22"/>
        <v/>
      </c>
    </row>
    <row r="458" spans="7:7">
      <c r="G458" s="5" t="str">
        <f t="shared" si="22"/>
        <v/>
      </c>
    </row>
    <row r="459" spans="7:7">
      <c r="G459" s="5" t="str">
        <f t="shared" si="22"/>
        <v/>
      </c>
    </row>
    <row r="460" spans="7:7">
      <c r="G460" s="5" t="str">
        <f t="shared" si="22"/>
        <v/>
      </c>
    </row>
    <row r="461" spans="7:7">
      <c r="G461" s="5" t="str">
        <f t="shared" si="22"/>
        <v/>
      </c>
    </row>
    <row r="462" spans="7:7">
      <c r="G462" s="5" t="str">
        <f t="shared" si="22"/>
        <v/>
      </c>
    </row>
    <row r="463" spans="7:7">
      <c r="G463" s="5" t="str">
        <f t="shared" si="22"/>
        <v/>
      </c>
    </row>
    <row r="464" spans="7:7">
      <c r="G464" s="5" t="str">
        <f t="shared" si="22"/>
        <v/>
      </c>
    </row>
    <row r="465" spans="7:7">
      <c r="G465" s="5" t="str">
        <f t="shared" si="22"/>
        <v/>
      </c>
    </row>
    <row r="466" spans="7:7">
      <c r="G466" s="5" t="str">
        <f t="shared" si="22"/>
        <v/>
      </c>
    </row>
    <row r="467" spans="7:7">
      <c r="G467" s="5" t="str">
        <f t="shared" si="22"/>
        <v/>
      </c>
    </row>
    <row r="468" spans="7:7">
      <c r="G468" s="5" t="str">
        <f t="shared" si="22"/>
        <v/>
      </c>
    </row>
    <row r="469" spans="7:7">
      <c r="G469" s="5" t="str">
        <f t="shared" si="22"/>
        <v/>
      </c>
    </row>
    <row r="470" spans="7:7">
      <c r="G470" s="5" t="str">
        <f t="shared" si="22"/>
        <v/>
      </c>
    </row>
    <row r="471" spans="7:7">
      <c r="G471" s="5" t="str">
        <f t="shared" si="22"/>
        <v/>
      </c>
    </row>
    <row r="472" spans="7:7">
      <c r="G472" s="5" t="str">
        <f t="shared" si="22"/>
        <v/>
      </c>
    </row>
    <row r="473" spans="7:7">
      <c r="G473" s="5" t="str">
        <f t="shared" si="22"/>
        <v/>
      </c>
    </row>
    <row r="474" spans="7:7">
      <c r="G474" s="5" t="str">
        <f t="shared" si="22"/>
        <v/>
      </c>
    </row>
    <row r="475" spans="7:7">
      <c r="G475" s="5" t="str">
        <f t="shared" si="22"/>
        <v/>
      </c>
    </row>
    <row r="476" spans="7:7">
      <c r="G476" s="5" t="str">
        <f t="shared" si="22"/>
        <v/>
      </c>
    </row>
    <row r="477" spans="7:7">
      <c r="G477" s="5" t="str">
        <f t="shared" si="22"/>
        <v/>
      </c>
    </row>
  </sheetData>
  <sheetProtection sort="0" autoFilter="0" pivotTables="0"/>
  <autoFilter ref="H5:H51" xr:uid="{668A0769-585D-4248-8571-161470C982FC}">
    <filterColumn colId="0">
      <filters blank="1">
        <filter val="12"/>
        <filter val="160"/>
        <filter val="20"/>
        <filter val="24"/>
        <filter val="240"/>
        <filter val="34"/>
        <filter val="48"/>
        <filter val="60"/>
        <filter val="600"/>
        <filter val="R$ 26.957,38"/>
      </filters>
    </filterColumn>
  </autoFilter>
  <sortState xmlns:xlrd2="http://schemas.microsoft.com/office/spreadsheetml/2017/richdata2" ref="B6:L49">
    <sortCondition ref="B6:B49"/>
  </sortState>
  <pageMargins left="0.78740157480314965" right="0.78740157480314965" top="0.78740157480314965" bottom="0.78740157480314965" header="0" footer="0"/>
  <pageSetup paperSize="9" scale="79" orientation="landscape" verticalDpi="4294967295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07B7-A17A-4717-B262-639C9E8DE7A8}">
  <sheetPr codeName="Planilha27" filterMode="1">
    <tabColor rgb="FFFFC000"/>
    <pageSetUpPr fitToPage="1"/>
  </sheetPr>
  <dimension ref="B1:S438"/>
  <sheetViews>
    <sheetView zoomScaleNormal="100" workbookViewId="0">
      <pane ySplit="5" topLeftCell="A6" activePane="bottomLeft" state="frozen"/>
      <selection activeCell="G18" sqref="G18"/>
      <selection pane="bottomLeft" activeCell="B5" sqref="B5:H9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32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11" t="s">
        <v>369</v>
      </c>
      <c r="C6" s="13"/>
      <c r="D6" s="13"/>
      <c r="E6" s="13"/>
      <c r="F6" s="14"/>
      <c r="G6" s="8">
        <v>200</v>
      </c>
      <c r="H6" s="24">
        <f t="shared" ref="H6:H10" si="0">SUM(C6:G6)</f>
        <v>200</v>
      </c>
      <c r="I6" s="456">
        <f t="shared" ref="I6:I10" si="1">L6-(L6*J6)</f>
        <v>39.78</v>
      </c>
      <c r="J6" s="10"/>
      <c r="K6" s="12"/>
      <c r="L6" s="412">
        <v>39.78</v>
      </c>
      <c r="M6" s="32">
        <v>100</v>
      </c>
      <c r="N6" s="25">
        <f t="shared" ref="N6:N10" si="2">I6*C6</f>
        <v>0</v>
      </c>
      <c r="O6" s="25">
        <f t="shared" ref="O6:O10" si="3">I6*D6</f>
        <v>0</v>
      </c>
      <c r="P6" s="25">
        <f t="shared" ref="P6:P10" si="4">I6*E6</f>
        <v>0</v>
      </c>
      <c r="Q6" s="26">
        <f t="shared" ref="Q6:Q10" si="5">I6*F6</f>
        <v>0</v>
      </c>
      <c r="R6" s="27">
        <f t="shared" ref="R6:R10" si="6">I6*G6</f>
        <v>7956</v>
      </c>
      <c r="S6" s="28">
        <f t="shared" ref="S6:S10" si="7">SUM(N6:R6)</f>
        <v>7956</v>
      </c>
    </row>
    <row r="7" spans="2:19">
      <c r="B7" s="411" t="s">
        <v>1082</v>
      </c>
      <c r="C7" s="13"/>
      <c r="D7" s="13"/>
      <c r="E7" s="13"/>
      <c r="F7" s="14"/>
      <c r="G7" s="8">
        <v>24</v>
      </c>
      <c r="H7" s="24">
        <f t="shared" si="0"/>
        <v>24</v>
      </c>
      <c r="I7" s="456">
        <f t="shared" si="1"/>
        <v>33</v>
      </c>
      <c r="J7" s="10"/>
      <c r="K7" s="12"/>
      <c r="L7" s="412">
        <v>33</v>
      </c>
      <c r="M7" s="32">
        <v>12</v>
      </c>
      <c r="N7" s="25">
        <f t="shared" si="2"/>
        <v>0</v>
      </c>
      <c r="O7" s="25">
        <f t="shared" si="3"/>
        <v>0</v>
      </c>
      <c r="P7" s="25">
        <f t="shared" si="4"/>
        <v>0</v>
      </c>
      <c r="Q7" s="26">
        <f t="shared" si="5"/>
        <v>0</v>
      </c>
      <c r="R7" s="27">
        <f t="shared" si="6"/>
        <v>792</v>
      </c>
      <c r="S7" s="28">
        <f t="shared" si="7"/>
        <v>792</v>
      </c>
    </row>
    <row r="8" spans="2:19">
      <c r="B8" s="411" t="s">
        <v>1083</v>
      </c>
      <c r="C8" s="13"/>
      <c r="D8" s="13">
        <v>100</v>
      </c>
      <c r="E8" s="13"/>
      <c r="F8" s="14"/>
      <c r="G8" s="8">
        <v>96</v>
      </c>
      <c r="H8" s="24">
        <f t="shared" si="0"/>
        <v>196</v>
      </c>
      <c r="I8" s="456">
        <f t="shared" si="1"/>
        <v>14</v>
      </c>
      <c r="J8" s="10"/>
      <c r="K8" s="12"/>
      <c r="L8" s="412">
        <v>14</v>
      </c>
      <c r="M8" s="32">
        <v>24</v>
      </c>
      <c r="N8" s="25">
        <f t="shared" si="2"/>
        <v>0</v>
      </c>
      <c r="O8" s="25">
        <f t="shared" si="3"/>
        <v>1400</v>
      </c>
      <c r="P8" s="25">
        <f t="shared" si="4"/>
        <v>0</v>
      </c>
      <c r="Q8" s="26">
        <f t="shared" si="5"/>
        <v>0</v>
      </c>
      <c r="R8" s="27">
        <f t="shared" si="6"/>
        <v>1344</v>
      </c>
      <c r="S8" s="28">
        <f t="shared" si="7"/>
        <v>2744</v>
      </c>
    </row>
    <row r="9" spans="2:19">
      <c r="B9" s="411" t="s">
        <v>1084</v>
      </c>
      <c r="C9" s="13"/>
      <c r="D9" s="13">
        <v>360</v>
      </c>
      <c r="E9" s="13"/>
      <c r="F9" s="14"/>
      <c r="G9" s="8"/>
      <c r="H9" s="24">
        <f t="shared" si="0"/>
        <v>360</v>
      </c>
      <c r="I9" s="456">
        <f t="shared" si="1"/>
        <v>3.75</v>
      </c>
      <c r="J9" s="10"/>
      <c r="K9" s="12"/>
      <c r="L9" s="412">
        <v>3.75</v>
      </c>
      <c r="M9" s="32">
        <v>240</v>
      </c>
      <c r="N9" s="25">
        <f t="shared" si="2"/>
        <v>0</v>
      </c>
      <c r="O9" s="25">
        <f t="shared" si="3"/>
        <v>1350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28">
        <f t="shared" si="7"/>
        <v>1350</v>
      </c>
    </row>
    <row r="10" spans="2:19" hidden="1">
      <c r="B10" s="411" t="s">
        <v>370</v>
      </c>
      <c r="C10" s="13"/>
      <c r="D10" s="13"/>
      <c r="E10" s="13"/>
      <c r="F10" s="14"/>
      <c r="G10" s="8"/>
      <c r="H10" s="24">
        <f t="shared" si="0"/>
        <v>0</v>
      </c>
      <c r="I10" s="456">
        <f t="shared" si="1"/>
        <v>83</v>
      </c>
      <c r="J10" s="10"/>
      <c r="K10" s="12"/>
      <c r="L10" s="412">
        <v>83</v>
      </c>
      <c r="M10" s="32">
        <v>25</v>
      </c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28">
        <f t="shared" si="7"/>
        <v>0</v>
      </c>
    </row>
    <row r="11" spans="2:19">
      <c r="B11" s="58" t="s">
        <v>13</v>
      </c>
      <c r="C11" s="288">
        <v>0</v>
      </c>
      <c r="D11" s="288">
        <v>2750</v>
      </c>
      <c r="E11" s="288">
        <f t="shared" ref="E11" si="8">P11</f>
        <v>0</v>
      </c>
      <c r="F11" s="288">
        <v>0</v>
      </c>
      <c r="G11" s="288">
        <f t="shared" ref="G11" si="9">R11</f>
        <v>10092</v>
      </c>
      <c r="H11" s="288">
        <f t="shared" ref="H11" si="10">S11</f>
        <v>12842</v>
      </c>
      <c r="N11" s="29">
        <f t="shared" ref="N11:S11" si="11">SUM(N6:N10)</f>
        <v>0</v>
      </c>
      <c r="O11" s="29">
        <f t="shared" si="11"/>
        <v>2750</v>
      </c>
      <c r="P11" s="29">
        <f t="shared" si="11"/>
        <v>0</v>
      </c>
      <c r="Q11" s="29">
        <f t="shared" si="11"/>
        <v>0</v>
      </c>
      <c r="R11" s="29">
        <f t="shared" si="11"/>
        <v>10092</v>
      </c>
      <c r="S11" s="29">
        <f t="shared" si="11"/>
        <v>12842</v>
      </c>
    </row>
    <row r="12" spans="2:19">
      <c r="B12" s="59" t="s">
        <v>46</v>
      </c>
    </row>
    <row r="13" spans="2:19" ht="16.5" thickBot="1">
      <c r="B13" s="2"/>
    </row>
    <row r="14" spans="2:19">
      <c r="B14" s="60" t="s">
        <v>47</v>
      </c>
    </row>
    <row r="15" spans="2:19">
      <c r="B15" s="61" t="s">
        <v>19</v>
      </c>
    </row>
    <row r="16" spans="2:19">
      <c r="B16" s="61" t="s">
        <v>17</v>
      </c>
    </row>
    <row r="17" spans="2:7" ht="16.5" thickBot="1">
      <c r="B17" s="62" t="s">
        <v>18</v>
      </c>
    </row>
    <row r="18" spans="2:7">
      <c r="B18" s="2"/>
    </row>
    <row r="19" spans="2:7">
      <c r="B19" s="30" t="s">
        <v>20</v>
      </c>
    </row>
    <row r="20" spans="2:7">
      <c r="B20" s="35"/>
    </row>
    <row r="21" spans="2:7">
      <c r="B21" s="35"/>
    </row>
    <row r="22" spans="2:7">
      <c r="B22" s="2"/>
      <c r="G22" s="5" t="str">
        <f>IF(B22&lt;&gt;"",SUM(C22:F22),"")</f>
        <v/>
      </c>
    </row>
    <row r="23" spans="2:7">
      <c r="G23" s="5" t="str">
        <f t="shared" ref="G23:G86" si="12">IF(B23&lt;&gt;"",SUM(C23:F23),"")</f>
        <v/>
      </c>
    </row>
    <row r="24" spans="2:7">
      <c r="G24" s="5" t="str">
        <f t="shared" si="12"/>
        <v/>
      </c>
    </row>
    <row r="25" spans="2:7">
      <c r="G25" s="5" t="str">
        <f t="shared" si="12"/>
        <v/>
      </c>
    </row>
    <row r="26" spans="2:7">
      <c r="G26" s="5" t="str">
        <f t="shared" si="12"/>
        <v/>
      </c>
    </row>
    <row r="27" spans="2:7">
      <c r="G27" s="5" t="str">
        <f t="shared" si="12"/>
        <v/>
      </c>
    </row>
    <row r="28" spans="2:7">
      <c r="G28" s="5" t="str">
        <f t="shared" si="12"/>
        <v/>
      </c>
    </row>
    <row r="29" spans="2:7">
      <c r="G29" s="5" t="str">
        <f t="shared" si="12"/>
        <v/>
      </c>
    </row>
    <row r="30" spans="2:7">
      <c r="G30" s="5" t="str">
        <f t="shared" si="12"/>
        <v/>
      </c>
    </row>
    <row r="31" spans="2:7">
      <c r="G31" s="5" t="str">
        <f t="shared" si="12"/>
        <v/>
      </c>
    </row>
    <row r="32" spans="2:7">
      <c r="G32" s="5" t="str">
        <f t="shared" si="12"/>
        <v/>
      </c>
    </row>
    <row r="33" spans="7:7">
      <c r="G33" s="5" t="str">
        <f t="shared" si="12"/>
        <v/>
      </c>
    </row>
    <row r="34" spans="7:7">
      <c r="G34" s="5" t="str">
        <f t="shared" si="12"/>
        <v/>
      </c>
    </row>
    <row r="35" spans="7:7">
      <c r="G35" s="5" t="str">
        <f t="shared" si="12"/>
        <v/>
      </c>
    </row>
    <row r="36" spans="7:7">
      <c r="G36" s="5" t="str">
        <f t="shared" si="12"/>
        <v/>
      </c>
    </row>
    <row r="37" spans="7:7">
      <c r="G37" s="5" t="str">
        <f t="shared" si="12"/>
        <v/>
      </c>
    </row>
    <row r="38" spans="7:7">
      <c r="G38" s="5" t="str">
        <f t="shared" si="12"/>
        <v/>
      </c>
    </row>
    <row r="39" spans="7:7">
      <c r="G39" s="5" t="str">
        <f t="shared" si="12"/>
        <v/>
      </c>
    </row>
    <row r="40" spans="7:7">
      <c r="G40" s="5" t="str">
        <f t="shared" si="12"/>
        <v/>
      </c>
    </row>
    <row r="41" spans="7:7">
      <c r="G41" s="5" t="str">
        <f t="shared" si="12"/>
        <v/>
      </c>
    </row>
    <row r="42" spans="7:7">
      <c r="G42" s="5" t="str">
        <f t="shared" si="12"/>
        <v/>
      </c>
    </row>
    <row r="43" spans="7:7">
      <c r="G43" s="5" t="str">
        <f t="shared" si="12"/>
        <v/>
      </c>
    </row>
    <row r="44" spans="7:7">
      <c r="G44" s="5" t="str">
        <f t="shared" si="12"/>
        <v/>
      </c>
    </row>
    <row r="45" spans="7:7">
      <c r="G45" s="5" t="str">
        <f t="shared" si="12"/>
        <v/>
      </c>
    </row>
    <row r="46" spans="7:7">
      <c r="G46" s="5" t="str">
        <f t="shared" si="12"/>
        <v/>
      </c>
    </row>
    <row r="47" spans="7:7">
      <c r="G47" s="5" t="str">
        <f t="shared" si="12"/>
        <v/>
      </c>
    </row>
    <row r="48" spans="7:7">
      <c r="G48" s="5" t="str">
        <f t="shared" si="12"/>
        <v/>
      </c>
    </row>
    <row r="49" spans="7:7">
      <c r="G49" s="5" t="str">
        <f t="shared" si="12"/>
        <v/>
      </c>
    </row>
    <row r="50" spans="7:7">
      <c r="G50" s="5" t="str">
        <f t="shared" si="12"/>
        <v/>
      </c>
    </row>
    <row r="51" spans="7:7">
      <c r="G51" s="5" t="str">
        <f t="shared" si="12"/>
        <v/>
      </c>
    </row>
    <row r="52" spans="7:7">
      <c r="G52" s="5" t="str">
        <f t="shared" si="12"/>
        <v/>
      </c>
    </row>
    <row r="53" spans="7:7">
      <c r="G53" s="5" t="str">
        <f t="shared" si="12"/>
        <v/>
      </c>
    </row>
    <row r="54" spans="7:7">
      <c r="G54" s="5" t="str">
        <f t="shared" si="12"/>
        <v/>
      </c>
    </row>
    <row r="55" spans="7:7">
      <c r="G55" s="5" t="str">
        <f t="shared" si="12"/>
        <v/>
      </c>
    </row>
    <row r="56" spans="7:7">
      <c r="G56" s="5" t="str">
        <f t="shared" si="12"/>
        <v/>
      </c>
    </row>
    <row r="57" spans="7:7">
      <c r="G57" s="5" t="str">
        <f t="shared" si="12"/>
        <v/>
      </c>
    </row>
    <row r="58" spans="7:7">
      <c r="G58" s="5" t="str">
        <f t="shared" si="12"/>
        <v/>
      </c>
    </row>
    <row r="59" spans="7:7">
      <c r="G59" s="5" t="str">
        <f t="shared" si="12"/>
        <v/>
      </c>
    </row>
    <row r="60" spans="7:7">
      <c r="G60" s="5" t="str">
        <f t="shared" si="12"/>
        <v/>
      </c>
    </row>
    <row r="61" spans="7:7">
      <c r="G61" s="5" t="str">
        <f t="shared" si="12"/>
        <v/>
      </c>
    </row>
    <row r="62" spans="7:7">
      <c r="G62" s="5" t="str">
        <f t="shared" si="12"/>
        <v/>
      </c>
    </row>
    <row r="63" spans="7:7">
      <c r="G63" s="5" t="str">
        <f t="shared" si="12"/>
        <v/>
      </c>
    </row>
    <row r="64" spans="7:7">
      <c r="G64" s="5" t="str">
        <f t="shared" si="12"/>
        <v/>
      </c>
    </row>
    <row r="65" spans="7:7">
      <c r="G65" s="5" t="str">
        <f t="shared" si="12"/>
        <v/>
      </c>
    </row>
    <row r="66" spans="7:7">
      <c r="G66" s="5" t="str">
        <f t="shared" si="12"/>
        <v/>
      </c>
    </row>
    <row r="67" spans="7:7">
      <c r="G67" s="5" t="str">
        <f t="shared" si="12"/>
        <v/>
      </c>
    </row>
    <row r="68" spans="7:7">
      <c r="G68" s="5" t="str">
        <f t="shared" si="12"/>
        <v/>
      </c>
    </row>
    <row r="69" spans="7:7">
      <c r="G69" s="5" t="str">
        <f t="shared" si="12"/>
        <v/>
      </c>
    </row>
    <row r="70" spans="7:7">
      <c r="G70" s="5" t="str">
        <f t="shared" si="12"/>
        <v/>
      </c>
    </row>
    <row r="71" spans="7:7">
      <c r="G71" s="5" t="str">
        <f t="shared" si="12"/>
        <v/>
      </c>
    </row>
    <row r="72" spans="7:7">
      <c r="G72" s="5" t="str">
        <f t="shared" si="12"/>
        <v/>
      </c>
    </row>
    <row r="73" spans="7:7">
      <c r="G73" s="5" t="str">
        <f t="shared" si="12"/>
        <v/>
      </c>
    </row>
    <row r="74" spans="7:7">
      <c r="G74" s="5" t="str">
        <f t="shared" si="12"/>
        <v/>
      </c>
    </row>
    <row r="75" spans="7:7">
      <c r="G75" s="5" t="str">
        <f t="shared" si="12"/>
        <v/>
      </c>
    </row>
    <row r="76" spans="7:7">
      <c r="G76" s="5" t="str">
        <f t="shared" si="12"/>
        <v/>
      </c>
    </row>
    <row r="77" spans="7:7">
      <c r="G77" s="5" t="str">
        <f t="shared" si="12"/>
        <v/>
      </c>
    </row>
    <row r="78" spans="7:7">
      <c r="G78" s="5" t="str">
        <f t="shared" si="12"/>
        <v/>
      </c>
    </row>
    <row r="79" spans="7:7">
      <c r="G79" s="5" t="str">
        <f t="shared" si="12"/>
        <v/>
      </c>
    </row>
    <row r="80" spans="7:7">
      <c r="G80" s="5" t="str">
        <f t="shared" si="12"/>
        <v/>
      </c>
    </row>
    <row r="81" spans="7:7">
      <c r="G81" s="5" t="str">
        <f t="shared" si="12"/>
        <v/>
      </c>
    </row>
    <row r="82" spans="7:7">
      <c r="G82" s="5" t="str">
        <f t="shared" si="12"/>
        <v/>
      </c>
    </row>
    <row r="83" spans="7:7">
      <c r="G83" s="5" t="str">
        <f t="shared" si="12"/>
        <v/>
      </c>
    </row>
    <row r="84" spans="7:7">
      <c r="G84" s="5" t="str">
        <f t="shared" si="12"/>
        <v/>
      </c>
    </row>
    <row r="85" spans="7:7">
      <c r="G85" s="5" t="str">
        <f t="shared" si="12"/>
        <v/>
      </c>
    </row>
    <row r="86" spans="7:7">
      <c r="G86" s="5" t="str">
        <f t="shared" si="12"/>
        <v/>
      </c>
    </row>
    <row r="87" spans="7:7">
      <c r="G87" s="5" t="str">
        <f t="shared" ref="G87:G150" si="13">IF(B87&lt;&gt;"",SUM(C87:F87),"")</f>
        <v/>
      </c>
    </row>
    <row r="88" spans="7:7">
      <c r="G88" s="5" t="str">
        <f t="shared" si="13"/>
        <v/>
      </c>
    </row>
    <row r="89" spans="7:7">
      <c r="G89" s="5" t="str">
        <f t="shared" si="13"/>
        <v/>
      </c>
    </row>
    <row r="90" spans="7:7">
      <c r="G90" s="5" t="str">
        <f t="shared" si="13"/>
        <v/>
      </c>
    </row>
    <row r="91" spans="7:7">
      <c r="G91" s="5" t="str">
        <f t="shared" si="13"/>
        <v/>
      </c>
    </row>
    <row r="92" spans="7:7">
      <c r="G92" s="5" t="str">
        <f t="shared" si="13"/>
        <v/>
      </c>
    </row>
    <row r="93" spans="7:7">
      <c r="G93" s="5" t="str">
        <f t="shared" si="13"/>
        <v/>
      </c>
    </row>
    <row r="94" spans="7:7">
      <c r="G94" s="5" t="str">
        <f t="shared" si="13"/>
        <v/>
      </c>
    </row>
    <row r="95" spans="7:7">
      <c r="G95" s="5" t="str">
        <f t="shared" si="13"/>
        <v/>
      </c>
    </row>
    <row r="96" spans="7:7">
      <c r="G96" s="5" t="str">
        <f t="shared" si="13"/>
        <v/>
      </c>
    </row>
    <row r="97" spans="7:7">
      <c r="G97" s="5" t="str">
        <f t="shared" si="13"/>
        <v/>
      </c>
    </row>
    <row r="98" spans="7:7">
      <c r="G98" s="5" t="str">
        <f t="shared" si="13"/>
        <v/>
      </c>
    </row>
    <row r="99" spans="7:7">
      <c r="G99" s="5" t="str">
        <f t="shared" si="13"/>
        <v/>
      </c>
    </row>
    <row r="100" spans="7:7">
      <c r="G100" s="5" t="str">
        <f t="shared" si="13"/>
        <v/>
      </c>
    </row>
    <row r="101" spans="7:7">
      <c r="G101" s="5" t="str">
        <f t="shared" si="13"/>
        <v/>
      </c>
    </row>
    <row r="102" spans="7:7">
      <c r="G102" s="5" t="str">
        <f t="shared" si="13"/>
        <v/>
      </c>
    </row>
    <row r="103" spans="7:7">
      <c r="G103" s="5" t="str">
        <f t="shared" si="13"/>
        <v/>
      </c>
    </row>
    <row r="104" spans="7:7">
      <c r="G104" s="5" t="str">
        <f t="shared" si="13"/>
        <v/>
      </c>
    </row>
    <row r="105" spans="7:7">
      <c r="G105" s="5" t="str">
        <f t="shared" si="13"/>
        <v/>
      </c>
    </row>
    <row r="106" spans="7:7">
      <c r="G106" s="5" t="str">
        <f t="shared" si="13"/>
        <v/>
      </c>
    </row>
    <row r="107" spans="7:7">
      <c r="G107" s="5" t="str">
        <f t="shared" si="13"/>
        <v/>
      </c>
    </row>
    <row r="108" spans="7:7">
      <c r="G108" s="5" t="str">
        <f t="shared" si="13"/>
        <v/>
      </c>
    </row>
    <row r="109" spans="7:7">
      <c r="G109" s="5" t="str">
        <f t="shared" si="13"/>
        <v/>
      </c>
    </row>
    <row r="110" spans="7:7">
      <c r="G110" s="5" t="str">
        <f t="shared" si="13"/>
        <v/>
      </c>
    </row>
    <row r="111" spans="7:7">
      <c r="G111" s="5" t="str">
        <f t="shared" si="13"/>
        <v/>
      </c>
    </row>
    <row r="112" spans="7:7">
      <c r="G112" s="5" t="str">
        <f t="shared" si="13"/>
        <v/>
      </c>
    </row>
    <row r="113" spans="7:7">
      <c r="G113" s="5" t="str">
        <f t="shared" si="13"/>
        <v/>
      </c>
    </row>
    <row r="114" spans="7:7">
      <c r="G114" s="5" t="str">
        <f t="shared" si="13"/>
        <v/>
      </c>
    </row>
    <row r="115" spans="7:7">
      <c r="G115" s="5" t="str">
        <f t="shared" si="13"/>
        <v/>
      </c>
    </row>
    <row r="116" spans="7:7">
      <c r="G116" s="5" t="str">
        <f t="shared" si="13"/>
        <v/>
      </c>
    </row>
    <row r="117" spans="7:7">
      <c r="G117" s="5" t="str">
        <f t="shared" si="13"/>
        <v/>
      </c>
    </row>
    <row r="118" spans="7:7">
      <c r="G118" s="5" t="str">
        <f t="shared" si="13"/>
        <v/>
      </c>
    </row>
    <row r="119" spans="7:7">
      <c r="G119" s="5" t="str">
        <f t="shared" si="13"/>
        <v/>
      </c>
    </row>
    <row r="120" spans="7:7">
      <c r="G120" s="5" t="str">
        <f t="shared" si="13"/>
        <v/>
      </c>
    </row>
    <row r="121" spans="7:7">
      <c r="G121" s="5" t="str">
        <f t="shared" si="13"/>
        <v/>
      </c>
    </row>
    <row r="122" spans="7:7">
      <c r="G122" s="5" t="str">
        <f t="shared" si="13"/>
        <v/>
      </c>
    </row>
    <row r="123" spans="7:7">
      <c r="G123" s="5" t="str">
        <f t="shared" si="13"/>
        <v/>
      </c>
    </row>
    <row r="124" spans="7:7">
      <c r="G124" s="5" t="str">
        <f t="shared" si="13"/>
        <v/>
      </c>
    </row>
    <row r="125" spans="7:7">
      <c r="G125" s="5" t="str">
        <f t="shared" si="13"/>
        <v/>
      </c>
    </row>
    <row r="126" spans="7:7">
      <c r="G126" s="5" t="str">
        <f t="shared" si="13"/>
        <v/>
      </c>
    </row>
    <row r="127" spans="7:7">
      <c r="G127" s="5" t="str">
        <f t="shared" si="13"/>
        <v/>
      </c>
    </row>
    <row r="128" spans="7:7">
      <c r="G128" s="5" t="str">
        <f t="shared" si="13"/>
        <v/>
      </c>
    </row>
    <row r="129" spans="7:7">
      <c r="G129" s="5" t="str">
        <f t="shared" si="13"/>
        <v/>
      </c>
    </row>
    <row r="130" spans="7:7">
      <c r="G130" s="5" t="str">
        <f t="shared" si="13"/>
        <v/>
      </c>
    </row>
    <row r="131" spans="7:7">
      <c r="G131" s="5" t="str">
        <f t="shared" si="13"/>
        <v/>
      </c>
    </row>
    <row r="132" spans="7:7">
      <c r="G132" s="5" t="str">
        <f t="shared" si="13"/>
        <v/>
      </c>
    </row>
    <row r="133" spans="7:7">
      <c r="G133" s="5" t="str">
        <f t="shared" si="13"/>
        <v/>
      </c>
    </row>
    <row r="134" spans="7:7">
      <c r="G134" s="5" t="str">
        <f t="shared" si="13"/>
        <v/>
      </c>
    </row>
    <row r="135" spans="7:7">
      <c r="G135" s="5" t="str">
        <f t="shared" si="13"/>
        <v/>
      </c>
    </row>
    <row r="136" spans="7:7">
      <c r="G136" s="5" t="str">
        <f t="shared" si="13"/>
        <v/>
      </c>
    </row>
    <row r="137" spans="7:7">
      <c r="G137" s="5" t="str">
        <f t="shared" si="13"/>
        <v/>
      </c>
    </row>
    <row r="138" spans="7:7">
      <c r="G138" s="5" t="str">
        <f t="shared" si="13"/>
        <v/>
      </c>
    </row>
    <row r="139" spans="7:7">
      <c r="G139" s="5" t="str">
        <f t="shared" si="13"/>
        <v/>
      </c>
    </row>
    <row r="140" spans="7:7">
      <c r="G140" s="5" t="str">
        <f t="shared" si="13"/>
        <v/>
      </c>
    </row>
    <row r="141" spans="7:7">
      <c r="G141" s="5" t="str">
        <f t="shared" si="13"/>
        <v/>
      </c>
    </row>
    <row r="142" spans="7:7">
      <c r="G142" s="5" t="str">
        <f t="shared" si="13"/>
        <v/>
      </c>
    </row>
    <row r="143" spans="7:7">
      <c r="G143" s="5" t="str">
        <f t="shared" si="13"/>
        <v/>
      </c>
    </row>
    <row r="144" spans="7:7">
      <c r="G144" s="5" t="str">
        <f t="shared" si="13"/>
        <v/>
      </c>
    </row>
    <row r="145" spans="7:7">
      <c r="G145" s="5" t="str">
        <f t="shared" si="13"/>
        <v/>
      </c>
    </row>
    <row r="146" spans="7:7">
      <c r="G146" s="5" t="str">
        <f t="shared" si="13"/>
        <v/>
      </c>
    </row>
    <row r="147" spans="7:7">
      <c r="G147" s="5" t="str">
        <f t="shared" si="13"/>
        <v/>
      </c>
    </row>
    <row r="148" spans="7:7">
      <c r="G148" s="5" t="str">
        <f t="shared" si="13"/>
        <v/>
      </c>
    </row>
    <row r="149" spans="7:7">
      <c r="G149" s="5" t="str">
        <f t="shared" si="13"/>
        <v/>
      </c>
    </row>
    <row r="150" spans="7:7">
      <c r="G150" s="5" t="str">
        <f t="shared" si="13"/>
        <v/>
      </c>
    </row>
    <row r="151" spans="7:7">
      <c r="G151" s="5" t="str">
        <f t="shared" ref="G151:G214" si="14">IF(B151&lt;&gt;"",SUM(C151:F151),"")</f>
        <v/>
      </c>
    </row>
    <row r="152" spans="7:7">
      <c r="G152" s="5" t="str">
        <f t="shared" si="14"/>
        <v/>
      </c>
    </row>
    <row r="153" spans="7:7">
      <c r="G153" s="5" t="str">
        <f t="shared" si="14"/>
        <v/>
      </c>
    </row>
    <row r="154" spans="7:7">
      <c r="G154" s="5" t="str">
        <f t="shared" si="14"/>
        <v/>
      </c>
    </row>
    <row r="155" spans="7:7">
      <c r="G155" s="5" t="str">
        <f t="shared" si="14"/>
        <v/>
      </c>
    </row>
    <row r="156" spans="7:7">
      <c r="G156" s="5" t="str">
        <f t="shared" si="14"/>
        <v/>
      </c>
    </row>
    <row r="157" spans="7:7">
      <c r="G157" s="5" t="str">
        <f t="shared" si="14"/>
        <v/>
      </c>
    </row>
    <row r="158" spans="7:7">
      <c r="G158" s="5" t="str">
        <f t="shared" si="14"/>
        <v/>
      </c>
    </row>
    <row r="159" spans="7:7">
      <c r="G159" s="5" t="str">
        <f t="shared" si="14"/>
        <v/>
      </c>
    </row>
    <row r="160" spans="7:7">
      <c r="G160" s="5" t="str">
        <f t="shared" si="14"/>
        <v/>
      </c>
    </row>
    <row r="161" spans="7:7">
      <c r="G161" s="5" t="str">
        <f t="shared" si="14"/>
        <v/>
      </c>
    </row>
    <row r="162" spans="7:7">
      <c r="G162" s="5" t="str">
        <f t="shared" si="14"/>
        <v/>
      </c>
    </row>
    <row r="163" spans="7:7">
      <c r="G163" s="5" t="str">
        <f t="shared" si="14"/>
        <v/>
      </c>
    </row>
    <row r="164" spans="7:7">
      <c r="G164" s="5" t="str">
        <f t="shared" si="14"/>
        <v/>
      </c>
    </row>
    <row r="165" spans="7:7">
      <c r="G165" s="5" t="str">
        <f t="shared" si="14"/>
        <v/>
      </c>
    </row>
    <row r="166" spans="7:7">
      <c r="G166" s="5" t="str">
        <f t="shared" si="14"/>
        <v/>
      </c>
    </row>
    <row r="167" spans="7:7">
      <c r="G167" s="5" t="str">
        <f t="shared" si="14"/>
        <v/>
      </c>
    </row>
    <row r="168" spans="7:7">
      <c r="G168" s="5" t="str">
        <f t="shared" si="14"/>
        <v/>
      </c>
    </row>
    <row r="169" spans="7:7">
      <c r="G169" s="5" t="str">
        <f t="shared" si="14"/>
        <v/>
      </c>
    </row>
    <row r="170" spans="7:7">
      <c r="G170" s="5" t="str">
        <f t="shared" si="14"/>
        <v/>
      </c>
    </row>
    <row r="171" spans="7:7">
      <c r="G171" s="5" t="str">
        <f t="shared" si="14"/>
        <v/>
      </c>
    </row>
    <row r="172" spans="7:7">
      <c r="G172" s="5" t="str">
        <f t="shared" si="14"/>
        <v/>
      </c>
    </row>
    <row r="173" spans="7:7">
      <c r="G173" s="5" t="str">
        <f t="shared" si="14"/>
        <v/>
      </c>
    </row>
    <row r="174" spans="7:7">
      <c r="G174" s="5" t="str">
        <f t="shared" si="14"/>
        <v/>
      </c>
    </row>
    <row r="175" spans="7:7">
      <c r="G175" s="5" t="str">
        <f t="shared" si="14"/>
        <v/>
      </c>
    </row>
    <row r="176" spans="7:7">
      <c r="G176" s="5" t="str">
        <f t="shared" si="14"/>
        <v/>
      </c>
    </row>
    <row r="177" spans="7:7">
      <c r="G177" s="5" t="str">
        <f t="shared" si="14"/>
        <v/>
      </c>
    </row>
    <row r="178" spans="7:7">
      <c r="G178" s="5" t="str">
        <f t="shared" si="14"/>
        <v/>
      </c>
    </row>
    <row r="179" spans="7:7">
      <c r="G179" s="5" t="str">
        <f t="shared" si="14"/>
        <v/>
      </c>
    </row>
    <row r="180" spans="7:7">
      <c r="G180" s="5" t="str">
        <f t="shared" si="14"/>
        <v/>
      </c>
    </row>
    <row r="181" spans="7:7">
      <c r="G181" s="5" t="str">
        <f t="shared" si="14"/>
        <v/>
      </c>
    </row>
    <row r="182" spans="7:7">
      <c r="G182" s="5" t="str">
        <f t="shared" si="14"/>
        <v/>
      </c>
    </row>
    <row r="183" spans="7:7">
      <c r="G183" s="5" t="str">
        <f t="shared" si="14"/>
        <v/>
      </c>
    </row>
    <row r="184" spans="7:7">
      <c r="G184" s="5" t="str">
        <f t="shared" si="14"/>
        <v/>
      </c>
    </row>
    <row r="185" spans="7:7">
      <c r="G185" s="5" t="str">
        <f t="shared" si="14"/>
        <v/>
      </c>
    </row>
    <row r="186" spans="7:7">
      <c r="G186" s="5" t="str">
        <f t="shared" si="14"/>
        <v/>
      </c>
    </row>
    <row r="187" spans="7:7">
      <c r="G187" s="5" t="str">
        <f t="shared" si="14"/>
        <v/>
      </c>
    </row>
    <row r="188" spans="7:7">
      <c r="G188" s="5" t="str">
        <f t="shared" si="14"/>
        <v/>
      </c>
    </row>
    <row r="189" spans="7:7">
      <c r="G189" s="5" t="str">
        <f t="shared" si="14"/>
        <v/>
      </c>
    </row>
    <row r="190" spans="7:7">
      <c r="G190" s="5" t="str">
        <f t="shared" si="14"/>
        <v/>
      </c>
    </row>
    <row r="191" spans="7:7">
      <c r="G191" s="5" t="str">
        <f t="shared" si="14"/>
        <v/>
      </c>
    </row>
    <row r="192" spans="7:7">
      <c r="G192" s="5" t="str">
        <f t="shared" si="14"/>
        <v/>
      </c>
    </row>
    <row r="193" spans="7:7">
      <c r="G193" s="5" t="str">
        <f t="shared" si="14"/>
        <v/>
      </c>
    </row>
    <row r="194" spans="7:7">
      <c r="G194" s="5" t="str">
        <f t="shared" si="14"/>
        <v/>
      </c>
    </row>
    <row r="195" spans="7:7">
      <c r="G195" s="5" t="str">
        <f t="shared" si="14"/>
        <v/>
      </c>
    </row>
    <row r="196" spans="7:7">
      <c r="G196" s="5" t="str">
        <f t="shared" si="14"/>
        <v/>
      </c>
    </row>
    <row r="197" spans="7:7">
      <c r="G197" s="5" t="str">
        <f t="shared" si="14"/>
        <v/>
      </c>
    </row>
    <row r="198" spans="7:7">
      <c r="G198" s="5" t="str">
        <f t="shared" si="14"/>
        <v/>
      </c>
    </row>
    <row r="199" spans="7:7">
      <c r="G199" s="5" t="str">
        <f t="shared" si="14"/>
        <v/>
      </c>
    </row>
    <row r="200" spans="7:7">
      <c r="G200" s="5" t="str">
        <f t="shared" si="14"/>
        <v/>
      </c>
    </row>
    <row r="201" spans="7:7">
      <c r="G201" s="5" t="str">
        <f t="shared" si="14"/>
        <v/>
      </c>
    </row>
    <row r="202" spans="7:7">
      <c r="G202" s="5" t="str">
        <f t="shared" si="14"/>
        <v/>
      </c>
    </row>
    <row r="203" spans="7:7">
      <c r="G203" s="5" t="str">
        <f t="shared" si="14"/>
        <v/>
      </c>
    </row>
    <row r="204" spans="7:7">
      <c r="G204" s="5" t="str">
        <f t="shared" si="14"/>
        <v/>
      </c>
    </row>
    <row r="205" spans="7:7">
      <c r="G205" s="5" t="str">
        <f t="shared" si="14"/>
        <v/>
      </c>
    </row>
    <row r="206" spans="7:7">
      <c r="G206" s="5" t="str">
        <f t="shared" si="14"/>
        <v/>
      </c>
    </row>
    <row r="207" spans="7:7">
      <c r="G207" s="5" t="str">
        <f t="shared" si="14"/>
        <v/>
      </c>
    </row>
    <row r="208" spans="7:7">
      <c r="G208" s="5" t="str">
        <f t="shared" si="14"/>
        <v/>
      </c>
    </row>
    <row r="209" spans="7:7">
      <c r="G209" s="5" t="str">
        <f t="shared" si="14"/>
        <v/>
      </c>
    </row>
    <row r="210" spans="7:7">
      <c r="G210" s="5" t="str">
        <f t="shared" si="14"/>
        <v/>
      </c>
    </row>
    <row r="211" spans="7:7">
      <c r="G211" s="5" t="str">
        <f t="shared" si="14"/>
        <v/>
      </c>
    </row>
    <row r="212" spans="7:7">
      <c r="G212" s="5" t="str">
        <f t="shared" si="14"/>
        <v/>
      </c>
    </row>
    <row r="213" spans="7:7">
      <c r="G213" s="5" t="str">
        <f t="shared" si="14"/>
        <v/>
      </c>
    </row>
    <row r="214" spans="7:7">
      <c r="G214" s="5" t="str">
        <f t="shared" si="14"/>
        <v/>
      </c>
    </row>
    <row r="215" spans="7:7">
      <c r="G215" s="5" t="str">
        <f t="shared" ref="G215:G278" si="15">IF(B215&lt;&gt;"",SUM(C215:F215),"")</f>
        <v/>
      </c>
    </row>
    <row r="216" spans="7:7">
      <c r="G216" s="5" t="str">
        <f t="shared" si="15"/>
        <v/>
      </c>
    </row>
    <row r="217" spans="7:7">
      <c r="G217" s="5" t="str">
        <f t="shared" si="15"/>
        <v/>
      </c>
    </row>
    <row r="218" spans="7:7">
      <c r="G218" s="5" t="str">
        <f t="shared" si="15"/>
        <v/>
      </c>
    </row>
    <row r="219" spans="7:7">
      <c r="G219" s="5" t="str">
        <f t="shared" si="15"/>
        <v/>
      </c>
    </row>
    <row r="220" spans="7:7">
      <c r="G220" s="5" t="str">
        <f t="shared" si="15"/>
        <v/>
      </c>
    </row>
    <row r="221" spans="7:7">
      <c r="G221" s="5" t="str">
        <f t="shared" si="15"/>
        <v/>
      </c>
    </row>
    <row r="222" spans="7:7">
      <c r="G222" s="5" t="str">
        <f t="shared" si="15"/>
        <v/>
      </c>
    </row>
    <row r="223" spans="7:7">
      <c r="G223" s="5" t="str">
        <f t="shared" si="15"/>
        <v/>
      </c>
    </row>
    <row r="224" spans="7:7">
      <c r="G224" s="5" t="str">
        <f t="shared" si="15"/>
        <v/>
      </c>
    </row>
    <row r="225" spans="7:7">
      <c r="G225" s="5" t="str">
        <f t="shared" si="15"/>
        <v/>
      </c>
    </row>
    <row r="226" spans="7:7">
      <c r="G226" s="5" t="str">
        <f t="shared" si="15"/>
        <v/>
      </c>
    </row>
    <row r="227" spans="7:7">
      <c r="G227" s="5" t="str">
        <f t="shared" si="15"/>
        <v/>
      </c>
    </row>
    <row r="228" spans="7:7">
      <c r="G228" s="5" t="str">
        <f t="shared" si="15"/>
        <v/>
      </c>
    </row>
    <row r="229" spans="7:7">
      <c r="G229" s="5" t="str">
        <f t="shared" si="15"/>
        <v/>
      </c>
    </row>
    <row r="230" spans="7:7">
      <c r="G230" s="5" t="str">
        <f t="shared" si="15"/>
        <v/>
      </c>
    </row>
    <row r="231" spans="7:7">
      <c r="G231" s="5" t="str">
        <f t="shared" si="15"/>
        <v/>
      </c>
    </row>
    <row r="232" spans="7:7">
      <c r="G232" s="5" t="str">
        <f t="shared" si="15"/>
        <v/>
      </c>
    </row>
    <row r="233" spans="7:7">
      <c r="G233" s="5" t="str">
        <f t="shared" si="15"/>
        <v/>
      </c>
    </row>
    <row r="234" spans="7:7">
      <c r="G234" s="5" t="str">
        <f t="shared" si="15"/>
        <v/>
      </c>
    </row>
    <row r="235" spans="7:7">
      <c r="G235" s="5" t="str">
        <f t="shared" si="15"/>
        <v/>
      </c>
    </row>
    <row r="236" spans="7:7">
      <c r="G236" s="5" t="str">
        <f t="shared" si="15"/>
        <v/>
      </c>
    </row>
    <row r="237" spans="7:7">
      <c r="G237" s="5" t="str">
        <f t="shared" si="15"/>
        <v/>
      </c>
    </row>
    <row r="238" spans="7:7">
      <c r="G238" s="5" t="str">
        <f t="shared" si="15"/>
        <v/>
      </c>
    </row>
    <row r="239" spans="7:7">
      <c r="G239" s="5" t="str">
        <f t="shared" si="15"/>
        <v/>
      </c>
    </row>
    <row r="240" spans="7:7">
      <c r="G240" s="5" t="str">
        <f t="shared" si="15"/>
        <v/>
      </c>
    </row>
    <row r="241" spans="7:7">
      <c r="G241" s="5" t="str">
        <f t="shared" si="15"/>
        <v/>
      </c>
    </row>
    <row r="242" spans="7:7">
      <c r="G242" s="5" t="str">
        <f t="shared" si="15"/>
        <v/>
      </c>
    </row>
    <row r="243" spans="7:7">
      <c r="G243" s="5" t="str">
        <f t="shared" si="15"/>
        <v/>
      </c>
    </row>
    <row r="244" spans="7:7">
      <c r="G244" s="5" t="str">
        <f t="shared" si="15"/>
        <v/>
      </c>
    </row>
    <row r="245" spans="7:7">
      <c r="G245" s="5" t="str">
        <f t="shared" si="15"/>
        <v/>
      </c>
    </row>
    <row r="246" spans="7:7">
      <c r="G246" s="5" t="str">
        <f t="shared" si="15"/>
        <v/>
      </c>
    </row>
    <row r="247" spans="7:7">
      <c r="G247" s="5" t="str">
        <f t="shared" si="15"/>
        <v/>
      </c>
    </row>
    <row r="248" spans="7:7">
      <c r="G248" s="5" t="str">
        <f t="shared" si="15"/>
        <v/>
      </c>
    </row>
    <row r="249" spans="7:7">
      <c r="G249" s="5" t="str">
        <f t="shared" si="15"/>
        <v/>
      </c>
    </row>
    <row r="250" spans="7:7">
      <c r="G250" s="5" t="str">
        <f t="shared" si="15"/>
        <v/>
      </c>
    </row>
    <row r="251" spans="7:7">
      <c r="G251" s="5" t="str">
        <f t="shared" si="15"/>
        <v/>
      </c>
    </row>
    <row r="252" spans="7:7">
      <c r="G252" s="5" t="str">
        <f t="shared" si="15"/>
        <v/>
      </c>
    </row>
    <row r="253" spans="7:7">
      <c r="G253" s="5" t="str">
        <f t="shared" si="15"/>
        <v/>
      </c>
    </row>
    <row r="254" spans="7:7">
      <c r="G254" s="5" t="str">
        <f t="shared" si="15"/>
        <v/>
      </c>
    </row>
    <row r="255" spans="7:7">
      <c r="G255" s="5" t="str">
        <f t="shared" si="15"/>
        <v/>
      </c>
    </row>
    <row r="256" spans="7:7">
      <c r="G256" s="5" t="str">
        <f t="shared" si="15"/>
        <v/>
      </c>
    </row>
    <row r="257" spans="7:7">
      <c r="G257" s="5" t="str">
        <f t="shared" si="15"/>
        <v/>
      </c>
    </row>
    <row r="258" spans="7:7">
      <c r="G258" s="5" t="str">
        <f t="shared" si="15"/>
        <v/>
      </c>
    </row>
    <row r="259" spans="7:7">
      <c r="G259" s="5" t="str">
        <f t="shared" si="15"/>
        <v/>
      </c>
    </row>
    <row r="260" spans="7:7">
      <c r="G260" s="5" t="str">
        <f t="shared" si="15"/>
        <v/>
      </c>
    </row>
    <row r="261" spans="7:7">
      <c r="G261" s="5" t="str">
        <f t="shared" si="15"/>
        <v/>
      </c>
    </row>
    <row r="262" spans="7:7">
      <c r="G262" s="5" t="str">
        <f t="shared" si="15"/>
        <v/>
      </c>
    </row>
    <row r="263" spans="7:7">
      <c r="G263" s="5" t="str">
        <f t="shared" si="15"/>
        <v/>
      </c>
    </row>
    <row r="264" spans="7:7">
      <c r="G264" s="5" t="str">
        <f t="shared" si="15"/>
        <v/>
      </c>
    </row>
    <row r="265" spans="7:7">
      <c r="G265" s="5" t="str">
        <f t="shared" si="15"/>
        <v/>
      </c>
    </row>
    <row r="266" spans="7:7">
      <c r="G266" s="5" t="str">
        <f t="shared" si="15"/>
        <v/>
      </c>
    </row>
    <row r="267" spans="7:7">
      <c r="G267" s="5" t="str">
        <f t="shared" si="15"/>
        <v/>
      </c>
    </row>
    <row r="268" spans="7:7">
      <c r="G268" s="5" t="str">
        <f t="shared" si="15"/>
        <v/>
      </c>
    </row>
    <row r="269" spans="7:7">
      <c r="G269" s="5" t="str">
        <f t="shared" si="15"/>
        <v/>
      </c>
    </row>
    <row r="270" spans="7:7">
      <c r="G270" s="5" t="str">
        <f t="shared" si="15"/>
        <v/>
      </c>
    </row>
    <row r="271" spans="7:7">
      <c r="G271" s="5" t="str">
        <f t="shared" si="15"/>
        <v/>
      </c>
    </row>
    <row r="272" spans="7:7">
      <c r="G272" s="5" t="str">
        <f t="shared" si="15"/>
        <v/>
      </c>
    </row>
    <row r="273" spans="7:7">
      <c r="G273" s="5" t="str">
        <f t="shared" si="15"/>
        <v/>
      </c>
    </row>
    <row r="274" spans="7:7">
      <c r="G274" s="5" t="str">
        <f t="shared" si="15"/>
        <v/>
      </c>
    </row>
    <row r="275" spans="7:7">
      <c r="G275" s="5" t="str">
        <f t="shared" si="15"/>
        <v/>
      </c>
    </row>
    <row r="276" spans="7:7">
      <c r="G276" s="5" t="str">
        <f t="shared" si="15"/>
        <v/>
      </c>
    </row>
    <row r="277" spans="7:7">
      <c r="G277" s="5" t="str">
        <f t="shared" si="15"/>
        <v/>
      </c>
    </row>
    <row r="278" spans="7:7">
      <c r="G278" s="5" t="str">
        <f t="shared" si="15"/>
        <v/>
      </c>
    </row>
    <row r="279" spans="7:7">
      <c r="G279" s="5" t="str">
        <f t="shared" ref="G279:G342" si="16">IF(B279&lt;&gt;"",SUM(C279:F279),"")</f>
        <v/>
      </c>
    </row>
    <row r="280" spans="7:7">
      <c r="G280" s="5" t="str">
        <f t="shared" si="16"/>
        <v/>
      </c>
    </row>
    <row r="281" spans="7:7">
      <c r="G281" s="5" t="str">
        <f t="shared" si="16"/>
        <v/>
      </c>
    </row>
    <row r="282" spans="7:7">
      <c r="G282" s="5" t="str">
        <f t="shared" si="16"/>
        <v/>
      </c>
    </row>
    <row r="283" spans="7:7">
      <c r="G283" s="5" t="str">
        <f t="shared" si="16"/>
        <v/>
      </c>
    </row>
    <row r="284" spans="7:7">
      <c r="G284" s="5" t="str">
        <f t="shared" si="16"/>
        <v/>
      </c>
    </row>
    <row r="285" spans="7:7">
      <c r="G285" s="5" t="str">
        <f t="shared" si="16"/>
        <v/>
      </c>
    </row>
    <row r="286" spans="7:7">
      <c r="G286" s="5" t="str">
        <f t="shared" si="16"/>
        <v/>
      </c>
    </row>
    <row r="287" spans="7:7">
      <c r="G287" s="5" t="str">
        <f t="shared" si="16"/>
        <v/>
      </c>
    </row>
    <row r="288" spans="7:7">
      <c r="G288" s="5" t="str">
        <f t="shared" si="16"/>
        <v/>
      </c>
    </row>
    <row r="289" spans="7:7">
      <c r="G289" s="5" t="str">
        <f t="shared" si="16"/>
        <v/>
      </c>
    </row>
    <row r="290" spans="7:7">
      <c r="G290" s="5" t="str">
        <f t="shared" si="16"/>
        <v/>
      </c>
    </row>
    <row r="291" spans="7:7">
      <c r="G291" s="5" t="str">
        <f t="shared" si="16"/>
        <v/>
      </c>
    </row>
    <row r="292" spans="7:7">
      <c r="G292" s="5" t="str">
        <f t="shared" si="16"/>
        <v/>
      </c>
    </row>
    <row r="293" spans="7:7">
      <c r="G293" s="5" t="str">
        <f t="shared" si="16"/>
        <v/>
      </c>
    </row>
    <row r="294" spans="7:7">
      <c r="G294" s="5" t="str">
        <f t="shared" si="16"/>
        <v/>
      </c>
    </row>
    <row r="295" spans="7:7">
      <c r="G295" s="5" t="str">
        <f t="shared" si="16"/>
        <v/>
      </c>
    </row>
    <row r="296" spans="7:7">
      <c r="G296" s="5" t="str">
        <f t="shared" si="16"/>
        <v/>
      </c>
    </row>
    <row r="297" spans="7:7">
      <c r="G297" s="5" t="str">
        <f t="shared" si="16"/>
        <v/>
      </c>
    </row>
    <row r="298" spans="7:7">
      <c r="G298" s="5" t="str">
        <f t="shared" si="16"/>
        <v/>
      </c>
    </row>
    <row r="299" spans="7:7">
      <c r="G299" s="5" t="str">
        <f t="shared" si="16"/>
        <v/>
      </c>
    </row>
    <row r="300" spans="7:7">
      <c r="G300" s="5" t="str">
        <f t="shared" si="16"/>
        <v/>
      </c>
    </row>
    <row r="301" spans="7:7">
      <c r="G301" s="5" t="str">
        <f t="shared" si="16"/>
        <v/>
      </c>
    </row>
    <row r="302" spans="7:7">
      <c r="G302" s="5" t="str">
        <f t="shared" si="16"/>
        <v/>
      </c>
    </row>
    <row r="303" spans="7:7">
      <c r="G303" s="5" t="str">
        <f t="shared" si="16"/>
        <v/>
      </c>
    </row>
    <row r="304" spans="7:7">
      <c r="G304" s="5" t="str">
        <f t="shared" si="16"/>
        <v/>
      </c>
    </row>
    <row r="305" spans="7:7">
      <c r="G305" s="5" t="str">
        <f t="shared" si="16"/>
        <v/>
      </c>
    </row>
    <row r="306" spans="7:7">
      <c r="G306" s="5" t="str">
        <f t="shared" si="16"/>
        <v/>
      </c>
    </row>
    <row r="307" spans="7:7">
      <c r="G307" s="5" t="str">
        <f t="shared" si="16"/>
        <v/>
      </c>
    </row>
    <row r="308" spans="7:7">
      <c r="G308" s="5" t="str">
        <f t="shared" si="16"/>
        <v/>
      </c>
    </row>
    <row r="309" spans="7:7">
      <c r="G309" s="5" t="str">
        <f t="shared" si="16"/>
        <v/>
      </c>
    </row>
    <row r="310" spans="7:7">
      <c r="G310" s="5" t="str">
        <f t="shared" si="16"/>
        <v/>
      </c>
    </row>
    <row r="311" spans="7:7">
      <c r="G311" s="5" t="str">
        <f t="shared" si="16"/>
        <v/>
      </c>
    </row>
    <row r="312" spans="7:7">
      <c r="G312" s="5" t="str">
        <f t="shared" si="16"/>
        <v/>
      </c>
    </row>
    <row r="313" spans="7:7">
      <c r="G313" s="5" t="str">
        <f t="shared" si="16"/>
        <v/>
      </c>
    </row>
    <row r="314" spans="7:7">
      <c r="G314" s="5" t="str">
        <f t="shared" si="16"/>
        <v/>
      </c>
    </row>
    <row r="315" spans="7:7">
      <c r="G315" s="5" t="str">
        <f t="shared" si="16"/>
        <v/>
      </c>
    </row>
    <row r="316" spans="7:7">
      <c r="G316" s="5" t="str">
        <f t="shared" si="16"/>
        <v/>
      </c>
    </row>
    <row r="317" spans="7:7">
      <c r="G317" s="5" t="str">
        <f t="shared" si="16"/>
        <v/>
      </c>
    </row>
    <row r="318" spans="7:7">
      <c r="G318" s="5" t="str">
        <f t="shared" si="16"/>
        <v/>
      </c>
    </row>
    <row r="319" spans="7:7">
      <c r="G319" s="5" t="str">
        <f t="shared" si="16"/>
        <v/>
      </c>
    </row>
    <row r="320" spans="7:7">
      <c r="G320" s="5" t="str">
        <f t="shared" si="16"/>
        <v/>
      </c>
    </row>
    <row r="321" spans="7:7">
      <c r="G321" s="5" t="str">
        <f t="shared" si="16"/>
        <v/>
      </c>
    </row>
    <row r="322" spans="7:7">
      <c r="G322" s="5" t="str">
        <f t="shared" si="16"/>
        <v/>
      </c>
    </row>
    <row r="323" spans="7:7">
      <c r="G323" s="5" t="str">
        <f t="shared" si="16"/>
        <v/>
      </c>
    </row>
    <row r="324" spans="7:7">
      <c r="G324" s="5" t="str">
        <f t="shared" si="16"/>
        <v/>
      </c>
    </row>
    <row r="325" spans="7:7">
      <c r="G325" s="5" t="str">
        <f t="shared" si="16"/>
        <v/>
      </c>
    </row>
    <row r="326" spans="7:7">
      <c r="G326" s="5" t="str">
        <f t="shared" si="16"/>
        <v/>
      </c>
    </row>
    <row r="327" spans="7:7">
      <c r="G327" s="5" t="str">
        <f t="shared" si="16"/>
        <v/>
      </c>
    </row>
    <row r="328" spans="7:7">
      <c r="G328" s="5" t="str">
        <f t="shared" si="16"/>
        <v/>
      </c>
    </row>
    <row r="329" spans="7:7">
      <c r="G329" s="5" t="str">
        <f t="shared" si="16"/>
        <v/>
      </c>
    </row>
    <row r="330" spans="7:7">
      <c r="G330" s="5" t="str">
        <f t="shared" si="16"/>
        <v/>
      </c>
    </row>
    <row r="331" spans="7:7">
      <c r="G331" s="5" t="str">
        <f t="shared" si="16"/>
        <v/>
      </c>
    </row>
    <row r="332" spans="7:7">
      <c r="G332" s="5" t="str">
        <f t="shared" si="16"/>
        <v/>
      </c>
    </row>
    <row r="333" spans="7:7">
      <c r="G333" s="5" t="str">
        <f t="shared" si="16"/>
        <v/>
      </c>
    </row>
    <row r="334" spans="7:7">
      <c r="G334" s="5" t="str">
        <f t="shared" si="16"/>
        <v/>
      </c>
    </row>
    <row r="335" spans="7:7">
      <c r="G335" s="5" t="str">
        <f t="shared" si="16"/>
        <v/>
      </c>
    </row>
    <row r="336" spans="7:7">
      <c r="G336" s="5" t="str">
        <f t="shared" si="16"/>
        <v/>
      </c>
    </row>
    <row r="337" spans="7:7">
      <c r="G337" s="5" t="str">
        <f t="shared" si="16"/>
        <v/>
      </c>
    </row>
    <row r="338" spans="7:7">
      <c r="G338" s="5" t="str">
        <f t="shared" si="16"/>
        <v/>
      </c>
    </row>
    <row r="339" spans="7:7">
      <c r="G339" s="5" t="str">
        <f t="shared" si="16"/>
        <v/>
      </c>
    </row>
    <row r="340" spans="7:7">
      <c r="G340" s="5" t="str">
        <f t="shared" si="16"/>
        <v/>
      </c>
    </row>
    <row r="341" spans="7:7">
      <c r="G341" s="5" t="str">
        <f t="shared" si="16"/>
        <v/>
      </c>
    </row>
    <row r="342" spans="7:7">
      <c r="G342" s="5" t="str">
        <f t="shared" si="16"/>
        <v/>
      </c>
    </row>
    <row r="343" spans="7:7">
      <c r="G343" s="5" t="str">
        <f t="shared" ref="G343:G406" si="17">IF(B343&lt;&gt;"",SUM(C343:F343),"")</f>
        <v/>
      </c>
    </row>
    <row r="344" spans="7:7">
      <c r="G344" s="5" t="str">
        <f t="shared" si="17"/>
        <v/>
      </c>
    </row>
    <row r="345" spans="7:7">
      <c r="G345" s="5" t="str">
        <f t="shared" si="17"/>
        <v/>
      </c>
    </row>
    <row r="346" spans="7:7">
      <c r="G346" s="5" t="str">
        <f t="shared" si="17"/>
        <v/>
      </c>
    </row>
    <row r="347" spans="7:7">
      <c r="G347" s="5" t="str">
        <f t="shared" si="17"/>
        <v/>
      </c>
    </row>
    <row r="348" spans="7:7">
      <c r="G348" s="5" t="str">
        <f t="shared" si="17"/>
        <v/>
      </c>
    </row>
    <row r="349" spans="7:7">
      <c r="G349" s="5" t="str">
        <f t="shared" si="17"/>
        <v/>
      </c>
    </row>
    <row r="350" spans="7:7">
      <c r="G350" s="5" t="str">
        <f t="shared" si="17"/>
        <v/>
      </c>
    </row>
    <row r="351" spans="7:7">
      <c r="G351" s="5" t="str">
        <f t="shared" si="17"/>
        <v/>
      </c>
    </row>
    <row r="352" spans="7:7">
      <c r="G352" s="5" t="str">
        <f t="shared" si="17"/>
        <v/>
      </c>
    </row>
    <row r="353" spans="7:7">
      <c r="G353" s="5" t="str">
        <f t="shared" si="17"/>
        <v/>
      </c>
    </row>
    <row r="354" spans="7:7">
      <c r="G354" s="5" t="str">
        <f t="shared" si="17"/>
        <v/>
      </c>
    </row>
    <row r="355" spans="7:7">
      <c r="G355" s="5" t="str">
        <f t="shared" si="17"/>
        <v/>
      </c>
    </row>
    <row r="356" spans="7:7">
      <c r="G356" s="5" t="str">
        <f t="shared" si="17"/>
        <v/>
      </c>
    </row>
    <row r="357" spans="7:7">
      <c r="G357" s="5" t="str">
        <f t="shared" si="17"/>
        <v/>
      </c>
    </row>
    <row r="358" spans="7:7">
      <c r="G358" s="5" t="str">
        <f t="shared" si="17"/>
        <v/>
      </c>
    </row>
    <row r="359" spans="7:7">
      <c r="G359" s="5" t="str">
        <f t="shared" si="17"/>
        <v/>
      </c>
    </row>
    <row r="360" spans="7:7">
      <c r="G360" s="5" t="str">
        <f t="shared" si="17"/>
        <v/>
      </c>
    </row>
    <row r="361" spans="7:7">
      <c r="G361" s="5" t="str">
        <f t="shared" si="17"/>
        <v/>
      </c>
    </row>
    <row r="362" spans="7:7">
      <c r="G362" s="5" t="str">
        <f t="shared" si="17"/>
        <v/>
      </c>
    </row>
    <row r="363" spans="7:7">
      <c r="G363" s="5" t="str">
        <f t="shared" si="17"/>
        <v/>
      </c>
    </row>
    <row r="364" spans="7:7">
      <c r="G364" s="5" t="str">
        <f t="shared" si="17"/>
        <v/>
      </c>
    </row>
    <row r="365" spans="7:7">
      <c r="G365" s="5" t="str">
        <f t="shared" si="17"/>
        <v/>
      </c>
    </row>
    <row r="366" spans="7:7">
      <c r="G366" s="5" t="str">
        <f t="shared" si="17"/>
        <v/>
      </c>
    </row>
    <row r="367" spans="7:7">
      <c r="G367" s="5" t="str">
        <f t="shared" si="17"/>
        <v/>
      </c>
    </row>
    <row r="368" spans="7:7">
      <c r="G368" s="5" t="str">
        <f t="shared" si="17"/>
        <v/>
      </c>
    </row>
    <row r="369" spans="7:7">
      <c r="G369" s="5" t="str">
        <f t="shared" si="17"/>
        <v/>
      </c>
    </row>
    <row r="370" spans="7:7">
      <c r="G370" s="5" t="str">
        <f t="shared" si="17"/>
        <v/>
      </c>
    </row>
    <row r="371" spans="7:7">
      <c r="G371" s="5" t="str">
        <f t="shared" si="17"/>
        <v/>
      </c>
    </row>
    <row r="372" spans="7:7">
      <c r="G372" s="5" t="str">
        <f t="shared" si="17"/>
        <v/>
      </c>
    </row>
    <row r="373" spans="7:7">
      <c r="G373" s="5" t="str">
        <f t="shared" si="17"/>
        <v/>
      </c>
    </row>
    <row r="374" spans="7:7">
      <c r="G374" s="5" t="str">
        <f t="shared" si="17"/>
        <v/>
      </c>
    </row>
    <row r="375" spans="7:7">
      <c r="G375" s="5" t="str">
        <f t="shared" si="17"/>
        <v/>
      </c>
    </row>
    <row r="376" spans="7:7">
      <c r="G376" s="5" t="str">
        <f t="shared" si="17"/>
        <v/>
      </c>
    </row>
    <row r="377" spans="7:7">
      <c r="G377" s="5" t="str">
        <f t="shared" si="17"/>
        <v/>
      </c>
    </row>
    <row r="378" spans="7:7">
      <c r="G378" s="5" t="str">
        <f t="shared" si="17"/>
        <v/>
      </c>
    </row>
    <row r="379" spans="7:7">
      <c r="G379" s="5" t="str">
        <f t="shared" si="17"/>
        <v/>
      </c>
    </row>
    <row r="380" spans="7:7">
      <c r="G380" s="5" t="str">
        <f t="shared" si="17"/>
        <v/>
      </c>
    </row>
    <row r="381" spans="7:7">
      <c r="G381" s="5" t="str">
        <f t="shared" si="17"/>
        <v/>
      </c>
    </row>
    <row r="382" spans="7:7">
      <c r="G382" s="5" t="str">
        <f t="shared" si="17"/>
        <v/>
      </c>
    </row>
    <row r="383" spans="7:7">
      <c r="G383" s="5" t="str">
        <f t="shared" si="17"/>
        <v/>
      </c>
    </row>
    <row r="384" spans="7:7">
      <c r="G384" s="5" t="str">
        <f t="shared" si="17"/>
        <v/>
      </c>
    </row>
    <row r="385" spans="7:7">
      <c r="G385" s="5" t="str">
        <f t="shared" si="17"/>
        <v/>
      </c>
    </row>
    <row r="386" spans="7:7">
      <c r="G386" s="5" t="str">
        <f t="shared" si="17"/>
        <v/>
      </c>
    </row>
    <row r="387" spans="7:7">
      <c r="G387" s="5" t="str">
        <f t="shared" si="17"/>
        <v/>
      </c>
    </row>
    <row r="388" spans="7:7">
      <c r="G388" s="5" t="str">
        <f t="shared" si="17"/>
        <v/>
      </c>
    </row>
    <row r="389" spans="7:7">
      <c r="G389" s="5" t="str">
        <f t="shared" si="17"/>
        <v/>
      </c>
    </row>
    <row r="390" spans="7:7">
      <c r="G390" s="5" t="str">
        <f t="shared" si="17"/>
        <v/>
      </c>
    </row>
    <row r="391" spans="7:7">
      <c r="G391" s="5" t="str">
        <f t="shared" si="17"/>
        <v/>
      </c>
    </row>
    <row r="392" spans="7:7">
      <c r="G392" s="5" t="str">
        <f t="shared" si="17"/>
        <v/>
      </c>
    </row>
    <row r="393" spans="7:7">
      <c r="G393" s="5" t="str">
        <f t="shared" si="17"/>
        <v/>
      </c>
    </row>
    <row r="394" spans="7:7">
      <c r="G394" s="5" t="str">
        <f t="shared" si="17"/>
        <v/>
      </c>
    </row>
    <row r="395" spans="7:7">
      <c r="G395" s="5" t="str">
        <f t="shared" si="17"/>
        <v/>
      </c>
    </row>
    <row r="396" spans="7:7">
      <c r="G396" s="5" t="str">
        <f t="shared" si="17"/>
        <v/>
      </c>
    </row>
    <row r="397" spans="7:7">
      <c r="G397" s="5" t="str">
        <f t="shared" si="17"/>
        <v/>
      </c>
    </row>
    <row r="398" spans="7:7">
      <c r="G398" s="5" t="str">
        <f t="shared" si="17"/>
        <v/>
      </c>
    </row>
    <row r="399" spans="7:7">
      <c r="G399" s="5" t="str">
        <f t="shared" si="17"/>
        <v/>
      </c>
    </row>
    <row r="400" spans="7:7">
      <c r="G400" s="5" t="str">
        <f t="shared" si="17"/>
        <v/>
      </c>
    </row>
    <row r="401" spans="7:7">
      <c r="G401" s="5" t="str">
        <f t="shared" si="17"/>
        <v/>
      </c>
    </row>
    <row r="402" spans="7:7">
      <c r="G402" s="5" t="str">
        <f t="shared" si="17"/>
        <v/>
      </c>
    </row>
    <row r="403" spans="7:7">
      <c r="G403" s="5" t="str">
        <f t="shared" si="17"/>
        <v/>
      </c>
    </row>
    <row r="404" spans="7:7">
      <c r="G404" s="5" t="str">
        <f t="shared" si="17"/>
        <v/>
      </c>
    </row>
    <row r="405" spans="7:7">
      <c r="G405" s="5" t="str">
        <f t="shared" si="17"/>
        <v/>
      </c>
    </row>
    <row r="406" spans="7:7">
      <c r="G406" s="5" t="str">
        <f t="shared" si="17"/>
        <v/>
      </c>
    </row>
    <row r="407" spans="7:7">
      <c r="G407" s="5" t="str">
        <f t="shared" ref="G407:G438" si="18">IF(B407&lt;&gt;"",SUM(C407:F407),"")</f>
        <v/>
      </c>
    </row>
    <row r="408" spans="7:7">
      <c r="G408" s="5" t="str">
        <f t="shared" si="18"/>
        <v/>
      </c>
    </row>
    <row r="409" spans="7:7">
      <c r="G409" s="5" t="str">
        <f t="shared" si="18"/>
        <v/>
      </c>
    </row>
    <row r="410" spans="7:7">
      <c r="G410" s="5" t="str">
        <f t="shared" si="18"/>
        <v/>
      </c>
    </row>
    <row r="411" spans="7:7">
      <c r="G411" s="5" t="str">
        <f t="shared" si="18"/>
        <v/>
      </c>
    </row>
    <row r="412" spans="7:7">
      <c r="G412" s="5" t="str">
        <f t="shared" si="18"/>
        <v/>
      </c>
    </row>
    <row r="413" spans="7:7">
      <c r="G413" s="5" t="str">
        <f t="shared" si="18"/>
        <v/>
      </c>
    </row>
    <row r="414" spans="7:7">
      <c r="G414" s="5" t="str">
        <f t="shared" si="18"/>
        <v/>
      </c>
    </row>
    <row r="415" spans="7:7">
      <c r="G415" s="5" t="str">
        <f t="shared" si="18"/>
        <v/>
      </c>
    </row>
    <row r="416" spans="7:7">
      <c r="G416" s="5" t="str">
        <f t="shared" si="18"/>
        <v/>
      </c>
    </row>
    <row r="417" spans="7:7">
      <c r="G417" s="5" t="str">
        <f t="shared" si="18"/>
        <v/>
      </c>
    </row>
    <row r="418" spans="7:7">
      <c r="G418" s="5" t="str">
        <f t="shared" si="18"/>
        <v/>
      </c>
    </row>
    <row r="419" spans="7:7">
      <c r="G419" s="5" t="str">
        <f t="shared" si="18"/>
        <v/>
      </c>
    </row>
    <row r="420" spans="7:7">
      <c r="G420" s="5" t="str">
        <f t="shared" si="18"/>
        <v/>
      </c>
    </row>
    <row r="421" spans="7:7">
      <c r="G421" s="5" t="str">
        <f t="shared" si="18"/>
        <v/>
      </c>
    </row>
    <row r="422" spans="7:7">
      <c r="G422" s="5" t="str">
        <f t="shared" si="18"/>
        <v/>
      </c>
    </row>
    <row r="423" spans="7:7">
      <c r="G423" s="5" t="str">
        <f t="shared" si="18"/>
        <v/>
      </c>
    </row>
    <row r="424" spans="7:7">
      <c r="G424" s="5" t="str">
        <f t="shared" si="18"/>
        <v/>
      </c>
    </row>
    <row r="425" spans="7:7">
      <c r="G425" s="5" t="str">
        <f t="shared" si="18"/>
        <v/>
      </c>
    </row>
    <row r="426" spans="7:7">
      <c r="G426" s="5" t="str">
        <f t="shared" si="18"/>
        <v/>
      </c>
    </row>
    <row r="427" spans="7:7">
      <c r="G427" s="5" t="str">
        <f t="shared" si="18"/>
        <v/>
      </c>
    </row>
    <row r="428" spans="7:7">
      <c r="G428" s="5" t="str">
        <f t="shared" si="18"/>
        <v/>
      </c>
    </row>
    <row r="429" spans="7:7">
      <c r="G429" s="5" t="str">
        <f t="shared" si="18"/>
        <v/>
      </c>
    </row>
    <row r="430" spans="7:7">
      <c r="G430" s="5" t="str">
        <f t="shared" si="18"/>
        <v/>
      </c>
    </row>
    <row r="431" spans="7:7">
      <c r="G431" s="5" t="str">
        <f t="shared" si="18"/>
        <v/>
      </c>
    </row>
    <row r="432" spans="7:7">
      <c r="G432" s="5" t="str">
        <f t="shared" si="18"/>
        <v/>
      </c>
    </row>
    <row r="433" spans="7:7">
      <c r="G433" s="5" t="str">
        <f t="shared" si="18"/>
        <v/>
      </c>
    </row>
    <row r="434" spans="7:7">
      <c r="G434" s="5" t="str">
        <f t="shared" si="18"/>
        <v/>
      </c>
    </row>
    <row r="435" spans="7:7">
      <c r="G435" s="5" t="str">
        <f t="shared" si="18"/>
        <v/>
      </c>
    </row>
    <row r="436" spans="7:7">
      <c r="G436" s="5" t="str">
        <f t="shared" si="18"/>
        <v/>
      </c>
    </row>
    <row r="437" spans="7:7">
      <c r="G437" s="5" t="str">
        <f t="shared" si="18"/>
        <v/>
      </c>
    </row>
    <row r="438" spans="7:7">
      <c r="G438" s="5" t="str">
        <f t="shared" si="18"/>
        <v/>
      </c>
    </row>
  </sheetData>
  <sheetProtection sort="0" autoFilter="0" pivotTables="0"/>
  <autoFilter ref="H5:H12" xr:uid="{1BB01903-7FDC-4CC0-89BF-44ADE7177FBF}">
    <filterColumn colId="0">
      <filters blank="1">
        <filter val="196"/>
        <filter val="200"/>
        <filter val="24"/>
        <filter val="360"/>
        <filter val="R$ 12.842,00"/>
      </filters>
    </filterColumn>
  </autoFilter>
  <pageMargins left="0.78740157480314965" right="0.78740157480314965" top="0.78740157480314965" bottom="0.78740157480314965" header="0" footer="0"/>
  <pageSetup paperSize="9" scale="89" orientation="landscape" verticalDpi="4294967295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2092A-4183-4930-A69E-7AA724E5D3DF}">
  <sheetPr codeName="Planilha28">
    <tabColor rgb="FFFF0000"/>
    <pageSetUpPr fitToPage="1"/>
  </sheetPr>
  <dimension ref="B1:T452"/>
  <sheetViews>
    <sheetView zoomScaleNormal="100" workbookViewId="0">
      <pane ySplit="5" topLeftCell="A6" activePane="bottomLeft" state="frozen"/>
      <selection activeCell="G18" sqref="G18"/>
      <selection pane="bottomLeft" activeCell="F6" sqref="F6:F26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0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20" ht="4.5" customHeight="1">
      <c r="B1" s="1"/>
      <c r="C1" s="4"/>
      <c r="D1" s="4"/>
      <c r="E1" s="4"/>
      <c r="F1" s="4"/>
      <c r="G1" s="4"/>
    </row>
    <row r="2" spans="2:20" ht="59.25" customHeight="1">
      <c r="B2" s="63" t="s">
        <v>33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20" ht="4.5" customHeight="1" thickBot="1">
      <c r="B3" s="1"/>
      <c r="C3" s="4"/>
      <c r="D3" s="4"/>
      <c r="E3" s="4"/>
      <c r="F3" s="4"/>
      <c r="G3" s="4"/>
    </row>
    <row r="4" spans="2:20">
      <c r="B4" s="42" t="s">
        <v>6</v>
      </c>
      <c r="C4" s="43"/>
      <c r="D4" s="43"/>
      <c r="E4" s="43"/>
      <c r="F4" s="44"/>
      <c r="G4" s="45"/>
      <c r="H4" s="46"/>
      <c r="I4" s="47" t="s">
        <v>48</v>
      </c>
      <c r="J4" s="48" t="s">
        <v>9</v>
      </c>
      <c r="K4" s="48" t="s">
        <v>9</v>
      </c>
      <c r="L4" s="49">
        <v>4.7619047619047616E-2</v>
      </c>
      <c r="M4" s="50" t="s">
        <v>15</v>
      </c>
      <c r="N4" s="36"/>
      <c r="O4" s="19"/>
      <c r="P4" s="19"/>
      <c r="Q4" s="19"/>
      <c r="R4" s="19"/>
      <c r="S4" s="19"/>
    </row>
    <row r="5" spans="2:20" ht="16.5" thickBot="1">
      <c r="B5" s="51" t="s">
        <v>5</v>
      </c>
      <c r="C5" s="52" t="s">
        <v>0</v>
      </c>
      <c r="D5" s="52" t="s">
        <v>12</v>
      </c>
      <c r="E5" s="52" t="s">
        <v>2</v>
      </c>
      <c r="F5" s="52" t="s">
        <v>3</v>
      </c>
      <c r="G5" s="53" t="s">
        <v>1</v>
      </c>
      <c r="H5" s="54" t="s">
        <v>4</v>
      </c>
      <c r="I5" s="54" t="s">
        <v>7</v>
      </c>
      <c r="J5" s="55" t="s">
        <v>8</v>
      </c>
      <c r="K5" s="55" t="s">
        <v>10</v>
      </c>
      <c r="L5" s="56" t="s">
        <v>11</v>
      </c>
      <c r="M5" s="5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20">
      <c r="B6" s="82" t="s">
        <v>371</v>
      </c>
      <c r="C6" s="38"/>
      <c r="D6" s="38"/>
      <c r="E6" s="38"/>
      <c r="F6" s="39"/>
      <c r="G6" s="40"/>
      <c r="H6" s="23">
        <f t="shared" ref="H6:H24" si="0">SUM(C6:G6)</f>
        <v>0</v>
      </c>
      <c r="I6" s="41">
        <f t="shared" ref="I6:I24" si="1">L6-(L6*J6)</f>
        <v>25.96</v>
      </c>
      <c r="J6" s="16"/>
      <c r="K6" s="17"/>
      <c r="L6" s="74">
        <v>25.96</v>
      </c>
      <c r="M6" s="31">
        <v>50</v>
      </c>
      <c r="N6" s="25">
        <f t="shared" ref="N6:N24" si="2">I6*C6</f>
        <v>0</v>
      </c>
      <c r="O6" s="25">
        <f t="shared" ref="O6:O24" si="3">I6*D6</f>
        <v>0</v>
      </c>
      <c r="P6" s="25">
        <f t="shared" ref="P6:P24" si="4">I6*E6</f>
        <v>0</v>
      </c>
      <c r="Q6" s="26">
        <f t="shared" ref="Q6:Q24" si="5">I6*F6</f>
        <v>0</v>
      </c>
      <c r="R6" s="27">
        <f t="shared" ref="R6:R24" si="6">I6*G6</f>
        <v>0</v>
      </c>
      <c r="S6" s="28">
        <f>SUM(N6:R6)</f>
        <v>0</v>
      </c>
    </row>
    <row r="7" spans="2:20">
      <c r="B7" s="82" t="s">
        <v>372</v>
      </c>
      <c r="C7" s="13"/>
      <c r="D7" s="13"/>
      <c r="E7" s="13"/>
      <c r="F7" s="14"/>
      <c r="G7" s="8"/>
      <c r="H7" s="24">
        <f t="shared" si="0"/>
        <v>0</v>
      </c>
      <c r="I7" s="34">
        <f t="shared" si="1"/>
        <v>14.85</v>
      </c>
      <c r="J7" s="10"/>
      <c r="K7" s="12"/>
      <c r="L7" s="75">
        <v>14.85</v>
      </c>
      <c r="M7" s="32">
        <v>50</v>
      </c>
      <c r="N7" s="25">
        <f t="shared" si="2"/>
        <v>0</v>
      </c>
      <c r="O7" s="25">
        <f t="shared" si="3"/>
        <v>0</v>
      </c>
      <c r="P7" s="25">
        <f t="shared" si="4"/>
        <v>0</v>
      </c>
      <c r="Q7" s="26">
        <f t="shared" si="5"/>
        <v>0</v>
      </c>
      <c r="R7" s="27">
        <f t="shared" si="6"/>
        <v>0</v>
      </c>
      <c r="S7" s="28">
        <f t="shared" ref="S7:S24" si="7">SUM(N7:R7)</f>
        <v>0</v>
      </c>
    </row>
    <row r="8" spans="2:20">
      <c r="B8" s="83" t="s">
        <v>373</v>
      </c>
      <c r="C8" s="13"/>
      <c r="D8" s="13"/>
      <c r="E8" s="13"/>
      <c r="F8" s="14"/>
      <c r="G8" s="8"/>
      <c r="H8" s="24">
        <f t="shared" si="0"/>
        <v>0</v>
      </c>
      <c r="I8" s="34">
        <f t="shared" si="1"/>
        <v>6.72</v>
      </c>
      <c r="J8" s="10"/>
      <c r="K8" s="12"/>
      <c r="L8" s="76">
        <v>6.72</v>
      </c>
      <c r="M8" s="32">
        <v>50</v>
      </c>
      <c r="N8" s="25">
        <f t="shared" si="2"/>
        <v>0</v>
      </c>
      <c r="O8" s="25">
        <f t="shared" si="3"/>
        <v>0</v>
      </c>
      <c r="P8" s="25">
        <f t="shared" si="4"/>
        <v>0</v>
      </c>
      <c r="Q8" s="26">
        <f t="shared" si="5"/>
        <v>0</v>
      </c>
      <c r="R8" s="27">
        <f t="shared" si="6"/>
        <v>0</v>
      </c>
      <c r="S8" s="28">
        <f t="shared" si="7"/>
        <v>0</v>
      </c>
      <c r="T8" s="119" t="s">
        <v>560</v>
      </c>
    </row>
    <row r="9" spans="2:20">
      <c r="B9" s="83" t="s">
        <v>374</v>
      </c>
      <c r="C9" s="13"/>
      <c r="D9" s="13"/>
      <c r="E9" s="13"/>
      <c r="F9" s="14"/>
      <c r="G9" s="8"/>
      <c r="H9" s="24">
        <f t="shared" si="0"/>
        <v>0</v>
      </c>
      <c r="I9" s="34">
        <f t="shared" si="1"/>
        <v>7.95</v>
      </c>
      <c r="J9" s="10"/>
      <c r="K9" s="12"/>
      <c r="L9" s="76">
        <v>7.95</v>
      </c>
      <c r="M9" s="32">
        <v>50</v>
      </c>
      <c r="N9" s="25">
        <f t="shared" si="2"/>
        <v>0</v>
      </c>
      <c r="O9" s="25">
        <f t="shared" si="3"/>
        <v>0</v>
      </c>
      <c r="P9" s="25">
        <f t="shared" si="4"/>
        <v>0</v>
      </c>
      <c r="Q9" s="26">
        <f t="shared" si="5"/>
        <v>0</v>
      </c>
      <c r="R9" s="27">
        <f t="shared" si="6"/>
        <v>0</v>
      </c>
      <c r="S9" s="28">
        <f t="shared" si="7"/>
        <v>0</v>
      </c>
      <c r="T9" s="119" t="s">
        <v>560</v>
      </c>
    </row>
    <row r="10" spans="2:20">
      <c r="B10" s="83" t="s">
        <v>375</v>
      </c>
      <c r="C10" s="13"/>
      <c r="D10" s="13"/>
      <c r="E10" s="13"/>
      <c r="F10" s="14"/>
      <c r="G10" s="8"/>
      <c r="H10" s="24">
        <f t="shared" si="0"/>
        <v>0</v>
      </c>
      <c r="I10" s="34">
        <f t="shared" si="1"/>
        <v>10.45</v>
      </c>
      <c r="J10" s="10"/>
      <c r="K10" s="12"/>
      <c r="L10" s="76">
        <v>10.45</v>
      </c>
      <c r="M10" s="32">
        <v>72</v>
      </c>
      <c r="N10" s="25">
        <f t="shared" si="2"/>
        <v>0</v>
      </c>
      <c r="O10" s="25">
        <f t="shared" si="3"/>
        <v>0</v>
      </c>
      <c r="P10" s="25">
        <f t="shared" si="4"/>
        <v>0</v>
      </c>
      <c r="Q10" s="26">
        <f t="shared" si="5"/>
        <v>0</v>
      </c>
      <c r="R10" s="27">
        <f t="shared" si="6"/>
        <v>0</v>
      </c>
      <c r="S10" s="28">
        <f t="shared" si="7"/>
        <v>0</v>
      </c>
      <c r="T10" s="119" t="s">
        <v>560</v>
      </c>
    </row>
    <row r="11" spans="2:20">
      <c r="B11" s="83" t="s">
        <v>376</v>
      </c>
      <c r="C11" s="13"/>
      <c r="D11" s="13"/>
      <c r="E11" s="13"/>
      <c r="F11" s="14"/>
      <c r="G11" s="8"/>
      <c r="H11" s="24">
        <f t="shared" si="0"/>
        <v>0</v>
      </c>
      <c r="I11" s="34">
        <f t="shared" si="1"/>
        <v>11.68</v>
      </c>
      <c r="J11" s="10"/>
      <c r="K11" s="12"/>
      <c r="L11" s="76">
        <v>11.68</v>
      </c>
      <c r="M11" s="32">
        <v>24</v>
      </c>
      <c r="N11" s="25">
        <f t="shared" si="2"/>
        <v>0</v>
      </c>
      <c r="O11" s="25">
        <f t="shared" si="3"/>
        <v>0</v>
      </c>
      <c r="P11" s="25">
        <f t="shared" si="4"/>
        <v>0</v>
      </c>
      <c r="Q11" s="26">
        <f t="shared" si="5"/>
        <v>0</v>
      </c>
      <c r="R11" s="27">
        <f t="shared" si="6"/>
        <v>0</v>
      </c>
      <c r="S11" s="28">
        <f t="shared" si="7"/>
        <v>0</v>
      </c>
      <c r="T11" s="119" t="s">
        <v>558</v>
      </c>
    </row>
    <row r="12" spans="2:20">
      <c r="B12" s="83" t="s">
        <v>377</v>
      </c>
      <c r="C12" s="13"/>
      <c r="D12" s="13"/>
      <c r="E12" s="13"/>
      <c r="F12" s="14"/>
      <c r="G12" s="8"/>
      <c r="H12" s="24">
        <f t="shared" si="0"/>
        <v>0</v>
      </c>
      <c r="I12" s="34">
        <f t="shared" si="1"/>
        <v>19.53</v>
      </c>
      <c r="J12" s="10"/>
      <c r="K12" s="12"/>
      <c r="L12" s="76">
        <v>19.53</v>
      </c>
      <c r="M12" s="32">
        <v>12</v>
      </c>
      <c r="N12" s="25">
        <f t="shared" si="2"/>
        <v>0</v>
      </c>
      <c r="O12" s="25">
        <f t="shared" si="3"/>
        <v>0</v>
      </c>
      <c r="P12" s="25">
        <f t="shared" si="4"/>
        <v>0</v>
      </c>
      <c r="Q12" s="26">
        <f t="shared" si="5"/>
        <v>0</v>
      </c>
      <c r="R12" s="27">
        <f t="shared" si="6"/>
        <v>0</v>
      </c>
      <c r="S12" s="28">
        <f t="shared" si="7"/>
        <v>0</v>
      </c>
      <c r="T12" s="119" t="s">
        <v>558</v>
      </c>
    </row>
    <row r="13" spans="2:20">
      <c r="B13" s="83" t="s">
        <v>378</v>
      </c>
      <c r="C13" s="13"/>
      <c r="D13" s="13"/>
      <c r="E13" s="13"/>
      <c r="F13" s="14"/>
      <c r="G13" s="8"/>
      <c r="H13" s="24">
        <f t="shared" si="0"/>
        <v>0</v>
      </c>
      <c r="I13" s="34">
        <f t="shared" si="1"/>
        <v>26.91</v>
      </c>
      <c r="J13" s="10"/>
      <c r="K13" s="12"/>
      <c r="L13" s="77">
        <v>26.91</v>
      </c>
      <c r="M13" s="32">
        <v>24</v>
      </c>
      <c r="N13" s="25">
        <f t="shared" si="2"/>
        <v>0</v>
      </c>
      <c r="O13" s="25">
        <f t="shared" si="3"/>
        <v>0</v>
      </c>
      <c r="P13" s="25">
        <f t="shared" si="4"/>
        <v>0</v>
      </c>
      <c r="Q13" s="26">
        <f t="shared" si="5"/>
        <v>0</v>
      </c>
      <c r="R13" s="27">
        <f t="shared" si="6"/>
        <v>0</v>
      </c>
      <c r="S13" s="28">
        <f t="shared" si="7"/>
        <v>0</v>
      </c>
    </row>
    <row r="14" spans="2:20">
      <c r="B14" s="83" t="s">
        <v>379</v>
      </c>
      <c r="C14" s="13"/>
      <c r="D14" s="13"/>
      <c r="E14" s="13"/>
      <c r="F14" s="14"/>
      <c r="G14" s="8"/>
      <c r="H14" s="24">
        <f t="shared" si="0"/>
        <v>0</v>
      </c>
      <c r="I14" s="34">
        <f t="shared" si="1"/>
        <v>9.9</v>
      </c>
      <c r="J14" s="10"/>
      <c r="K14" s="12"/>
      <c r="L14" s="77">
        <v>9.9</v>
      </c>
      <c r="M14" s="32">
        <v>50</v>
      </c>
      <c r="N14" s="25">
        <f t="shared" si="2"/>
        <v>0</v>
      </c>
      <c r="O14" s="25">
        <f t="shared" si="3"/>
        <v>0</v>
      </c>
      <c r="P14" s="25">
        <f t="shared" si="4"/>
        <v>0</v>
      </c>
      <c r="Q14" s="26">
        <f t="shared" si="5"/>
        <v>0</v>
      </c>
      <c r="R14" s="27">
        <f t="shared" si="6"/>
        <v>0</v>
      </c>
      <c r="S14" s="28">
        <f t="shared" si="7"/>
        <v>0</v>
      </c>
      <c r="T14" s="119" t="s">
        <v>558</v>
      </c>
    </row>
    <row r="15" spans="2:20">
      <c r="B15" s="83" t="s">
        <v>380</v>
      </c>
      <c r="C15" s="13"/>
      <c r="D15" s="13"/>
      <c r="E15" s="13"/>
      <c r="F15" s="14"/>
      <c r="G15" s="8"/>
      <c r="H15" s="24">
        <f t="shared" si="0"/>
        <v>0</v>
      </c>
      <c r="I15" s="34">
        <f t="shared" si="1"/>
        <v>19.739999999999998</v>
      </c>
      <c r="J15" s="10"/>
      <c r="K15" s="12"/>
      <c r="L15" s="77">
        <v>19.739999999999998</v>
      </c>
      <c r="M15" s="32">
        <v>12</v>
      </c>
      <c r="N15" s="25">
        <f t="shared" si="2"/>
        <v>0</v>
      </c>
      <c r="O15" s="25">
        <f t="shared" si="3"/>
        <v>0</v>
      </c>
      <c r="P15" s="25">
        <f t="shared" si="4"/>
        <v>0</v>
      </c>
      <c r="Q15" s="26">
        <f t="shared" si="5"/>
        <v>0</v>
      </c>
      <c r="R15" s="27">
        <f t="shared" si="6"/>
        <v>0</v>
      </c>
      <c r="S15" s="28">
        <f t="shared" si="7"/>
        <v>0</v>
      </c>
      <c r="T15" s="119" t="s">
        <v>558</v>
      </c>
    </row>
    <row r="16" spans="2:20">
      <c r="B16" s="83" t="s">
        <v>381</v>
      </c>
      <c r="C16" s="13"/>
      <c r="D16" s="13"/>
      <c r="E16" s="13"/>
      <c r="F16" s="14"/>
      <c r="G16" s="8"/>
      <c r="H16" s="24">
        <f t="shared" si="0"/>
        <v>0</v>
      </c>
      <c r="I16" s="34">
        <f t="shared" si="1"/>
        <v>20.16</v>
      </c>
      <c r="J16" s="10"/>
      <c r="K16" s="12"/>
      <c r="L16" s="77">
        <v>20.16</v>
      </c>
      <c r="M16" s="32">
        <v>24</v>
      </c>
      <c r="N16" s="25">
        <f t="shared" si="2"/>
        <v>0</v>
      </c>
      <c r="O16" s="25">
        <f t="shared" si="3"/>
        <v>0</v>
      </c>
      <c r="P16" s="25">
        <f t="shared" si="4"/>
        <v>0</v>
      </c>
      <c r="Q16" s="26">
        <f t="shared" si="5"/>
        <v>0</v>
      </c>
      <c r="R16" s="27">
        <f t="shared" si="6"/>
        <v>0</v>
      </c>
      <c r="S16" s="28">
        <f t="shared" si="7"/>
        <v>0</v>
      </c>
    </row>
    <row r="17" spans="2:20">
      <c r="B17" s="69" t="s">
        <v>386</v>
      </c>
      <c r="C17" s="13"/>
      <c r="D17" s="13"/>
      <c r="E17" s="13"/>
      <c r="F17" s="14"/>
      <c r="G17" s="8"/>
      <c r="H17" s="24">
        <f t="shared" si="0"/>
        <v>0</v>
      </c>
      <c r="I17" s="34">
        <f t="shared" si="1"/>
        <v>10.8</v>
      </c>
      <c r="J17" s="10"/>
      <c r="K17" s="12"/>
      <c r="L17" s="75">
        <v>10.8</v>
      </c>
      <c r="M17" s="32">
        <v>210</v>
      </c>
      <c r="N17" s="25">
        <f t="shared" si="2"/>
        <v>0</v>
      </c>
      <c r="O17" s="25">
        <f t="shared" si="3"/>
        <v>0</v>
      </c>
      <c r="P17" s="25">
        <f t="shared" si="4"/>
        <v>0</v>
      </c>
      <c r="Q17" s="26">
        <f t="shared" si="5"/>
        <v>0</v>
      </c>
      <c r="R17" s="27">
        <f t="shared" si="6"/>
        <v>0</v>
      </c>
      <c r="S17" s="28">
        <f t="shared" si="7"/>
        <v>0</v>
      </c>
    </row>
    <row r="18" spans="2:20">
      <c r="B18" s="83" t="s">
        <v>382</v>
      </c>
      <c r="C18" s="13"/>
      <c r="D18" s="13"/>
      <c r="E18" s="13"/>
      <c r="F18" s="14"/>
      <c r="G18" s="8"/>
      <c r="H18" s="24">
        <f t="shared" si="0"/>
        <v>0</v>
      </c>
      <c r="I18" s="34">
        <f t="shared" si="1"/>
        <v>10.8</v>
      </c>
      <c r="J18" s="10"/>
      <c r="K18" s="12"/>
      <c r="L18" s="77">
        <v>10.8</v>
      </c>
      <c r="M18" s="32">
        <v>210</v>
      </c>
      <c r="N18" s="25">
        <f t="shared" si="2"/>
        <v>0</v>
      </c>
      <c r="O18" s="25">
        <f t="shared" si="3"/>
        <v>0</v>
      </c>
      <c r="P18" s="25">
        <f t="shared" si="4"/>
        <v>0</v>
      </c>
      <c r="Q18" s="26">
        <f t="shared" si="5"/>
        <v>0</v>
      </c>
      <c r="R18" s="27">
        <f t="shared" si="6"/>
        <v>0</v>
      </c>
      <c r="S18" s="28">
        <f t="shared" si="7"/>
        <v>0</v>
      </c>
    </row>
    <row r="19" spans="2:20">
      <c r="B19" s="83" t="s">
        <v>383</v>
      </c>
      <c r="C19" s="13"/>
      <c r="D19" s="13">
        <v>600</v>
      </c>
      <c r="E19" s="13"/>
      <c r="F19" s="14">
        <v>600</v>
      </c>
      <c r="G19" s="8"/>
      <c r="H19" s="24">
        <f t="shared" si="0"/>
        <v>1200</v>
      </c>
      <c r="I19" s="34">
        <f t="shared" si="1"/>
        <v>17.48</v>
      </c>
      <c r="J19" s="10"/>
      <c r="K19" s="12"/>
      <c r="L19" s="78">
        <v>17.48</v>
      </c>
      <c r="M19" s="32">
        <v>120</v>
      </c>
      <c r="N19" s="25">
        <f t="shared" si="2"/>
        <v>0</v>
      </c>
      <c r="O19" s="25">
        <f t="shared" si="3"/>
        <v>10488</v>
      </c>
      <c r="P19" s="25">
        <f t="shared" si="4"/>
        <v>0</v>
      </c>
      <c r="Q19" s="26">
        <f t="shared" si="5"/>
        <v>10488</v>
      </c>
      <c r="R19" s="27">
        <f t="shared" si="6"/>
        <v>0</v>
      </c>
      <c r="S19" s="28">
        <f t="shared" si="7"/>
        <v>20976</v>
      </c>
      <c r="T19" s="175">
        <f>H19/M19</f>
        <v>10</v>
      </c>
    </row>
    <row r="20" spans="2:20">
      <c r="B20" s="83" t="s">
        <v>384</v>
      </c>
      <c r="C20" s="13"/>
      <c r="D20" s="13">
        <v>600</v>
      </c>
      <c r="E20" s="13"/>
      <c r="F20" s="14">
        <v>400</v>
      </c>
      <c r="G20" s="8"/>
      <c r="H20" s="24">
        <f t="shared" si="0"/>
        <v>1000</v>
      </c>
      <c r="I20" s="34">
        <f t="shared" si="1"/>
        <v>8.74</v>
      </c>
      <c r="J20" s="10"/>
      <c r="K20" s="12"/>
      <c r="L20" s="75">
        <v>8.74</v>
      </c>
      <c r="M20" s="32">
        <v>210</v>
      </c>
      <c r="N20" s="25">
        <f t="shared" si="2"/>
        <v>0</v>
      </c>
      <c r="O20" s="25">
        <f t="shared" si="3"/>
        <v>5244</v>
      </c>
      <c r="P20" s="25">
        <f t="shared" si="4"/>
        <v>0</v>
      </c>
      <c r="Q20" s="26">
        <f t="shared" si="5"/>
        <v>3496</v>
      </c>
      <c r="R20" s="27">
        <f t="shared" si="6"/>
        <v>0</v>
      </c>
      <c r="S20" s="28">
        <f t="shared" si="7"/>
        <v>8740</v>
      </c>
      <c r="T20" s="175">
        <f>H20/M20</f>
        <v>4.7619047619047619</v>
      </c>
    </row>
    <row r="21" spans="2:20">
      <c r="B21" s="83" t="s">
        <v>385</v>
      </c>
      <c r="C21" s="13"/>
      <c r="D21" s="13"/>
      <c r="E21" s="13"/>
      <c r="F21" s="14"/>
      <c r="G21" s="8"/>
      <c r="H21" s="24">
        <f t="shared" si="0"/>
        <v>0</v>
      </c>
      <c r="I21" s="34">
        <f t="shared" si="1"/>
        <v>0</v>
      </c>
      <c r="J21" s="10"/>
      <c r="K21" s="12"/>
      <c r="L21" s="75"/>
      <c r="M21" s="32"/>
      <c r="N21" s="25">
        <f t="shared" si="2"/>
        <v>0</v>
      </c>
      <c r="O21" s="25">
        <f t="shared" si="3"/>
        <v>0</v>
      </c>
      <c r="P21" s="25">
        <f t="shared" si="4"/>
        <v>0</v>
      </c>
      <c r="Q21" s="26">
        <f t="shared" si="5"/>
        <v>0</v>
      </c>
      <c r="R21" s="27">
        <f t="shared" si="6"/>
        <v>0</v>
      </c>
      <c r="S21" s="28">
        <f t="shared" si="7"/>
        <v>0</v>
      </c>
    </row>
    <row r="22" spans="2:20">
      <c r="B22" s="84" t="s">
        <v>387</v>
      </c>
      <c r="C22" s="13"/>
      <c r="D22" s="13"/>
      <c r="E22" s="13"/>
      <c r="F22" s="14"/>
      <c r="G22" s="8"/>
      <c r="H22" s="24">
        <f t="shared" si="0"/>
        <v>0</v>
      </c>
      <c r="I22" s="34">
        <f t="shared" si="1"/>
        <v>0</v>
      </c>
      <c r="J22" s="10"/>
      <c r="K22" s="12"/>
      <c r="L22" s="75"/>
      <c r="M22" s="32"/>
      <c r="N22" s="25">
        <f t="shared" si="2"/>
        <v>0</v>
      </c>
      <c r="O22" s="25">
        <f t="shared" si="3"/>
        <v>0</v>
      </c>
      <c r="P22" s="25">
        <f t="shared" si="4"/>
        <v>0</v>
      </c>
      <c r="Q22" s="26">
        <f t="shared" si="5"/>
        <v>0</v>
      </c>
      <c r="R22" s="27">
        <f t="shared" si="6"/>
        <v>0</v>
      </c>
      <c r="S22" s="28">
        <f t="shared" si="7"/>
        <v>0</v>
      </c>
    </row>
    <row r="23" spans="2:20">
      <c r="B23" s="84" t="s">
        <v>388</v>
      </c>
      <c r="C23" s="13"/>
      <c r="D23" s="13"/>
      <c r="E23" s="13"/>
      <c r="F23" s="14"/>
      <c r="G23" s="8"/>
      <c r="H23" s="24">
        <f t="shared" si="0"/>
        <v>0</v>
      </c>
      <c r="I23" s="34">
        <f t="shared" si="1"/>
        <v>0</v>
      </c>
      <c r="J23" s="10"/>
      <c r="K23" s="12"/>
      <c r="L23" s="79"/>
      <c r="M23" s="32"/>
      <c r="N23" s="25">
        <f t="shared" si="2"/>
        <v>0</v>
      </c>
      <c r="O23" s="25">
        <f t="shared" si="3"/>
        <v>0</v>
      </c>
      <c r="P23" s="25">
        <f t="shared" si="4"/>
        <v>0</v>
      </c>
      <c r="Q23" s="26">
        <f t="shared" si="5"/>
        <v>0</v>
      </c>
      <c r="R23" s="27">
        <f t="shared" si="6"/>
        <v>0</v>
      </c>
      <c r="S23" s="28">
        <f t="shared" si="7"/>
        <v>0</v>
      </c>
    </row>
    <row r="24" spans="2:20">
      <c r="B24" s="64" t="s">
        <v>559</v>
      </c>
      <c r="C24" s="14"/>
      <c r="D24" s="14"/>
      <c r="E24" s="14"/>
      <c r="F24" s="14"/>
      <c r="G24" s="8"/>
      <c r="H24" s="24">
        <f t="shared" si="0"/>
        <v>0</v>
      </c>
      <c r="I24" s="34">
        <f t="shared" si="1"/>
        <v>13.84</v>
      </c>
      <c r="J24" s="10"/>
      <c r="K24" s="12"/>
      <c r="L24" s="120">
        <v>13.84</v>
      </c>
      <c r="M24" s="32">
        <v>72</v>
      </c>
      <c r="N24" s="25">
        <f t="shared" si="2"/>
        <v>0</v>
      </c>
      <c r="O24" s="25">
        <f t="shared" si="3"/>
        <v>0</v>
      </c>
      <c r="P24" s="25">
        <f t="shared" si="4"/>
        <v>0</v>
      </c>
      <c r="Q24" s="26">
        <f t="shared" si="5"/>
        <v>0</v>
      </c>
      <c r="R24" s="27">
        <f t="shared" si="6"/>
        <v>0</v>
      </c>
      <c r="S24" s="28">
        <f t="shared" si="7"/>
        <v>0</v>
      </c>
    </row>
    <row r="25" spans="2:20">
      <c r="B25" s="58" t="s">
        <v>13</v>
      </c>
      <c r="C25" s="33">
        <v>0</v>
      </c>
      <c r="D25" s="33">
        <v>0</v>
      </c>
      <c r="E25" s="33">
        <v>0</v>
      </c>
      <c r="F25" s="33">
        <v>13984</v>
      </c>
      <c r="G25" s="33">
        <f t="shared" ref="G25" si="8">R25</f>
        <v>0</v>
      </c>
      <c r="H25" s="33">
        <f t="shared" ref="H25" si="9">S25</f>
        <v>29716</v>
      </c>
      <c r="N25" s="29">
        <f t="shared" ref="N25:S25" si="10">SUM(N6:N24)</f>
        <v>0</v>
      </c>
      <c r="O25" s="29">
        <f t="shared" si="10"/>
        <v>15732</v>
      </c>
      <c r="P25" s="29">
        <f t="shared" si="10"/>
        <v>0</v>
      </c>
      <c r="Q25" s="29">
        <f t="shared" si="10"/>
        <v>13984</v>
      </c>
      <c r="R25" s="29">
        <f t="shared" si="10"/>
        <v>0</v>
      </c>
      <c r="S25" s="29">
        <f t="shared" si="10"/>
        <v>29716</v>
      </c>
    </row>
    <row r="26" spans="2:20">
      <c r="B26" s="59" t="s">
        <v>46</v>
      </c>
    </row>
    <row r="27" spans="2:20" ht="16.5" thickBot="1">
      <c r="B27" s="2"/>
    </row>
    <row r="28" spans="2:20">
      <c r="B28" s="60" t="s">
        <v>47</v>
      </c>
    </row>
    <row r="29" spans="2:20">
      <c r="B29" s="61" t="s">
        <v>19</v>
      </c>
    </row>
    <row r="30" spans="2:20">
      <c r="B30" s="61" t="s">
        <v>17</v>
      </c>
    </row>
    <row r="31" spans="2:20" ht="16.5" thickBot="1">
      <c r="B31" s="62" t="s">
        <v>18</v>
      </c>
    </row>
    <row r="32" spans="2:20">
      <c r="B32" s="2"/>
    </row>
    <row r="33" spans="2:7">
      <c r="B33" s="30" t="s">
        <v>20</v>
      </c>
    </row>
    <row r="34" spans="2:7">
      <c r="B34" s="35"/>
    </row>
    <row r="35" spans="2:7">
      <c r="B35" s="35"/>
    </row>
    <row r="36" spans="2:7">
      <c r="B36" s="2"/>
      <c r="G36" s="5" t="str">
        <f>IF(B36&lt;&gt;"",SUM(C36:F36),"")</f>
        <v/>
      </c>
    </row>
    <row r="37" spans="2:7">
      <c r="G37" s="5" t="str">
        <f t="shared" ref="G37:G100" si="11">IF(B37&lt;&gt;"",SUM(C37:F37),"")</f>
        <v/>
      </c>
    </row>
    <row r="38" spans="2:7">
      <c r="G38" s="5" t="str">
        <f t="shared" si="11"/>
        <v/>
      </c>
    </row>
    <row r="39" spans="2:7">
      <c r="G39" s="5" t="str">
        <f t="shared" si="11"/>
        <v/>
      </c>
    </row>
    <row r="40" spans="2:7">
      <c r="G40" s="5" t="str">
        <f t="shared" si="11"/>
        <v/>
      </c>
    </row>
    <row r="41" spans="2:7">
      <c r="G41" s="5" t="str">
        <f t="shared" si="11"/>
        <v/>
      </c>
    </row>
    <row r="42" spans="2:7">
      <c r="G42" s="5" t="str">
        <f t="shared" si="11"/>
        <v/>
      </c>
    </row>
    <row r="43" spans="2:7">
      <c r="G43" s="5" t="str">
        <f t="shared" si="11"/>
        <v/>
      </c>
    </row>
    <row r="44" spans="2:7">
      <c r="G44" s="5" t="str">
        <f t="shared" si="11"/>
        <v/>
      </c>
    </row>
    <row r="45" spans="2:7">
      <c r="G45" s="5" t="str">
        <f t="shared" si="11"/>
        <v/>
      </c>
    </row>
    <row r="46" spans="2:7">
      <c r="G46" s="5" t="str">
        <f t="shared" si="11"/>
        <v/>
      </c>
    </row>
    <row r="47" spans="2:7">
      <c r="G47" s="5" t="str">
        <f t="shared" si="11"/>
        <v/>
      </c>
    </row>
    <row r="48" spans="2:7">
      <c r="G48" s="5" t="str">
        <f t="shared" si="11"/>
        <v/>
      </c>
    </row>
    <row r="49" spans="7:7">
      <c r="G49" s="5" t="str">
        <f t="shared" si="11"/>
        <v/>
      </c>
    </row>
    <row r="50" spans="7:7">
      <c r="G50" s="5" t="str">
        <f t="shared" si="11"/>
        <v/>
      </c>
    </row>
    <row r="51" spans="7:7">
      <c r="G51" s="5" t="str">
        <f t="shared" si="11"/>
        <v/>
      </c>
    </row>
    <row r="52" spans="7:7">
      <c r="G52" s="5" t="str">
        <f t="shared" si="11"/>
        <v/>
      </c>
    </row>
    <row r="53" spans="7:7">
      <c r="G53" s="5" t="str">
        <f t="shared" si="11"/>
        <v/>
      </c>
    </row>
    <row r="54" spans="7:7">
      <c r="G54" s="5" t="str">
        <f t="shared" si="11"/>
        <v/>
      </c>
    </row>
    <row r="55" spans="7:7">
      <c r="G55" s="5" t="str">
        <f t="shared" si="11"/>
        <v/>
      </c>
    </row>
    <row r="56" spans="7:7">
      <c r="G56" s="5" t="str">
        <f t="shared" si="11"/>
        <v/>
      </c>
    </row>
    <row r="57" spans="7:7">
      <c r="G57" s="5" t="str">
        <f t="shared" si="11"/>
        <v/>
      </c>
    </row>
    <row r="58" spans="7:7">
      <c r="G58" s="5" t="str">
        <f t="shared" si="11"/>
        <v/>
      </c>
    </row>
    <row r="59" spans="7:7">
      <c r="G59" s="5" t="str">
        <f t="shared" si="11"/>
        <v/>
      </c>
    </row>
    <row r="60" spans="7:7">
      <c r="G60" s="5" t="str">
        <f t="shared" si="11"/>
        <v/>
      </c>
    </row>
    <row r="61" spans="7:7">
      <c r="G61" s="5" t="str">
        <f t="shared" si="11"/>
        <v/>
      </c>
    </row>
    <row r="62" spans="7:7">
      <c r="G62" s="5" t="str">
        <f t="shared" si="11"/>
        <v/>
      </c>
    </row>
    <row r="63" spans="7:7">
      <c r="G63" s="5" t="str">
        <f t="shared" si="11"/>
        <v/>
      </c>
    </row>
    <row r="64" spans="7:7">
      <c r="G64" s="5" t="str">
        <f t="shared" si="11"/>
        <v/>
      </c>
    </row>
    <row r="65" spans="7:7">
      <c r="G65" s="5" t="str">
        <f t="shared" si="11"/>
        <v/>
      </c>
    </row>
    <row r="66" spans="7:7">
      <c r="G66" s="5" t="str">
        <f t="shared" si="11"/>
        <v/>
      </c>
    </row>
    <row r="67" spans="7:7">
      <c r="G67" s="5" t="str">
        <f t="shared" si="11"/>
        <v/>
      </c>
    </row>
    <row r="68" spans="7:7">
      <c r="G68" s="5" t="str">
        <f t="shared" si="11"/>
        <v/>
      </c>
    </row>
    <row r="69" spans="7:7">
      <c r="G69" s="5" t="str">
        <f t="shared" si="11"/>
        <v/>
      </c>
    </row>
    <row r="70" spans="7:7">
      <c r="G70" s="5" t="str">
        <f t="shared" si="11"/>
        <v/>
      </c>
    </row>
    <row r="71" spans="7:7">
      <c r="G71" s="5" t="str">
        <f t="shared" si="11"/>
        <v/>
      </c>
    </row>
    <row r="72" spans="7:7">
      <c r="G72" s="5" t="str">
        <f t="shared" si="11"/>
        <v/>
      </c>
    </row>
    <row r="73" spans="7:7">
      <c r="G73" s="5" t="str">
        <f t="shared" si="11"/>
        <v/>
      </c>
    </row>
    <row r="74" spans="7:7">
      <c r="G74" s="5" t="str">
        <f t="shared" si="11"/>
        <v/>
      </c>
    </row>
    <row r="75" spans="7:7">
      <c r="G75" s="5" t="str">
        <f t="shared" si="11"/>
        <v/>
      </c>
    </row>
    <row r="76" spans="7:7">
      <c r="G76" s="5" t="str">
        <f t="shared" si="11"/>
        <v/>
      </c>
    </row>
    <row r="77" spans="7:7">
      <c r="G77" s="5" t="str">
        <f t="shared" si="11"/>
        <v/>
      </c>
    </row>
    <row r="78" spans="7:7">
      <c r="G78" s="5" t="str">
        <f t="shared" si="11"/>
        <v/>
      </c>
    </row>
    <row r="79" spans="7:7">
      <c r="G79" s="5" t="str">
        <f t="shared" si="11"/>
        <v/>
      </c>
    </row>
    <row r="80" spans="7:7">
      <c r="G80" s="5" t="str">
        <f t="shared" si="11"/>
        <v/>
      </c>
    </row>
    <row r="81" spans="7:7">
      <c r="G81" s="5" t="str">
        <f t="shared" si="11"/>
        <v/>
      </c>
    </row>
    <row r="82" spans="7:7">
      <c r="G82" s="5" t="str">
        <f t="shared" si="11"/>
        <v/>
      </c>
    </row>
    <row r="83" spans="7:7">
      <c r="G83" s="5" t="str">
        <f t="shared" si="11"/>
        <v/>
      </c>
    </row>
    <row r="84" spans="7:7">
      <c r="G84" s="5" t="str">
        <f t="shared" si="11"/>
        <v/>
      </c>
    </row>
    <row r="85" spans="7:7">
      <c r="G85" s="5" t="str">
        <f t="shared" si="11"/>
        <v/>
      </c>
    </row>
    <row r="86" spans="7:7">
      <c r="G86" s="5" t="str">
        <f t="shared" si="11"/>
        <v/>
      </c>
    </row>
    <row r="87" spans="7:7">
      <c r="G87" s="5" t="str">
        <f t="shared" si="11"/>
        <v/>
      </c>
    </row>
    <row r="88" spans="7:7">
      <c r="G88" s="5" t="str">
        <f t="shared" si="11"/>
        <v/>
      </c>
    </row>
    <row r="89" spans="7:7">
      <c r="G89" s="5" t="str">
        <f t="shared" si="11"/>
        <v/>
      </c>
    </row>
    <row r="90" spans="7:7">
      <c r="G90" s="5" t="str">
        <f t="shared" si="11"/>
        <v/>
      </c>
    </row>
    <row r="91" spans="7:7">
      <c r="G91" s="5" t="str">
        <f t="shared" si="11"/>
        <v/>
      </c>
    </row>
    <row r="92" spans="7:7">
      <c r="G92" s="5" t="str">
        <f t="shared" si="11"/>
        <v/>
      </c>
    </row>
    <row r="93" spans="7:7">
      <c r="G93" s="5" t="str">
        <f t="shared" si="11"/>
        <v/>
      </c>
    </row>
    <row r="94" spans="7:7">
      <c r="G94" s="5" t="str">
        <f t="shared" si="11"/>
        <v/>
      </c>
    </row>
    <row r="95" spans="7:7">
      <c r="G95" s="5" t="str">
        <f t="shared" si="11"/>
        <v/>
      </c>
    </row>
    <row r="96" spans="7:7">
      <c r="G96" s="5" t="str">
        <f t="shared" si="11"/>
        <v/>
      </c>
    </row>
    <row r="97" spans="7:7">
      <c r="G97" s="5" t="str">
        <f t="shared" si="11"/>
        <v/>
      </c>
    </row>
    <row r="98" spans="7:7">
      <c r="G98" s="5" t="str">
        <f t="shared" si="11"/>
        <v/>
      </c>
    </row>
    <row r="99" spans="7:7">
      <c r="G99" s="5" t="str">
        <f t="shared" si="11"/>
        <v/>
      </c>
    </row>
    <row r="100" spans="7:7">
      <c r="G100" s="5" t="str">
        <f t="shared" si="11"/>
        <v/>
      </c>
    </row>
    <row r="101" spans="7:7">
      <c r="G101" s="5" t="str">
        <f t="shared" ref="G101:G164" si="12">IF(B101&lt;&gt;"",SUM(C101:F101),"")</f>
        <v/>
      </c>
    </row>
    <row r="102" spans="7:7">
      <c r="G102" s="5" t="str">
        <f t="shared" si="12"/>
        <v/>
      </c>
    </row>
    <row r="103" spans="7:7">
      <c r="G103" s="5" t="str">
        <f t="shared" si="12"/>
        <v/>
      </c>
    </row>
    <row r="104" spans="7:7">
      <c r="G104" s="5" t="str">
        <f t="shared" si="12"/>
        <v/>
      </c>
    </row>
    <row r="105" spans="7:7">
      <c r="G105" s="5" t="str">
        <f t="shared" si="12"/>
        <v/>
      </c>
    </row>
    <row r="106" spans="7:7">
      <c r="G106" s="5" t="str">
        <f t="shared" si="12"/>
        <v/>
      </c>
    </row>
    <row r="107" spans="7:7">
      <c r="G107" s="5" t="str">
        <f t="shared" si="12"/>
        <v/>
      </c>
    </row>
    <row r="108" spans="7:7">
      <c r="G108" s="5" t="str">
        <f t="shared" si="12"/>
        <v/>
      </c>
    </row>
    <row r="109" spans="7:7">
      <c r="G109" s="5" t="str">
        <f t="shared" si="12"/>
        <v/>
      </c>
    </row>
    <row r="110" spans="7:7">
      <c r="G110" s="5" t="str">
        <f t="shared" si="12"/>
        <v/>
      </c>
    </row>
    <row r="111" spans="7:7">
      <c r="G111" s="5" t="str">
        <f t="shared" si="12"/>
        <v/>
      </c>
    </row>
    <row r="112" spans="7:7">
      <c r="G112" s="5" t="str">
        <f t="shared" si="12"/>
        <v/>
      </c>
    </row>
    <row r="113" spans="7:7">
      <c r="G113" s="5" t="str">
        <f t="shared" si="12"/>
        <v/>
      </c>
    </row>
    <row r="114" spans="7:7">
      <c r="G114" s="5" t="str">
        <f t="shared" si="12"/>
        <v/>
      </c>
    </row>
    <row r="115" spans="7:7">
      <c r="G115" s="5" t="str">
        <f t="shared" si="12"/>
        <v/>
      </c>
    </row>
    <row r="116" spans="7:7">
      <c r="G116" s="5" t="str">
        <f t="shared" si="12"/>
        <v/>
      </c>
    </row>
    <row r="117" spans="7:7">
      <c r="G117" s="5" t="str">
        <f t="shared" si="12"/>
        <v/>
      </c>
    </row>
    <row r="118" spans="7:7">
      <c r="G118" s="5" t="str">
        <f t="shared" si="12"/>
        <v/>
      </c>
    </row>
    <row r="119" spans="7:7">
      <c r="G119" s="5" t="str">
        <f t="shared" si="12"/>
        <v/>
      </c>
    </row>
    <row r="120" spans="7:7">
      <c r="G120" s="5" t="str">
        <f t="shared" si="12"/>
        <v/>
      </c>
    </row>
    <row r="121" spans="7:7">
      <c r="G121" s="5" t="str">
        <f t="shared" si="12"/>
        <v/>
      </c>
    </row>
    <row r="122" spans="7:7">
      <c r="G122" s="5" t="str">
        <f t="shared" si="12"/>
        <v/>
      </c>
    </row>
    <row r="123" spans="7:7">
      <c r="G123" s="5" t="str">
        <f t="shared" si="12"/>
        <v/>
      </c>
    </row>
    <row r="124" spans="7:7">
      <c r="G124" s="5" t="str">
        <f t="shared" si="12"/>
        <v/>
      </c>
    </row>
    <row r="125" spans="7:7">
      <c r="G125" s="5" t="str">
        <f t="shared" si="12"/>
        <v/>
      </c>
    </row>
    <row r="126" spans="7:7">
      <c r="G126" s="5" t="str">
        <f t="shared" si="12"/>
        <v/>
      </c>
    </row>
    <row r="127" spans="7:7">
      <c r="G127" s="5" t="str">
        <f t="shared" si="12"/>
        <v/>
      </c>
    </row>
    <row r="128" spans="7:7">
      <c r="G128" s="5" t="str">
        <f t="shared" si="12"/>
        <v/>
      </c>
    </row>
    <row r="129" spans="7:7">
      <c r="G129" s="5" t="str">
        <f t="shared" si="12"/>
        <v/>
      </c>
    </row>
    <row r="130" spans="7:7">
      <c r="G130" s="5" t="str">
        <f t="shared" si="12"/>
        <v/>
      </c>
    </row>
    <row r="131" spans="7:7">
      <c r="G131" s="5" t="str">
        <f t="shared" si="12"/>
        <v/>
      </c>
    </row>
    <row r="132" spans="7:7">
      <c r="G132" s="5" t="str">
        <f t="shared" si="12"/>
        <v/>
      </c>
    </row>
    <row r="133" spans="7:7">
      <c r="G133" s="5" t="str">
        <f t="shared" si="12"/>
        <v/>
      </c>
    </row>
    <row r="134" spans="7:7">
      <c r="G134" s="5" t="str">
        <f t="shared" si="12"/>
        <v/>
      </c>
    </row>
    <row r="135" spans="7:7">
      <c r="G135" s="5" t="str">
        <f t="shared" si="12"/>
        <v/>
      </c>
    </row>
    <row r="136" spans="7:7">
      <c r="G136" s="5" t="str">
        <f t="shared" si="12"/>
        <v/>
      </c>
    </row>
    <row r="137" spans="7:7">
      <c r="G137" s="5" t="str">
        <f t="shared" si="12"/>
        <v/>
      </c>
    </row>
    <row r="138" spans="7:7">
      <c r="G138" s="5" t="str">
        <f t="shared" si="12"/>
        <v/>
      </c>
    </row>
    <row r="139" spans="7:7">
      <c r="G139" s="5" t="str">
        <f t="shared" si="12"/>
        <v/>
      </c>
    </row>
    <row r="140" spans="7:7">
      <c r="G140" s="5" t="str">
        <f t="shared" si="12"/>
        <v/>
      </c>
    </row>
    <row r="141" spans="7:7">
      <c r="G141" s="5" t="str">
        <f t="shared" si="12"/>
        <v/>
      </c>
    </row>
    <row r="142" spans="7:7">
      <c r="G142" s="5" t="str">
        <f t="shared" si="12"/>
        <v/>
      </c>
    </row>
    <row r="143" spans="7:7">
      <c r="G143" s="5" t="str">
        <f t="shared" si="12"/>
        <v/>
      </c>
    </row>
    <row r="144" spans="7:7">
      <c r="G144" s="5" t="str">
        <f t="shared" si="12"/>
        <v/>
      </c>
    </row>
    <row r="145" spans="7:7">
      <c r="G145" s="5" t="str">
        <f t="shared" si="12"/>
        <v/>
      </c>
    </row>
    <row r="146" spans="7:7">
      <c r="G146" s="5" t="str">
        <f t="shared" si="12"/>
        <v/>
      </c>
    </row>
    <row r="147" spans="7:7">
      <c r="G147" s="5" t="str">
        <f t="shared" si="12"/>
        <v/>
      </c>
    </row>
    <row r="148" spans="7:7">
      <c r="G148" s="5" t="str">
        <f t="shared" si="12"/>
        <v/>
      </c>
    </row>
    <row r="149" spans="7:7">
      <c r="G149" s="5" t="str">
        <f t="shared" si="12"/>
        <v/>
      </c>
    </row>
    <row r="150" spans="7:7">
      <c r="G150" s="5" t="str">
        <f t="shared" si="12"/>
        <v/>
      </c>
    </row>
    <row r="151" spans="7:7">
      <c r="G151" s="5" t="str">
        <f t="shared" si="12"/>
        <v/>
      </c>
    </row>
    <row r="152" spans="7:7">
      <c r="G152" s="5" t="str">
        <f t="shared" si="12"/>
        <v/>
      </c>
    </row>
    <row r="153" spans="7:7">
      <c r="G153" s="5" t="str">
        <f t="shared" si="12"/>
        <v/>
      </c>
    </row>
    <row r="154" spans="7:7">
      <c r="G154" s="5" t="str">
        <f t="shared" si="12"/>
        <v/>
      </c>
    </row>
    <row r="155" spans="7:7">
      <c r="G155" s="5" t="str">
        <f t="shared" si="12"/>
        <v/>
      </c>
    </row>
    <row r="156" spans="7:7">
      <c r="G156" s="5" t="str">
        <f t="shared" si="12"/>
        <v/>
      </c>
    </row>
    <row r="157" spans="7:7">
      <c r="G157" s="5" t="str">
        <f t="shared" si="12"/>
        <v/>
      </c>
    </row>
    <row r="158" spans="7:7">
      <c r="G158" s="5" t="str">
        <f t="shared" si="12"/>
        <v/>
      </c>
    </row>
    <row r="159" spans="7:7">
      <c r="G159" s="5" t="str">
        <f t="shared" si="12"/>
        <v/>
      </c>
    </row>
    <row r="160" spans="7:7">
      <c r="G160" s="5" t="str">
        <f t="shared" si="12"/>
        <v/>
      </c>
    </row>
    <row r="161" spans="7:7">
      <c r="G161" s="5" t="str">
        <f t="shared" si="12"/>
        <v/>
      </c>
    </row>
    <row r="162" spans="7:7">
      <c r="G162" s="5" t="str">
        <f t="shared" si="12"/>
        <v/>
      </c>
    </row>
    <row r="163" spans="7:7">
      <c r="G163" s="5" t="str">
        <f t="shared" si="12"/>
        <v/>
      </c>
    </row>
    <row r="164" spans="7:7">
      <c r="G164" s="5" t="str">
        <f t="shared" si="12"/>
        <v/>
      </c>
    </row>
    <row r="165" spans="7:7">
      <c r="G165" s="5" t="str">
        <f t="shared" ref="G165:G228" si="13">IF(B165&lt;&gt;"",SUM(C165:F165),"")</f>
        <v/>
      </c>
    </row>
    <row r="166" spans="7:7">
      <c r="G166" s="5" t="str">
        <f t="shared" si="13"/>
        <v/>
      </c>
    </row>
    <row r="167" spans="7:7">
      <c r="G167" s="5" t="str">
        <f t="shared" si="13"/>
        <v/>
      </c>
    </row>
    <row r="168" spans="7:7">
      <c r="G168" s="5" t="str">
        <f t="shared" si="13"/>
        <v/>
      </c>
    </row>
    <row r="169" spans="7:7">
      <c r="G169" s="5" t="str">
        <f t="shared" si="13"/>
        <v/>
      </c>
    </row>
    <row r="170" spans="7:7">
      <c r="G170" s="5" t="str">
        <f t="shared" si="13"/>
        <v/>
      </c>
    </row>
    <row r="171" spans="7:7">
      <c r="G171" s="5" t="str">
        <f t="shared" si="13"/>
        <v/>
      </c>
    </row>
    <row r="172" spans="7:7">
      <c r="G172" s="5" t="str">
        <f t="shared" si="13"/>
        <v/>
      </c>
    </row>
    <row r="173" spans="7:7">
      <c r="G173" s="5" t="str">
        <f t="shared" si="13"/>
        <v/>
      </c>
    </row>
    <row r="174" spans="7:7">
      <c r="G174" s="5" t="str">
        <f t="shared" si="13"/>
        <v/>
      </c>
    </row>
    <row r="175" spans="7:7">
      <c r="G175" s="5" t="str">
        <f t="shared" si="13"/>
        <v/>
      </c>
    </row>
    <row r="176" spans="7:7">
      <c r="G176" s="5" t="str">
        <f t="shared" si="13"/>
        <v/>
      </c>
    </row>
    <row r="177" spans="7:7">
      <c r="G177" s="5" t="str">
        <f t="shared" si="13"/>
        <v/>
      </c>
    </row>
    <row r="178" spans="7:7">
      <c r="G178" s="5" t="str">
        <f t="shared" si="13"/>
        <v/>
      </c>
    </row>
    <row r="179" spans="7:7">
      <c r="G179" s="5" t="str">
        <f t="shared" si="13"/>
        <v/>
      </c>
    </row>
    <row r="180" spans="7:7">
      <c r="G180" s="5" t="str">
        <f t="shared" si="13"/>
        <v/>
      </c>
    </row>
    <row r="181" spans="7:7">
      <c r="G181" s="5" t="str">
        <f t="shared" si="13"/>
        <v/>
      </c>
    </row>
    <row r="182" spans="7:7">
      <c r="G182" s="5" t="str">
        <f t="shared" si="13"/>
        <v/>
      </c>
    </row>
    <row r="183" spans="7:7">
      <c r="G183" s="5" t="str">
        <f t="shared" si="13"/>
        <v/>
      </c>
    </row>
    <row r="184" spans="7:7">
      <c r="G184" s="5" t="str">
        <f t="shared" si="13"/>
        <v/>
      </c>
    </row>
    <row r="185" spans="7:7">
      <c r="G185" s="5" t="str">
        <f t="shared" si="13"/>
        <v/>
      </c>
    </row>
    <row r="186" spans="7:7">
      <c r="G186" s="5" t="str">
        <f t="shared" si="13"/>
        <v/>
      </c>
    </row>
    <row r="187" spans="7:7">
      <c r="G187" s="5" t="str">
        <f t="shared" si="13"/>
        <v/>
      </c>
    </row>
    <row r="188" spans="7:7">
      <c r="G188" s="5" t="str">
        <f t="shared" si="13"/>
        <v/>
      </c>
    </row>
    <row r="189" spans="7:7">
      <c r="G189" s="5" t="str">
        <f t="shared" si="13"/>
        <v/>
      </c>
    </row>
    <row r="190" spans="7:7">
      <c r="G190" s="5" t="str">
        <f t="shared" si="13"/>
        <v/>
      </c>
    </row>
    <row r="191" spans="7:7">
      <c r="G191" s="5" t="str">
        <f t="shared" si="13"/>
        <v/>
      </c>
    </row>
    <row r="192" spans="7:7">
      <c r="G192" s="5" t="str">
        <f t="shared" si="13"/>
        <v/>
      </c>
    </row>
    <row r="193" spans="7:7">
      <c r="G193" s="5" t="str">
        <f t="shared" si="13"/>
        <v/>
      </c>
    </row>
    <row r="194" spans="7:7">
      <c r="G194" s="5" t="str">
        <f t="shared" si="13"/>
        <v/>
      </c>
    </row>
    <row r="195" spans="7:7">
      <c r="G195" s="5" t="str">
        <f t="shared" si="13"/>
        <v/>
      </c>
    </row>
    <row r="196" spans="7:7">
      <c r="G196" s="5" t="str">
        <f t="shared" si="13"/>
        <v/>
      </c>
    </row>
    <row r="197" spans="7:7">
      <c r="G197" s="5" t="str">
        <f t="shared" si="13"/>
        <v/>
      </c>
    </row>
    <row r="198" spans="7:7">
      <c r="G198" s="5" t="str">
        <f t="shared" si="13"/>
        <v/>
      </c>
    </row>
    <row r="199" spans="7:7">
      <c r="G199" s="5" t="str">
        <f t="shared" si="13"/>
        <v/>
      </c>
    </row>
    <row r="200" spans="7:7">
      <c r="G200" s="5" t="str">
        <f t="shared" si="13"/>
        <v/>
      </c>
    </row>
    <row r="201" spans="7:7">
      <c r="G201" s="5" t="str">
        <f t="shared" si="13"/>
        <v/>
      </c>
    </row>
    <row r="202" spans="7:7">
      <c r="G202" s="5" t="str">
        <f t="shared" si="13"/>
        <v/>
      </c>
    </row>
    <row r="203" spans="7:7">
      <c r="G203" s="5" t="str">
        <f t="shared" si="13"/>
        <v/>
      </c>
    </row>
    <row r="204" spans="7:7">
      <c r="G204" s="5" t="str">
        <f t="shared" si="13"/>
        <v/>
      </c>
    </row>
    <row r="205" spans="7:7">
      <c r="G205" s="5" t="str">
        <f t="shared" si="13"/>
        <v/>
      </c>
    </row>
    <row r="206" spans="7:7">
      <c r="G206" s="5" t="str">
        <f t="shared" si="13"/>
        <v/>
      </c>
    </row>
    <row r="207" spans="7:7">
      <c r="G207" s="5" t="str">
        <f t="shared" si="13"/>
        <v/>
      </c>
    </row>
    <row r="208" spans="7:7">
      <c r="G208" s="5" t="str">
        <f t="shared" si="13"/>
        <v/>
      </c>
    </row>
    <row r="209" spans="7:7">
      <c r="G209" s="5" t="str">
        <f t="shared" si="13"/>
        <v/>
      </c>
    </row>
    <row r="210" spans="7:7">
      <c r="G210" s="5" t="str">
        <f t="shared" si="13"/>
        <v/>
      </c>
    </row>
    <row r="211" spans="7:7">
      <c r="G211" s="5" t="str">
        <f t="shared" si="13"/>
        <v/>
      </c>
    </row>
    <row r="212" spans="7:7">
      <c r="G212" s="5" t="str">
        <f t="shared" si="13"/>
        <v/>
      </c>
    </row>
    <row r="213" spans="7:7">
      <c r="G213" s="5" t="str">
        <f t="shared" si="13"/>
        <v/>
      </c>
    </row>
    <row r="214" spans="7:7">
      <c r="G214" s="5" t="str">
        <f t="shared" si="13"/>
        <v/>
      </c>
    </row>
    <row r="215" spans="7:7">
      <c r="G215" s="5" t="str">
        <f t="shared" si="13"/>
        <v/>
      </c>
    </row>
    <row r="216" spans="7:7">
      <c r="G216" s="5" t="str">
        <f t="shared" si="13"/>
        <v/>
      </c>
    </row>
    <row r="217" spans="7:7">
      <c r="G217" s="5" t="str">
        <f t="shared" si="13"/>
        <v/>
      </c>
    </row>
    <row r="218" spans="7:7">
      <c r="G218" s="5" t="str">
        <f t="shared" si="13"/>
        <v/>
      </c>
    </row>
    <row r="219" spans="7:7">
      <c r="G219" s="5" t="str">
        <f t="shared" si="13"/>
        <v/>
      </c>
    </row>
    <row r="220" spans="7:7">
      <c r="G220" s="5" t="str">
        <f t="shared" si="13"/>
        <v/>
      </c>
    </row>
    <row r="221" spans="7:7">
      <c r="G221" s="5" t="str">
        <f t="shared" si="13"/>
        <v/>
      </c>
    </row>
    <row r="222" spans="7:7">
      <c r="G222" s="5" t="str">
        <f t="shared" si="13"/>
        <v/>
      </c>
    </row>
    <row r="223" spans="7:7">
      <c r="G223" s="5" t="str">
        <f t="shared" si="13"/>
        <v/>
      </c>
    </row>
    <row r="224" spans="7:7">
      <c r="G224" s="5" t="str">
        <f t="shared" si="13"/>
        <v/>
      </c>
    </row>
    <row r="225" spans="7:7">
      <c r="G225" s="5" t="str">
        <f t="shared" si="13"/>
        <v/>
      </c>
    </row>
    <row r="226" spans="7:7">
      <c r="G226" s="5" t="str">
        <f t="shared" si="13"/>
        <v/>
      </c>
    </row>
    <row r="227" spans="7:7">
      <c r="G227" s="5" t="str">
        <f t="shared" si="13"/>
        <v/>
      </c>
    </row>
    <row r="228" spans="7:7">
      <c r="G228" s="5" t="str">
        <f t="shared" si="13"/>
        <v/>
      </c>
    </row>
    <row r="229" spans="7:7">
      <c r="G229" s="5" t="str">
        <f t="shared" ref="G229:G292" si="14">IF(B229&lt;&gt;"",SUM(C229:F229),"")</f>
        <v/>
      </c>
    </row>
    <row r="230" spans="7:7">
      <c r="G230" s="5" t="str">
        <f t="shared" si="14"/>
        <v/>
      </c>
    </row>
    <row r="231" spans="7:7">
      <c r="G231" s="5" t="str">
        <f t="shared" si="14"/>
        <v/>
      </c>
    </row>
    <row r="232" spans="7:7">
      <c r="G232" s="5" t="str">
        <f t="shared" si="14"/>
        <v/>
      </c>
    </row>
    <row r="233" spans="7:7">
      <c r="G233" s="5" t="str">
        <f t="shared" si="14"/>
        <v/>
      </c>
    </row>
    <row r="234" spans="7:7">
      <c r="G234" s="5" t="str">
        <f t="shared" si="14"/>
        <v/>
      </c>
    </row>
    <row r="235" spans="7:7">
      <c r="G235" s="5" t="str">
        <f t="shared" si="14"/>
        <v/>
      </c>
    </row>
    <row r="236" spans="7:7">
      <c r="G236" s="5" t="str">
        <f t="shared" si="14"/>
        <v/>
      </c>
    </row>
    <row r="237" spans="7:7">
      <c r="G237" s="5" t="str">
        <f t="shared" si="14"/>
        <v/>
      </c>
    </row>
    <row r="238" spans="7:7">
      <c r="G238" s="5" t="str">
        <f t="shared" si="14"/>
        <v/>
      </c>
    </row>
    <row r="239" spans="7:7">
      <c r="G239" s="5" t="str">
        <f t="shared" si="14"/>
        <v/>
      </c>
    </row>
    <row r="240" spans="7:7">
      <c r="G240" s="5" t="str">
        <f t="shared" si="14"/>
        <v/>
      </c>
    </row>
    <row r="241" spans="7:7">
      <c r="G241" s="5" t="str">
        <f t="shared" si="14"/>
        <v/>
      </c>
    </row>
    <row r="242" spans="7:7">
      <c r="G242" s="5" t="str">
        <f t="shared" si="14"/>
        <v/>
      </c>
    </row>
    <row r="243" spans="7:7">
      <c r="G243" s="5" t="str">
        <f t="shared" si="14"/>
        <v/>
      </c>
    </row>
    <row r="244" spans="7:7">
      <c r="G244" s="5" t="str">
        <f t="shared" si="14"/>
        <v/>
      </c>
    </row>
    <row r="245" spans="7:7">
      <c r="G245" s="5" t="str">
        <f t="shared" si="14"/>
        <v/>
      </c>
    </row>
    <row r="246" spans="7:7">
      <c r="G246" s="5" t="str">
        <f t="shared" si="14"/>
        <v/>
      </c>
    </row>
    <row r="247" spans="7:7">
      <c r="G247" s="5" t="str">
        <f t="shared" si="14"/>
        <v/>
      </c>
    </row>
    <row r="248" spans="7:7">
      <c r="G248" s="5" t="str">
        <f t="shared" si="14"/>
        <v/>
      </c>
    </row>
    <row r="249" spans="7:7">
      <c r="G249" s="5" t="str">
        <f t="shared" si="14"/>
        <v/>
      </c>
    </row>
    <row r="250" spans="7:7">
      <c r="G250" s="5" t="str">
        <f t="shared" si="14"/>
        <v/>
      </c>
    </row>
    <row r="251" spans="7:7">
      <c r="G251" s="5" t="str">
        <f t="shared" si="14"/>
        <v/>
      </c>
    </row>
    <row r="252" spans="7:7">
      <c r="G252" s="5" t="str">
        <f t="shared" si="14"/>
        <v/>
      </c>
    </row>
    <row r="253" spans="7:7">
      <c r="G253" s="5" t="str">
        <f t="shared" si="14"/>
        <v/>
      </c>
    </row>
    <row r="254" spans="7:7">
      <c r="G254" s="5" t="str">
        <f t="shared" si="14"/>
        <v/>
      </c>
    </row>
    <row r="255" spans="7:7">
      <c r="G255" s="5" t="str">
        <f t="shared" si="14"/>
        <v/>
      </c>
    </row>
    <row r="256" spans="7:7">
      <c r="G256" s="5" t="str">
        <f t="shared" si="14"/>
        <v/>
      </c>
    </row>
    <row r="257" spans="7:7">
      <c r="G257" s="5" t="str">
        <f t="shared" si="14"/>
        <v/>
      </c>
    </row>
    <row r="258" spans="7:7">
      <c r="G258" s="5" t="str">
        <f t="shared" si="14"/>
        <v/>
      </c>
    </row>
    <row r="259" spans="7:7">
      <c r="G259" s="5" t="str">
        <f t="shared" si="14"/>
        <v/>
      </c>
    </row>
    <row r="260" spans="7:7">
      <c r="G260" s="5" t="str">
        <f t="shared" si="14"/>
        <v/>
      </c>
    </row>
    <row r="261" spans="7:7">
      <c r="G261" s="5" t="str">
        <f t="shared" si="14"/>
        <v/>
      </c>
    </row>
    <row r="262" spans="7:7">
      <c r="G262" s="5" t="str">
        <f t="shared" si="14"/>
        <v/>
      </c>
    </row>
    <row r="263" spans="7:7">
      <c r="G263" s="5" t="str">
        <f t="shared" si="14"/>
        <v/>
      </c>
    </row>
    <row r="264" spans="7:7">
      <c r="G264" s="5" t="str">
        <f t="shared" si="14"/>
        <v/>
      </c>
    </row>
    <row r="265" spans="7:7">
      <c r="G265" s="5" t="str">
        <f t="shared" si="14"/>
        <v/>
      </c>
    </row>
    <row r="266" spans="7:7">
      <c r="G266" s="5" t="str">
        <f t="shared" si="14"/>
        <v/>
      </c>
    </row>
    <row r="267" spans="7:7">
      <c r="G267" s="5" t="str">
        <f t="shared" si="14"/>
        <v/>
      </c>
    </row>
    <row r="268" spans="7:7">
      <c r="G268" s="5" t="str">
        <f t="shared" si="14"/>
        <v/>
      </c>
    </row>
    <row r="269" spans="7:7">
      <c r="G269" s="5" t="str">
        <f t="shared" si="14"/>
        <v/>
      </c>
    </row>
    <row r="270" spans="7:7">
      <c r="G270" s="5" t="str">
        <f t="shared" si="14"/>
        <v/>
      </c>
    </row>
    <row r="271" spans="7:7">
      <c r="G271" s="5" t="str">
        <f t="shared" si="14"/>
        <v/>
      </c>
    </row>
    <row r="272" spans="7:7">
      <c r="G272" s="5" t="str">
        <f t="shared" si="14"/>
        <v/>
      </c>
    </row>
    <row r="273" spans="7:7">
      <c r="G273" s="5" t="str">
        <f t="shared" si="14"/>
        <v/>
      </c>
    </row>
    <row r="274" spans="7:7">
      <c r="G274" s="5" t="str">
        <f t="shared" si="14"/>
        <v/>
      </c>
    </row>
    <row r="275" spans="7:7">
      <c r="G275" s="5" t="str">
        <f t="shared" si="14"/>
        <v/>
      </c>
    </row>
    <row r="276" spans="7:7">
      <c r="G276" s="5" t="str">
        <f t="shared" si="14"/>
        <v/>
      </c>
    </row>
    <row r="277" spans="7:7">
      <c r="G277" s="5" t="str">
        <f t="shared" si="14"/>
        <v/>
      </c>
    </row>
    <row r="278" spans="7:7">
      <c r="G278" s="5" t="str">
        <f t="shared" si="14"/>
        <v/>
      </c>
    </row>
    <row r="279" spans="7:7">
      <c r="G279" s="5" t="str">
        <f t="shared" si="14"/>
        <v/>
      </c>
    </row>
    <row r="280" spans="7:7">
      <c r="G280" s="5" t="str">
        <f t="shared" si="14"/>
        <v/>
      </c>
    </row>
    <row r="281" spans="7:7">
      <c r="G281" s="5" t="str">
        <f t="shared" si="14"/>
        <v/>
      </c>
    </row>
    <row r="282" spans="7:7">
      <c r="G282" s="5" t="str">
        <f t="shared" si="14"/>
        <v/>
      </c>
    </row>
    <row r="283" spans="7:7">
      <c r="G283" s="5" t="str">
        <f t="shared" si="14"/>
        <v/>
      </c>
    </row>
    <row r="284" spans="7:7">
      <c r="G284" s="5" t="str">
        <f t="shared" si="14"/>
        <v/>
      </c>
    </row>
    <row r="285" spans="7:7">
      <c r="G285" s="5" t="str">
        <f t="shared" si="14"/>
        <v/>
      </c>
    </row>
    <row r="286" spans="7:7">
      <c r="G286" s="5" t="str">
        <f t="shared" si="14"/>
        <v/>
      </c>
    </row>
    <row r="287" spans="7:7">
      <c r="G287" s="5" t="str">
        <f t="shared" si="14"/>
        <v/>
      </c>
    </row>
    <row r="288" spans="7:7">
      <c r="G288" s="5" t="str">
        <f t="shared" si="14"/>
        <v/>
      </c>
    </row>
    <row r="289" spans="7:7">
      <c r="G289" s="5" t="str">
        <f t="shared" si="14"/>
        <v/>
      </c>
    </row>
    <row r="290" spans="7:7">
      <c r="G290" s="5" t="str">
        <f t="shared" si="14"/>
        <v/>
      </c>
    </row>
    <row r="291" spans="7:7">
      <c r="G291" s="5" t="str">
        <f t="shared" si="14"/>
        <v/>
      </c>
    </row>
    <row r="292" spans="7:7">
      <c r="G292" s="5" t="str">
        <f t="shared" si="14"/>
        <v/>
      </c>
    </row>
    <row r="293" spans="7:7">
      <c r="G293" s="5" t="str">
        <f t="shared" ref="G293:G356" si="15">IF(B293&lt;&gt;"",SUM(C293:F293),"")</f>
        <v/>
      </c>
    </row>
    <row r="294" spans="7:7">
      <c r="G294" s="5" t="str">
        <f t="shared" si="15"/>
        <v/>
      </c>
    </row>
    <row r="295" spans="7:7">
      <c r="G295" s="5" t="str">
        <f t="shared" si="15"/>
        <v/>
      </c>
    </row>
    <row r="296" spans="7:7">
      <c r="G296" s="5" t="str">
        <f t="shared" si="15"/>
        <v/>
      </c>
    </row>
    <row r="297" spans="7:7">
      <c r="G297" s="5" t="str">
        <f t="shared" si="15"/>
        <v/>
      </c>
    </row>
    <row r="298" spans="7:7">
      <c r="G298" s="5" t="str">
        <f t="shared" si="15"/>
        <v/>
      </c>
    </row>
    <row r="299" spans="7:7">
      <c r="G299" s="5" t="str">
        <f t="shared" si="15"/>
        <v/>
      </c>
    </row>
    <row r="300" spans="7:7">
      <c r="G300" s="5" t="str">
        <f t="shared" si="15"/>
        <v/>
      </c>
    </row>
    <row r="301" spans="7:7">
      <c r="G301" s="5" t="str">
        <f t="shared" si="15"/>
        <v/>
      </c>
    </row>
    <row r="302" spans="7:7">
      <c r="G302" s="5" t="str">
        <f t="shared" si="15"/>
        <v/>
      </c>
    </row>
    <row r="303" spans="7:7">
      <c r="G303" s="5" t="str">
        <f t="shared" si="15"/>
        <v/>
      </c>
    </row>
    <row r="304" spans="7:7">
      <c r="G304" s="5" t="str">
        <f t="shared" si="15"/>
        <v/>
      </c>
    </row>
    <row r="305" spans="7:7">
      <c r="G305" s="5" t="str">
        <f t="shared" si="15"/>
        <v/>
      </c>
    </row>
    <row r="306" spans="7:7">
      <c r="G306" s="5" t="str">
        <f t="shared" si="15"/>
        <v/>
      </c>
    </row>
    <row r="307" spans="7:7">
      <c r="G307" s="5" t="str">
        <f t="shared" si="15"/>
        <v/>
      </c>
    </row>
    <row r="308" spans="7:7">
      <c r="G308" s="5" t="str">
        <f t="shared" si="15"/>
        <v/>
      </c>
    </row>
    <row r="309" spans="7:7">
      <c r="G309" s="5" t="str">
        <f t="shared" si="15"/>
        <v/>
      </c>
    </row>
    <row r="310" spans="7:7">
      <c r="G310" s="5" t="str">
        <f t="shared" si="15"/>
        <v/>
      </c>
    </row>
    <row r="311" spans="7:7">
      <c r="G311" s="5" t="str">
        <f t="shared" si="15"/>
        <v/>
      </c>
    </row>
    <row r="312" spans="7:7">
      <c r="G312" s="5" t="str">
        <f t="shared" si="15"/>
        <v/>
      </c>
    </row>
    <row r="313" spans="7:7">
      <c r="G313" s="5" t="str">
        <f t="shared" si="15"/>
        <v/>
      </c>
    </row>
    <row r="314" spans="7:7">
      <c r="G314" s="5" t="str">
        <f t="shared" si="15"/>
        <v/>
      </c>
    </row>
    <row r="315" spans="7:7">
      <c r="G315" s="5" t="str">
        <f t="shared" si="15"/>
        <v/>
      </c>
    </row>
    <row r="316" spans="7:7">
      <c r="G316" s="5" t="str">
        <f t="shared" si="15"/>
        <v/>
      </c>
    </row>
    <row r="317" spans="7:7">
      <c r="G317" s="5" t="str">
        <f t="shared" si="15"/>
        <v/>
      </c>
    </row>
    <row r="318" spans="7:7">
      <c r="G318" s="5" t="str">
        <f t="shared" si="15"/>
        <v/>
      </c>
    </row>
    <row r="319" spans="7:7">
      <c r="G319" s="5" t="str">
        <f t="shared" si="15"/>
        <v/>
      </c>
    </row>
    <row r="320" spans="7:7">
      <c r="G320" s="5" t="str">
        <f t="shared" si="15"/>
        <v/>
      </c>
    </row>
    <row r="321" spans="7:7">
      <c r="G321" s="5" t="str">
        <f t="shared" si="15"/>
        <v/>
      </c>
    </row>
    <row r="322" spans="7:7">
      <c r="G322" s="5" t="str">
        <f t="shared" si="15"/>
        <v/>
      </c>
    </row>
    <row r="323" spans="7:7">
      <c r="G323" s="5" t="str">
        <f t="shared" si="15"/>
        <v/>
      </c>
    </row>
    <row r="324" spans="7:7">
      <c r="G324" s="5" t="str">
        <f t="shared" si="15"/>
        <v/>
      </c>
    </row>
    <row r="325" spans="7:7">
      <c r="G325" s="5" t="str">
        <f t="shared" si="15"/>
        <v/>
      </c>
    </row>
    <row r="326" spans="7:7">
      <c r="G326" s="5" t="str">
        <f t="shared" si="15"/>
        <v/>
      </c>
    </row>
    <row r="327" spans="7:7">
      <c r="G327" s="5" t="str">
        <f t="shared" si="15"/>
        <v/>
      </c>
    </row>
    <row r="328" spans="7:7">
      <c r="G328" s="5" t="str">
        <f t="shared" si="15"/>
        <v/>
      </c>
    </row>
    <row r="329" spans="7:7">
      <c r="G329" s="5" t="str">
        <f t="shared" si="15"/>
        <v/>
      </c>
    </row>
    <row r="330" spans="7:7">
      <c r="G330" s="5" t="str">
        <f t="shared" si="15"/>
        <v/>
      </c>
    </row>
    <row r="331" spans="7:7">
      <c r="G331" s="5" t="str">
        <f t="shared" si="15"/>
        <v/>
      </c>
    </row>
    <row r="332" spans="7:7">
      <c r="G332" s="5" t="str">
        <f t="shared" si="15"/>
        <v/>
      </c>
    </row>
    <row r="333" spans="7:7">
      <c r="G333" s="5" t="str">
        <f t="shared" si="15"/>
        <v/>
      </c>
    </row>
    <row r="334" spans="7:7">
      <c r="G334" s="5" t="str">
        <f t="shared" si="15"/>
        <v/>
      </c>
    </row>
    <row r="335" spans="7:7">
      <c r="G335" s="5" t="str">
        <f t="shared" si="15"/>
        <v/>
      </c>
    </row>
    <row r="336" spans="7:7">
      <c r="G336" s="5" t="str">
        <f t="shared" si="15"/>
        <v/>
      </c>
    </row>
    <row r="337" spans="7:7">
      <c r="G337" s="5" t="str">
        <f t="shared" si="15"/>
        <v/>
      </c>
    </row>
    <row r="338" spans="7:7">
      <c r="G338" s="5" t="str">
        <f t="shared" si="15"/>
        <v/>
      </c>
    </row>
    <row r="339" spans="7:7">
      <c r="G339" s="5" t="str">
        <f t="shared" si="15"/>
        <v/>
      </c>
    </row>
    <row r="340" spans="7:7">
      <c r="G340" s="5" t="str">
        <f t="shared" si="15"/>
        <v/>
      </c>
    </row>
    <row r="341" spans="7:7">
      <c r="G341" s="5" t="str">
        <f t="shared" si="15"/>
        <v/>
      </c>
    </row>
    <row r="342" spans="7:7">
      <c r="G342" s="5" t="str">
        <f t="shared" si="15"/>
        <v/>
      </c>
    </row>
    <row r="343" spans="7:7">
      <c r="G343" s="5" t="str">
        <f t="shared" si="15"/>
        <v/>
      </c>
    </row>
    <row r="344" spans="7:7">
      <c r="G344" s="5" t="str">
        <f t="shared" si="15"/>
        <v/>
      </c>
    </row>
    <row r="345" spans="7:7">
      <c r="G345" s="5" t="str">
        <f t="shared" si="15"/>
        <v/>
      </c>
    </row>
    <row r="346" spans="7:7">
      <c r="G346" s="5" t="str">
        <f t="shared" si="15"/>
        <v/>
      </c>
    </row>
    <row r="347" spans="7:7">
      <c r="G347" s="5" t="str">
        <f t="shared" si="15"/>
        <v/>
      </c>
    </row>
    <row r="348" spans="7:7">
      <c r="G348" s="5" t="str">
        <f t="shared" si="15"/>
        <v/>
      </c>
    </row>
    <row r="349" spans="7:7">
      <c r="G349" s="5" t="str">
        <f t="shared" si="15"/>
        <v/>
      </c>
    </row>
    <row r="350" spans="7:7">
      <c r="G350" s="5" t="str">
        <f t="shared" si="15"/>
        <v/>
      </c>
    </row>
    <row r="351" spans="7:7">
      <c r="G351" s="5" t="str">
        <f t="shared" si="15"/>
        <v/>
      </c>
    </row>
    <row r="352" spans="7:7">
      <c r="G352" s="5" t="str">
        <f t="shared" si="15"/>
        <v/>
      </c>
    </row>
    <row r="353" spans="7:7">
      <c r="G353" s="5" t="str">
        <f t="shared" si="15"/>
        <v/>
      </c>
    </row>
    <row r="354" spans="7:7">
      <c r="G354" s="5" t="str">
        <f t="shared" si="15"/>
        <v/>
      </c>
    </row>
    <row r="355" spans="7:7">
      <c r="G355" s="5" t="str">
        <f t="shared" si="15"/>
        <v/>
      </c>
    </row>
    <row r="356" spans="7:7">
      <c r="G356" s="5" t="str">
        <f t="shared" si="15"/>
        <v/>
      </c>
    </row>
    <row r="357" spans="7:7">
      <c r="G357" s="5" t="str">
        <f t="shared" ref="G357:G420" si="16">IF(B357&lt;&gt;"",SUM(C357:F357),"")</f>
        <v/>
      </c>
    </row>
    <row r="358" spans="7:7">
      <c r="G358" s="5" t="str">
        <f t="shared" si="16"/>
        <v/>
      </c>
    </row>
    <row r="359" spans="7:7">
      <c r="G359" s="5" t="str">
        <f t="shared" si="16"/>
        <v/>
      </c>
    </row>
    <row r="360" spans="7:7">
      <c r="G360" s="5" t="str">
        <f t="shared" si="16"/>
        <v/>
      </c>
    </row>
    <row r="361" spans="7:7">
      <c r="G361" s="5" t="str">
        <f t="shared" si="16"/>
        <v/>
      </c>
    </row>
    <row r="362" spans="7:7">
      <c r="G362" s="5" t="str">
        <f t="shared" si="16"/>
        <v/>
      </c>
    </row>
    <row r="363" spans="7:7">
      <c r="G363" s="5" t="str">
        <f t="shared" si="16"/>
        <v/>
      </c>
    </row>
    <row r="364" spans="7:7">
      <c r="G364" s="5" t="str">
        <f t="shared" si="16"/>
        <v/>
      </c>
    </row>
    <row r="365" spans="7:7">
      <c r="G365" s="5" t="str">
        <f t="shared" si="16"/>
        <v/>
      </c>
    </row>
    <row r="366" spans="7:7">
      <c r="G366" s="5" t="str">
        <f t="shared" si="16"/>
        <v/>
      </c>
    </row>
    <row r="367" spans="7:7">
      <c r="G367" s="5" t="str">
        <f t="shared" si="16"/>
        <v/>
      </c>
    </row>
    <row r="368" spans="7:7">
      <c r="G368" s="5" t="str">
        <f t="shared" si="16"/>
        <v/>
      </c>
    </row>
    <row r="369" spans="7:7">
      <c r="G369" s="5" t="str">
        <f t="shared" si="16"/>
        <v/>
      </c>
    </row>
    <row r="370" spans="7:7">
      <c r="G370" s="5" t="str">
        <f t="shared" si="16"/>
        <v/>
      </c>
    </row>
    <row r="371" spans="7:7">
      <c r="G371" s="5" t="str">
        <f t="shared" si="16"/>
        <v/>
      </c>
    </row>
    <row r="372" spans="7:7">
      <c r="G372" s="5" t="str">
        <f t="shared" si="16"/>
        <v/>
      </c>
    </row>
    <row r="373" spans="7:7">
      <c r="G373" s="5" t="str">
        <f t="shared" si="16"/>
        <v/>
      </c>
    </row>
    <row r="374" spans="7:7">
      <c r="G374" s="5" t="str">
        <f t="shared" si="16"/>
        <v/>
      </c>
    </row>
    <row r="375" spans="7:7">
      <c r="G375" s="5" t="str">
        <f t="shared" si="16"/>
        <v/>
      </c>
    </row>
    <row r="376" spans="7:7">
      <c r="G376" s="5" t="str">
        <f t="shared" si="16"/>
        <v/>
      </c>
    </row>
    <row r="377" spans="7:7">
      <c r="G377" s="5" t="str">
        <f t="shared" si="16"/>
        <v/>
      </c>
    </row>
    <row r="378" spans="7:7">
      <c r="G378" s="5" t="str">
        <f t="shared" si="16"/>
        <v/>
      </c>
    </row>
    <row r="379" spans="7:7">
      <c r="G379" s="5" t="str">
        <f t="shared" si="16"/>
        <v/>
      </c>
    </row>
    <row r="380" spans="7:7">
      <c r="G380" s="5" t="str">
        <f t="shared" si="16"/>
        <v/>
      </c>
    </row>
    <row r="381" spans="7:7">
      <c r="G381" s="5" t="str">
        <f t="shared" si="16"/>
        <v/>
      </c>
    </row>
    <row r="382" spans="7:7">
      <c r="G382" s="5" t="str">
        <f t="shared" si="16"/>
        <v/>
      </c>
    </row>
    <row r="383" spans="7:7">
      <c r="G383" s="5" t="str">
        <f t="shared" si="16"/>
        <v/>
      </c>
    </row>
    <row r="384" spans="7:7">
      <c r="G384" s="5" t="str">
        <f t="shared" si="16"/>
        <v/>
      </c>
    </row>
    <row r="385" spans="7:7">
      <c r="G385" s="5" t="str">
        <f t="shared" si="16"/>
        <v/>
      </c>
    </row>
    <row r="386" spans="7:7">
      <c r="G386" s="5" t="str">
        <f t="shared" si="16"/>
        <v/>
      </c>
    </row>
    <row r="387" spans="7:7">
      <c r="G387" s="5" t="str">
        <f t="shared" si="16"/>
        <v/>
      </c>
    </row>
    <row r="388" spans="7:7">
      <c r="G388" s="5" t="str">
        <f t="shared" si="16"/>
        <v/>
      </c>
    </row>
    <row r="389" spans="7:7">
      <c r="G389" s="5" t="str">
        <f t="shared" si="16"/>
        <v/>
      </c>
    </row>
    <row r="390" spans="7:7">
      <c r="G390" s="5" t="str">
        <f t="shared" si="16"/>
        <v/>
      </c>
    </row>
    <row r="391" spans="7:7">
      <c r="G391" s="5" t="str">
        <f t="shared" si="16"/>
        <v/>
      </c>
    </row>
    <row r="392" spans="7:7">
      <c r="G392" s="5" t="str">
        <f t="shared" si="16"/>
        <v/>
      </c>
    </row>
    <row r="393" spans="7:7">
      <c r="G393" s="5" t="str">
        <f t="shared" si="16"/>
        <v/>
      </c>
    </row>
    <row r="394" spans="7:7">
      <c r="G394" s="5" t="str">
        <f t="shared" si="16"/>
        <v/>
      </c>
    </row>
    <row r="395" spans="7:7">
      <c r="G395" s="5" t="str">
        <f t="shared" si="16"/>
        <v/>
      </c>
    </row>
    <row r="396" spans="7:7">
      <c r="G396" s="5" t="str">
        <f t="shared" si="16"/>
        <v/>
      </c>
    </row>
    <row r="397" spans="7:7">
      <c r="G397" s="5" t="str">
        <f t="shared" si="16"/>
        <v/>
      </c>
    </row>
    <row r="398" spans="7:7">
      <c r="G398" s="5" t="str">
        <f t="shared" si="16"/>
        <v/>
      </c>
    </row>
    <row r="399" spans="7:7">
      <c r="G399" s="5" t="str">
        <f t="shared" si="16"/>
        <v/>
      </c>
    </row>
    <row r="400" spans="7:7">
      <c r="G400" s="5" t="str">
        <f t="shared" si="16"/>
        <v/>
      </c>
    </row>
    <row r="401" spans="7:7">
      <c r="G401" s="5" t="str">
        <f t="shared" si="16"/>
        <v/>
      </c>
    </row>
    <row r="402" spans="7:7">
      <c r="G402" s="5" t="str">
        <f t="shared" si="16"/>
        <v/>
      </c>
    </row>
    <row r="403" spans="7:7">
      <c r="G403" s="5" t="str">
        <f t="shared" si="16"/>
        <v/>
      </c>
    </row>
    <row r="404" spans="7:7">
      <c r="G404" s="5" t="str">
        <f t="shared" si="16"/>
        <v/>
      </c>
    </row>
    <row r="405" spans="7:7">
      <c r="G405" s="5" t="str">
        <f t="shared" si="16"/>
        <v/>
      </c>
    </row>
    <row r="406" spans="7:7">
      <c r="G406" s="5" t="str">
        <f t="shared" si="16"/>
        <v/>
      </c>
    </row>
    <row r="407" spans="7:7">
      <c r="G407" s="5" t="str">
        <f t="shared" si="16"/>
        <v/>
      </c>
    </row>
    <row r="408" spans="7:7">
      <c r="G408" s="5" t="str">
        <f t="shared" si="16"/>
        <v/>
      </c>
    </row>
    <row r="409" spans="7:7">
      <c r="G409" s="5" t="str">
        <f t="shared" si="16"/>
        <v/>
      </c>
    </row>
    <row r="410" spans="7:7">
      <c r="G410" s="5" t="str">
        <f t="shared" si="16"/>
        <v/>
      </c>
    </row>
    <row r="411" spans="7:7">
      <c r="G411" s="5" t="str">
        <f t="shared" si="16"/>
        <v/>
      </c>
    </row>
    <row r="412" spans="7:7">
      <c r="G412" s="5" t="str">
        <f t="shared" si="16"/>
        <v/>
      </c>
    </row>
    <row r="413" spans="7:7">
      <c r="G413" s="5" t="str">
        <f t="shared" si="16"/>
        <v/>
      </c>
    </row>
    <row r="414" spans="7:7">
      <c r="G414" s="5" t="str">
        <f t="shared" si="16"/>
        <v/>
      </c>
    </row>
    <row r="415" spans="7:7">
      <c r="G415" s="5" t="str">
        <f t="shared" si="16"/>
        <v/>
      </c>
    </row>
    <row r="416" spans="7:7">
      <c r="G416" s="5" t="str">
        <f t="shared" si="16"/>
        <v/>
      </c>
    </row>
    <row r="417" spans="7:7">
      <c r="G417" s="5" t="str">
        <f t="shared" si="16"/>
        <v/>
      </c>
    </row>
    <row r="418" spans="7:7">
      <c r="G418" s="5" t="str">
        <f t="shared" si="16"/>
        <v/>
      </c>
    </row>
    <row r="419" spans="7:7">
      <c r="G419" s="5" t="str">
        <f t="shared" si="16"/>
        <v/>
      </c>
    </row>
    <row r="420" spans="7:7">
      <c r="G420" s="5" t="str">
        <f t="shared" si="16"/>
        <v/>
      </c>
    </row>
    <row r="421" spans="7:7">
      <c r="G421" s="5" t="str">
        <f t="shared" ref="G421:G452" si="17">IF(B421&lt;&gt;"",SUM(C421:F421),"")</f>
        <v/>
      </c>
    </row>
    <row r="422" spans="7:7">
      <c r="G422" s="5" t="str">
        <f t="shared" si="17"/>
        <v/>
      </c>
    </row>
    <row r="423" spans="7:7">
      <c r="G423" s="5" t="str">
        <f t="shared" si="17"/>
        <v/>
      </c>
    </row>
    <row r="424" spans="7:7">
      <c r="G424" s="5" t="str">
        <f t="shared" si="17"/>
        <v/>
      </c>
    </row>
    <row r="425" spans="7:7">
      <c r="G425" s="5" t="str">
        <f t="shared" si="17"/>
        <v/>
      </c>
    </row>
    <row r="426" spans="7:7">
      <c r="G426" s="5" t="str">
        <f t="shared" si="17"/>
        <v/>
      </c>
    </row>
    <row r="427" spans="7:7">
      <c r="G427" s="5" t="str">
        <f t="shared" si="17"/>
        <v/>
      </c>
    </row>
    <row r="428" spans="7:7">
      <c r="G428" s="5" t="str">
        <f t="shared" si="17"/>
        <v/>
      </c>
    </row>
    <row r="429" spans="7:7">
      <c r="G429" s="5" t="str">
        <f t="shared" si="17"/>
        <v/>
      </c>
    </row>
    <row r="430" spans="7:7">
      <c r="G430" s="5" t="str">
        <f t="shared" si="17"/>
        <v/>
      </c>
    </row>
    <row r="431" spans="7:7">
      <c r="G431" s="5" t="str">
        <f t="shared" si="17"/>
        <v/>
      </c>
    </row>
    <row r="432" spans="7:7">
      <c r="G432" s="5" t="str">
        <f t="shared" si="17"/>
        <v/>
      </c>
    </row>
    <row r="433" spans="7:7">
      <c r="G433" s="5" t="str">
        <f t="shared" si="17"/>
        <v/>
      </c>
    </row>
    <row r="434" spans="7:7">
      <c r="G434" s="5" t="str">
        <f t="shared" si="17"/>
        <v/>
      </c>
    </row>
    <row r="435" spans="7:7">
      <c r="G435" s="5" t="str">
        <f t="shared" si="17"/>
        <v/>
      </c>
    </row>
    <row r="436" spans="7:7">
      <c r="G436" s="5" t="str">
        <f t="shared" si="17"/>
        <v/>
      </c>
    </row>
    <row r="437" spans="7:7">
      <c r="G437" s="5" t="str">
        <f t="shared" si="17"/>
        <v/>
      </c>
    </row>
    <row r="438" spans="7:7">
      <c r="G438" s="5" t="str">
        <f t="shared" si="17"/>
        <v/>
      </c>
    </row>
    <row r="439" spans="7:7">
      <c r="G439" s="5" t="str">
        <f t="shared" si="17"/>
        <v/>
      </c>
    </row>
    <row r="440" spans="7:7">
      <c r="G440" s="5" t="str">
        <f t="shared" si="17"/>
        <v/>
      </c>
    </row>
    <row r="441" spans="7:7">
      <c r="G441" s="5" t="str">
        <f t="shared" si="17"/>
        <v/>
      </c>
    </row>
    <row r="442" spans="7:7">
      <c r="G442" s="5" t="str">
        <f t="shared" si="17"/>
        <v/>
      </c>
    </row>
    <row r="443" spans="7:7">
      <c r="G443" s="5" t="str">
        <f t="shared" si="17"/>
        <v/>
      </c>
    </row>
    <row r="444" spans="7:7">
      <c r="G444" s="5" t="str">
        <f t="shared" si="17"/>
        <v/>
      </c>
    </row>
    <row r="445" spans="7:7">
      <c r="G445" s="5" t="str">
        <f t="shared" si="17"/>
        <v/>
      </c>
    </row>
    <row r="446" spans="7:7">
      <c r="G446" s="5" t="str">
        <f t="shared" si="17"/>
        <v/>
      </c>
    </row>
    <row r="447" spans="7:7">
      <c r="G447" s="5" t="str">
        <f t="shared" si="17"/>
        <v/>
      </c>
    </row>
    <row r="448" spans="7:7">
      <c r="G448" s="5" t="str">
        <f t="shared" si="17"/>
        <v/>
      </c>
    </row>
    <row r="449" spans="7:7">
      <c r="G449" s="5" t="str">
        <f t="shared" si="17"/>
        <v/>
      </c>
    </row>
    <row r="450" spans="7:7">
      <c r="G450" s="5" t="str">
        <f t="shared" si="17"/>
        <v/>
      </c>
    </row>
    <row r="451" spans="7:7">
      <c r="G451" s="5" t="str">
        <f t="shared" si="17"/>
        <v/>
      </c>
    </row>
    <row r="452" spans="7:7">
      <c r="G452" s="5" t="str">
        <f t="shared" si="17"/>
        <v/>
      </c>
    </row>
  </sheetData>
  <sheetProtection algorithmName="SHA-512" hashValue="wr1OkZXMN/5GdDDZxFihwkTpfrUTaeTRK8Rg7QdPY/M0ceOUw9rg56zqokdKdKiS4fcnJ9FBozNqzMiWPzYnlw==" saltValue="BPBLs7qkWLDh8Xi6Tbr8cA==" spinCount="100000" sheet="1" sort="0" autoFilter="0" pivotTables="0"/>
  <autoFilter ref="H5:H26" xr:uid="{2036D580-D65E-40BF-AD16-D97988B4718B}"/>
  <sortState xmlns:xlrd2="http://schemas.microsoft.com/office/spreadsheetml/2017/richdata2" ref="B6:M24">
    <sortCondition ref="B24"/>
  </sortState>
  <conditionalFormatting sqref="B21">
    <cfRule type="expression" dxfId="0" priority="1">
      <formula>IF($B21&lt;&gt;"",MOD(ROW(),2)=0,0)</formula>
    </cfRule>
  </conditionalFormatting>
  <pageMargins left="0.78740157480314965" right="0.78740157480314965" top="0.78740157480314965" bottom="0.78740157480314965" header="0" footer="0"/>
  <pageSetup paperSize="9" scale="79" orientation="landscape" verticalDpi="4294967295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CE4C0-C73B-4EE3-92D3-C23F9BF41826}">
  <sheetPr codeName="Planilha29">
    <tabColor rgb="FFFF0000"/>
    <pageSetUpPr fitToPage="1"/>
  </sheetPr>
  <dimension ref="B1:V449"/>
  <sheetViews>
    <sheetView workbookViewId="0">
      <pane ySplit="5" topLeftCell="A6" activePane="bottomLeft" state="frozen"/>
      <selection activeCell="H9" sqref="H9"/>
      <selection pane="bottomLeft" activeCell="W32" sqref="W32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3" width="11.5703125" style="6" hidden="1" customWidth="1"/>
    <col min="14" max="14" width="13.85546875" style="6" bestFit="1" customWidth="1"/>
    <col min="15" max="15" width="10.5703125" style="1" hidden="1" customWidth="1"/>
    <col min="16" max="16" width="11" style="1" hidden="1" customWidth="1"/>
    <col min="17" max="18" width="10.5703125" style="1" hidden="1" customWidth="1"/>
    <col min="19" max="19" width="12.140625" style="1" hidden="1" customWidth="1"/>
    <col min="20" max="20" width="11.5703125" style="1" hidden="1" customWidth="1"/>
    <col min="21" max="21" width="11.42578125" style="6" hidden="1" customWidth="1"/>
    <col min="22" max="22" width="0" style="1" hidden="1" customWidth="1"/>
    <col min="23" max="16384" width="9.140625" style="1"/>
  </cols>
  <sheetData>
    <row r="1" spans="2:22" ht="4.5" customHeight="1">
      <c r="B1" s="1"/>
      <c r="C1" s="4"/>
      <c r="D1" s="4"/>
      <c r="E1" s="4"/>
      <c r="F1" s="4"/>
      <c r="G1" s="4"/>
    </row>
    <row r="2" spans="2:22" ht="59.25" customHeight="1">
      <c r="B2" s="63" t="s">
        <v>31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  <c r="N2" s="1"/>
    </row>
    <row r="3" spans="2:22" ht="4.5" customHeight="1" thickBot="1">
      <c r="B3" s="1"/>
      <c r="C3" s="4"/>
      <c r="D3" s="4"/>
      <c r="E3" s="4"/>
      <c r="F3" s="4"/>
      <c r="G3" s="4"/>
    </row>
    <row r="4" spans="2:22">
      <c r="B4" s="370" t="s">
        <v>6</v>
      </c>
      <c r="C4" s="43"/>
      <c r="D4" s="43"/>
      <c r="E4" s="43"/>
      <c r="F4" s="44"/>
      <c r="G4" s="45"/>
      <c r="H4" s="371"/>
      <c r="I4" s="371" t="s">
        <v>48</v>
      </c>
      <c r="J4" s="372" t="s">
        <v>9</v>
      </c>
      <c r="K4" s="372"/>
      <c r="L4" s="49">
        <v>4.7619047619047616E-2</v>
      </c>
      <c r="M4" s="97"/>
      <c r="N4" s="373" t="s">
        <v>15</v>
      </c>
      <c r="O4" s="36"/>
      <c r="P4" s="19"/>
      <c r="Q4" s="19"/>
      <c r="R4" s="19"/>
      <c r="S4" s="19"/>
      <c r="T4" s="19"/>
    </row>
    <row r="5" spans="2:22" ht="16.5" thickBot="1">
      <c r="B5" s="395" t="s">
        <v>5</v>
      </c>
      <c r="C5" s="366" t="s">
        <v>0</v>
      </c>
      <c r="D5" s="366" t="s">
        <v>12</v>
      </c>
      <c r="E5" s="366" t="s">
        <v>2</v>
      </c>
      <c r="F5" s="366" t="s">
        <v>3</v>
      </c>
      <c r="G5" s="367" t="s">
        <v>1</v>
      </c>
      <c r="H5" s="368" t="s">
        <v>4</v>
      </c>
      <c r="I5" s="368" t="s">
        <v>7</v>
      </c>
      <c r="J5" s="369" t="s">
        <v>8</v>
      </c>
      <c r="K5" s="369"/>
      <c r="L5" s="378" t="s">
        <v>11</v>
      </c>
      <c r="M5" s="440"/>
      <c r="N5" s="389" t="s">
        <v>16</v>
      </c>
      <c r="O5" s="37" t="s">
        <v>0</v>
      </c>
      <c r="P5" s="20" t="s">
        <v>12</v>
      </c>
      <c r="Q5" s="20" t="s">
        <v>2</v>
      </c>
      <c r="R5" s="20" t="s">
        <v>3</v>
      </c>
      <c r="S5" s="21" t="s">
        <v>1</v>
      </c>
      <c r="T5" s="22" t="s">
        <v>4</v>
      </c>
    </row>
    <row r="6" spans="2:22">
      <c r="B6" s="162" t="s">
        <v>639</v>
      </c>
      <c r="C6" s="38"/>
      <c r="D6" s="38"/>
      <c r="E6" s="38"/>
      <c r="F6" s="39"/>
      <c r="G6" s="40"/>
      <c r="H6" s="23">
        <f t="shared" ref="H6:H21" si="0">SUM(C6:G6)</f>
        <v>0</v>
      </c>
      <c r="I6" s="375">
        <f t="shared" ref="I6:I21" si="1">L6-(L6*J6)</f>
        <v>7.9</v>
      </c>
      <c r="J6" s="16"/>
      <c r="K6" s="17"/>
      <c r="L6" s="164">
        <v>7.9</v>
      </c>
      <c r="M6" s="164">
        <v>11.9</v>
      </c>
      <c r="N6" s="31">
        <v>10</v>
      </c>
      <c r="O6" s="25">
        <f t="shared" ref="O6:O21" si="2">I6*C6</f>
        <v>0</v>
      </c>
      <c r="P6" s="25">
        <f t="shared" ref="P6:P21" si="3">I6*D6</f>
        <v>0</v>
      </c>
      <c r="Q6" s="25">
        <f t="shared" ref="Q6:Q21" si="4">I6*E6</f>
        <v>0</v>
      </c>
      <c r="R6" s="26">
        <f t="shared" ref="R6:R21" si="5">I6*F6</f>
        <v>0</v>
      </c>
      <c r="S6" s="27">
        <f t="shared" ref="S6:S21" si="6">I6*G6</f>
        <v>0</v>
      </c>
      <c r="T6" s="28">
        <f>SUM(O6:S6)</f>
        <v>0</v>
      </c>
      <c r="U6" s="6">
        <v>7.9</v>
      </c>
      <c r="V6" s="29">
        <f>U6*1.1</f>
        <v>8.6900000000000013</v>
      </c>
    </row>
    <row r="7" spans="2:22">
      <c r="B7" s="162" t="s">
        <v>640</v>
      </c>
      <c r="C7" s="13"/>
      <c r="D7" s="13"/>
      <c r="E7" s="13"/>
      <c r="F7" s="14"/>
      <c r="G7" s="8"/>
      <c r="H7" s="24">
        <f t="shared" si="0"/>
        <v>0</v>
      </c>
      <c r="I7" s="375">
        <f t="shared" si="1"/>
        <v>0</v>
      </c>
      <c r="J7" s="10"/>
      <c r="K7" s="12"/>
      <c r="L7" s="164"/>
      <c r="M7" s="441"/>
      <c r="N7" s="32"/>
      <c r="O7" s="25">
        <f t="shared" si="2"/>
        <v>0</v>
      </c>
      <c r="P7" s="25">
        <f t="shared" si="3"/>
        <v>0</v>
      </c>
      <c r="Q7" s="25">
        <f t="shared" si="4"/>
        <v>0</v>
      </c>
      <c r="R7" s="26">
        <f t="shared" si="5"/>
        <v>0</v>
      </c>
      <c r="S7" s="27">
        <f t="shared" si="6"/>
        <v>0</v>
      </c>
      <c r="T7" s="28">
        <f t="shared" ref="T7:T21" si="7">SUM(O7:S7)</f>
        <v>0</v>
      </c>
      <c r="U7" s="1"/>
    </row>
    <row r="8" spans="2:22">
      <c r="B8" s="162" t="s">
        <v>641</v>
      </c>
      <c r="C8" s="13"/>
      <c r="D8" s="13"/>
      <c r="E8" s="13"/>
      <c r="F8" s="14"/>
      <c r="G8" s="8"/>
      <c r="H8" s="24">
        <f t="shared" si="0"/>
        <v>0</v>
      </c>
      <c r="I8" s="375">
        <f t="shared" si="1"/>
        <v>0</v>
      </c>
      <c r="J8" s="10"/>
      <c r="K8" s="12"/>
      <c r="L8" s="164"/>
      <c r="M8" s="441"/>
      <c r="N8" s="32"/>
      <c r="O8" s="25">
        <f t="shared" si="2"/>
        <v>0</v>
      </c>
      <c r="P8" s="25">
        <f t="shared" si="3"/>
        <v>0</v>
      </c>
      <c r="Q8" s="25">
        <f t="shared" si="4"/>
        <v>0</v>
      </c>
      <c r="R8" s="26">
        <f t="shared" si="5"/>
        <v>0</v>
      </c>
      <c r="S8" s="27">
        <f t="shared" si="6"/>
        <v>0</v>
      </c>
      <c r="T8" s="28">
        <f t="shared" si="7"/>
        <v>0</v>
      </c>
      <c r="U8" s="1"/>
    </row>
    <row r="9" spans="2:22">
      <c r="B9" s="162" t="s">
        <v>642</v>
      </c>
      <c r="C9" s="13"/>
      <c r="D9" s="13"/>
      <c r="E9" s="13"/>
      <c r="F9" s="14"/>
      <c r="G9" s="8"/>
      <c r="H9" s="24">
        <f t="shared" si="0"/>
        <v>0</v>
      </c>
      <c r="I9" s="375">
        <f t="shared" si="1"/>
        <v>18.559999999999999</v>
      </c>
      <c r="J9" s="10"/>
      <c r="K9" s="12"/>
      <c r="L9" s="164">
        <v>18.559999999999999</v>
      </c>
      <c r="M9" s="441"/>
      <c r="N9" s="32">
        <v>24</v>
      </c>
      <c r="O9" s="25">
        <f t="shared" si="2"/>
        <v>0</v>
      </c>
      <c r="P9" s="25">
        <f t="shared" si="3"/>
        <v>0</v>
      </c>
      <c r="Q9" s="25">
        <f t="shared" si="4"/>
        <v>0</v>
      </c>
      <c r="R9" s="26">
        <f t="shared" si="5"/>
        <v>0</v>
      </c>
      <c r="S9" s="27">
        <f t="shared" si="6"/>
        <v>0</v>
      </c>
      <c r="T9" s="28">
        <f t="shared" si="7"/>
        <v>0</v>
      </c>
      <c r="U9" s="1"/>
    </row>
    <row r="10" spans="2:22">
      <c r="B10" s="162" t="s">
        <v>643</v>
      </c>
      <c r="C10" s="13"/>
      <c r="D10" s="13"/>
      <c r="E10" s="13"/>
      <c r="F10" s="14"/>
      <c r="G10" s="8"/>
      <c r="H10" s="24">
        <f t="shared" si="0"/>
        <v>0</v>
      </c>
      <c r="I10" s="375">
        <f t="shared" si="1"/>
        <v>63.36</v>
      </c>
      <c r="J10" s="10"/>
      <c r="K10" s="12"/>
      <c r="L10" s="164">
        <v>63.36</v>
      </c>
      <c r="M10" s="441"/>
      <c r="N10" s="32">
        <v>12</v>
      </c>
      <c r="O10" s="25">
        <f t="shared" si="2"/>
        <v>0</v>
      </c>
      <c r="P10" s="25">
        <f t="shared" si="3"/>
        <v>0</v>
      </c>
      <c r="Q10" s="25">
        <f t="shared" si="4"/>
        <v>0</v>
      </c>
      <c r="R10" s="26">
        <f t="shared" si="5"/>
        <v>0</v>
      </c>
      <c r="S10" s="27">
        <f t="shared" si="6"/>
        <v>0</v>
      </c>
      <c r="T10" s="28">
        <f t="shared" si="7"/>
        <v>0</v>
      </c>
      <c r="U10" s="1"/>
    </row>
    <row r="11" spans="2:22">
      <c r="B11" s="162" t="s">
        <v>644</v>
      </c>
      <c r="C11" s="13"/>
      <c r="D11" s="13"/>
      <c r="E11" s="13"/>
      <c r="F11" s="14"/>
      <c r="G11" s="8"/>
      <c r="H11" s="24">
        <f t="shared" si="0"/>
        <v>0</v>
      </c>
      <c r="I11" s="375">
        <f t="shared" si="1"/>
        <v>84</v>
      </c>
      <c r="J11" s="10"/>
      <c r="K11" s="12"/>
      <c r="L11" s="164">
        <v>84</v>
      </c>
      <c r="M11" s="164">
        <v>105.6</v>
      </c>
      <c r="N11" s="32">
        <v>12</v>
      </c>
      <c r="O11" s="25">
        <f t="shared" si="2"/>
        <v>0</v>
      </c>
      <c r="P11" s="25">
        <f t="shared" si="3"/>
        <v>0</v>
      </c>
      <c r="Q11" s="25">
        <f t="shared" si="4"/>
        <v>0</v>
      </c>
      <c r="R11" s="26">
        <f t="shared" si="5"/>
        <v>0</v>
      </c>
      <c r="S11" s="27">
        <f t="shared" si="6"/>
        <v>0</v>
      </c>
      <c r="T11" s="28">
        <f t="shared" si="7"/>
        <v>0</v>
      </c>
      <c r="U11" s="6">
        <v>84</v>
      </c>
    </row>
    <row r="12" spans="2:22">
      <c r="B12" s="413" t="s">
        <v>1085</v>
      </c>
      <c r="C12" s="13"/>
      <c r="D12" s="13"/>
      <c r="E12" s="13"/>
      <c r="F12" s="14"/>
      <c r="G12" s="8"/>
      <c r="H12" s="24">
        <f t="shared" si="0"/>
        <v>0</v>
      </c>
      <c r="I12" s="375">
        <f t="shared" si="1"/>
        <v>26</v>
      </c>
      <c r="J12" s="10"/>
      <c r="K12" s="12"/>
      <c r="L12" s="164">
        <v>26</v>
      </c>
      <c r="M12" s="164">
        <v>37.659999999999997</v>
      </c>
      <c r="N12" s="32">
        <v>24</v>
      </c>
      <c r="O12" s="25">
        <f t="shared" si="2"/>
        <v>0</v>
      </c>
      <c r="P12" s="25">
        <f t="shared" si="3"/>
        <v>0</v>
      </c>
      <c r="Q12" s="25">
        <f t="shared" si="4"/>
        <v>0</v>
      </c>
      <c r="R12" s="26">
        <f t="shared" si="5"/>
        <v>0</v>
      </c>
      <c r="S12" s="27">
        <f t="shared" si="6"/>
        <v>0</v>
      </c>
      <c r="T12" s="28">
        <f t="shared" si="7"/>
        <v>0</v>
      </c>
      <c r="U12" s="6">
        <v>26</v>
      </c>
    </row>
    <row r="13" spans="2:22">
      <c r="B13" s="162" t="s">
        <v>645</v>
      </c>
      <c r="C13" s="13"/>
      <c r="D13" s="13"/>
      <c r="E13" s="13"/>
      <c r="F13" s="14"/>
      <c r="G13" s="8"/>
      <c r="H13" s="24">
        <f t="shared" si="0"/>
        <v>0</v>
      </c>
      <c r="I13" s="375">
        <f t="shared" si="1"/>
        <v>512</v>
      </c>
      <c r="J13" s="10"/>
      <c r="K13" s="12"/>
      <c r="L13" s="164">
        <v>512</v>
      </c>
      <c r="M13" s="164">
        <v>665</v>
      </c>
      <c r="N13" s="32">
        <v>1</v>
      </c>
      <c r="O13" s="25">
        <f t="shared" si="2"/>
        <v>0</v>
      </c>
      <c r="P13" s="25">
        <f t="shared" si="3"/>
        <v>0</v>
      </c>
      <c r="Q13" s="25">
        <f t="shared" si="4"/>
        <v>0</v>
      </c>
      <c r="R13" s="26">
        <f t="shared" si="5"/>
        <v>0</v>
      </c>
      <c r="S13" s="27">
        <f t="shared" si="6"/>
        <v>0</v>
      </c>
      <c r="T13" s="28">
        <f t="shared" si="7"/>
        <v>0</v>
      </c>
      <c r="U13" s="6">
        <v>512</v>
      </c>
    </row>
    <row r="14" spans="2:22">
      <c r="B14" s="413" t="s">
        <v>1086</v>
      </c>
      <c r="C14" s="13"/>
      <c r="D14" s="13"/>
      <c r="E14" s="13"/>
      <c r="F14" s="14"/>
      <c r="G14" s="8"/>
      <c r="H14" s="24">
        <f t="shared" si="0"/>
        <v>0</v>
      </c>
      <c r="I14" s="375">
        <f t="shared" si="1"/>
        <v>95.36</v>
      </c>
      <c r="J14" s="10"/>
      <c r="K14" s="12"/>
      <c r="L14" s="164">
        <v>95.36</v>
      </c>
      <c r="M14" s="441"/>
      <c r="N14" s="32">
        <v>9</v>
      </c>
      <c r="O14" s="25">
        <f t="shared" si="2"/>
        <v>0</v>
      </c>
      <c r="P14" s="25">
        <f t="shared" si="3"/>
        <v>0</v>
      </c>
      <c r="Q14" s="25">
        <f t="shared" si="4"/>
        <v>0</v>
      </c>
      <c r="R14" s="26">
        <f t="shared" si="5"/>
        <v>0</v>
      </c>
      <c r="S14" s="27">
        <f t="shared" si="6"/>
        <v>0</v>
      </c>
      <c r="T14" s="28">
        <f t="shared" si="7"/>
        <v>0</v>
      </c>
      <c r="U14" s="1"/>
    </row>
    <row r="15" spans="2:22">
      <c r="B15" s="413" t="s">
        <v>1088</v>
      </c>
      <c r="C15" s="13"/>
      <c r="D15" s="13"/>
      <c r="E15" s="13"/>
      <c r="F15" s="14"/>
      <c r="G15" s="8"/>
      <c r="H15" s="24">
        <f t="shared" si="0"/>
        <v>0</v>
      </c>
      <c r="I15" s="375">
        <f t="shared" si="1"/>
        <v>165.76</v>
      </c>
      <c r="J15" s="10"/>
      <c r="K15" s="12"/>
      <c r="L15" s="164">
        <v>165.76</v>
      </c>
      <c r="M15" s="441"/>
      <c r="N15" s="32">
        <v>9</v>
      </c>
      <c r="O15" s="25">
        <f t="shared" si="2"/>
        <v>0</v>
      </c>
      <c r="P15" s="25">
        <f t="shared" si="3"/>
        <v>0</v>
      </c>
      <c r="Q15" s="25">
        <f t="shared" si="4"/>
        <v>0</v>
      </c>
      <c r="R15" s="26">
        <f t="shared" si="5"/>
        <v>0</v>
      </c>
      <c r="S15" s="27">
        <f t="shared" si="6"/>
        <v>0</v>
      </c>
      <c r="T15" s="28">
        <f t="shared" si="7"/>
        <v>0</v>
      </c>
      <c r="U15" s="1"/>
    </row>
    <row r="16" spans="2:22">
      <c r="B16" s="413" t="s">
        <v>1087</v>
      </c>
      <c r="C16" s="13"/>
      <c r="D16" s="13"/>
      <c r="E16" s="13"/>
      <c r="F16" s="14"/>
      <c r="G16" s="8"/>
      <c r="H16" s="24">
        <f t="shared" si="0"/>
        <v>0</v>
      </c>
      <c r="I16" s="375">
        <f t="shared" si="1"/>
        <v>127.36</v>
      </c>
      <c r="J16" s="10"/>
      <c r="K16" s="12"/>
      <c r="L16" s="164">
        <v>127.36</v>
      </c>
      <c r="M16" s="441"/>
      <c r="N16" s="32">
        <v>9</v>
      </c>
      <c r="O16" s="25">
        <f t="shared" si="2"/>
        <v>0</v>
      </c>
      <c r="P16" s="25">
        <f t="shared" si="3"/>
        <v>0</v>
      </c>
      <c r="Q16" s="25">
        <f t="shared" si="4"/>
        <v>0</v>
      </c>
      <c r="R16" s="26">
        <f t="shared" si="5"/>
        <v>0</v>
      </c>
      <c r="S16" s="27">
        <f t="shared" si="6"/>
        <v>0</v>
      </c>
      <c r="T16" s="28">
        <f t="shared" si="7"/>
        <v>0</v>
      </c>
      <c r="U16" s="1"/>
    </row>
    <row r="17" spans="2:21">
      <c r="B17" s="163" t="s">
        <v>646</v>
      </c>
      <c r="C17" s="13"/>
      <c r="D17" s="13"/>
      <c r="E17" s="13"/>
      <c r="F17" s="14"/>
      <c r="G17" s="8"/>
      <c r="H17" s="24">
        <f t="shared" si="0"/>
        <v>0</v>
      </c>
      <c r="I17" s="375">
        <f t="shared" si="1"/>
        <v>2.75</v>
      </c>
      <c r="J17" s="10"/>
      <c r="K17" s="12"/>
      <c r="L17" s="164">
        <f>33/12</f>
        <v>2.75</v>
      </c>
      <c r="M17" s="164">
        <f>33/12</f>
        <v>2.75</v>
      </c>
      <c r="N17" s="32">
        <v>12</v>
      </c>
      <c r="O17" s="25">
        <f t="shared" si="2"/>
        <v>0</v>
      </c>
      <c r="P17" s="25">
        <f t="shared" si="3"/>
        <v>0</v>
      </c>
      <c r="Q17" s="25">
        <f t="shared" si="4"/>
        <v>0</v>
      </c>
      <c r="R17" s="26">
        <f t="shared" si="5"/>
        <v>0</v>
      </c>
      <c r="S17" s="27">
        <f t="shared" si="6"/>
        <v>0</v>
      </c>
      <c r="T17" s="28">
        <f t="shared" si="7"/>
        <v>0</v>
      </c>
      <c r="U17" s="6">
        <v>2.77</v>
      </c>
    </row>
    <row r="18" spans="2:21">
      <c r="B18" s="413" t="s">
        <v>1089</v>
      </c>
      <c r="C18" s="13"/>
      <c r="D18" s="13"/>
      <c r="E18" s="13"/>
      <c r="F18" s="14"/>
      <c r="G18" s="8"/>
      <c r="H18" s="24">
        <f t="shared" si="0"/>
        <v>0</v>
      </c>
      <c r="I18" s="375">
        <f t="shared" si="1"/>
        <v>119</v>
      </c>
      <c r="J18" s="10"/>
      <c r="K18" s="12"/>
      <c r="L18" s="164">
        <v>119</v>
      </c>
      <c r="M18" s="441"/>
      <c r="N18" s="32">
        <v>16</v>
      </c>
      <c r="O18" s="25">
        <f t="shared" si="2"/>
        <v>0</v>
      </c>
      <c r="P18" s="25">
        <f t="shared" si="3"/>
        <v>0</v>
      </c>
      <c r="Q18" s="25">
        <f t="shared" si="4"/>
        <v>0</v>
      </c>
      <c r="R18" s="26">
        <f t="shared" si="5"/>
        <v>0</v>
      </c>
      <c r="S18" s="27">
        <f t="shared" si="6"/>
        <v>0</v>
      </c>
      <c r="T18" s="28">
        <f t="shared" si="7"/>
        <v>0</v>
      </c>
      <c r="U18" s="1"/>
    </row>
    <row r="19" spans="2:21">
      <c r="B19" s="413" t="s">
        <v>1090</v>
      </c>
      <c r="C19" s="13"/>
      <c r="D19" s="13"/>
      <c r="E19" s="13"/>
      <c r="F19" s="14"/>
      <c r="G19" s="8"/>
      <c r="H19" s="24">
        <f t="shared" si="0"/>
        <v>0</v>
      </c>
      <c r="I19" s="375">
        <f t="shared" si="1"/>
        <v>117</v>
      </c>
      <c r="J19" s="10"/>
      <c r="K19" s="12"/>
      <c r="L19" s="164">
        <f>117</f>
        <v>117</v>
      </c>
      <c r="M19" s="441"/>
      <c r="N19" s="32">
        <v>9</v>
      </c>
      <c r="O19" s="25">
        <f t="shared" si="2"/>
        <v>0</v>
      </c>
      <c r="P19" s="25">
        <f t="shared" si="3"/>
        <v>0</v>
      </c>
      <c r="Q19" s="25">
        <f t="shared" si="4"/>
        <v>0</v>
      </c>
      <c r="R19" s="26">
        <f t="shared" si="5"/>
        <v>0</v>
      </c>
      <c r="S19" s="27">
        <f t="shared" si="6"/>
        <v>0</v>
      </c>
      <c r="T19" s="28">
        <f t="shared" si="7"/>
        <v>0</v>
      </c>
      <c r="U19" s="1"/>
    </row>
    <row r="20" spans="2:21">
      <c r="B20" s="162" t="s">
        <v>647</v>
      </c>
      <c r="C20" s="13"/>
      <c r="D20" s="13"/>
      <c r="E20" s="13"/>
      <c r="F20" s="14"/>
      <c r="G20" s="8"/>
      <c r="H20" s="24">
        <f t="shared" si="0"/>
        <v>0</v>
      </c>
      <c r="I20" s="375">
        <f t="shared" si="1"/>
        <v>60</v>
      </c>
      <c r="J20" s="10"/>
      <c r="K20" s="12"/>
      <c r="L20" s="164">
        <v>60</v>
      </c>
      <c r="M20" s="164">
        <v>72.25</v>
      </c>
      <c r="N20" s="32">
        <v>12</v>
      </c>
      <c r="O20" s="25">
        <f t="shared" si="2"/>
        <v>0</v>
      </c>
      <c r="P20" s="25">
        <f t="shared" si="3"/>
        <v>0</v>
      </c>
      <c r="Q20" s="25">
        <f t="shared" si="4"/>
        <v>0</v>
      </c>
      <c r="R20" s="26">
        <f t="shared" si="5"/>
        <v>0</v>
      </c>
      <c r="S20" s="27">
        <f t="shared" si="6"/>
        <v>0</v>
      </c>
      <c r="T20" s="28">
        <f t="shared" si="7"/>
        <v>0</v>
      </c>
      <c r="U20" s="6">
        <v>60</v>
      </c>
    </row>
    <row r="21" spans="2:21">
      <c r="B21" s="162" t="s">
        <v>648</v>
      </c>
      <c r="C21" s="13"/>
      <c r="D21" s="13"/>
      <c r="E21" s="13"/>
      <c r="F21" s="14"/>
      <c r="G21" s="8"/>
      <c r="H21" s="24">
        <f t="shared" si="0"/>
        <v>0</v>
      </c>
      <c r="I21" s="375">
        <f t="shared" si="1"/>
        <v>500</v>
      </c>
      <c r="J21" s="10"/>
      <c r="K21" s="12"/>
      <c r="L21" s="164">
        <v>500</v>
      </c>
      <c r="M21" s="164">
        <v>595</v>
      </c>
      <c r="N21" s="32">
        <v>1</v>
      </c>
      <c r="O21" s="25">
        <f t="shared" si="2"/>
        <v>0</v>
      </c>
      <c r="P21" s="25">
        <f t="shared" si="3"/>
        <v>0</v>
      </c>
      <c r="Q21" s="25">
        <f t="shared" si="4"/>
        <v>0</v>
      </c>
      <c r="R21" s="26">
        <f t="shared" si="5"/>
        <v>0</v>
      </c>
      <c r="S21" s="27">
        <f t="shared" si="6"/>
        <v>0</v>
      </c>
      <c r="T21" s="28">
        <f t="shared" si="7"/>
        <v>0</v>
      </c>
      <c r="U21" s="6">
        <v>500</v>
      </c>
    </row>
    <row r="22" spans="2:21">
      <c r="B22" s="58" t="s">
        <v>13</v>
      </c>
      <c r="C22" s="288">
        <v>0</v>
      </c>
      <c r="D22" s="288">
        <v>0</v>
      </c>
      <c r="E22" s="288">
        <f t="shared" ref="E22" si="8">Q22</f>
        <v>0</v>
      </c>
      <c r="F22" s="288">
        <v>0</v>
      </c>
      <c r="G22" s="288">
        <f t="shared" ref="G22" si="9">S22</f>
        <v>0</v>
      </c>
      <c r="H22" s="288">
        <f t="shared" ref="H22" si="10">T22</f>
        <v>0</v>
      </c>
      <c r="O22" s="29">
        <f t="shared" ref="O22:T22" si="11">SUM(O6:O21)</f>
        <v>0</v>
      </c>
      <c r="P22" s="29">
        <f t="shared" si="11"/>
        <v>0</v>
      </c>
      <c r="Q22" s="29">
        <f t="shared" si="11"/>
        <v>0</v>
      </c>
      <c r="R22" s="29">
        <f t="shared" si="11"/>
        <v>0</v>
      </c>
      <c r="S22" s="29">
        <f t="shared" si="11"/>
        <v>0</v>
      </c>
      <c r="T22" s="29">
        <f t="shared" si="11"/>
        <v>0</v>
      </c>
    </row>
    <row r="23" spans="2:21">
      <c r="B23" s="59" t="s">
        <v>46</v>
      </c>
    </row>
    <row r="24" spans="2:21" ht="16.5" thickBot="1">
      <c r="B24" s="2"/>
    </row>
    <row r="25" spans="2:21">
      <c r="B25" s="60" t="s">
        <v>47</v>
      </c>
    </row>
    <row r="26" spans="2:21">
      <c r="B26" s="61" t="s">
        <v>19</v>
      </c>
    </row>
    <row r="27" spans="2:21">
      <c r="B27" s="61" t="s">
        <v>17</v>
      </c>
    </row>
    <row r="28" spans="2:21" ht="16.5" thickBot="1">
      <c r="B28" s="62" t="s">
        <v>18</v>
      </c>
    </row>
    <row r="29" spans="2:21">
      <c r="B29" s="2"/>
    </row>
    <row r="30" spans="2:21">
      <c r="B30" s="30" t="s">
        <v>20</v>
      </c>
    </row>
    <row r="31" spans="2:21">
      <c r="B31" s="35"/>
    </row>
    <row r="32" spans="2:21">
      <c r="B32" s="35"/>
    </row>
    <row r="33" spans="2:7">
      <c r="B33" s="2"/>
      <c r="G33" s="5" t="str">
        <f>IF(B33&lt;&gt;"",SUM(C33:F33),"")</f>
        <v/>
      </c>
    </row>
    <row r="34" spans="2:7">
      <c r="G34" s="5" t="str">
        <f t="shared" ref="G34:G97" si="12">IF(B34&lt;&gt;"",SUM(C34:F34),"")</f>
        <v/>
      </c>
    </row>
    <row r="35" spans="2:7">
      <c r="G35" s="5" t="str">
        <f t="shared" si="12"/>
        <v/>
      </c>
    </row>
    <row r="36" spans="2:7">
      <c r="G36" s="5" t="str">
        <f t="shared" si="12"/>
        <v/>
      </c>
    </row>
    <row r="37" spans="2:7">
      <c r="G37" s="5" t="str">
        <f t="shared" si="12"/>
        <v/>
      </c>
    </row>
    <row r="38" spans="2:7">
      <c r="G38" s="5" t="str">
        <f t="shared" si="12"/>
        <v/>
      </c>
    </row>
    <row r="39" spans="2:7">
      <c r="G39" s="5" t="str">
        <f t="shared" si="12"/>
        <v/>
      </c>
    </row>
    <row r="40" spans="2:7">
      <c r="G40" s="5" t="str">
        <f t="shared" si="12"/>
        <v/>
      </c>
    </row>
    <row r="41" spans="2:7">
      <c r="G41" s="5" t="str">
        <f t="shared" si="12"/>
        <v/>
      </c>
    </row>
    <row r="42" spans="2:7">
      <c r="G42" s="5" t="str">
        <f t="shared" si="12"/>
        <v/>
      </c>
    </row>
    <row r="43" spans="2:7">
      <c r="G43" s="5" t="str">
        <f t="shared" si="12"/>
        <v/>
      </c>
    </row>
    <row r="44" spans="2:7">
      <c r="G44" s="5" t="str">
        <f t="shared" si="12"/>
        <v/>
      </c>
    </row>
    <row r="45" spans="2:7">
      <c r="G45" s="5" t="str">
        <f t="shared" si="12"/>
        <v/>
      </c>
    </row>
    <row r="46" spans="2:7">
      <c r="G46" s="5" t="str">
        <f t="shared" si="12"/>
        <v/>
      </c>
    </row>
    <row r="47" spans="2:7">
      <c r="G47" s="5" t="str">
        <f t="shared" si="12"/>
        <v/>
      </c>
    </row>
    <row r="48" spans="2:7">
      <c r="G48" s="5" t="str">
        <f t="shared" si="12"/>
        <v/>
      </c>
    </row>
    <row r="49" spans="7:7">
      <c r="G49" s="5" t="str">
        <f t="shared" si="12"/>
        <v/>
      </c>
    </row>
    <row r="50" spans="7:7">
      <c r="G50" s="5" t="str">
        <f t="shared" si="12"/>
        <v/>
      </c>
    </row>
    <row r="51" spans="7:7">
      <c r="G51" s="5" t="str">
        <f t="shared" si="12"/>
        <v/>
      </c>
    </row>
    <row r="52" spans="7:7">
      <c r="G52" s="5" t="str">
        <f t="shared" si="12"/>
        <v/>
      </c>
    </row>
    <row r="53" spans="7:7">
      <c r="G53" s="5" t="str">
        <f t="shared" si="12"/>
        <v/>
      </c>
    </row>
    <row r="54" spans="7:7">
      <c r="G54" s="5" t="str">
        <f t="shared" si="12"/>
        <v/>
      </c>
    </row>
    <row r="55" spans="7:7">
      <c r="G55" s="5" t="str">
        <f t="shared" si="12"/>
        <v/>
      </c>
    </row>
    <row r="56" spans="7:7">
      <c r="G56" s="5" t="str">
        <f t="shared" si="12"/>
        <v/>
      </c>
    </row>
    <row r="57" spans="7:7">
      <c r="G57" s="5" t="str">
        <f t="shared" si="12"/>
        <v/>
      </c>
    </row>
    <row r="58" spans="7:7">
      <c r="G58" s="5" t="str">
        <f t="shared" si="12"/>
        <v/>
      </c>
    </row>
    <row r="59" spans="7:7">
      <c r="G59" s="5" t="str">
        <f t="shared" si="12"/>
        <v/>
      </c>
    </row>
    <row r="60" spans="7:7">
      <c r="G60" s="5" t="str">
        <f t="shared" si="12"/>
        <v/>
      </c>
    </row>
    <row r="61" spans="7:7">
      <c r="G61" s="5" t="str">
        <f t="shared" si="12"/>
        <v/>
      </c>
    </row>
    <row r="62" spans="7:7">
      <c r="G62" s="5" t="str">
        <f t="shared" si="12"/>
        <v/>
      </c>
    </row>
    <row r="63" spans="7:7">
      <c r="G63" s="5" t="str">
        <f t="shared" si="12"/>
        <v/>
      </c>
    </row>
    <row r="64" spans="7:7">
      <c r="G64" s="5" t="str">
        <f t="shared" si="12"/>
        <v/>
      </c>
    </row>
    <row r="65" spans="7:7">
      <c r="G65" s="5" t="str">
        <f t="shared" si="12"/>
        <v/>
      </c>
    </row>
    <row r="66" spans="7:7">
      <c r="G66" s="5" t="str">
        <f t="shared" si="12"/>
        <v/>
      </c>
    </row>
    <row r="67" spans="7:7">
      <c r="G67" s="5" t="str">
        <f t="shared" si="12"/>
        <v/>
      </c>
    </row>
    <row r="68" spans="7:7">
      <c r="G68" s="5" t="str">
        <f t="shared" si="12"/>
        <v/>
      </c>
    </row>
    <row r="69" spans="7:7">
      <c r="G69" s="5" t="str">
        <f t="shared" si="12"/>
        <v/>
      </c>
    </row>
    <row r="70" spans="7:7">
      <c r="G70" s="5" t="str">
        <f t="shared" si="12"/>
        <v/>
      </c>
    </row>
    <row r="71" spans="7:7">
      <c r="G71" s="5" t="str">
        <f t="shared" si="12"/>
        <v/>
      </c>
    </row>
    <row r="72" spans="7:7">
      <c r="G72" s="5" t="str">
        <f t="shared" si="12"/>
        <v/>
      </c>
    </row>
    <row r="73" spans="7:7">
      <c r="G73" s="5" t="str">
        <f t="shared" si="12"/>
        <v/>
      </c>
    </row>
    <row r="74" spans="7:7">
      <c r="G74" s="5" t="str">
        <f t="shared" si="12"/>
        <v/>
      </c>
    </row>
    <row r="75" spans="7:7">
      <c r="G75" s="5" t="str">
        <f t="shared" si="12"/>
        <v/>
      </c>
    </row>
    <row r="76" spans="7:7">
      <c r="G76" s="5" t="str">
        <f t="shared" si="12"/>
        <v/>
      </c>
    </row>
    <row r="77" spans="7:7">
      <c r="G77" s="5" t="str">
        <f t="shared" si="12"/>
        <v/>
      </c>
    </row>
    <row r="78" spans="7:7">
      <c r="G78" s="5" t="str">
        <f t="shared" si="12"/>
        <v/>
      </c>
    </row>
    <row r="79" spans="7:7">
      <c r="G79" s="5" t="str">
        <f t="shared" si="12"/>
        <v/>
      </c>
    </row>
    <row r="80" spans="7:7">
      <c r="G80" s="5" t="str">
        <f t="shared" si="12"/>
        <v/>
      </c>
    </row>
    <row r="81" spans="7:7">
      <c r="G81" s="5" t="str">
        <f t="shared" si="12"/>
        <v/>
      </c>
    </row>
    <row r="82" spans="7:7">
      <c r="G82" s="5" t="str">
        <f t="shared" si="12"/>
        <v/>
      </c>
    </row>
    <row r="83" spans="7:7">
      <c r="G83" s="5" t="str">
        <f t="shared" si="12"/>
        <v/>
      </c>
    </row>
    <row r="84" spans="7:7">
      <c r="G84" s="5" t="str">
        <f t="shared" si="12"/>
        <v/>
      </c>
    </row>
    <row r="85" spans="7:7">
      <c r="G85" s="5" t="str">
        <f t="shared" si="12"/>
        <v/>
      </c>
    </row>
    <row r="86" spans="7:7">
      <c r="G86" s="5" t="str">
        <f t="shared" si="12"/>
        <v/>
      </c>
    </row>
    <row r="87" spans="7:7">
      <c r="G87" s="5" t="str">
        <f t="shared" si="12"/>
        <v/>
      </c>
    </row>
    <row r="88" spans="7:7">
      <c r="G88" s="5" t="str">
        <f t="shared" si="12"/>
        <v/>
      </c>
    </row>
    <row r="89" spans="7:7">
      <c r="G89" s="5" t="str">
        <f t="shared" si="12"/>
        <v/>
      </c>
    </row>
    <row r="90" spans="7:7">
      <c r="G90" s="5" t="str">
        <f t="shared" si="12"/>
        <v/>
      </c>
    </row>
    <row r="91" spans="7:7">
      <c r="G91" s="5" t="str">
        <f t="shared" si="12"/>
        <v/>
      </c>
    </row>
    <row r="92" spans="7:7">
      <c r="G92" s="5" t="str">
        <f t="shared" si="12"/>
        <v/>
      </c>
    </row>
    <row r="93" spans="7:7">
      <c r="G93" s="5" t="str">
        <f t="shared" si="12"/>
        <v/>
      </c>
    </row>
    <row r="94" spans="7:7">
      <c r="G94" s="5" t="str">
        <f t="shared" si="12"/>
        <v/>
      </c>
    </row>
    <row r="95" spans="7:7">
      <c r="G95" s="5" t="str">
        <f t="shared" si="12"/>
        <v/>
      </c>
    </row>
    <row r="96" spans="7:7">
      <c r="G96" s="5" t="str">
        <f t="shared" si="12"/>
        <v/>
      </c>
    </row>
    <row r="97" spans="7:7">
      <c r="G97" s="5" t="str">
        <f t="shared" si="12"/>
        <v/>
      </c>
    </row>
    <row r="98" spans="7:7">
      <c r="G98" s="5" t="str">
        <f t="shared" ref="G98:G161" si="13">IF(B98&lt;&gt;"",SUM(C98:F98),"")</f>
        <v/>
      </c>
    </row>
    <row r="99" spans="7:7">
      <c r="G99" s="5" t="str">
        <f t="shared" si="13"/>
        <v/>
      </c>
    </row>
    <row r="100" spans="7:7">
      <c r="G100" s="5" t="str">
        <f t="shared" si="13"/>
        <v/>
      </c>
    </row>
    <row r="101" spans="7:7">
      <c r="G101" s="5" t="str">
        <f t="shared" si="13"/>
        <v/>
      </c>
    </row>
    <row r="102" spans="7:7">
      <c r="G102" s="5" t="str">
        <f t="shared" si="13"/>
        <v/>
      </c>
    </row>
    <row r="103" spans="7:7">
      <c r="G103" s="5" t="str">
        <f t="shared" si="13"/>
        <v/>
      </c>
    </row>
    <row r="104" spans="7:7">
      <c r="G104" s="5" t="str">
        <f t="shared" si="13"/>
        <v/>
      </c>
    </row>
    <row r="105" spans="7:7">
      <c r="G105" s="5" t="str">
        <f t="shared" si="13"/>
        <v/>
      </c>
    </row>
    <row r="106" spans="7:7">
      <c r="G106" s="5" t="str">
        <f t="shared" si="13"/>
        <v/>
      </c>
    </row>
    <row r="107" spans="7:7">
      <c r="G107" s="5" t="str">
        <f t="shared" si="13"/>
        <v/>
      </c>
    </row>
    <row r="108" spans="7:7">
      <c r="G108" s="5" t="str">
        <f t="shared" si="13"/>
        <v/>
      </c>
    </row>
    <row r="109" spans="7:7">
      <c r="G109" s="5" t="str">
        <f t="shared" si="13"/>
        <v/>
      </c>
    </row>
    <row r="110" spans="7:7">
      <c r="G110" s="5" t="str">
        <f t="shared" si="13"/>
        <v/>
      </c>
    </row>
    <row r="111" spans="7:7">
      <c r="G111" s="5" t="str">
        <f t="shared" si="13"/>
        <v/>
      </c>
    </row>
    <row r="112" spans="7:7">
      <c r="G112" s="5" t="str">
        <f t="shared" si="13"/>
        <v/>
      </c>
    </row>
    <row r="113" spans="7:7">
      <c r="G113" s="5" t="str">
        <f t="shared" si="13"/>
        <v/>
      </c>
    </row>
    <row r="114" spans="7:7">
      <c r="G114" s="5" t="str">
        <f t="shared" si="13"/>
        <v/>
      </c>
    </row>
    <row r="115" spans="7:7">
      <c r="G115" s="5" t="str">
        <f t="shared" si="13"/>
        <v/>
      </c>
    </row>
    <row r="116" spans="7:7">
      <c r="G116" s="5" t="str">
        <f t="shared" si="13"/>
        <v/>
      </c>
    </row>
    <row r="117" spans="7:7">
      <c r="G117" s="5" t="str">
        <f t="shared" si="13"/>
        <v/>
      </c>
    </row>
    <row r="118" spans="7:7">
      <c r="G118" s="5" t="str">
        <f t="shared" si="13"/>
        <v/>
      </c>
    </row>
    <row r="119" spans="7:7">
      <c r="G119" s="5" t="str">
        <f t="shared" si="13"/>
        <v/>
      </c>
    </row>
    <row r="120" spans="7:7">
      <c r="G120" s="5" t="str">
        <f t="shared" si="13"/>
        <v/>
      </c>
    </row>
    <row r="121" spans="7:7">
      <c r="G121" s="5" t="str">
        <f t="shared" si="13"/>
        <v/>
      </c>
    </row>
    <row r="122" spans="7:7">
      <c r="G122" s="5" t="str">
        <f t="shared" si="13"/>
        <v/>
      </c>
    </row>
    <row r="123" spans="7:7">
      <c r="G123" s="5" t="str">
        <f t="shared" si="13"/>
        <v/>
      </c>
    </row>
    <row r="124" spans="7:7">
      <c r="G124" s="5" t="str">
        <f t="shared" si="13"/>
        <v/>
      </c>
    </row>
    <row r="125" spans="7:7">
      <c r="G125" s="5" t="str">
        <f t="shared" si="13"/>
        <v/>
      </c>
    </row>
    <row r="126" spans="7:7">
      <c r="G126" s="5" t="str">
        <f t="shared" si="13"/>
        <v/>
      </c>
    </row>
    <row r="127" spans="7:7">
      <c r="G127" s="5" t="str">
        <f t="shared" si="13"/>
        <v/>
      </c>
    </row>
    <row r="128" spans="7:7">
      <c r="G128" s="5" t="str">
        <f t="shared" si="13"/>
        <v/>
      </c>
    </row>
    <row r="129" spans="7:7">
      <c r="G129" s="5" t="str">
        <f t="shared" si="13"/>
        <v/>
      </c>
    </row>
    <row r="130" spans="7:7">
      <c r="G130" s="5" t="str">
        <f t="shared" si="13"/>
        <v/>
      </c>
    </row>
    <row r="131" spans="7:7">
      <c r="G131" s="5" t="str">
        <f t="shared" si="13"/>
        <v/>
      </c>
    </row>
    <row r="132" spans="7:7">
      <c r="G132" s="5" t="str">
        <f t="shared" si="13"/>
        <v/>
      </c>
    </row>
    <row r="133" spans="7:7">
      <c r="G133" s="5" t="str">
        <f t="shared" si="13"/>
        <v/>
      </c>
    </row>
    <row r="134" spans="7:7">
      <c r="G134" s="5" t="str">
        <f t="shared" si="13"/>
        <v/>
      </c>
    </row>
    <row r="135" spans="7:7">
      <c r="G135" s="5" t="str">
        <f t="shared" si="13"/>
        <v/>
      </c>
    </row>
    <row r="136" spans="7:7">
      <c r="G136" s="5" t="str">
        <f t="shared" si="13"/>
        <v/>
      </c>
    </row>
    <row r="137" spans="7:7">
      <c r="G137" s="5" t="str">
        <f t="shared" si="13"/>
        <v/>
      </c>
    </row>
    <row r="138" spans="7:7">
      <c r="G138" s="5" t="str">
        <f t="shared" si="13"/>
        <v/>
      </c>
    </row>
    <row r="139" spans="7:7">
      <c r="G139" s="5" t="str">
        <f t="shared" si="13"/>
        <v/>
      </c>
    </row>
    <row r="140" spans="7:7">
      <c r="G140" s="5" t="str">
        <f t="shared" si="13"/>
        <v/>
      </c>
    </row>
    <row r="141" spans="7:7">
      <c r="G141" s="5" t="str">
        <f t="shared" si="13"/>
        <v/>
      </c>
    </row>
    <row r="142" spans="7:7">
      <c r="G142" s="5" t="str">
        <f t="shared" si="13"/>
        <v/>
      </c>
    </row>
    <row r="143" spans="7:7">
      <c r="G143" s="5" t="str">
        <f t="shared" si="13"/>
        <v/>
      </c>
    </row>
    <row r="144" spans="7:7">
      <c r="G144" s="5" t="str">
        <f t="shared" si="13"/>
        <v/>
      </c>
    </row>
    <row r="145" spans="7:7">
      <c r="G145" s="5" t="str">
        <f t="shared" si="13"/>
        <v/>
      </c>
    </row>
    <row r="146" spans="7:7">
      <c r="G146" s="5" t="str">
        <f t="shared" si="13"/>
        <v/>
      </c>
    </row>
    <row r="147" spans="7:7">
      <c r="G147" s="5" t="str">
        <f t="shared" si="13"/>
        <v/>
      </c>
    </row>
    <row r="148" spans="7:7">
      <c r="G148" s="5" t="str">
        <f t="shared" si="13"/>
        <v/>
      </c>
    </row>
    <row r="149" spans="7:7">
      <c r="G149" s="5" t="str">
        <f t="shared" si="13"/>
        <v/>
      </c>
    </row>
    <row r="150" spans="7:7">
      <c r="G150" s="5" t="str">
        <f t="shared" si="13"/>
        <v/>
      </c>
    </row>
    <row r="151" spans="7:7">
      <c r="G151" s="5" t="str">
        <f t="shared" si="13"/>
        <v/>
      </c>
    </row>
    <row r="152" spans="7:7">
      <c r="G152" s="5" t="str">
        <f t="shared" si="13"/>
        <v/>
      </c>
    </row>
    <row r="153" spans="7:7">
      <c r="G153" s="5" t="str">
        <f t="shared" si="13"/>
        <v/>
      </c>
    </row>
    <row r="154" spans="7:7">
      <c r="G154" s="5" t="str">
        <f t="shared" si="13"/>
        <v/>
      </c>
    </row>
    <row r="155" spans="7:7">
      <c r="G155" s="5" t="str">
        <f t="shared" si="13"/>
        <v/>
      </c>
    </row>
    <row r="156" spans="7:7">
      <c r="G156" s="5" t="str">
        <f t="shared" si="13"/>
        <v/>
      </c>
    </row>
    <row r="157" spans="7:7">
      <c r="G157" s="5" t="str">
        <f t="shared" si="13"/>
        <v/>
      </c>
    </row>
    <row r="158" spans="7:7">
      <c r="G158" s="5" t="str">
        <f t="shared" si="13"/>
        <v/>
      </c>
    </row>
    <row r="159" spans="7:7">
      <c r="G159" s="5" t="str">
        <f t="shared" si="13"/>
        <v/>
      </c>
    </row>
    <row r="160" spans="7:7">
      <c r="G160" s="5" t="str">
        <f t="shared" si="13"/>
        <v/>
      </c>
    </row>
    <row r="161" spans="7:7">
      <c r="G161" s="5" t="str">
        <f t="shared" si="13"/>
        <v/>
      </c>
    </row>
    <row r="162" spans="7:7">
      <c r="G162" s="5" t="str">
        <f t="shared" ref="G162:G225" si="14">IF(B162&lt;&gt;"",SUM(C162:F162),"")</f>
        <v/>
      </c>
    </row>
    <row r="163" spans="7:7">
      <c r="G163" s="5" t="str">
        <f t="shared" si="14"/>
        <v/>
      </c>
    </row>
    <row r="164" spans="7:7">
      <c r="G164" s="5" t="str">
        <f t="shared" si="14"/>
        <v/>
      </c>
    </row>
    <row r="165" spans="7:7">
      <c r="G165" s="5" t="str">
        <f t="shared" si="14"/>
        <v/>
      </c>
    </row>
    <row r="166" spans="7:7">
      <c r="G166" s="5" t="str">
        <f t="shared" si="14"/>
        <v/>
      </c>
    </row>
    <row r="167" spans="7:7">
      <c r="G167" s="5" t="str">
        <f t="shared" si="14"/>
        <v/>
      </c>
    </row>
    <row r="168" spans="7:7">
      <c r="G168" s="5" t="str">
        <f t="shared" si="14"/>
        <v/>
      </c>
    </row>
    <row r="169" spans="7:7">
      <c r="G169" s="5" t="str">
        <f t="shared" si="14"/>
        <v/>
      </c>
    </row>
    <row r="170" spans="7:7">
      <c r="G170" s="5" t="str">
        <f t="shared" si="14"/>
        <v/>
      </c>
    </row>
    <row r="171" spans="7:7">
      <c r="G171" s="5" t="str">
        <f t="shared" si="14"/>
        <v/>
      </c>
    </row>
    <row r="172" spans="7:7">
      <c r="G172" s="5" t="str">
        <f t="shared" si="14"/>
        <v/>
      </c>
    </row>
    <row r="173" spans="7:7">
      <c r="G173" s="5" t="str">
        <f t="shared" si="14"/>
        <v/>
      </c>
    </row>
    <row r="174" spans="7:7">
      <c r="G174" s="5" t="str">
        <f t="shared" si="14"/>
        <v/>
      </c>
    </row>
    <row r="175" spans="7:7">
      <c r="G175" s="5" t="str">
        <f t="shared" si="14"/>
        <v/>
      </c>
    </row>
    <row r="176" spans="7:7">
      <c r="G176" s="5" t="str">
        <f t="shared" si="14"/>
        <v/>
      </c>
    </row>
    <row r="177" spans="7:7">
      <c r="G177" s="5" t="str">
        <f t="shared" si="14"/>
        <v/>
      </c>
    </row>
    <row r="178" spans="7:7">
      <c r="G178" s="5" t="str">
        <f t="shared" si="14"/>
        <v/>
      </c>
    </row>
    <row r="179" spans="7:7">
      <c r="G179" s="5" t="str">
        <f t="shared" si="14"/>
        <v/>
      </c>
    </row>
    <row r="180" spans="7:7">
      <c r="G180" s="5" t="str">
        <f t="shared" si="14"/>
        <v/>
      </c>
    </row>
    <row r="181" spans="7:7">
      <c r="G181" s="5" t="str">
        <f t="shared" si="14"/>
        <v/>
      </c>
    </row>
    <row r="182" spans="7:7">
      <c r="G182" s="5" t="str">
        <f t="shared" si="14"/>
        <v/>
      </c>
    </row>
    <row r="183" spans="7:7">
      <c r="G183" s="5" t="str">
        <f t="shared" si="14"/>
        <v/>
      </c>
    </row>
    <row r="184" spans="7:7">
      <c r="G184" s="5" t="str">
        <f t="shared" si="14"/>
        <v/>
      </c>
    </row>
    <row r="185" spans="7:7">
      <c r="G185" s="5" t="str">
        <f t="shared" si="14"/>
        <v/>
      </c>
    </row>
    <row r="186" spans="7:7">
      <c r="G186" s="5" t="str">
        <f t="shared" si="14"/>
        <v/>
      </c>
    </row>
    <row r="187" spans="7:7">
      <c r="G187" s="5" t="str">
        <f t="shared" si="14"/>
        <v/>
      </c>
    </row>
    <row r="188" spans="7:7">
      <c r="G188" s="5" t="str">
        <f t="shared" si="14"/>
        <v/>
      </c>
    </row>
    <row r="189" spans="7:7">
      <c r="G189" s="5" t="str">
        <f t="shared" si="14"/>
        <v/>
      </c>
    </row>
    <row r="190" spans="7:7">
      <c r="G190" s="5" t="str">
        <f t="shared" si="14"/>
        <v/>
      </c>
    </row>
    <row r="191" spans="7:7">
      <c r="G191" s="5" t="str">
        <f t="shared" si="14"/>
        <v/>
      </c>
    </row>
    <row r="192" spans="7:7">
      <c r="G192" s="5" t="str">
        <f t="shared" si="14"/>
        <v/>
      </c>
    </row>
    <row r="193" spans="7:7">
      <c r="G193" s="5" t="str">
        <f t="shared" si="14"/>
        <v/>
      </c>
    </row>
    <row r="194" spans="7:7">
      <c r="G194" s="5" t="str">
        <f t="shared" si="14"/>
        <v/>
      </c>
    </row>
    <row r="195" spans="7:7">
      <c r="G195" s="5" t="str">
        <f t="shared" si="14"/>
        <v/>
      </c>
    </row>
    <row r="196" spans="7:7">
      <c r="G196" s="5" t="str">
        <f t="shared" si="14"/>
        <v/>
      </c>
    </row>
    <row r="197" spans="7:7">
      <c r="G197" s="5" t="str">
        <f t="shared" si="14"/>
        <v/>
      </c>
    </row>
    <row r="198" spans="7:7">
      <c r="G198" s="5" t="str">
        <f t="shared" si="14"/>
        <v/>
      </c>
    </row>
    <row r="199" spans="7:7">
      <c r="G199" s="5" t="str">
        <f t="shared" si="14"/>
        <v/>
      </c>
    </row>
    <row r="200" spans="7:7">
      <c r="G200" s="5" t="str">
        <f t="shared" si="14"/>
        <v/>
      </c>
    </row>
    <row r="201" spans="7:7">
      <c r="G201" s="5" t="str">
        <f t="shared" si="14"/>
        <v/>
      </c>
    </row>
    <row r="202" spans="7:7">
      <c r="G202" s="5" t="str">
        <f t="shared" si="14"/>
        <v/>
      </c>
    </row>
    <row r="203" spans="7:7">
      <c r="G203" s="5" t="str">
        <f t="shared" si="14"/>
        <v/>
      </c>
    </row>
    <row r="204" spans="7:7">
      <c r="G204" s="5" t="str">
        <f t="shared" si="14"/>
        <v/>
      </c>
    </row>
    <row r="205" spans="7:7">
      <c r="G205" s="5" t="str">
        <f t="shared" si="14"/>
        <v/>
      </c>
    </row>
    <row r="206" spans="7:7">
      <c r="G206" s="5" t="str">
        <f t="shared" si="14"/>
        <v/>
      </c>
    </row>
    <row r="207" spans="7:7">
      <c r="G207" s="5" t="str">
        <f t="shared" si="14"/>
        <v/>
      </c>
    </row>
    <row r="208" spans="7:7">
      <c r="G208" s="5" t="str">
        <f t="shared" si="14"/>
        <v/>
      </c>
    </row>
    <row r="209" spans="7:7">
      <c r="G209" s="5" t="str">
        <f t="shared" si="14"/>
        <v/>
      </c>
    </row>
    <row r="210" spans="7:7">
      <c r="G210" s="5" t="str">
        <f t="shared" si="14"/>
        <v/>
      </c>
    </row>
    <row r="211" spans="7:7">
      <c r="G211" s="5" t="str">
        <f t="shared" si="14"/>
        <v/>
      </c>
    </row>
    <row r="212" spans="7:7">
      <c r="G212" s="5" t="str">
        <f t="shared" si="14"/>
        <v/>
      </c>
    </row>
    <row r="213" spans="7:7">
      <c r="G213" s="5" t="str">
        <f t="shared" si="14"/>
        <v/>
      </c>
    </row>
    <row r="214" spans="7:7">
      <c r="G214" s="5" t="str">
        <f t="shared" si="14"/>
        <v/>
      </c>
    </row>
    <row r="215" spans="7:7">
      <c r="G215" s="5" t="str">
        <f t="shared" si="14"/>
        <v/>
      </c>
    </row>
    <row r="216" spans="7:7">
      <c r="G216" s="5" t="str">
        <f t="shared" si="14"/>
        <v/>
      </c>
    </row>
    <row r="217" spans="7:7">
      <c r="G217" s="5" t="str">
        <f t="shared" si="14"/>
        <v/>
      </c>
    </row>
    <row r="218" spans="7:7">
      <c r="G218" s="5" t="str">
        <f t="shared" si="14"/>
        <v/>
      </c>
    </row>
    <row r="219" spans="7:7">
      <c r="G219" s="5" t="str">
        <f t="shared" si="14"/>
        <v/>
      </c>
    </row>
    <row r="220" spans="7:7">
      <c r="G220" s="5" t="str">
        <f t="shared" si="14"/>
        <v/>
      </c>
    </row>
    <row r="221" spans="7:7">
      <c r="G221" s="5" t="str">
        <f t="shared" si="14"/>
        <v/>
      </c>
    </row>
    <row r="222" spans="7:7">
      <c r="G222" s="5" t="str">
        <f t="shared" si="14"/>
        <v/>
      </c>
    </row>
    <row r="223" spans="7:7">
      <c r="G223" s="5" t="str">
        <f t="shared" si="14"/>
        <v/>
      </c>
    </row>
    <row r="224" spans="7:7">
      <c r="G224" s="5" t="str">
        <f t="shared" si="14"/>
        <v/>
      </c>
    </row>
    <row r="225" spans="7:7">
      <c r="G225" s="5" t="str">
        <f t="shared" si="14"/>
        <v/>
      </c>
    </row>
    <row r="226" spans="7:7">
      <c r="G226" s="5" t="str">
        <f t="shared" ref="G226:G289" si="15">IF(B226&lt;&gt;"",SUM(C226:F226),"")</f>
        <v/>
      </c>
    </row>
    <row r="227" spans="7:7">
      <c r="G227" s="5" t="str">
        <f t="shared" si="15"/>
        <v/>
      </c>
    </row>
    <row r="228" spans="7:7">
      <c r="G228" s="5" t="str">
        <f t="shared" si="15"/>
        <v/>
      </c>
    </row>
    <row r="229" spans="7:7">
      <c r="G229" s="5" t="str">
        <f t="shared" si="15"/>
        <v/>
      </c>
    </row>
    <row r="230" spans="7:7">
      <c r="G230" s="5" t="str">
        <f t="shared" si="15"/>
        <v/>
      </c>
    </row>
    <row r="231" spans="7:7">
      <c r="G231" s="5" t="str">
        <f t="shared" si="15"/>
        <v/>
      </c>
    </row>
    <row r="232" spans="7:7">
      <c r="G232" s="5" t="str">
        <f t="shared" si="15"/>
        <v/>
      </c>
    </row>
    <row r="233" spans="7:7">
      <c r="G233" s="5" t="str">
        <f t="shared" si="15"/>
        <v/>
      </c>
    </row>
    <row r="234" spans="7:7">
      <c r="G234" s="5" t="str">
        <f t="shared" si="15"/>
        <v/>
      </c>
    </row>
    <row r="235" spans="7:7">
      <c r="G235" s="5" t="str">
        <f t="shared" si="15"/>
        <v/>
      </c>
    </row>
    <row r="236" spans="7:7">
      <c r="G236" s="5" t="str">
        <f t="shared" si="15"/>
        <v/>
      </c>
    </row>
    <row r="237" spans="7:7">
      <c r="G237" s="5" t="str">
        <f t="shared" si="15"/>
        <v/>
      </c>
    </row>
    <row r="238" spans="7:7">
      <c r="G238" s="5" t="str">
        <f t="shared" si="15"/>
        <v/>
      </c>
    </row>
    <row r="239" spans="7:7">
      <c r="G239" s="5" t="str">
        <f t="shared" si="15"/>
        <v/>
      </c>
    </row>
    <row r="240" spans="7:7">
      <c r="G240" s="5" t="str">
        <f t="shared" si="15"/>
        <v/>
      </c>
    </row>
    <row r="241" spans="7:7">
      <c r="G241" s="5" t="str">
        <f t="shared" si="15"/>
        <v/>
      </c>
    </row>
    <row r="242" spans="7:7">
      <c r="G242" s="5" t="str">
        <f t="shared" si="15"/>
        <v/>
      </c>
    </row>
    <row r="243" spans="7:7">
      <c r="G243" s="5" t="str">
        <f t="shared" si="15"/>
        <v/>
      </c>
    </row>
    <row r="244" spans="7:7">
      <c r="G244" s="5" t="str">
        <f t="shared" si="15"/>
        <v/>
      </c>
    </row>
    <row r="245" spans="7:7">
      <c r="G245" s="5" t="str">
        <f t="shared" si="15"/>
        <v/>
      </c>
    </row>
    <row r="246" spans="7:7">
      <c r="G246" s="5" t="str">
        <f t="shared" si="15"/>
        <v/>
      </c>
    </row>
    <row r="247" spans="7:7">
      <c r="G247" s="5" t="str">
        <f t="shared" si="15"/>
        <v/>
      </c>
    </row>
    <row r="248" spans="7:7">
      <c r="G248" s="5" t="str">
        <f t="shared" si="15"/>
        <v/>
      </c>
    </row>
    <row r="249" spans="7:7">
      <c r="G249" s="5" t="str">
        <f t="shared" si="15"/>
        <v/>
      </c>
    </row>
    <row r="250" spans="7:7">
      <c r="G250" s="5" t="str">
        <f t="shared" si="15"/>
        <v/>
      </c>
    </row>
    <row r="251" spans="7:7">
      <c r="G251" s="5" t="str">
        <f t="shared" si="15"/>
        <v/>
      </c>
    </row>
    <row r="252" spans="7:7">
      <c r="G252" s="5" t="str">
        <f t="shared" si="15"/>
        <v/>
      </c>
    </row>
    <row r="253" spans="7:7">
      <c r="G253" s="5" t="str">
        <f t="shared" si="15"/>
        <v/>
      </c>
    </row>
    <row r="254" spans="7:7">
      <c r="G254" s="5" t="str">
        <f t="shared" si="15"/>
        <v/>
      </c>
    </row>
    <row r="255" spans="7:7">
      <c r="G255" s="5" t="str">
        <f t="shared" si="15"/>
        <v/>
      </c>
    </row>
    <row r="256" spans="7:7">
      <c r="G256" s="5" t="str">
        <f t="shared" si="15"/>
        <v/>
      </c>
    </row>
    <row r="257" spans="7:7">
      <c r="G257" s="5" t="str">
        <f t="shared" si="15"/>
        <v/>
      </c>
    </row>
    <row r="258" spans="7:7">
      <c r="G258" s="5" t="str">
        <f t="shared" si="15"/>
        <v/>
      </c>
    </row>
    <row r="259" spans="7:7">
      <c r="G259" s="5" t="str">
        <f t="shared" si="15"/>
        <v/>
      </c>
    </row>
    <row r="260" spans="7:7">
      <c r="G260" s="5" t="str">
        <f t="shared" si="15"/>
        <v/>
      </c>
    </row>
    <row r="261" spans="7:7">
      <c r="G261" s="5" t="str">
        <f t="shared" si="15"/>
        <v/>
      </c>
    </row>
    <row r="262" spans="7:7">
      <c r="G262" s="5" t="str">
        <f t="shared" si="15"/>
        <v/>
      </c>
    </row>
    <row r="263" spans="7:7">
      <c r="G263" s="5" t="str">
        <f t="shared" si="15"/>
        <v/>
      </c>
    </row>
    <row r="264" spans="7:7">
      <c r="G264" s="5" t="str">
        <f t="shared" si="15"/>
        <v/>
      </c>
    </row>
    <row r="265" spans="7:7">
      <c r="G265" s="5" t="str">
        <f t="shared" si="15"/>
        <v/>
      </c>
    </row>
    <row r="266" spans="7:7">
      <c r="G266" s="5" t="str">
        <f t="shared" si="15"/>
        <v/>
      </c>
    </row>
    <row r="267" spans="7:7">
      <c r="G267" s="5" t="str">
        <f t="shared" si="15"/>
        <v/>
      </c>
    </row>
    <row r="268" spans="7:7">
      <c r="G268" s="5" t="str">
        <f t="shared" si="15"/>
        <v/>
      </c>
    </row>
    <row r="269" spans="7:7">
      <c r="G269" s="5" t="str">
        <f t="shared" si="15"/>
        <v/>
      </c>
    </row>
    <row r="270" spans="7:7">
      <c r="G270" s="5" t="str">
        <f t="shared" si="15"/>
        <v/>
      </c>
    </row>
    <row r="271" spans="7:7">
      <c r="G271" s="5" t="str">
        <f t="shared" si="15"/>
        <v/>
      </c>
    </row>
    <row r="272" spans="7:7">
      <c r="G272" s="5" t="str">
        <f t="shared" si="15"/>
        <v/>
      </c>
    </row>
    <row r="273" spans="7:7">
      <c r="G273" s="5" t="str">
        <f t="shared" si="15"/>
        <v/>
      </c>
    </row>
    <row r="274" spans="7:7">
      <c r="G274" s="5" t="str">
        <f t="shared" si="15"/>
        <v/>
      </c>
    </row>
    <row r="275" spans="7:7">
      <c r="G275" s="5" t="str">
        <f t="shared" si="15"/>
        <v/>
      </c>
    </row>
    <row r="276" spans="7:7">
      <c r="G276" s="5" t="str">
        <f t="shared" si="15"/>
        <v/>
      </c>
    </row>
    <row r="277" spans="7:7">
      <c r="G277" s="5" t="str">
        <f t="shared" si="15"/>
        <v/>
      </c>
    </row>
    <row r="278" spans="7:7">
      <c r="G278" s="5" t="str">
        <f t="shared" si="15"/>
        <v/>
      </c>
    </row>
    <row r="279" spans="7:7">
      <c r="G279" s="5" t="str">
        <f t="shared" si="15"/>
        <v/>
      </c>
    </row>
    <row r="280" spans="7:7">
      <c r="G280" s="5" t="str">
        <f t="shared" si="15"/>
        <v/>
      </c>
    </row>
    <row r="281" spans="7:7">
      <c r="G281" s="5" t="str">
        <f t="shared" si="15"/>
        <v/>
      </c>
    </row>
    <row r="282" spans="7:7">
      <c r="G282" s="5" t="str">
        <f t="shared" si="15"/>
        <v/>
      </c>
    </row>
    <row r="283" spans="7:7">
      <c r="G283" s="5" t="str">
        <f t="shared" si="15"/>
        <v/>
      </c>
    </row>
    <row r="284" spans="7:7">
      <c r="G284" s="5" t="str">
        <f t="shared" si="15"/>
        <v/>
      </c>
    </row>
    <row r="285" spans="7:7">
      <c r="G285" s="5" t="str">
        <f t="shared" si="15"/>
        <v/>
      </c>
    </row>
    <row r="286" spans="7:7">
      <c r="G286" s="5" t="str">
        <f t="shared" si="15"/>
        <v/>
      </c>
    </row>
    <row r="287" spans="7:7">
      <c r="G287" s="5" t="str">
        <f t="shared" si="15"/>
        <v/>
      </c>
    </row>
    <row r="288" spans="7:7">
      <c r="G288" s="5" t="str">
        <f t="shared" si="15"/>
        <v/>
      </c>
    </row>
    <row r="289" spans="7:7">
      <c r="G289" s="5" t="str">
        <f t="shared" si="15"/>
        <v/>
      </c>
    </row>
    <row r="290" spans="7:7">
      <c r="G290" s="5" t="str">
        <f t="shared" ref="G290:G353" si="16">IF(B290&lt;&gt;"",SUM(C290:F290),"")</f>
        <v/>
      </c>
    </row>
    <row r="291" spans="7:7">
      <c r="G291" s="5" t="str">
        <f t="shared" si="16"/>
        <v/>
      </c>
    </row>
    <row r="292" spans="7:7">
      <c r="G292" s="5" t="str">
        <f t="shared" si="16"/>
        <v/>
      </c>
    </row>
    <row r="293" spans="7:7">
      <c r="G293" s="5" t="str">
        <f t="shared" si="16"/>
        <v/>
      </c>
    </row>
    <row r="294" spans="7:7">
      <c r="G294" s="5" t="str">
        <f t="shared" si="16"/>
        <v/>
      </c>
    </row>
    <row r="295" spans="7:7">
      <c r="G295" s="5" t="str">
        <f t="shared" si="16"/>
        <v/>
      </c>
    </row>
    <row r="296" spans="7:7">
      <c r="G296" s="5" t="str">
        <f t="shared" si="16"/>
        <v/>
      </c>
    </row>
    <row r="297" spans="7:7">
      <c r="G297" s="5" t="str">
        <f t="shared" si="16"/>
        <v/>
      </c>
    </row>
    <row r="298" spans="7:7">
      <c r="G298" s="5" t="str">
        <f t="shared" si="16"/>
        <v/>
      </c>
    </row>
    <row r="299" spans="7:7">
      <c r="G299" s="5" t="str">
        <f t="shared" si="16"/>
        <v/>
      </c>
    </row>
    <row r="300" spans="7:7">
      <c r="G300" s="5" t="str">
        <f t="shared" si="16"/>
        <v/>
      </c>
    </row>
    <row r="301" spans="7:7">
      <c r="G301" s="5" t="str">
        <f t="shared" si="16"/>
        <v/>
      </c>
    </row>
    <row r="302" spans="7:7">
      <c r="G302" s="5" t="str">
        <f t="shared" si="16"/>
        <v/>
      </c>
    </row>
    <row r="303" spans="7:7">
      <c r="G303" s="5" t="str">
        <f t="shared" si="16"/>
        <v/>
      </c>
    </row>
    <row r="304" spans="7:7">
      <c r="G304" s="5" t="str">
        <f t="shared" si="16"/>
        <v/>
      </c>
    </row>
    <row r="305" spans="7:7">
      <c r="G305" s="5" t="str">
        <f t="shared" si="16"/>
        <v/>
      </c>
    </row>
    <row r="306" spans="7:7">
      <c r="G306" s="5" t="str">
        <f t="shared" si="16"/>
        <v/>
      </c>
    </row>
    <row r="307" spans="7:7">
      <c r="G307" s="5" t="str">
        <f t="shared" si="16"/>
        <v/>
      </c>
    </row>
    <row r="308" spans="7:7">
      <c r="G308" s="5" t="str">
        <f t="shared" si="16"/>
        <v/>
      </c>
    </row>
    <row r="309" spans="7:7">
      <c r="G309" s="5" t="str">
        <f t="shared" si="16"/>
        <v/>
      </c>
    </row>
    <row r="310" spans="7:7">
      <c r="G310" s="5" t="str">
        <f t="shared" si="16"/>
        <v/>
      </c>
    </row>
    <row r="311" spans="7:7">
      <c r="G311" s="5" t="str">
        <f t="shared" si="16"/>
        <v/>
      </c>
    </row>
    <row r="312" spans="7:7">
      <c r="G312" s="5" t="str">
        <f t="shared" si="16"/>
        <v/>
      </c>
    </row>
    <row r="313" spans="7:7">
      <c r="G313" s="5" t="str">
        <f t="shared" si="16"/>
        <v/>
      </c>
    </row>
    <row r="314" spans="7:7">
      <c r="G314" s="5" t="str">
        <f t="shared" si="16"/>
        <v/>
      </c>
    </row>
    <row r="315" spans="7:7">
      <c r="G315" s="5" t="str">
        <f t="shared" si="16"/>
        <v/>
      </c>
    </row>
    <row r="316" spans="7:7">
      <c r="G316" s="5" t="str">
        <f t="shared" si="16"/>
        <v/>
      </c>
    </row>
    <row r="317" spans="7:7">
      <c r="G317" s="5" t="str">
        <f t="shared" si="16"/>
        <v/>
      </c>
    </row>
    <row r="318" spans="7:7">
      <c r="G318" s="5" t="str">
        <f t="shared" si="16"/>
        <v/>
      </c>
    </row>
    <row r="319" spans="7:7">
      <c r="G319" s="5" t="str">
        <f t="shared" si="16"/>
        <v/>
      </c>
    </row>
    <row r="320" spans="7:7">
      <c r="G320" s="5" t="str">
        <f t="shared" si="16"/>
        <v/>
      </c>
    </row>
    <row r="321" spans="7:7">
      <c r="G321" s="5" t="str">
        <f t="shared" si="16"/>
        <v/>
      </c>
    </row>
    <row r="322" spans="7:7">
      <c r="G322" s="5" t="str">
        <f t="shared" si="16"/>
        <v/>
      </c>
    </row>
    <row r="323" spans="7:7">
      <c r="G323" s="5" t="str">
        <f t="shared" si="16"/>
        <v/>
      </c>
    </row>
    <row r="324" spans="7:7">
      <c r="G324" s="5" t="str">
        <f t="shared" si="16"/>
        <v/>
      </c>
    </row>
    <row r="325" spans="7:7">
      <c r="G325" s="5" t="str">
        <f t="shared" si="16"/>
        <v/>
      </c>
    </row>
    <row r="326" spans="7:7">
      <c r="G326" s="5" t="str">
        <f t="shared" si="16"/>
        <v/>
      </c>
    </row>
    <row r="327" spans="7:7">
      <c r="G327" s="5" t="str">
        <f t="shared" si="16"/>
        <v/>
      </c>
    </row>
    <row r="328" spans="7:7">
      <c r="G328" s="5" t="str">
        <f t="shared" si="16"/>
        <v/>
      </c>
    </row>
    <row r="329" spans="7:7">
      <c r="G329" s="5" t="str">
        <f t="shared" si="16"/>
        <v/>
      </c>
    </row>
    <row r="330" spans="7:7">
      <c r="G330" s="5" t="str">
        <f t="shared" si="16"/>
        <v/>
      </c>
    </row>
    <row r="331" spans="7:7">
      <c r="G331" s="5" t="str">
        <f t="shared" si="16"/>
        <v/>
      </c>
    </row>
    <row r="332" spans="7:7">
      <c r="G332" s="5" t="str">
        <f t="shared" si="16"/>
        <v/>
      </c>
    </row>
    <row r="333" spans="7:7">
      <c r="G333" s="5" t="str">
        <f t="shared" si="16"/>
        <v/>
      </c>
    </row>
    <row r="334" spans="7:7">
      <c r="G334" s="5" t="str">
        <f t="shared" si="16"/>
        <v/>
      </c>
    </row>
    <row r="335" spans="7:7">
      <c r="G335" s="5" t="str">
        <f t="shared" si="16"/>
        <v/>
      </c>
    </row>
    <row r="336" spans="7:7">
      <c r="G336" s="5" t="str">
        <f t="shared" si="16"/>
        <v/>
      </c>
    </row>
    <row r="337" spans="7:7">
      <c r="G337" s="5" t="str">
        <f t="shared" si="16"/>
        <v/>
      </c>
    </row>
    <row r="338" spans="7:7">
      <c r="G338" s="5" t="str">
        <f t="shared" si="16"/>
        <v/>
      </c>
    </row>
    <row r="339" spans="7:7">
      <c r="G339" s="5" t="str">
        <f t="shared" si="16"/>
        <v/>
      </c>
    </row>
    <row r="340" spans="7:7">
      <c r="G340" s="5" t="str">
        <f t="shared" si="16"/>
        <v/>
      </c>
    </row>
    <row r="341" spans="7:7">
      <c r="G341" s="5" t="str">
        <f t="shared" si="16"/>
        <v/>
      </c>
    </row>
    <row r="342" spans="7:7">
      <c r="G342" s="5" t="str">
        <f t="shared" si="16"/>
        <v/>
      </c>
    </row>
    <row r="343" spans="7:7">
      <c r="G343" s="5" t="str">
        <f t="shared" si="16"/>
        <v/>
      </c>
    </row>
    <row r="344" spans="7:7">
      <c r="G344" s="5" t="str">
        <f t="shared" si="16"/>
        <v/>
      </c>
    </row>
    <row r="345" spans="7:7">
      <c r="G345" s="5" t="str">
        <f t="shared" si="16"/>
        <v/>
      </c>
    </row>
    <row r="346" spans="7:7">
      <c r="G346" s="5" t="str">
        <f t="shared" si="16"/>
        <v/>
      </c>
    </row>
    <row r="347" spans="7:7">
      <c r="G347" s="5" t="str">
        <f t="shared" si="16"/>
        <v/>
      </c>
    </row>
    <row r="348" spans="7:7">
      <c r="G348" s="5" t="str">
        <f t="shared" si="16"/>
        <v/>
      </c>
    </row>
    <row r="349" spans="7:7">
      <c r="G349" s="5" t="str">
        <f t="shared" si="16"/>
        <v/>
      </c>
    </row>
    <row r="350" spans="7:7">
      <c r="G350" s="5" t="str">
        <f t="shared" si="16"/>
        <v/>
      </c>
    </row>
    <row r="351" spans="7:7">
      <c r="G351" s="5" t="str">
        <f t="shared" si="16"/>
        <v/>
      </c>
    </row>
    <row r="352" spans="7:7">
      <c r="G352" s="5" t="str">
        <f t="shared" si="16"/>
        <v/>
      </c>
    </row>
    <row r="353" spans="7:7">
      <c r="G353" s="5" t="str">
        <f t="shared" si="16"/>
        <v/>
      </c>
    </row>
    <row r="354" spans="7:7">
      <c r="G354" s="5" t="str">
        <f t="shared" ref="G354:G417" si="17">IF(B354&lt;&gt;"",SUM(C354:F354),"")</f>
        <v/>
      </c>
    </row>
    <row r="355" spans="7:7">
      <c r="G355" s="5" t="str">
        <f t="shared" si="17"/>
        <v/>
      </c>
    </row>
    <row r="356" spans="7:7">
      <c r="G356" s="5" t="str">
        <f t="shared" si="17"/>
        <v/>
      </c>
    </row>
    <row r="357" spans="7:7">
      <c r="G357" s="5" t="str">
        <f t="shared" si="17"/>
        <v/>
      </c>
    </row>
    <row r="358" spans="7:7">
      <c r="G358" s="5" t="str">
        <f t="shared" si="17"/>
        <v/>
      </c>
    </row>
    <row r="359" spans="7:7">
      <c r="G359" s="5" t="str">
        <f t="shared" si="17"/>
        <v/>
      </c>
    </row>
    <row r="360" spans="7:7">
      <c r="G360" s="5" t="str">
        <f t="shared" si="17"/>
        <v/>
      </c>
    </row>
    <row r="361" spans="7:7">
      <c r="G361" s="5" t="str">
        <f t="shared" si="17"/>
        <v/>
      </c>
    </row>
    <row r="362" spans="7:7">
      <c r="G362" s="5" t="str">
        <f t="shared" si="17"/>
        <v/>
      </c>
    </row>
    <row r="363" spans="7:7">
      <c r="G363" s="5" t="str">
        <f t="shared" si="17"/>
        <v/>
      </c>
    </row>
    <row r="364" spans="7:7">
      <c r="G364" s="5" t="str">
        <f t="shared" si="17"/>
        <v/>
      </c>
    </row>
    <row r="365" spans="7:7">
      <c r="G365" s="5" t="str">
        <f t="shared" si="17"/>
        <v/>
      </c>
    </row>
    <row r="366" spans="7:7">
      <c r="G366" s="5" t="str">
        <f t="shared" si="17"/>
        <v/>
      </c>
    </row>
    <row r="367" spans="7:7">
      <c r="G367" s="5" t="str">
        <f t="shared" si="17"/>
        <v/>
      </c>
    </row>
    <row r="368" spans="7:7">
      <c r="G368" s="5" t="str">
        <f t="shared" si="17"/>
        <v/>
      </c>
    </row>
    <row r="369" spans="7:7">
      <c r="G369" s="5" t="str">
        <f t="shared" si="17"/>
        <v/>
      </c>
    </row>
    <row r="370" spans="7:7">
      <c r="G370" s="5" t="str">
        <f t="shared" si="17"/>
        <v/>
      </c>
    </row>
    <row r="371" spans="7:7">
      <c r="G371" s="5" t="str">
        <f t="shared" si="17"/>
        <v/>
      </c>
    </row>
    <row r="372" spans="7:7">
      <c r="G372" s="5" t="str">
        <f t="shared" si="17"/>
        <v/>
      </c>
    </row>
    <row r="373" spans="7:7">
      <c r="G373" s="5" t="str">
        <f t="shared" si="17"/>
        <v/>
      </c>
    </row>
    <row r="374" spans="7:7">
      <c r="G374" s="5" t="str">
        <f t="shared" si="17"/>
        <v/>
      </c>
    </row>
    <row r="375" spans="7:7">
      <c r="G375" s="5" t="str">
        <f t="shared" si="17"/>
        <v/>
      </c>
    </row>
    <row r="376" spans="7:7">
      <c r="G376" s="5" t="str">
        <f t="shared" si="17"/>
        <v/>
      </c>
    </row>
    <row r="377" spans="7:7">
      <c r="G377" s="5" t="str">
        <f t="shared" si="17"/>
        <v/>
      </c>
    </row>
    <row r="378" spans="7:7">
      <c r="G378" s="5" t="str">
        <f t="shared" si="17"/>
        <v/>
      </c>
    </row>
    <row r="379" spans="7:7">
      <c r="G379" s="5" t="str">
        <f t="shared" si="17"/>
        <v/>
      </c>
    </row>
    <row r="380" spans="7:7">
      <c r="G380" s="5" t="str">
        <f t="shared" si="17"/>
        <v/>
      </c>
    </row>
    <row r="381" spans="7:7">
      <c r="G381" s="5" t="str">
        <f t="shared" si="17"/>
        <v/>
      </c>
    </row>
    <row r="382" spans="7:7">
      <c r="G382" s="5" t="str">
        <f t="shared" si="17"/>
        <v/>
      </c>
    </row>
    <row r="383" spans="7:7">
      <c r="G383" s="5" t="str">
        <f t="shared" si="17"/>
        <v/>
      </c>
    </row>
    <row r="384" spans="7:7">
      <c r="G384" s="5" t="str">
        <f t="shared" si="17"/>
        <v/>
      </c>
    </row>
    <row r="385" spans="7:7">
      <c r="G385" s="5" t="str">
        <f t="shared" si="17"/>
        <v/>
      </c>
    </row>
    <row r="386" spans="7:7">
      <c r="G386" s="5" t="str">
        <f t="shared" si="17"/>
        <v/>
      </c>
    </row>
    <row r="387" spans="7:7">
      <c r="G387" s="5" t="str">
        <f t="shared" si="17"/>
        <v/>
      </c>
    </row>
    <row r="388" spans="7:7">
      <c r="G388" s="5" t="str">
        <f t="shared" si="17"/>
        <v/>
      </c>
    </row>
    <row r="389" spans="7:7">
      <c r="G389" s="5" t="str">
        <f t="shared" si="17"/>
        <v/>
      </c>
    </row>
    <row r="390" spans="7:7">
      <c r="G390" s="5" t="str">
        <f t="shared" si="17"/>
        <v/>
      </c>
    </row>
    <row r="391" spans="7:7">
      <c r="G391" s="5" t="str">
        <f t="shared" si="17"/>
        <v/>
      </c>
    </row>
    <row r="392" spans="7:7">
      <c r="G392" s="5" t="str">
        <f t="shared" si="17"/>
        <v/>
      </c>
    </row>
    <row r="393" spans="7:7">
      <c r="G393" s="5" t="str">
        <f t="shared" si="17"/>
        <v/>
      </c>
    </row>
    <row r="394" spans="7:7">
      <c r="G394" s="5" t="str">
        <f t="shared" si="17"/>
        <v/>
      </c>
    </row>
    <row r="395" spans="7:7">
      <c r="G395" s="5" t="str">
        <f t="shared" si="17"/>
        <v/>
      </c>
    </row>
    <row r="396" spans="7:7">
      <c r="G396" s="5" t="str">
        <f t="shared" si="17"/>
        <v/>
      </c>
    </row>
    <row r="397" spans="7:7">
      <c r="G397" s="5" t="str">
        <f t="shared" si="17"/>
        <v/>
      </c>
    </row>
    <row r="398" spans="7:7">
      <c r="G398" s="5" t="str">
        <f t="shared" si="17"/>
        <v/>
      </c>
    </row>
    <row r="399" spans="7:7">
      <c r="G399" s="5" t="str">
        <f t="shared" si="17"/>
        <v/>
      </c>
    </row>
    <row r="400" spans="7:7">
      <c r="G400" s="5" t="str">
        <f t="shared" si="17"/>
        <v/>
      </c>
    </row>
    <row r="401" spans="7:7">
      <c r="G401" s="5" t="str">
        <f t="shared" si="17"/>
        <v/>
      </c>
    </row>
    <row r="402" spans="7:7">
      <c r="G402" s="5" t="str">
        <f t="shared" si="17"/>
        <v/>
      </c>
    </row>
    <row r="403" spans="7:7">
      <c r="G403" s="5" t="str">
        <f t="shared" si="17"/>
        <v/>
      </c>
    </row>
    <row r="404" spans="7:7">
      <c r="G404" s="5" t="str">
        <f t="shared" si="17"/>
        <v/>
      </c>
    </row>
    <row r="405" spans="7:7">
      <c r="G405" s="5" t="str">
        <f t="shared" si="17"/>
        <v/>
      </c>
    </row>
    <row r="406" spans="7:7">
      <c r="G406" s="5" t="str">
        <f t="shared" si="17"/>
        <v/>
      </c>
    </row>
    <row r="407" spans="7:7">
      <c r="G407" s="5" t="str">
        <f t="shared" si="17"/>
        <v/>
      </c>
    </row>
    <row r="408" spans="7:7">
      <c r="G408" s="5" t="str">
        <f t="shared" si="17"/>
        <v/>
      </c>
    </row>
    <row r="409" spans="7:7">
      <c r="G409" s="5" t="str">
        <f t="shared" si="17"/>
        <v/>
      </c>
    </row>
    <row r="410" spans="7:7">
      <c r="G410" s="5" t="str">
        <f t="shared" si="17"/>
        <v/>
      </c>
    </row>
    <row r="411" spans="7:7">
      <c r="G411" s="5" t="str">
        <f t="shared" si="17"/>
        <v/>
      </c>
    </row>
    <row r="412" spans="7:7">
      <c r="G412" s="5" t="str">
        <f t="shared" si="17"/>
        <v/>
      </c>
    </row>
    <row r="413" spans="7:7">
      <c r="G413" s="5" t="str">
        <f t="shared" si="17"/>
        <v/>
      </c>
    </row>
    <row r="414" spans="7:7">
      <c r="G414" s="5" t="str">
        <f t="shared" si="17"/>
        <v/>
      </c>
    </row>
    <row r="415" spans="7:7">
      <c r="G415" s="5" t="str">
        <f t="shared" si="17"/>
        <v/>
      </c>
    </row>
    <row r="416" spans="7:7">
      <c r="G416" s="5" t="str">
        <f t="shared" si="17"/>
        <v/>
      </c>
    </row>
    <row r="417" spans="7:7">
      <c r="G417" s="5" t="str">
        <f t="shared" si="17"/>
        <v/>
      </c>
    </row>
    <row r="418" spans="7:7">
      <c r="G418" s="5" t="str">
        <f t="shared" ref="G418:G449" si="18">IF(B418&lt;&gt;"",SUM(C418:F418),"")</f>
        <v/>
      </c>
    </row>
    <row r="419" spans="7:7">
      <c r="G419" s="5" t="str">
        <f t="shared" si="18"/>
        <v/>
      </c>
    </row>
    <row r="420" spans="7:7">
      <c r="G420" s="5" t="str">
        <f t="shared" si="18"/>
        <v/>
      </c>
    </row>
    <row r="421" spans="7:7">
      <c r="G421" s="5" t="str">
        <f t="shared" si="18"/>
        <v/>
      </c>
    </row>
    <row r="422" spans="7:7">
      <c r="G422" s="5" t="str">
        <f t="shared" si="18"/>
        <v/>
      </c>
    </row>
    <row r="423" spans="7:7">
      <c r="G423" s="5" t="str">
        <f t="shared" si="18"/>
        <v/>
      </c>
    </row>
    <row r="424" spans="7:7">
      <c r="G424" s="5" t="str">
        <f t="shared" si="18"/>
        <v/>
      </c>
    </row>
    <row r="425" spans="7:7">
      <c r="G425" s="5" t="str">
        <f t="shared" si="18"/>
        <v/>
      </c>
    </row>
    <row r="426" spans="7:7">
      <c r="G426" s="5" t="str">
        <f t="shared" si="18"/>
        <v/>
      </c>
    </row>
    <row r="427" spans="7:7">
      <c r="G427" s="5" t="str">
        <f t="shared" si="18"/>
        <v/>
      </c>
    </row>
    <row r="428" spans="7:7">
      <c r="G428" s="5" t="str">
        <f t="shared" si="18"/>
        <v/>
      </c>
    </row>
    <row r="429" spans="7:7">
      <c r="G429" s="5" t="str">
        <f t="shared" si="18"/>
        <v/>
      </c>
    </row>
    <row r="430" spans="7:7">
      <c r="G430" s="5" t="str">
        <f t="shared" si="18"/>
        <v/>
      </c>
    </row>
    <row r="431" spans="7:7">
      <c r="G431" s="5" t="str">
        <f t="shared" si="18"/>
        <v/>
      </c>
    </row>
    <row r="432" spans="7:7">
      <c r="G432" s="5" t="str">
        <f t="shared" si="18"/>
        <v/>
      </c>
    </row>
    <row r="433" spans="7:7">
      <c r="G433" s="5" t="str">
        <f t="shared" si="18"/>
        <v/>
      </c>
    </row>
    <row r="434" spans="7:7">
      <c r="G434" s="5" t="str">
        <f t="shared" si="18"/>
        <v/>
      </c>
    </row>
    <row r="435" spans="7:7">
      <c r="G435" s="5" t="str">
        <f t="shared" si="18"/>
        <v/>
      </c>
    </row>
    <row r="436" spans="7:7">
      <c r="G436" s="5" t="str">
        <f t="shared" si="18"/>
        <v/>
      </c>
    </row>
    <row r="437" spans="7:7">
      <c r="G437" s="5" t="str">
        <f t="shared" si="18"/>
        <v/>
      </c>
    </row>
    <row r="438" spans="7:7">
      <c r="G438" s="5" t="str">
        <f t="shared" si="18"/>
        <v/>
      </c>
    </row>
    <row r="439" spans="7:7">
      <c r="G439" s="5" t="str">
        <f t="shared" si="18"/>
        <v/>
      </c>
    </row>
    <row r="440" spans="7:7">
      <c r="G440" s="5" t="str">
        <f t="shared" si="18"/>
        <v/>
      </c>
    </row>
    <row r="441" spans="7:7">
      <c r="G441" s="5" t="str">
        <f t="shared" si="18"/>
        <v/>
      </c>
    </row>
    <row r="442" spans="7:7">
      <c r="G442" s="5" t="str">
        <f t="shared" si="18"/>
        <v/>
      </c>
    </row>
    <row r="443" spans="7:7">
      <c r="G443" s="5" t="str">
        <f t="shared" si="18"/>
        <v/>
      </c>
    </row>
    <row r="444" spans="7:7">
      <c r="G444" s="5" t="str">
        <f t="shared" si="18"/>
        <v/>
      </c>
    </row>
    <row r="445" spans="7:7">
      <c r="G445" s="5" t="str">
        <f t="shared" si="18"/>
        <v/>
      </c>
    </row>
    <row r="446" spans="7:7">
      <c r="G446" s="5" t="str">
        <f t="shared" si="18"/>
        <v/>
      </c>
    </row>
    <row r="447" spans="7:7">
      <c r="G447" s="5" t="str">
        <f t="shared" si="18"/>
        <v/>
      </c>
    </row>
    <row r="448" spans="7:7">
      <c r="G448" s="5" t="str">
        <f t="shared" si="18"/>
        <v/>
      </c>
    </row>
    <row r="449" spans="7:7">
      <c r="G449" s="5" t="str">
        <f t="shared" si="18"/>
        <v/>
      </c>
    </row>
  </sheetData>
  <sheetProtection algorithmName="SHA-512" hashValue="w50OyMMEpu6V/OrGq+p7i8hC4KkW6IUTbYMedL8LAE6v06doXy8L8sBuNIHf9VlIksmB19PFVv3Dad9D9BJhUw==" saltValue="jKnLmaFTL3/PIC0S5BPoNA==" spinCount="100000" sheet="1" sort="0" autoFilter="0" pivotTables="0"/>
  <autoFilter ref="H5:H23" xr:uid="{F6BD88D4-75BE-4576-BE6A-63829847FFF6}"/>
  <sortState xmlns:xlrd2="http://schemas.microsoft.com/office/spreadsheetml/2017/richdata2" ref="B6:N21">
    <sortCondition ref="B6:B21"/>
  </sortState>
  <pageMargins left="0.78740157480314965" right="0.78740157480314965" top="0.78740157480314965" bottom="0.78740157480314965" header="0" footer="0"/>
  <pageSetup paperSize="9" scale="89" orientation="landscape" verticalDpi="4294967295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DC5EE-0CC2-4A4A-95AE-F0ECD4B3E52D}">
  <sheetPr codeName="Planilha30" filterMode="1">
    <tabColor rgb="FF006600"/>
    <pageSetUpPr fitToPage="1"/>
  </sheetPr>
  <dimension ref="B1:S441"/>
  <sheetViews>
    <sheetView topLeftCell="B1" workbookViewId="0">
      <pane ySplit="5" topLeftCell="A6" activePane="bottomLeft" state="frozen"/>
      <selection pane="bottomLeft" activeCell="I34" sqref="I34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41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210" t="s">
        <v>6</v>
      </c>
      <c r="C4" s="43"/>
      <c r="D4" s="43"/>
      <c r="E4" s="43"/>
      <c r="F4" s="44"/>
      <c r="G4" s="45"/>
      <c r="H4" s="200"/>
      <c r="I4" s="200" t="s">
        <v>48</v>
      </c>
      <c r="J4" s="201" t="s">
        <v>9</v>
      </c>
      <c r="K4" s="201" t="s">
        <v>9</v>
      </c>
      <c r="L4" s="232">
        <v>4.7619047619047616E-2</v>
      </c>
      <c r="M4" s="203" t="s">
        <v>15</v>
      </c>
      <c r="N4" s="36"/>
      <c r="O4" s="19"/>
      <c r="P4" s="19"/>
      <c r="Q4" s="19"/>
      <c r="R4" s="19"/>
      <c r="S4" s="19"/>
    </row>
    <row r="5" spans="2:19" ht="16.5" thickBot="1">
      <c r="B5" s="212" t="s">
        <v>5</v>
      </c>
      <c r="C5" s="208" t="s">
        <v>0</v>
      </c>
      <c r="D5" s="208" t="s">
        <v>12</v>
      </c>
      <c r="E5" s="208" t="s">
        <v>2</v>
      </c>
      <c r="F5" s="208" t="s">
        <v>3</v>
      </c>
      <c r="G5" s="209" t="s">
        <v>1</v>
      </c>
      <c r="H5" s="204" t="s">
        <v>4</v>
      </c>
      <c r="I5" s="204" t="s">
        <v>7</v>
      </c>
      <c r="J5" s="205" t="s">
        <v>8</v>
      </c>
      <c r="K5" s="205" t="s">
        <v>10</v>
      </c>
      <c r="L5" s="206" t="s">
        <v>11</v>
      </c>
      <c r="M5" s="20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233" t="s">
        <v>798</v>
      </c>
      <c r="C6" s="38"/>
      <c r="D6" s="38"/>
      <c r="E6" s="38"/>
      <c r="F6" s="39"/>
      <c r="G6" s="40"/>
      <c r="H6" s="23">
        <f t="shared" ref="H6:H13" si="0">SUM(C6:G6)</f>
        <v>0</v>
      </c>
      <c r="I6" s="198">
        <f t="shared" ref="I6:I13" si="1">L6-(L6*J6)</f>
        <v>10.8</v>
      </c>
      <c r="J6" s="16"/>
      <c r="K6" s="17"/>
      <c r="L6" s="228">
        <v>10.8</v>
      </c>
      <c r="M6" s="231">
        <v>25</v>
      </c>
      <c r="N6" s="25">
        <f t="shared" ref="N6" si="2">I6*C6</f>
        <v>0</v>
      </c>
      <c r="O6" s="25">
        <f t="shared" ref="O6" si="3">I6*D6</f>
        <v>0</v>
      </c>
      <c r="P6" s="25">
        <f t="shared" ref="P6" si="4">I6*E6</f>
        <v>0</v>
      </c>
      <c r="Q6" s="26">
        <f t="shared" ref="Q6" si="5">I6*F6</f>
        <v>0</v>
      </c>
      <c r="R6" s="27">
        <f t="shared" ref="R6" si="6">I6*G6</f>
        <v>0</v>
      </c>
      <c r="S6" s="28">
        <f>SUM(N6:R6)</f>
        <v>0</v>
      </c>
    </row>
    <row r="7" spans="2:19" hidden="1">
      <c r="B7" s="233" t="s">
        <v>799</v>
      </c>
      <c r="C7" s="13"/>
      <c r="D7" s="13"/>
      <c r="E7" s="13"/>
      <c r="F7" s="14"/>
      <c r="G7" s="8"/>
      <c r="H7" s="24">
        <f t="shared" si="0"/>
        <v>0</v>
      </c>
      <c r="I7" s="199">
        <f t="shared" si="1"/>
        <v>4.58</v>
      </c>
      <c r="J7" s="10"/>
      <c r="K7" s="12"/>
      <c r="L7" s="229">
        <v>4.58</v>
      </c>
      <c r="M7" s="231">
        <v>25</v>
      </c>
      <c r="N7" s="25">
        <f t="shared" ref="N7:N56" si="7">I7*C7</f>
        <v>0</v>
      </c>
      <c r="O7" s="25">
        <f t="shared" ref="O7:O56" si="8">I7*D7</f>
        <v>0</v>
      </c>
      <c r="P7" s="25">
        <f t="shared" ref="P7:P56" si="9">I7*E7</f>
        <v>0</v>
      </c>
      <c r="Q7" s="26">
        <f t="shared" ref="Q7:Q56" si="10">I7*F7</f>
        <v>0</v>
      </c>
      <c r="R7" s="27">
        <f t="shared" ref="R7:R56" si="11">I7*G7</f>
        <v>0</v>
      </c>
      <c r="S7" s="28">
        <f t="shared" ref="S7:S56" si="12">SUM(N7:R7)</f>
        <v>0</v>
      </c>
    </row>
    <row r="8" spans="2:19" hidden="1">
      <c r="B8" s="233" t="s">
        <v>800</v>
      </c>
      <c r="C8" s="13"/>
      <c r="D8" s="13"/>
      <c r="E8" s="13"/>
      <c r="F8" s="14"/>
      <c r="G8" s="8"/>
      <c r="H8" s="24">
        <f t="shared" si="0"/>
        <v>0</v>
      </c>
      <c r="I8" s="199">
        <f t="shared" si="1"/>
        <v>9.5500000000000007</v>
      </c>
      <c r="J8" s="10"/>
      <c r="K8" s="12"/>
      <c r="L8" s="228">
        <v>9.5500000000000007</v>
      </c>
      <c r="M8" s="231">
        <v>25</v>
      </c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2:19" hidden="1">
      <c r="B9" s="233" t="s">
        <v>801</v>
      </c>
      <c r="C9" s="13"/>
      <c r="D9" s="13"/>
      <c r="E9" s="13"/>
      <c r="F9" s="14"/>
      <c r="G9" s="8"/>
      <c r="H9" s="24">
        <f t="shared" si="0"/>
        <v>0</v>
      </c>
      <c r="I9" s="199">
        <f t="shared" si="1"/>
        <v>6.72</v>
      </c>
      <c r="J9" s="10"/>
      <c r="K9" s="12"/>
      <c r="L9" s="229">
        <v>6.72</v>
      </c>
      <c r="M9" s="231">
        <v>10</v>
      </c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</row>
    <row r="10" spans="2:19" hidden="1">
      <c r="B10" s="233" t="s">
        <v>802</v>
      </c>
      <c r="C10" s="13"/>
      <c r="D10" s="13"/>
      <c r="E10" s="13"/>
      <c r="F10" s="14"/>
      <c r="G10" s="8"/>
      <c r="H10" s="24">
        <f t="shared" si="0"/>
        <v>0</v>
      </c>
      <c r="I10" s="199">
        <f t="shared" si="1"/>
        <v>7.92</v>
      </c>
      <c r="J10" s="10"/>
      <c r="K10" s="12"/>
      <c r="L10" s="228">
        <v>7.92</v>
      </c>
      <c r="M10" s="231">
        <v>10</v>
      </c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2:19" hidden="1">
      <c r="B11" s="233" t="s">
        <v>803</v>
      </c>
      <c r="C11" s="13"/>
      <c r="D11" s="13"/>
      <c r="E11" s="13"/>
      <c r="F11" s="14"/>
      <c r="G11" s="8"/>
      <c r="H11" s="24">
        <f t="shared" si="0"/>
        <v>0</v>
      </c>
      <c r="I11" s="199">
        <f t="shared" si="1"/>
        <v>8.48</v>
      </c>
      <c r="J11" s="10"/>
      <c r="K11" s="12"/>
      <c r="L11" s="229">
        <v>8.48</v>
      </c>
      <c r="M11" s="231">
        <v>24</v>
      </c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 hidden="1">
      <c r="B12" s="233" t="s">
        <v>804</v>
      </c>
      <c r="C12" s="13"/>
      <c r="D12" s="13"/>
      <c r="E12" s="13"/>
      <c r="F12" s="14"/>
      <c r="G12" s="8"/>
      <c r="H12" s="24">
        <f t="shared" si="0"/>
        <v>0</v>
      </c>
      <c r="I12" s="199">
        <f t="shared" si="1"/>
        <v>17.32</v>
      </c>
      <c r="J12" s="10"/>
      <c r="K12" s="12"/>
      <c r="L12" s="228">
        <v>17.32</v>
      </c>
      <c r="M12" s="231">
        <v>25</v>
      </c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 hidden="1">
      <c r="B13" s="233" t="s">
        <v>805</v>
      </c>
      <c r="C13" s="13"/>
      <c r="D13" s="13"/>
      <c r="E13" s="13"/>
      <c r="F13" s="14"/>
      <c r="G13" s="8"/>
      <c r="H13" s="24">
        <f t="shared" si="0"/>
        <v>0</v>
      </c>
      <c r="I13" s="199">
        <f t="shared" si="1"/>
        <v>15.87</v>
      </c>
      <c r="J13" s="10"/>
      <c r="K13" s="12"/>
      <c r="L13" s="229">
        <v>15.87</v>
      </c>
      <c r="M13" s="231">
        <v>1</v>
      </c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 hidden="1">
      <c r="B14" s="233" t="s">
        <v>806</v>
      </c>
      <c r="C14" s="13"/>
      <c r="D14" s="13"/>
      <c r="E14" s="13"/>
      <c r="F14" s="14"/>
      <c r="G14" s="8"/>
      <c r="H14" s="24">
        <f t="shared" ref="H14:H56" si="13">SUM(C14:G14)</f>
        <v>0</v>
      </c>
      <c r="I14" s="199">
        <f t="shared" ref="I14:I56" si="14">L14-(L14*J14)</f>
        <v>4.96</v>
      </c>
      <c r="J14" s="10"/>
      <c r="K14" s="12"/>
      <c r="L14" s="228">
        <v>4.96</v>
      </c>
      <c r="M14" s="231">
        <v>25</v>
      </c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</row>
    <row r="15" spans="2:19" hidden="1">
      <c r="B15" s="233" t="s">
        <v>807</v>
      </c>
      <c r="C15" s="13"/>
      <c r="D15" s="13"/>
      <c r="E15" s="13"/>
      <c r="F15" s="14"/>
      <c r="G15" s="8"/>
      <c r="H15" s="24">
        <f t="shared" si="13"/>
        <v>0</v>
      </c>
      <c r="I15" s="199">
        <f t="shared" si="14"/>
        <v>16.36</v>
      </c>
      <c r="J15" s="10"/>
      <c r="K15" s="12"/>
      <c r="L15" s="229">
        <v>16.36</v>
      </c>
      <c r="M15" s="231">
        <v>15</v>
      </c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2:19" hidden="1">
      <c r="B16" s="233" t="s">
        <v>808</v>
      </c>
      <c r="C16" s="13"/>
      <c r="D16" s="13"/>
      <c r="E16" s="13"/>
      <c r="F16" s="14"/>
      <c r="G16" s="8"/>
      <c r="H16" s="24">
        <f t="shared" si="13"/>
        <v>0</v>
      </c>
      <c r="I16" s="199">
        <f t="shared" si="14"/>
        <v>10.62</v>
      </c>
      <c r="J16" s="10"/>
      <c r="K16" s="12"/>
      <c r="L16" s="228">
        <v>10.62</v>
      </c>
      <c r="M16" s="231">
        <v>24</v>
      </c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 hidden="1">
      <c r="B17" s="233" t="s">
        <v>809</v>
      </c>
      <c r="C17" s="13"/>
      <c r="D17" s="13"/>
      <c r="E17" s="13"/>
      <c r="F17" s="14"/>
      <c r="G17" s="8"/>
      <c r="H17" s="24">
        <f t="shared" si="13"/>
        <v>0</v>
      </c>
      <c r="I17" s="199">
        <f t="shared" si="14"/>
        <v>1.71</v>
      </c>
      <c r="J17" s="10"/>
      <c r="K17" s="12"/>
      <c r="L17" s="229">
        <v>1.71</v>
      </c>
      <c r="M17" s="231">
        <v>60</v>
      </c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 hidden="1">
      <c r="B18" s="233" t="s">
        <v>810</v>
      </c>
      <c r="C18" s="13"/>
      <c r="D18" s="13"/>
      <c r="E18" s="13"/>
      <c r="F18" s="14"/>
      <c r="G18" s="8"/>
      <c r="H18" s="24">
        <f t="shared" si="13"/>
        <v>0</v>
      </c>
      <c r="I18" s="199">
        <f t="shared" si="14"/>
        <v>1.88</v>
      </c>
      <c r="J18" s="10"/>
      <c r="K18" s="12"/>
      <c r="L18" s="228">
        <v>1.88</v>
      </c>
      <c r="M18" s="231">
        <v>60</v>
      </c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 hidden="1">
      <c r="B19" s="233" t="s">
        <v>811</v>
      </c>
      <c r="C19" s="13"/>
      <c r="D19" s="13"/>
      <c r="E19" s="13"/>
      <c r="F19" s="14"/>
      <c r="G19" s="8"/>
      <c r="H19" s="24">
        <f t="shared" si="13"/>
        <v>0</v>
      </c>
      <c r="I19" s="199">
        <f t="shared" si="14"/>
        <v>18.82</v>
      </c>
      <c r="J19" s="10"/>
      <c r="K19" s="12"/>
      <c r="L19" s="229">
        <v>18.82</v>
      </c>
      <c r="M19" s="231">
        <v>1</v>
      </c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 hidden="1">
      <c r="B20" s="233" t="s">
        <v>812</v>
      </c>
      <c r="C20" s="13"/>
      <c r="D20" s="13"/>
      <c r="E20" s="13"/>
      <c r="F20" s="14"/>
      <c r="G20" s="8"/>
      <c r="H20" s="24">
        <f t="shared" si="13"/>
        <v>0</v>
      </c>
      <c r="I20" s="199">
        <f t="shared" si="14"/>
        <v>9.2200000000000006</v>
      </c>
      <c r="J20" s="10"/>
      <c r="K20" s="12"/>
      <c r="L20" s="228">
        <v>9.2200000000000006</v>
      </c>
      <c r="M20" s="231">
        <v>12</v>
      </c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2:19" hidden="1">
      <c r="B21" s="233" t="s">
        <v>813</v>
      </c>
      <c r="C21" s="13"/>
      <c r="D21" s="13"/>
      <c r="E21" s="13"/>
      <c r="F21" s="14"/>
      <c r="G21" s="8"/>
      <c r="H21" s="24">
        <f t="shared" si="13"/>
        <v>0</v>
      </c>
      <c r="I21" s="199">
        <f t="shared" si="14"/>
        <v>7.88</v>
      </c>
      <c r="J21" s="10"/>
      <c r="K21" s="12"/>
      <c r="L21" s="229">
        <v>7.88</v>
      </c>
      <c r="M21" s="231">
        <v>12</v>
      </c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 hidden="1">
      <c r="B22" s="233" t="s">
        <v>814</v>
      </c>
      <c r="C22" s="13"/>
      <c r="D22" s="13"/>
      <c r="E22" s="13"/>
      <c r="F22" s="14"/>
      <c r="G22" s="8"/>
      <c r="H22" s="24">
        <f t="shared" si="13"/>
        <v>0</v>
      </c>
      <c r="I22" s="199">
        <f t="shared" si="14"/>
        <v>20.99</v>
      </c>
      <c r="J22" s="10"/>
      <c r="K22" s="12"/>
      <c r="L22" s="228">
        <v>20.99</v>
      </c>
      <c r="M22" s="231">
        <v>1</v>
      </c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2:19">
      <c r="B23" s="233" t="s">
        <v>2542</v>
      </c>
      <c r="C23" s="13">
        <v>3000</v>
      </c>
      <c r="D23" s="13">
        <v>8000</v>
      </c>
      <c r="E23" s="13"/>
      <c r="F23" s="14">
        <v>5000</v>
      </c>
      <c r="G23" s="8"/>
      <c r="H23" s="24">
        <f t="shared" si="13"/>
        <v>16000</v>
      </c>
      <c r="I23" s="199">
        <v>1.38</v>
      </c>
      <c r="J23" s="10"/>
      <c r="K23" s="12"/>
      <c r="L23" s="229">
        <v>1.62</v>
      </c>
      <c r="M23" s="231">
        <v>50</v>
      </c>
      <c r="N23" s="25">
        <f t="shared" si="7"/>
        <v>4140</v>
      </c>
      <c r="O23" s="25">
        <f t="shared" si="8"/>
        <v>11040</v>
      </c>
      <c r="P23" s="25">
        <f t="shared" si="9"/>
        <v>0</v>
      </c>
      <c r="Q23" s="26">
        <f t="shared" si="10"/>
        <v>6899.9999999999991</v>
      </c>
      <c r="R23" s="27">
        <f t="shared" si="11"/>
        <v>0</v>
      </c>
      <c r="S23" s="28">
        <f t="shared" si="12"/>
        <v>22080</v>
      </c>
    </row>
    <row r="24" spans="2:19" hidden="1">
      <c r="B24" s="233" t="s">
        <v>815</v>
      </c>
      <c r="C24" s="13"/>
      <c r="D24" s="13"/>
      <c r="E24" s="13"/>
      <c r="F24" s="14"/>
      <c r="G24" s="8"/>
      <c r="H24" s="24">
        <f t="shared" si="13"/>
        <v>0</v>
      </c>
      <c r="I24" s="199">
        <f t="shared" si="14"/>
        <v>1.82</v>
      </c>
      <c r="J24" s="10"/>
      <c r="K24" s="12"/>
      <c r="L24" s="230">
        <v>1.82</v>
      </c>
      <c r="M24" s="231">
        <v>50</v>
      </c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 hidden="1">
      <c r="B25" s="233" t="s">
        <v>816</v>
      </c>
      <c r="C25" s="13"/>
      <c r="D25" s="13"/>
      <c r="E25" s="13"/>
      <c r="F25" s="14"/>
      <c r="G25" s="8"/>
      <c r="H25" s="24">
        <f t="shared" si="13"/>
        <v>0</v>
      </c>
      <c r="I25" s="199">
        <f t="shared" si="14"/>
        <v>35.9</v>
      </c>
      <c r="J25" s="10"/>
      <c r="K25" s="12"/>
      <c r="L25" s="229">
        <v>35.9</v>
      </c>
      <c r="M25" s="231">
        <v>6</v>
      </c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 hidden="1">
      <c r="B26" s="233" t="s">
        <v>817</v>
      </c>
      <c r="C26" s="13"/>
      <c r="D26" s="13"/>
      <c r="E26" s="13"/>
      <c r="F26" s="14"/>
      <c r="G26" s="8"/>
      <c r="H26" s="24">
        <f t="shared" si="13"/>
        <v>0</v>
      </c>
      <c r="I26" s="199">
        <f t="shared" si="14"/>
        <v>4.07</v>
      </c>
      <c r="J26" s="10"/>
      <c r="K26" s="12"/>
      <c r="L26" s="228">
        <v>4.07</v>
      </c>
      <c r="M26" s="231">
        <v>25</v>
      </c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 hidden="1">
      <c r="B27" s="233" t="s">
        <v>818</v>
      </c>
      <c r="C27" s="13"/>
      <c r="D27" s="13"/>
      <c r="E27" s="13"/>
      <c r="F27" s="14"/>
      <c r="G27" s="8"/>
      <c r="H27" s="24">
        <f t="shared" si="13"/>
        <v>0</v>
      </c>
      <c r="I27" s="199">
        <f t="shared" si="14"/>
        <v>5.63</v>
      </c>
      <c r="J27" s="10"/>
      <c r="K27" s="12"/>
      <c r="L27" s="229">
        <v>5.63</v>
      </c>
      <c r="M27" s="231">
        <v>24</v>
      </c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>
      <c r="B28" s="233" t="s">
        <v>819</v>
      </c>
      <c r="C28" s="13">
        <v>500</v>
      </c>
      <c r="D28" s="13"/>
      <c r="E28" s="13"/>
      <c r="F28" s="14">
        <v>500</v>
      </c>
      <c r="G28" s="8"/>
      <c r="H28" s="24">
        <f t="shared" si="13"/>
        <v>1000</v>
      </c>
      <c r="I28" s="199">
        <v>6.85</v>
      </c>
      <c r="J28" s="10"/>
      <c r="K28" s="12"/>
      <c r="L28" s="228">
        <v>7.11</v>
      </c>
      <c r="M28" s="231">
        <v>10</v>
      </c>
      <c r="N28" s="25">
        <f t="shared" si="7"/>
        <v>3425</v>
      </c>
      <c r="O28" s="25">
        <f t="shared" si="8"/>
        <v>0</v>
      </c>
      <c r="P28" s="25">
        <f t="shared" si="9"/>
        <v>0</v>
      </c>
      <c r="Q28" s="26">
        <f t="shared" si="10"/>
        <v>3425</v>
      </c>
      <c r="R28" s="27">
        <f t="shared" si="11"/>
        <v>0</v>
      </c>
      <c r="S28" s="28">
        <f t="shared" si="12"/>
        <v>6850</v>
      </c>
    </row>
    <row r="29" spans="2:19" hidden="1">
      <c r="B29" s="233" t="s">
        <v>820</v>
      </c>
      <c r="C29" s="13"/>
      <c r="D29" s="13"/>
      <c r="E29" s="13"/>
      <c r="F29" s="14"/>
      <c r="G29" s="8"/>
      <c r="H29" s="24">
        <f t="shared" si="13"/>
        <v>0</v>
      </c>
      <c r="I29" s="199">
        <f t="shared" si="14"/>
        <v>11.11</v>
      </c>
      <c r="J29" s="10"/>
      <c r="K29" s="12"/>
      <c r="L29" s="229">
        <v>11.11</v>
      </c>
      <c r="M29" s="231">
        <v>10</v>
      </c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2:19">
      <c r="B30" s="233" t="s">
        <v>821</v>
      </c>
      <c r="C30" s="13">
        <v>480</v>
      </c>
      <c r="D30" s="13"/>
      <c r="E30" s="13"/>
      <c r="F30" s="14"/>
      <c r="G30" s="8">
        <v>1200</v>
      </c>
      <c r="H30" s="24">
        <f t="shared" si="13"/>
        <v>1680</v>
      </c>
      <c r="I30" s="199">
        <v>5.5</v>
      </c>
      <c r="J30" s="10"/>
      <c r="K30" s="12"/>
      <c r="L30" s="228">
        <v>6.7</v>
      </c>
      <c r="M30" s="231">
        <v>20</v>
      </c>
      <c r="N30" s="25">
        <f t="shared" si="7"/>
        <v>2640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6600</v>
      </c>
      <c r="S30" s="28">
        <f t="shared" si="12"/>
        <v>9240</v>
      </c>
    </row>
    <row r="31" spans="2:19">
      <c r="B31" s="233" t="s">
        <v>822</v>
      </c>
      <c r="C31" s="13">
        <v>500</v>
      </c>
      <c r="D31" s="13"/>
      <c r="E31" s="13"/>
      <c r="F31" s="14"/>
      <c r="G31" s="8"/>
      <c r="H31" s="24">
        <f t="shared" si="13"/>
        <v>500</v>
      </c>
      <c r="I31" s="199"/>
      <c r="J31" s="10"/>
      <c r="K31" s="12" t="s">
        <v>2515</v>
      </c>
      <c r="L31" s="229">
        <v>0</v>
      </c>
      <c r="M31" s="231">
        <v>1</v>
      </c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2:19">
      <c r="B32" s="233" t="s">
        <v>823</v>
      </c>
      <c r="C32" s="13"/>
      <c r="D32" s="13">
        <v>144</v>
      </c>
      <c r="E32" s="13"/>
      <c r="F32" s="14"/>
      <c r="G32" s="8"/>
      <c r="H32" s="24">
        <f t="shared" si="13"/>
        <v>144</v>
      </c>
      <c r="I32" s="199">
        <v>5.07</v>
      </c>
      <c r="J32" s="10"/>
      <c r="K32" s="12"/>
      <c r="L32" s="230">
        <v>7.54</v>
      </c>
      <c r="M32" s="231">
        <v>72</v>
      </c>
      <c r="N32" s="25">
        <f t="shared" si="7"/>
        <v>0</v>
      </c>
      <c r="O32" s="25">
        <f t="shared" si="8"/>
        <v>730.08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730.08</v>
      </c>
    </row>
    <row r="33" spans="2:19" hidden="1">
      <c r="B33" s="233" t="s">
        <v>824</v>
      </c>
      <c r="C33" s="13"/>
      <c r="D33" s="13"/>
      <c r="E33" s="13"/>
      <c r="F33" s="14"/>
      <c r="G33" s="8"/>
      <c r="H33" s="24">
        <f t="shared" si="13"/>
        <v>0</v>
      </c>
      <c r="I33" s="199">
        <f t="shared" si="14"/>
        <v>60.78</v>
      </c>
      <c r="J33" s="10"/>
      <c r="K33" s="12"/>
      <c r="L33" s="228">
        <v>60.78</v>
      </c>
      <c r="M33" s="231">
        <v>10</v>
      </c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2:19">
      <c r="B34" s="233" t="s">
        <v>825</v>
      </c>
      <c r="C34" s="13"/>
      <c r="D34" s="13">
        <v>520</v>
      </c>
      <c r="E34" s="13"/>
      <c r="F34" s="14">
        <v>500</v>
      </c>
      <c r="G34" s="8">
        <v>1200</v>
      </c>
      <c r="H34" s="24">
        <f t="shared" si="13"/>
        <v>2220</v>
      </c>
      <c r="I34" s="199"/>
      <c r="J34" s="10"/>
      <c r="K34" s="12" t="s">
        <v>2515</v>
      </c>
      <c r="L34" s="229">
        <v>7.88</v>
      </c>
      <c r="M34" s="231">
        <v>20</v>
      </c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2:19" hidden="1">
      <c r="B35" s="233" t="s">
        <v>826</v>
      </c>
      <c r="C35" s="13"/>
      <c r="D35" s="13"/>
      <c r="E35" s="13"/>
      <c r="F35" s="14"/>
      <c r="G35" s="8"/>
      <c r="H35" s="24">
        <f t="shared" si="13"/>
        <v>0</v>
      </c>
      <c r="I35" s="199">
        <f t="shared" si="14"/>
        <v>7.11</v>
      </c>
      <c r="J35" s="10"/>
      <c r="K35" s="12"/>
      <c r="L35" s="228">
        <v>7.11</v>
      </c>
      <c r="M35" s="231">
        <v>20</v>
      </c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 hidden="1">
      <c r="B36" s="233" t="s">
        <v>827</v>
      </c>
      <c r="C36" s="13"/>
      <c r="D36" s="13"/>
      <c r="E36" s="13"/>
      <c r="F36" s="14"/>
      <c r="G36" s="8"/>
      <c r="H36" s="24">
        <f t="shared" si="13"/>
        <v>0</v>
      </c>
      <c r="I36" s="199">
        <f t="shared" si="14"/>
        <v>12.49</v>
      </c>
      <c r="J36" s="10"/>
      <c r="K36" s="12"/>
      <c r="L36" s="229">
        <v>12.49</v>
      </c>
      <c r="M36" s="231">
        <v>25</v>
      </c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2:19" hidden="1">
      <c r="B37" s="233" t="s">
        <v>561</v>
      </c>
      <c r="C37" s="13"/>
      <c r="D37" s="13"/>
      <c r="E37" s="13"/>
      <c r="F37" s="14"/>
      <c r="G37" s="8"/>
      <c r="H37" s="24">
        <f t="shared" si="13"/>
        <v>0</v>
      </c>
      <c r="I37" s="199">
        <f t="shared" si="14"/>
        <v>11.81</v>
      </c>
      <c r="J37" s="10"/>
      <c r="K37" s="12"/>
      <c r="L37" s="228">
        <v>11.81</v>
      </c>
      <c r="M37" s="231">
        <v>12</v>
      </c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2:19" hidden="1">
      <c r="B38" s="233" t="s">
        <v>562</v>
      </c>
      <c r="C38" s="13"/>
      <c r="D38" s="13"/>
      <c r="E38" s="13"/>
      <c r="F38" s="14"/>
      <c r="G38" s="8"/>
      <c r="H38" s="24">
        <f t="shared" si="13"/>
        <v>0</v>
      </c>
      <c r="I38" s="199">
        <f t="shared" si="14"/>
        <v>15.05</v>
      </c>
      <c r="J38" s="10"/>
      <c r="K38" s="12"/>
      <c r="L38" s="229">
        <v>15.05</v>
      </c>
      <c r="M38" s="231">
        <v>12</v>
      </c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2:19" hidden="1">
      <c r="B39" s="233" t="s">
        <v>563</v>
      </c>
      <c r="C39" s="13"/>
      <c r="D39" s="13"/>
      <c r="E39" s="13"/>
      <c r="F39" s="14"/>
      <c r="G39" s="8"/>
      <c r="H39" s="24">
        <f t="shared" si="13"/>
        <v>0</v>
      </c>
      <c r="I39" s="199">
        <f t="shared" si="14"/>
        <v>15.54</v>
      </c>
      <c r="J39" s="10"/>
      <c r="K39" s="12"/>
      <c r="L39" s="228">
        <v>15.54</v>
      </c>
      <c r="M39" s="231">
        <v>12</v>
      </c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</row>
    <row r="40" spans="2:19" hidden="1">
      <c r="B40" s="233" t="s">
        <v>828</v>
      </c>
      <c r="C40" s="13"/>
      <c r="D40" s="13"/>
      <c r="E40" s="13"/>
      <c r="F40" s="14"/>
      <c r="G40" s="8"/>
      <c r="H40" s="24">
        <f t="shared" si="13"/>
        <v>0</v>
      </c>
      <c r="I40" s="199">
        <f t="shared" si="14"/>
        <v>16.52</v>
      </c>
      <c r="J40" s="10"/>
      <c r="K40" s="12"/>
      <c r="L40" s="229">
        <v>16.52</v>
      </c>
      <c r="M40" s="231">
        <v>12</v>
      </c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2:19" hidden="1">
      <c r="B41" s="233" t="s">
        <v>564</v>
      </c>
      <c r="C41" s="13"/>
      <c r="D41" s="13"/>
      <c r="E41" s="13"/>
      <c r="F41" s="14"/>
      <c r="G41" s="8"/>
      <c r="H41" s="24">
        <f t="shared" si="13"/>
        <v>0</v>
      </c>
      <c r="I41" s="199">
        <f t="shared" si="14"/>
        <v>11.88</v>
      </c>
      <c r="J41" s="10"/>
      <c r="K41" s="12"/>
      <c r="L41" s="228">
        <v>11.88</v>
      </c>
      <c r="M41" s="231">
        <v>12</v>
      </c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2:19" hidden="1">
      <c r="B42" s="233" t="s">
        <v>829</v>
      </c>
      <c r="C42" s="13"/>
      <c r="D42" s="13"/>
      <c r="E42" s="13"/>
      <c r="F42" s="14"/>
      <c r="G42" s="8"/>
      <c r="H42" s="24">
        <f t="shared" si="13"/>
        <v>0</v>
      </c>
      <c r="I42" s="199">
        <f t="shared" si="14"/>
        <v>14</v>
      </c>
      <c r="J42" s="10"/>
      <c r="K42" s="12"/>
      <c r="L42" s="229">
        <v>14</v>
      </c>
      <c r="M42" s="231">
        <v>12</v>
      </c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2:19" hidden="1">
      <c r="B43" s="233" t="s">
        <v>830</v>
      </c>
      <c r="C43" s="13"/>
      <c r="D43" s="13"/>
      <c r="E43" s="13"/>
      <c r="F43" s="14"/>
      <c r="G43" s="8"/>
      <c r="H43" s="24">
        <f t="shared" si="13"/>
        <v>0</v>
      </c>
      <c r="I43" s="199">
        <f t="shared" si="14"/>
        <v>37.130000000000003</v>
      </c>
      <c r="J43" s="10"/>
      <c r="K43" s="12"/>
      <c r="L43" s="228">
        <v>37.130000000000003</v>
      </c>
      <c r="M43" s="231">
        <v>6</v>
      </c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2:19" hidden="1">
      <c r="B44" s="233" t="s">
        <v>831</v>
      </c>
      <c r="C44" s="13"/>
      <c r="D44" s="13"/>
      <c r="E44" s="13"/>
      <c r="F44" s="14"/>
      <c r="G44" s="8"/>
      <c r="H44" s="24">
        <f t="shared" si="13"/>
        <v>0</v>
      </c>
      <c r="I44" s="199">
        <f t="shared" si="14"/>
        <v>12.28</v>
      </c>
      <c r="J44" s="10"/>
      <c r="K44" s="12"/>
      <c r="L44" s="229">
        <v>12.28</v>
      </c>
      <c r="M44" s="231">
        <v>12</v>
      </c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 hidden="1">
      <c r="B45" s="233" t="s">
        <v>832</v>
      </c>
      <c r="C45" s="13"/>
      <c r="D45" s="13"/>
      <c r="E45" s="13"/>
      <c r="F45" s="14"/>
      <c r="G45" s="8"/>
      <c r="H45" s="24">
        <f t="shared" si="13"/>
        <v>0</v>
      </c>
      <c r="I45" s="199">
        <f t="shared" si="14"/>
        <v>18.71</v>
      </c>
      <c r="J45" s="10"/>
      <c r="K45" s="12"/>
      <c r="L45" s="228">
        <v>18.71</v>
      </c>
      <c r="M45" s="231">
        <v>12</v>
      </c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2:19" hidden="1">
      <c r="B46" s="233" t="s">
        <v>833</v>
      </c>
      <c r="C46" s="13"/>
      <c r="D46" s="13"/>
      <c r="E46" s="13"/>
      <c r="F46" s="14"/>
      <c r="G46" s="8"/>
      <c r="H46" s="24">
        <f t="shared" si="13"/>
        <v>0</v>
      </c>
      <c r="I46" s="199">
        <f t="shared" si="14"/>
        <v>10.24</v>
      </c>
      <c r="J46" s="10"/>
      <c r="K46" s="12"/>
      <c r="L46" s="229">
        <v>10.24</v>
      </c>
      <c r="M46" s="231">
        <v>24</v>
      </c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 hidden="1">
      <c r="B47" s="233" t="s">
        <v>834</v>
      </c>
      <c r="C47" s="13"/>
      <c r="D47" s="13"/>
      <c r="E47" s="13"/>
      <c r="F47" s="14"/>
      <c r="G47" s="8"/>
      <c r="H47" s="24">
        <f t="shared" si="13"/>
        <v>0</v>
      </c>
      <c r="I47" s="199">
        <f t="shared" si="14"/>
        <v>7.48</v>
      </c>
      <c r="J47" s="10"/>
      <c r="K47" s="12"/>
      <c r="L47" s="228">
        <v>7.48</v>
      </c>
      <c r="M47" s="231">
        <v>10</v>
      </c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2:19" hidden="1">
      <c r="B48" s="233" t="s">
        <v>835</v>
      </c>
      <c r="C48" s="13"/>
      <c r="D48" s="13"/>
      <c r="E48" s="13"/>
      <c r="F48" s="14"/>
      <c r="G48" s="8"/>
      <c r="H48" s="24">
        <f t="shared" si="13"/>
        <v>0</v>
      </c>
      <c r="I48" s="199">
        <f t="shared" si="14"/>
        <v>9.77</v>
      </c>
      <c r="J48" s="10"/>
      <c r="K48" s="12"/>
      <c r="L48" s="229">
        <v>9.77</v>
      </c>
      <c r="M48" s="231">
        <v>10</v>
      </c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2:19" hidden="1">
      <c r="B49" s="233" t="s">
        <v>836</v>
      </c>
      <c r="C49" s="13"/>
      <c r="D49" s="13"/>
      <c r="E49" s="13"/>
      <c r="F49" s="14"/>
      <c r="G49" s="8"/>
      <c r="H49" s="24">
        <f t="shared" si="13"/>
        <v>0</v>
      </c>
      <c r="I49" s="199">
        <f t="shared" si="14"/>
        <v>11.98</v>
      </c>
      <c r="J49" s="10"/>
      <c r="K49" s="12"/>
      <c r="L49" s="228">
        <v>11.98</v>
      </c>
      <c r="M49" s="231">
        <v>12</v>
      </c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19" hidden="1">
      <c r="B50" s="233" t="s">
        <v>837</v>
      </c>
      <c r="C50" s="13"/>
      <c r="D50" s="13"/>
      <c r="E50" s="13"/>
      <c r="F50" s="14"/>
      <c r="G50" s="8"/>
      <c r="H50" s="24">
        <f t="shared" si="13"/>
        <v>0</v>
      </c>
      <c r="I50" s="199">
        <f t="shared" si="14"/>
        <v>1.1000000000000001</v>
      </c>
      <c r="J50" s="10"/>
      <c r="K50" s="12"/>
      <c r="L50" s="229">
        <v>1.1000000000000001</v>
      </c>
      <c r="M50" s="231">
        <v>96</v>
      </c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19" hidden="1">
      <c r="B51" s="233" t="s">
        <v>838</v>
      </c>
      <c r="C51" s="13"/>
      <c r="D51" s="13"/>
      <c r="E51" s="13"/>
      <c r="F51" s="14"/>
      <c r="G51" s="8"/>
      <c r="H51" s="24">
        <f t="shared" si="13"/>
        <v>0</v>
      </c>
      <c r="I51" s="199">
        <f t="shared" si="14"/>
        <v>9.15</v>
      </c>
      <c r="J51" s="10"/>
      <c r="K51" s="12"/>
      <c r="L51" s="228">
        <v>9.15</v>
      </c>
      <c r="M51" s="231">
        <v>24</v>
      </c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</row>
    <row r="52" spans="2:19" hidden="1">
      <c r="B52" s="233" t="s">
        <v>839</v>
      </c>
      <c r="C52" s="13"/>
      <c r="D52" s="13"/>
      <c r="E52" s="13"/>
      <c r="F52" s="14"/>
      <c r="G52" s="8"/>
      <c r="H52" s="24">
        <f t="shared" si="13"/>
        <v>0</v>
      </c>
      <c r="I52" s="199">
        <f t="shared" si="14"/>
        <v>1.74</v>
      </c>
      <c r="J52" s="10"/>
      <c r="K52" s="12"/>
      <c r="L52" s="229">
        <v>1.74</v>
      </c>
      <c r="M52" s="231">
        <v>48</v>
      </c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19" hidden="1">
      <c r="B53" s="233" t="s">
        <v>840</v>
      </c>
      <c r="C53" s="13"/>
      <c r="D53" s="13"/>
      <c r="E53" s="13"/>
      <c r="F53" s="14"/>
      <c r="G53" s="8"/>
      <c r="H53" s="24">
        <f t="shared" si="13"/>
        <v>0</v>
      </c>
      <c r="I53" s="199">
        <f t="shared" si="14"/>
        <v>8.94</v>
      </c>
      <c r="J53" s="10"/>
      <c r="K53" s="12"/>
      <c r="L53" s="228">
        <v>8.94</v>
      </c>
      <c r="M53" s="231">
        <v>24</v>
      </c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2:19" hidden="1">
      <c r="B54" s="233" t="s">
        <v>841</v>
      </c>
      <c r="C54" s="13"/>
      <c r="D54" s="13"/>
      <c r="E54" s="13"/>
      <c r="F54" s="14"/>
      <c r="G54" s="8"/>
      <c r="H54" s="24">
        <f t="shared" si="13"/>
        <v>0</v>
      </c>
      <c r="I54" s="199">
        <f t="shared" si="14"/>
        <v>2.63</v>
      </c>
      <c r="J54" s="10"/>
      <c r="K54" s="12"/>
      <c r="L54" s="229">
        <v>2.63</v>
      </c>
      <c r="M54" s="231">
        <v>300</v>
      </c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19" hidden="1">
      <c r="B55" s="233" t="s">
        <v>842</v>
      </c>
      <c r="C55" s="13"/>
      <c r="D55" s="13"/>
      <c r="E55" s="13"/>
      <c r="F55" s="14"/>
      <c r="G55" s="8"/>
      <c r="H55" s="24">
        <f t="shared" si="13"/>
        <v>0</v>
      </c>
      <c r="I55" s="199">
        <f t="shared" si="14"/>
        <v>2.71</v>
      </c>
      <c r="J55" s="10"/>
      <c r="K55" s="12"/>
      <c r="L55" s="228">
        <v>2.71</v>
      </c>
      <c r="M55" s="231">
        <v>200</v>
      </c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</row>
    <row r="56" spans="2:19" hidden="1">
      <c r="B56" s="233" t="s">
        <v>843</v>
      </c>
      <c r="C56" s="13"/>
      <c r="D56" s="13"/>
      <c r="E56" s="13"/>
      <c r="F56" s="14"/>
      <c r="G56" s="8"/>
      <c r="H56" s="24">
        <f t="shared" si="13"/>
        <v>0</v>
      </c>
      <c r="I56" s="199">
        <f t="shared" si="14"/>
        <v>8.06</v>
      </c>
      <c r="J56" s="10"/>
      <c r="K56" s="12"/>
      <c r="L56" s="229">
        <v>8.06</v>
      </c>
      <c r="M56" s="231">
        <v>24</v>
      </c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2:19">
      <c r="B57" s="58" t="s">
        <v>13</v>
      </c>
      <c r="C57" s="33">
        <f t="shared" ref="C57:G57" si="15">N57</f>
        <v>10205</v>
      </c>
      <c r="D57" s="33">
        <f t="shared" si="15"/>
        <v>11770.08</v>
      </c>
      <c r="E57" s="33">
        <f t="shared" si="15"/>
        <v>0</v>
      </c>
      <c r="F57" s="33">
        <f t="shared" si="15"/>
        <v>10325</v>
      </c>
      <c r="G57" s="33">
        <f t="shared" si="15"/>
        <v>6600</v>
      </c>
      <c r="H57" s="33">
        <f>S57</f>
        <v>38900.080000000002</v>
      </c>
      <c r="N57" s="29">
        <f>SUM(N6:N56)</f>
        <v>10205</v>
      </c>
      <c r="O57" s="29">
        <f t="shared" ref="O57:S57" si="16">SUM(O6:O56)</f>
        <v>11770.08</v>
      </c>
      <c r="P57" s="29">
        <f t="shared" si="16"/>
        <v>0</v>
      </c>
      <c r="Q57" s="29">
        <f t="shared" si="16"/>
        <v>10325</v>
      </c>
      <c r="R57" s="29">
        <f t="shared" si="16"/>
        <v>6600</v>
      </c>
      <c r="S57" s="29">
        <f t="shared" si="16"/>
        <v>38900.080000000002</v>
      </c>
    </row>
    <row r="58" spans="2:19">
      <c r="B58" s="59" t="s">
        <v>46</v>
      </c>
    </row>
    <row r="59" spans="2:19" ht="16.5" thickBot="1">
      <c r="B59" s="2"/>
    </row>
    <row r="60" spans="2:19">
      <c r="B60" s="60" t="s">
        <v>47</v>
      </c>
    </row>
    <row r="61" spans="2:19">
      <c r="B61" s="61" t="s">
        <v>19</v>
      </c>
    </row>
    <row r="62" spans="2:19">
      <c r="B62" s="61" t="s">
        <v>17</v>
      </c>
    </row>
    <row r="63" spans="2:19" ht="16.5" thickBot="1">
      <c r="B63" s="62" t="s">
        <v>18</v>
      </c>
    </row>
    <row r="64" spans="2:19">
      <c r="B64" s="2"/>
    </row>
    <row r="65" spans="2:7">
      <c r="B65" s="30" t="s">
        <v>20</v>
      </c>
    </row>
    <row r="66" spans="2:7">
      <c r="B66" s="35"/>
    </row>
    <row r="67" spans="2:7">
      <c r="B67" s="35"/>
    </row>
    <row r="68" spans="2:7">
      <c r="B68" s="2"/>
      <c r="G68" s="5" t="str">
        <f>IF(B68&lt;&gt;"",SUM(C68:F68),"")</f>
        <v/>
      </c>
    </row>
    <row r="69" spans="2:7">
      <c r="G69" s="5" t="str">
        <f t="shared" ref="G69:G89" si="17">IF(B69&lt;&gt;"",SUM(C69:F69),"")</f>
        <v/>
      </c>
    </row>
    <row r="70" spans="2:7">
      <c r="G70" s="5" t="str">
        <f t="shared" si="17"/>
        <v/>
      </c>
    </row>
    <row r="71" spans="2:7">
      <c r="G71" s="5" t="str">
        <f t="shared" si="17"/>
        <v/>
      </c>
    </row>
    <row r="72" spans="2:7">
      <c r="G72" s="5" t="str">
        <f t="shared" si="17"/>
        <v/>
      </c>
    </row>
    <row r="73" spans="2:7">
      <c r="G73" s="5" t="str">
        <f t="shared" si="17"/>
        <v/>
      </c>
    </row>
    <row r="74" spans="2:7">
      <c r="G74" s="5" t="str">
        <f t="shared" si="17"/>
        <v/>
      </c>
    </row>
    <row r="75" spans="2:7">
      <c r="G75" s="5" t="str">
        <f t="shared" si="17"/>
        <v/>
      </c>
    </row>
    <row r="76" spans="2:7">
      <c r="G76" s="5" t="str">
        <f t="shared" si="17"/>
        <v/>
      </c>
    </row>
    <row r="77" spans="2:7">
      <c r="G77" s="5" t="str">
        <f t="shared" si="17"/>
        <v/>
      </c>
    </row>
    <row r="78" spans="2:7">
      <c r="G78" s="5" t="str">
        <f t="shared" si="17"/>
        <v/>
      </c>
    </row>
    <row r="79" spans="2:7">
      <c r="G79" s="5" t="str">
        <f t="shared" si="17"/>
        <v/>
      </c>
    </row>
    <row r="80" spans="2:7">
      <c r="G80" s="5" t="str">
        <f t="shared" si="17"/>
        <v/>
      </c>
    </row>
    <row r="81" spans="7:7">
      <c r="G81" s="5" t="str">
        <f t="shared" si="17"/>
        <v/>
      </c>
    </row>
    <row r="82" spans="7:7">
      <c r="G82" s="5" t="str">
        <f t="shared" si="17"/>
        <v/>
      </c>
    </row>
    <row r="83" spans="7:7">
      <c r="G83" s="5" t="str">
        <f t="shared" si="17"/>
        <v/>
      </c>
    </row>
    <row r="84" spans="7:7">
      <c r="G84" s="5" t="str">
        <f t="shared" si="17"/>
        <v/>
      </c>
    </row>
    <row r="85" spans="7:7">
      <c r="G85" s="5" t="str">
        <f t="shared" si="17"/>
        <v/>
      </c>
    </row>
    <row r="86" spans="7:7">
      <c r="G86" s="5" t="str">
        <f t="shared" si="17"/>
        <v/>
      </c>
    </row>
    <row r="87" spans="7:7">
      <c r="G87" s="5" t="str">
        <f t="shared" si="17"/>
        <v/>
      </c>
    </row>
    <row r="88" spans="7:7">
      <c r="G88" s="5" t="str">
        <f t="shared" si="17"/>
        <v/>
      </c>
    </row>
    <row r="89" spans="7:7">
      <c r="G89" s="5" t="str">
        <f t="shared" si="17"/>
        <v/>
      </c>
    </row>
    <row r="90" spans="7:7">
      <c r="G90" s="5" t="str">
        <f t="shared" ref="G90:G153" si="18">IF(B90&lt;&gt;"",SUM(C90:F90),"")</f>
        <v/>
      </c>
    </row>
    <row r="91" spans="7:7">
      <c r="G91" s="5" t="str">
        <f t="shared" si="18"/>
        <v/>
      </c>
    </row>
    <row r="92" spans="7:7">
      <c r="G92" s="5" t="str">
        <f t="shared" si="18"/>
        <v/>
      </c>
    </row>
    <row r="93" spans="7:7">
      <c r="G93" s="5" t="str">
        <f t="shared" si="18"/>
        <v/>
      </c>
    </row>
    <row r="94" spans="7:7">
      <c r="G94" s="5" t="str">
        <f t="shared" si="18"/>
        <v/>
      </c>
    </row>
    <row r="95" spans="7:7">
      <c r="G95" s="5" t="str">
        <f t="shared" si="18"/>
        <v/>
      </c>
    </row>
    <row r="96" spans="7:7">
      <c r="G96" s="5" t="str">
        <f t="shared" si="18"/>
        <v/>
      </c>
    </row>
    <row r="97" spans="7:7">
      <c r="G97" s="5" t="str">
        <f t="shared" si="18"/>
        <v/>
      </c>
    </row>
    <row r="98" spans="7:7">
      <c r="G98" s="5" t="str">
        <f t="shared" si="18"/>
        <v/>
      </c>
    </row>
    <row r="99" spans="7:7">
      <c r="G99" s="5" t="str">
        <f t="shared" si="18"/>
        <v/>
      </c>
    </row>
    <row r="100" spans="7:7">
      <c r="G100" s="5" t="str">
        <f t="shared" si="18"/>
        <v/>
      </c>
    </row>
    <row r="101" spans="7:7">
      <c r="G101" s="5" t="str">
        <f t="shared" si="18"/>
        <v/>
      </c>
    </row>
    <row r="102" spans="7:7">
      <c r="G102" s="5" t="str">
        <f t="shared" si="18"/>
        <v/>
      </c>
    </row>
    <row r="103" spans="7:7">
      <c r="G103" s="5" t="str">
        <f t="shared" si="18"/>
        <v/>
      </c>
    </row>
    <row r="104" spans="7:7">
      <c r="G104" s="5" t="str">
        <f t="shared" si="18"/>
        <v/>
      </c>
    </row>
    <row r="105" spans="7:7">
      <c r="G105" s="5" t="str">
        <f t="shared" si="18"/>
        <v/>
      </c>
    </row>
    <row r="106" spans="7:7">
      <c r="G106" s="5" t="str">
        <f t="shared" si="18"/>
        <v/>
      </c>
    </row>
    <row r="107" spans="7:7">
      <c r="G107" s="5" t="str">
        <f t="shared" si="18"/>
        <v/>
      </c>
    </row>
    <row r="108" spans="7:7">
      <c r="G108" s="5" t="str">
        <f t="shared" si="18"/>
        <v/>
      </c>
    </row>
    <row r="109" spans="7:7">
      <c r="G109" s="5" t="str">
        <f t="shared" si="18"/>
        <v/>
      </c>
    </row>
    <row r="110" spans="7:7">
      <c r="G110" s="5" t="str">
        <f t="shared" si="18"/>
        <v/>
      </c>
    </row>
    <row r="111" spans="7:7">
      <c r="G111" s="5" t="str">
        <f t="shared" si="18"/>
        <v/>
      </c>
    </row>
    <row r="112" spans="7:7">
      <c r="G112" s="5" t="str">
        <f t="shared" si="18"/>
        <v/>
      </c>
    </row>
    <row r="113" spans="7:7">
      <c r="G113" s="5" t="str">
        <f t="shared" si="18"/>
        <v/>
      </c>
    </row>
    <row r="114" spans="7:7">
      <c r="G114" s="5" t="str">
        <f t="shared" si="18"/>
        <v/>
      </c>
    </row>
    <row r="115" spans="7:7">
      <c r="G115" s="5" t="str">
        <f t="shared" si="18"/>
        <v/>
      </c>
    </row>
    <row r="116" spans="7:7">
      <c r="G116" s="5" t="str">
        <f t="shared" si="18"/>
        <v/>
      </c>
    </row>
    <row r="117" spans="7:7">
      <c r="G117" s="5" t="str">
        <f t="shared" si="18"/>
        <v/>
      </c>
    </row>
    <row r="118" spans="7:7">
      <c r="G118" s="5" t="str">
        <f t="shared" si="18"/>
        <v/>
      </c>
    </row>
    <row r="119" spans="7:7">
      <c r="G119" s="5" t="str">
        <f t="shared" si="18"/>
        <v/>
      </c>
    </row>
    <row r="120" spans="7:7">
      <c r="G120" s="5" t="str">
        <f t="shared" si="18"/>
        <v/>
      </c>
    </row>
    <row r="121" spans="7:7">
      <c r="G121" s="5" t="str">
        <f t="shared" si="18"/>
        <v/>
      </c>
    </row>
    <row r="122" spans="7:7">
      <c r="G122" s="5" t="str">
        <f t="shared" si="18"/>
        <v/>
      </c>
    </row>
    <row r="123" spans="7:7">
      <c r="G123" s="5" t="str">
        <f t="shared" si="18"/>
        <v/>
      </c>
    </row>
    <row r="124" spans="7:7">
      <c r="G124" s="5" t="str">
        <f t="shared" si="18"/>
        <v/>
      </c>
    </row>
    <row r="125" spans="7:7">
      <c r="G125" s="5" t="str">
        <f t="shared" si="18"/>
        <v/>
      </c>
    </row>
    <row r="126" spans="7:7">
      <c r="G126" s="5" t="str">
        <f t="shared" si="18"/>
        <v/>
      </c>
    </row>
    <row r="127" spans="7:7">
      <c r="G127" s="5" t="str">
        <f t="shared" si="18"/>
        <v/>
      </c>
    </row>
    <row r="128" spans="7:7">
      <c r="G128" s="5" t="str">
        <f t="shared" si="18"/>
        <v/>
      </c>
    </row>
    <row r="129" spans="7:7">
      <c r="G129" s="5" t="str">
        <f t="shared" si="18"/>
        <v/>
      </c>
    </row>
    <row r="130" spans="7:7">
      <c r="G130" s="5" t="str">
        <f t="shared" si="18"/>
        <v/>
      </c>
    </row>
    <row r="131" spans="7:7">
      <c r="G131" s="5" t="str">
        <f t="shared" si="18"/>
        <v/>
      </c>
    </row>
    <row r="132" spans="7:7">
      <c r="G132" s="5" t="str">
        <f t="shared" si="18"/>
        <v/>
      </c>
    </row>
    <row r="133" spans="7:7">
      <c r="G133" s="5" t="str">
        <f t="shared" si="18"/>
        <v/>
      </c>
    </row>
    <row r="134" spans="7:7">
      <c r="G134" s="5" t="str">
        <f t="shared" si="18"/>
        <v/>
      </c>
    </row>
    <row r="135" spans="7:7">
      <c r="G135" s="5" t="str">
        <f t="shared" si="18"/>
        <v/>
      </c>
    </row>
    <row r="136" spans="7:7">
      <c r="G136" s="5" t="str">
        <f t="shared" si="18"/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ref="G154:G217" si="19">IF(B154&lt;&gt;"",SUM(C154:F154),"")</f>
        <v/>
      </c>
    </row>
    <row r="155" spans="7:7">
      <c r="G155" s="5" t="str">
        <f t="shared" si="19"/>
        <v/>
      </c>
    </row>
    <row r="156" spans="7:7">
      <c r="G156" s="5" t="str">
        <f t="shared" si="19"/>
        <v/>
      </c>
    </row>
    <row r="157" spans="7:7">
      <c r="G157" s="5" t="str">
        <f t="shared" si="19"/>
        <v/>
      </c>
    </row>
    <row r="158" spans="7:7">
      <c r="G158" s="5" t="str">
        <f t="shared" si="19"/>
        <v/>
      </c>
    </row>
    <row r="159" spans="7:7">
      <c r="G159" s="5" t="str">
        <f t="shared" si="19"/>
        <v/>
      </c>
    </row>
    <row r="160" spans="7:7">
      <c r="G160" s="5" t="str">
        <f t="shared" si="19"/>
        <v/>
      </c>
    </row>
    <row r="161" spans="7:7">
      <c r="G161" s="5" t="str">
        <f t="shared" si="19"/>
        <v/>
      </c>
    </row>
    <row r="162" spans="7:7">
      <c r="G162" s="5" t="str">
        <f t="shared" si="19"/>
        <v/>
      </c>
    </row>
    <row r="163" spans="7:7">
      <c r="G163" s="5" t="str">
        <f t="shared" si="19"/>
        <v/>
      </c>
    </row>
    <row r="164" spans="7:7">
      <c r="G164" s="5" t="str">
        <f t="shared" si="19"/>
        <v/>
      </c>
    </row>
    <row r="165" spans="7:7">
      <c r="G165" s="5" t="str">
        <f t="shared" si="19"/>
        <v/>
      </c>
    </row>
    <row r="166" spans="7:7">
      <c r="G166" s="5" t="str">
        <f t="shared" si="19"/>
        <v/>
      </c>
    </row>
    <row r="167" spans="7:7">
      <c r="G167" s="5" t="str">
        <f t="shared" si="19"/>
        <v/>
      </c>
    </row>
    <row r="168" spans="7:7">
      <c r="G168" s="5" t="str">
        <f t="shared" si="19"/>
        <v/>
      </c>
    </row>
    <row r="169" spans="7:7">
      <c r="G169" s="5" t="str">
        <f t="shared" si="19"/>
        <v/>
      </c>
    </row>
    <row r="170" spans="7:7">
      <c r="G170" s="5" t="str">
        <f t="shared" si="19"/>
        <v/>
      </c>
    </row>
    <row r="171" spans="7:7">
      <c r="G171" s="5" t="str">
        <f t="shared" si="19"/>
        <v/>
      </c>
    </row>
    <row r="172" spans="7:7">
      <c r="G172" s="5" t="str">
        <f t="shared" si="19"/>
        <v/>
      </c>
    </row>
    <row r="173" spans="7:7">
      <c r="G173" s="5" t="str">
        <f t="shared" si="19"/>
        <v/>
      </c>
    </row>
    <row r="174" spans="7:7">
      <c r="G174" s="5" t="str">
        <f t="shared" si="19"/>
        <v/>
      </c>
    </row>
    <row r="175" spans="7:7">
      <c r="G175" s="5" t="str">
        <f t="shared" si="19"/>
        <v/>
      </c>
    </row>
    <row r="176" spans="7:7">
      <c r="G176" s="5" t="str">
        <f t="shared" si="19"/>
        <v/>
      </c>
    </row>
    <row r="177" spans="7:7">
      <c r="G177" s="5" t="str">
        <f t="shared" si="19"/>
        <v/>
      </c>
    </row>
    <row r="178" spans="7:7">
      <c r="G178" s="5" t="str">
        <f t="shared" si="19"/>
        <v/>
      </c>
    </row>
    <row r="179" spans="7:7">
      <c r="G179" s="5" t="str">
        <f t="shared" si="19"/>
        <v/>
      </c>
    </row>
    <row r="180" spans="7:7">
      <c r="G180" s="5" t="str">
        <f t="shared" si="19"/>
        <v/>
      </c>
    </row>
    <row r="181" spans="7:7">
      <c r="G181" s="5" t="str">
        <f t="shared" si="19"/>
        <v/>
      </c>
    </row>
    <row r="182" spans="7:7">
      <c r="G182" s="5" t="str">
        <f t="shared" si="19"/>
        <v/>
      </c>
    </row>
    <row r="183" spans="7:7">
      <c r="G183" s="5" t="str">
        <f t="shared" si="19"/>
        <v/>
      </c>
    </row>
    <row r="184" spans="7:7">
      <c r="G184" s="5" t="str">
        <f t="shared" si="19"/>
        <v/>
      </c>
    </row>
    <row r="185" spans="7:7">
      <c r="G185" s="5" t="str">
        <f t="shared" si="19"/>
        <v/>
      </c>
    </row>
    <row r="186" spans="7:7">
      <c r="G186" s="5" t="str">
        <f t="shared" si="19"/>
        <v/>
      </c>
    </row>
    <row r="187" spans="7:7">
      <c r="G187" s="5" t="str">
        <f t="shared" si="19"/>
        <v/>
      </c>
    </row>
    <row r="188" spans="7:7">
      <c r="G188" s="5" t="str">
        <f t="shared" si="19"/>
        <v/>
      </c>
    </row>
    <row r="189" spans="7:7">
      <c r="G189" s="5" t="str">
        <f t="shared" si="19"/>
        <v/>
      </c>
    </row>
    <row r="190" spans="7:7">
      <c r="G190" s="5" t="str">
        <f t="shared" si="19"/>
        <v/>
      </c>
    </row>
    <row r="191" spans="7:7">
      <c r="G191" s="5" t="str">
        <f t="shared" si="19"/>
        <v/>
      </c>
    </row>
    <row r="192" spans="7:7">
      <c r="G192" s="5" t="str">
        <f t="shared" si="19"/>
        <v/>
      </c>
    </row>
    <row r="193" spans="7:7">
      <c r="G193" s="5" t="str">
        <f t="shared" si="19"/>
        <v/>
      </c>
    </row>
    <row r="194" spans="7:7">
      <c r="G194" s="5" t="str">
        <f t="shared" si="19"/>
        <v/>
      </c>
    </row>
    <row r="195" spans="7:7">
      <c r="G195" s="5" t="str">
        <f t="shared" si="19"/>
        <v/>
      </c>
    </row>
    <row r="196" spans="7:7">
      <c r="G196" s="5" t="str">
        <f t="shared" si="19"/>
        <v/>
      </c>
    </row>
    <row r="197" spans="7:7">
      <c r="G197" s="5" t="str">
        <f t="shared" si="19"/>
        <v/>
      </c>
    </row>
    <row r="198" spans="7:7">
      <c r="G198" s="5" t="str">
        <f t="shared" si="19"/>
        <v/>
      </c>
    </row>
    <row r="199" spans="7:7">
      <c r="G199" s="5" t="str">
        <f t="shared" si="19"/>
        <v/>
      </c>
    </row>
    <row r="200" spans="7:7">
      <c r="G200" s="5" t="str">
        <f t="shared" si="19"/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ref="G218:G281" si="20">IF(B218&lt;&gt;"",SUM(C218:F218),"")</f>
        <v/>
      </c>
    </row>
    <row r="219" spans="7:7">
      <c r="G219" s="5" t="str">
        <f t="shared" si="20"/>
        <v/>
      </c>
    </row>
    <row r="220" spans="7:7">
      <c r="G220" s="5" t="str">
        <f t="shared" si="20"/>
        <v/>
      </c>
    </row>
    <row r="221" spans="7:7">
      <c r="G221" s="5" t="str">
        <f t="shared" si="20"/>
        <v/>
      </c>
    </row>
    <row r="222" spans="7:7">
      <c r="G222" s="5" t="str">
        <f t="shared" si="20"/>
        <v/>
      </c>
    </row>
    <row r="223" spans="7:7">
      <c r="G223" s="5" t="str">
        <f t="shared" si="20"/>
        <v/>
      </c>
    </row>
    <row r="224" spans="7:7">
      <c r="G224" s="5" t="str">
        <f t="shared" si="20"/>
        <v/>
      </c>
    </row>
    <row r="225" spans="7:7">
      <c r="G225" s="5" t="str">
        <f t="shared" si="20"/>
        <v/>
      </c>
    </row>
    <row r="226" spans="7:7">
      <c r="G226" s="5" t="str">
        <f t="shared" si="20"/>
        <v/>
      </c>
    </row>
    <row r="227" spans="7:7">
      <c r="G227" s="5" t="str">
        <f t="shared" si="20"/>
        <v/>
      </c>
    </row>
    <row r="228" spans="7:7">
      <c r="G228" s="5" t="str">
        <f t="shared" si="20"/>
        <v/>
      </c>
    </row>
    <row r="229" spans="7:7">
      <c r="G229" s="5" t="str">
        <f t="shared" si="20"/>
        <v/>
      </c>
    </row>
    <row r="230" spans="7:7">
      <c r="G230" s="5" t="str">
        <f t="shared" si="20"/>
        <v/>
      </c>
    </row>
    <row r="231" spans="7:7">
      <c r="G231" s="5" t="str">
        <f t="shared" si="20"/>
        <v/>
      </c>
    </row>
    <row r="232" spans="7:7">
      <c r="G232" s="5" t="str">
        <f t="shared" si="20"/>
        <v/>
      </c>
    </row>
    <row r="233" spans="7:7">
      <c r="G233" s="5" t="str">
        <f t="shared" si="20"/>
        <v/>
      </c>
    </row>
    <row r="234" spans="7:7">
      <c r="G234" s="5" t="str">
        <f t="shared" si="20"/>
        <v/>
      </c>
    </row>
    <row r="235" spans="7:7">
      <c r="G235" s="5" t="str">
        <f t="shared" si="20"/>
        <v/>
      </c>
    </row>
    <row r="236" spans="7:7">
      <c r="G236" s="5" t="str">
        <f t="shared" si="20"/>
        <v/>
      </c>
    </row>
    <row r="237" spans="7:7">
      <c r="G237" s="5" t="str">
        <f t="shared" si="20"/>
        <v/>
      </c>
    </row>
    <row r="238" spans="7:7">
      <c r="G238" s="5" t="str">
        <f t="shared" si="20"/>
        <v/>
      </c>
    </row>
    <row r="239" spans="7:7">
      <c r="G239" s="5" t="str">
        <f t="shared" si="20"/>
        <v/>
      </c>
    </row>
    <row r="240" spans="7:7">
      <c r="G240" s="5" t="str">
        <f t="shared" si="20"/>
        <v/>
      </c>
    </row>
    <row r="241" spans="7:7">
      <c r="G241" s="5" t="str">
        <f t="shared" si="20"/>
        <v/>
      </c>
    </row>
    <row r="242" spans="7:7">
      <c r="G242" s="5" t="str">
        <f t="shared" si="20"/>
        <v/>
      </c>
    </row>
    <row r="243" spans="7:7">
      <c r="G243" s="5" t="str">
        <f t="shared" si="20"/>
        <v/>
      </c>
    </row>
    <row r="244" spans="7:7">
      <c r="G244" s="5" t="str">
        <f t="shared" si="20"/>
        <v/>
      </c>
    </row>
    <row r="245" spans="7:7">
      <c r="G245" s="5" t="str">
        <f t="shared" si="20"/>
        <v/>
      </c>
    </row>
    <row r="246" spans="7:7">
      <c r="G246" s="5" t="str">
        <f t="shared" si="20"/>
        <v/>
      </c>
    </row>
    <row r="247" spans="7:7">
      <c r="G247" s="5" t="str">
        <f t="shared" si="20"/>
        <v/>
      </c>
    </row>
    <row r="248" spans="7:7">
      <c r="G248" s="5" t="str">
        <f t="shared" si="20"/>
        <v/>
      </c>
    </row>
    <row r="249" spans="7:7">
      <c r="G249" s="5" t="str">
        <f t="shared" si="20"/>
        <v/>
      </c>
    </row>
    <row r="250" spans="7:7">
      <c r="G250" s="5" t="str">
        <f t="shared" si="20"/>
        <v/>
      </c>
    </row>
    <row r="251" spans="7:7">
      <c r="G251" s="5" t="str">
        <f t="shared" si="20"/>
        <v/>
      </c>
    </row>
    <row r="252" spans="7:7">
      <c r="G252" s="5" t="str">
        <f t="shared" si="20"/>
        <v/>
      </c>
    </row>
    <row r="253" spans="7:7">
      <c r="G253" s="5" t="str">
        <f t="shared" si="20"/>
        <v/>
      </c>
    </row>
    <row r="254" spans="7:7">
      <c r="G254" s="5" t="str">
        <f t="shared" si="20"/>
        <v/>
      </c>
    </row>
    <row r="255" spans="7:7">
      <c r="G255" s="5" t="str">
        <f t="shared" si="20"/>
        <v/>
      </c>
    </row>
    <row r="256" spans="7:7">
      <c r="G256" s="5" t="str">
        <f t="shared" si="20"/>
        <v/>
      </c>
    </row>
    <row r="257" spans="7:7">
      <c r="G257" s="5" t="str">
        <f t="shared" si="20"/>
        <v/>
      </c>
    </row>
    <row r="258" spans="7:7">
      <c r="G258" s="5" t="str">
        <f t="shared" si="20"/>
        <v/>
      </c>
    </row>
    <row r="259" spans="7:7">
      <c r="G259" s="5" t="str">
        <f t="shared" si="20"/>
        <v/>
      </c>
    </row>
    <row r="260" spans="7:7">
      <c r="G260" s="5" t="str">
        <f t="shared" si="20"/>
        <v/>
      </c>
    </row>
    <row r="261" spans="7:7">
      <c r="G261" s="5" t="str">
        <f t="shared" si="20"/>
        <v/>
      </c>
    </row>
    <row r="262" spans="7:7">
      <c r="G262" s="5" t="str">
        <f t="shared" si="20"/>
        <v/>
      </c>
    </row>
    <row r="263" spans="7:7">
      <c r="G263" s="5" t="str">
        <f t="shared" si="20"/>
        <v/>
      </c>
    </row>
    <row r="264" spans="7:7">
      <c r="G264" s="5" t="str">
        <f t="shared" si="20"/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ref="G282:G345" si="21">IF(B282&lt;&gt;"",SUM(C282:F282),"")</f>
        <v/>
      </c>
    </row>
    <row r="283" spans="7:7">
      <c r="G283" s="5" t="str">
        <f t="shared" si="21"/>
        <v/>
      </c>
    </row>
    <row r="284" spans="7:7">
      <c r="G284" s="5" t="str">
        <f t="shared" si="21"/>
        <v/>
      </c>
    </row>
    <row r="285" spans="7:7">
      <c r="G285" s="5" t="str">
        <f t="shared" si="21"/>
        <v/>
      </c>
    </row>
    <row r="286" spans="7:7">
      <c r="G286" s="5" t="str">
        <f t="shared" si="21"/>
        <v/>
      </c>
    </row>
    <row r="287" spans="7:7">
      <c r="G287" s="5" t="str">
        <f t="shared" si="21"/>
        <v/>
      </c>
    </row>
    <row r="288" spans="7:7">
      <c r="G288" s="5" t="str">
        <f t="shared" si="21"/>
        <v/>
      </c>
    </row>
    <row r="289" spans="7:7">
      <c r="G289" s="5" t="str">
        <f t="shared" si="21"/>
        <v/>
      </c>
    </row>
    <row r="290" spans="7:7">
      <c r="G290" s="5" t="str">
        <f t="shared" si="21"/>
        <v/>
      </c>
    </row>
    <row r="291" spans="7:7">
      <c r="G291" s="5" t="str">
        <f t="shared" si="21"/>
        <v/>
      </c>
    </row>
    <row r="292" spans="7:7">
      <c r="G292" s="5" t="str">
        <f t="shared" si="21"/>
        <v/>
      </c>
    </row>
    <row r="293" spans="7:7">
      <c r="G293" s="5" t="str">
        <f t="shared" si="21"/>
        <v/>
      </c>
    </row>
    <row r="294" spans="7:7">
      <c r="G294" s="5" t="str">
        <f t="shared" si="21"/>
        <v/>
      </c>
    </row>
    <row r="295" spans="7:7">
      <c r="G295" s="5" t="str">
        <f t="shared" si="21"/>
        <v/>
      </c>
    </row>
    <row r="296" spans="7:7">
      <c r="G296" s="5" t="str">
        <f t="shared" si="21"/>
        <v/>
      </c>
    </row>
    <row r="297" spans="7:7">
      <c r="G297" s="5" t="str">
        <f t="shared" si="21"/>
        <v/>
      </c>
    </row>
    <row r="298" spans="7:7">
      <c r="G298" s="5" t="str">
        <f t="shared" si="21"/>
        <v/>
      </c>
    </row>
    <row r="299" spans="7:7">
      <c r="G299" s="5" t="str">
        <f t="shared" si="21"/>
        <v/>
      </c>
    </row>
    <row r="300" spans="7:7">
      <c r="G300" s="5" t="str">
        <f t="shared" si="21"/>
        <v/>
      </c>
    </row>
    <row r="301" spans="7:7">
      <c r="G301" s="5" t="str">
        <f t="shared" si="21"/>
        <v/>
      </c>
    </row>
    <row r="302" spans="7:7">
      <c r="G302" s="5" t="str">
        <f t="shared" si="21"/>
        <v/>
      </c>
    </row>
    <row r="303" spans="7:7">
      <c r="G303" s="5" t="str">
        <f t="shared" si="21"/>
        <v/>
      </c>
    </row>
    <row r="304" spans="7:7">
      <c r="G304" s="5" t="str">
        <f t="shared" si="21"/>
        <v/>
      </c>
    </row>
    <row r="305" spans="7:7">
      <c r="G305" s="5" t="str">
        <f t="shared" si="21"/>
        <v/>
      </c>
    </row>
    <row r="306" spans="7:7">
      <c r="G306" s="5" t="str">
        <f t="shared" si="21"/>
        <v/>
      </c>
    </row>
    <row r="307" spans="7:7">
      <c r="G307" s="5" t="str">
        <f t="shared" si="21"/>
        <v/>
      </c>
    </row>
    <row r="308" spans="7:7">
      <c r="G308" s="5" t="str">
        <f t="shared" si="21"/>
        <v/>
      </c>
    </row>
    <row r="309" spans="7:7">
      <c r="G309" s="5" t="str">
        <f t="shared" si="21"/>
        <v/>
      </c>
    </row>
    <row r="310" spans="7:7">
      <c r="G310" s="5" t="str">
        <f t="shared" si="21"/>
        <v/>
      </c>
    </row>
    <row r="311" spans="7:7">
      <c r="G311" s="5" t="str">
        <f t="shared" si="21"/>
        <v/>
      </c>
    </row>
    <row r="312" spans="7:7">
      <c r="G312" s="5" t="str">
        <f t="shared" si="21"/>
        <v/>
      </c>
    </row>
    <row r="313" spans="7:7">
      <c r="G313" s="5" t="str">
        <f t="shared" si="21"/>
        <v/>
      </c>
    </row>
    <row r="314" spans="7:7">
      <c r="G314" s="5" t="str">
        <f t="shared" si="21"/>
        <v/>
      </c>
    </row>
    <row r="315" spans="7:7">
      <c r="G315" s="5" t="str">
        <f t="shared" si="21"/>
        <v/>
      </c>
    </row>
    <row r="316" spans="7:7">
      <c r="G316" s="5" t="str">
        <f t="shared" si="21"/>
        <v/>
      </c>
    </row>
    <row r="317" spans="7:7">
      <c r="G317" s="5" t="str">
        <f t="shared" si="21"/>
        <v/>
      </c>
    </row>
    <row r="318" spans="7:7">
      <c r="G318" s="5" t="str">
        <f t="shared" si="21"/>
        <v/>
      </c>
    </row>
    <row r="319" spans="7:7">
      <c r="G319" s="5" t="str">
        <f t="shared" si="21"/>
        <v/>
      </c>
    </row>
    <row r="320" spans="7:7">
      <c r="G320" s="5" t="str">
        <f t="shared" si="21"/>
        <v/>
      </c>
    </row>
    <row r="321" spans="7:7">
      <c r="G321" s="5" t="str">
        <f t="shared" si="21"/>
        <v/>
      </c>
    </row>
    <row r="322" spans="7:7">
      <c r="G322" s="5" t="str">
        <f t="shared" si="21"/>
        <v/>
      </c>
    </row>
    <row r="323" spans="7:7">
      <c r="G323" s="5" t="str">
        <f t="shared" si="21"/>
        <v/>
      </c>
    </row>
    <row r="324" spans="7:7">
      <c r="G324" s="5" t="str">
        <f t="shared" si="21"/>
        <v/>
      </c>
    </row>
    <row r="325" spans="7:7">
      <c r="G325" s="5" t="str">
        <f t="shared" si="21"/>
        <v/>
      </c>
    </row>
    <row r="326" spans="7:7">
      <c r="G326" s="5" t="str">
        <f t="shared" si="21"/>
        <v/>
      </c>
    </row>
    <row r="327" spans="7:7">
      <c r="G327" s="5" t="str">
        <f t="shared" si="21"/>
        <v/>
      </c>
    </row>
    <row r="328" spans="7:7">
      <c r="G328" s="5" t="str">
        <f t="shared" si="21"/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ref="G346:G409" si="22">IF(B346&lt;&gt;"",SUM(C346:F346),"")</f>
        <v/>
      </c>
    </row>
    <row r="347" spans="7:7">
      <c r="G347" s="5" t="str">
        <f t="shared" si="22"/>
        <v/>
      </c>
    </row>
    <row r="348" spans="7:7">
      <c r="G348" s="5" t="str">
        <f t="shared" si="22"/>
        <v/>
      </c>
    </row>
    <row r="349" spans="7:7">
      <c r="G349" s="5" t="str">
        <f t="shared" si="22"/>
        <v/>
      </c>
    </row>
    <row r="350" spans="7:7">
      <c r="G350" s="5" t="str">
        <f t="shared" si="22"/>
        <v/>
      </c>
    </row>
    <row r="351" spans="7:7">
      <c r="G351" s="5" t="str">
        <f t="shared" si="22"/>
        <v/>
      </c>
    </row>
    <row r="352" spans="7:7">
      <c r="G352" s="5" t="str">
        <f t="shared" si="22"/>
        <v/>
      </c>
    </row>
    <row r="353" spans="7:7">
      <c r="G353" s="5" t="str">
        <f t="shared" si="22"/>
        <v/>
      </c>
    </row>
    <row r="354" spans="7:7">
      <c r="G354" s="5" t="str">
        <f t="shared" si="22"/>
        <v/>
      </c>
    </row>
    <row r="355" spans="7:7">
      <c r="G355" s="5" t="str">
        <f t="shared" si="22"/>
        <v/>
      </c>
    </row>
    <row r="356" spans="7:7">
      <c r="G356" s="5" t="str">
        <f t="shared" si="22"/>
        <v/>
      </c>
    </row>
    <row r="357" spans="7:7">
      <c r="G357" s="5" t="str">
        <f t="shared" si="22"/>
        <v/>
      </c>
    </row>
    <row r="358" spans="7:7">
      <c r="G358" s="5" t="str">
        <f t="shared" si="22"/>
        <v/>
      </c>
    </row>
    <row r="359" spans="7:7">
      <c r="G359" s="5" t="str">
        <f t="shared" si="22"/>
        <v/>
      </c>
    </row>
    <row r="360" spans="7:7">
      <c r="G360" s="5" t="str">
        <f t="shared" si="22"/>
        <v/>
      </c>
    </row>
    <row r="361" spans="7:7">
      <c r="G361" s="5" t="str">
        <f t="shared" si="22"/>
        <v/>
      </c>
    </row>
    <row r="362" spans="7:7">
      <c r="G362" s="5" t="str">
        <f t="shared" si="22"/>
        <v/>
      </c>
    </row>
    <row r="363" spans="7:7">
      <c r="G363" s="5" t="str">
        <f t="shared" si="22"/>
        <v/>
      </c>
    </row>
    <row r="364" spans="7:7">
      <c r="G364" s="5" t="str">
        <f t="shared" si="22"/>
        <v/>
      </c>
    </row>
    <row r="365" spans="7:7">
      <c r="G365" s="5" t="str">
        <f t="shared" si="22"/>
        <v/>
      </c>
    </row>
    <row r="366" spans="7:7">
      <c r="G366" s="5" t="str">
        <f t="shared" si="22"/>
        <v/>
      </c>
    </row>
    <row r="367" spans="7:7">
      <c r="G367" s="5" t="str">
        <f t="shared" si="22"/>
        <v/>
      </c>
    </row>
    <row r="368" spans="7:7">
      <c r="G368" s="5" t="str">
        <f t="shared" si="22"/>
        <v/>
      </c>
    </row>
    <row r="369" spans="7:7">
      <c r="G369" s="5" t="str">
        <f t="shared" si="22"/>
        <v/>
      </c>
    </row>
    <row r="370" spans="7:7">
      <c r="G370" s="5" t="str">
        <f t="shared" si="22"/>
        <v/>
      </c>
    </row>
    <row r="371" spans="7:7">
      <c r="G371" s="5" t="str">
        <f t="shared" si="22"/>
        <v/>
      </c>
    </row>
    <row r="372" spans="7:7">
      <c r="G372" s="5" t="str">
        <f t="shared" si="22"/>
        <v/>
      </c>
    </row>
    <row r="373" spans="7:7">
      <c r="G373" s="5" t="str">
        <f t="shared" si="22"/>
        <v/>
      </c>
    </row>
    <row r="374" spans="7:7">
      <c r="G374" s="5" t="str">
        <f t="shared" si="22"/>
        <v/>
      </c>
    </row>
    <row r="375" spans="7:7">
      <c r="G375" s="5" t="str">
        <f t="shared" si="22"/>
        <v/>
      </c>
    </row>
    <row r="376" spans="7:7">
      <c r="G376" s="5" t="str">
        <f t="shared" si="22"/>
        <v/>
      </c>
    </row>
    <row r="377" spans="7:7">
      <c r="G377" s="5" t="str">
        <f t="shared" si="22"/>
        <v/>
      </c>
    </row>
    <row r="378" spans="7:7">
      <c r="G378" s="5" t="str">
        <f t="shared" si="22"/>
        <v/>
      </c>
    </row>
    <row r="379" spans="7:7">
      <c r="G379" s="5" t="str">
        <f t="shared" si="22"/>
        <v/>
      </c>
    </row>
    <row r="380" spans="7:7">
      <c r="G380" s="5" t="str">
        <f t="shared" si="22"/>
        <v/>
      </c>
    </row>
    <row r="381" spans="7:7">
      <c r="G381" s="5" t="str">
        <f t="shared" si="22"/>
        <v/>
      </c>
    </row>
    <row r="382" spans="7:7">
      <c r="G382" s="5" t="str">
        <f t="shared" si="22"/>
        <v/>
      </c>
    </row>
    <row r="383" spans="7:7">
      <c r="G383" s="5" t="str">
        <f t="shared" si="22"/>
        <v/>
      </c>
    </row>
    <row r="384" spans="7:7">
      <c r="G384" s="5" t="str">
        <f t="shared" si="22"/>
        <v/>
      </c>
    </row>
    <row r="385" spans="7:7">
      <c r="G385" s="5" t="str">
        <f t="shared" si="22"/>
        <v/>
      </c>
    </row>
    <row r="386" spans="7:7">
      <c r="G386" s="5" t="str">
        <f t="shared" si="22"/>
        <v/>
      </c>
    </row>
    <row r="387" spans="7:7">
      <c r="G387" s="5" t="str">
        <f t="shared" si="22"/>
        <v/>
      </c>
    </row>
    <row r="388" spans="7:7">
      <c r="G388" s="5" t="str">
        <f t="shared" si="22"/>
        <v/>
      </c>
    </row>
    <row r="389" spans="7:7">
      <c r="G389" s="5" t="str">
        <f t="shared" si="22"/>
        <v/>
      </c>
    </row>
    <row r="390" spans="7:7">
      <c r="G390" s="5" t="str">
        <f t="shared" si="22"/>
        <v/>
      </c>
    </row>
    <row r="391" spans="7:7">
      <c r="G391" s="5" t="str">
        <f t="shared" si="22"/>
        <v/>
      </c>
    </row>
    <row r="392" spans="7:7">
      <c r="G392" s="5" t="str">
        <f t="shared" si="22"/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ref="G410:G441" si="23">IF(B410&lt;&gt;"",SUM(C410:F410),"")</f>
        <v/>
      </c>
    </row>
    <row r="411" spans="7:7">
      <c r="G411" s="5" t="str">
        <f t="shared" si="23"/>
        <v/>
      </c>
    </row>
    <row r="412" spans="7:7">
      <c r="G412" s="5" t="str">
        <f t="shared" si="23"/>
        <v/>
      </c>
    </row>
    <row r="413" spans="7:7">
      <c r="G413" s="5" t="str">
        <f t="shared" si="23"/>
        <v/>
      </c>
    </row>
    <row r="414" spans="7:7">
      <c r="G414" s="5" t="str">
        <f t="shared" si="23"/>
        <v/>
      </c>
    </row>
    <row r="415" spans="7:7">
      <c r="G415" s="5" t="str">
        <f t="shared" si="23"/>
        <v/>
      </c>
    </row>
    <row r="416" spans="7:7">
      <c r="G416" s="5" t="str">
        <f t="shared" si="23"/>
        <v/>
      </c>
    </row>
    <row r="417" spans="7:7">
      <c r="G417" s="5" t="str">
        <f t="shared" si="23"/>
        <v/>
      </c>
    </row>
    <row r="418" spans="7:7">
      <c r="G418" s="5" t="str">
        <f t="shared" si="23"/>
        <v/>
      </c>
    </row>
    <row r="419" spans="7:7">
      <c r="G419" s="5" t="str">
        <f t="shared" si="23"/>
        <v/>
      </c>
    </row>
    <row r="420" spans="7:7">
      <c r="G420" s="5" t="str">
        <f t="shared" si="23"/>
        <v/>
      </c>
    </row>
    <row r="421" spans="7:7">
      <c r="G421" s="5" t="str">
        <f t="shared" si="23"/>
        <v/>
      </c>
    </row>
    <row r="422" spans="7:7">
      <c r="G422" s="5" t="str">
        <f t="shared" si="23"/>
        <v/>
      </c>
    </row>
    <row r="423" spans="7:7">
      <c r="G423" s="5" t="str">
        <f t="shared" si="23"/>
        <v/>
      </c>
    </row>
    <row r="424" spans="7:7">
      <c r="G424" s="5" t="str">
        <f t="shared" si="23"/>
        <v/>
      </c>
    </row>
    <row r="425" spans="7:7">
      <c r="G425" s="5" t="str">
        <f t="shared" si="23"/>
        <v/>
      </c>
    </row>
    <row r="426" spans="7:7">
      <c r="G426" s="5" t="str">
        <f t="shared" si="23"/>
        <v/>
      </c>
    </row>
    <row r="427" spans="7:7">
      <c r="G427" s="5" t="str">
        <f t="shared" si="23"/>
        <v/>
      </c>
    </row>
    <row r="428" spans="7:7">
      <c r="G428" s="5" t="str">
        <f t="shared" si="23"/>
        <v/>
      </c>
    </row>
    <row r="429" spans="7:7">
      <c r="G429" s="5" t="str">
        <f t="shared" si="23"/>
        <v/>
      </c>
    </row>
    <row r="430" spans="7:7">
      <c r="G430" s="5" t="str">
        <f t="shared" si="23"/>
        <v/>
      </c>
    </row>
    <row r="431" spans="7:7">
      <c r="G431" s="5" t="str">
        <f t="shared" si="23"/>
        <v/>
      </c>
    </row>
    <row r="432" spans="7:7">
      <c r="G432" s="5" t="str">
        <f t="shared" si="23"/>
        <v/>
      </c>
    </row>
    <row r="433" spans="7:7">
      <c r="G433" s="5" t="str">
        <f t="shared" si="23"/>
        <v/>
      </c>
    </row>
    <row r="434" spans="7:7">
      <c r="G434" s="5" t="str">
        <f t="shared" si="23"/>
        <v/>
      </c>
    </row>
    <row r="435" spans="7:7">
      <c r="G435" s="5" t="str">
        <f t="shared" si="23"/>
        <v/>
      </c>
    </row>
    <row r="436" spans="7:7">
      <c r="G436" s="5" t="str">
        <f t="shared" si="23"/>
        <v/>
      </c>
    </row>
    <row r="437" spans="7:7">
      <c r="G437" s="5" t="str">
        <f t="shared" si="23"/>
        <v/>
      </c>
    </row>
    <row r="438" spans="7:7">
      <c r="G438" s="5" t="str">
        <f t="shared" si="23"/>
        <v/>
      </c>
    </row>
    <row r="439" spans="7:7">
      <c r="G439" s="5" t="str">
        <f t="shared" si="23"/>
        <v/>
      </c>
    </row>
    <row r="440" spans="7:7">
      <c r="G440" s="5" t="str">
        <f t="shared" si="23"/>
        <v/>
      </c>
    </row>
    <row r="441" spans="7:7">
      <c r="G441" s="5" t="str">
        <f t="shared" si="23"/>
        <v/>
      </c>
    </row>
  </sheetData>
  <sheetProtection sort="0" autoFilter="0" pivotTables="0"/>
  <autoFilter ref="H5:H58" xr:uid="{ECFFB440-F566-4B4E-9B26-375A4D3F5A85}">
    <filterColumn colId="0">
      <filters blank="1">
        <filter val="1.880"/>
        <filter val="16.000"/>
        <filter val="160"/>
        <filter val="2.220"/>
        <filter val="500"/>
        <filter val="R$ 60.771,00"/>
      </filters>
    </filterColumn>
  </autoFilter>
  <sortState xmlns:xlrd2="http://schemas.microsoft.com/office/spreadsheetml/2017/richdata2" ref="B6:M13">
    <sortCondition ref="B6:B13"/>
  </sortState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01ECD-1946-4A89-8199-9F79C7BD981A}">
  <sheetPr codeName="Planilha31">
    <tabColor rgb="FF006600"/>
    <pageSetUpPr fitToPage="1"/>
  </sheetPr>
  <dimension ref="B1:S434"/>
  <sheetViews>
    <sheetView workbookViewId="0">
      <pane ySplit="5" topLeftCell="A6" activePane="bottomLeft" state="frozen"/>
      <selection pane="bottomLeft" activeCell="K32" sqref="K32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36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29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72" t="s">
        <v>389</v>
      </c>
      <c r="C6" s="38">
        <v>750</v>
      </c>
      <c r="D6" s="38"/>
      <c r="E6" s="38"/>
      <c r="F6" s="39"/>
      <c r="G6" s="40"/>
      <c r="H6" s="23">
        <f>SUM(C6:G6)</f>
        <v>750</v>
      </c>
      <c r="I6" s="464">
        <v>8.93</v>
      </c>
      <c r="J6" s="16"/>
      <c r="K6" s="17"/>
      <c r="L6" s="18">
        <v>7.2</v>
      </c>
      <c r="M6" s="31">
        <v>12</v>
      </c>
      <c r="N6" s="25">
        <f t="shared" ref="N6" si="0">I6*C6</f>
        <v>6697.5</v>
      </c>
      <c r="O6" s="25">
        <f t="shared" ref="O6" si="1">I6*D6</f>
        <v>0</v>
      </c>
      <c r="P6" s="25">
        <f t="shared" ref="P6" si="2">I6*E6</f>
        <v>0</v>
      </c>
      <c r="Q6" s="26">
        <f t="shared" ref="Q6" si="3">I6*F6</f>
        <v>0</v>
      </c>
      <c r="R6" s="27">
        <f t="shared" ref="R6" si="4">I6*G6</f>
        <v>0</v>
      </c>
      <c r="S6" s="28">
        <f>SUM(N6:R6)</f>
        <v>6697.5</v>
      </c>
    </row>
    <row r="7" spans="2:19">
      <c r="B7" s="58" t="s">
        <v>13</v>
      </c>
      <c r="C7" s="288">
        <f t="shared" ref="C7" si="5">N7</f>
        <v>6697.5</v>
      </c>
      <c r="D7" s="288">
        <f t="shared" ref="D7" si="6">O7</f>
        <v>0</v>
      </c>
      <c r="E7" s="288">
        <f t="shared" ref="E7" si="7">P7</f>
        <v>0</v>
      </c>
      <c r="F7" s="288">
        <f t="shared" ref="F7" si="8">Q7</f>
        <v>0</v>
      </c>
      <c r="G7" s="288">
        <f t="shared" ref="G7" si="9">R7</f>
        <v>0</v>
      </c>
      <c r="H7" s="288">
        <f t="shared" ref="H7" si="10">S7</f>
        <v>6697.5</v>
      </c>
      <c r="N7" s="29">
        <f t="shared" ref="N7:S7" si="11">SUM(N6:N6)</f>
        <v>6697.5</v>
      </c>
      <c r="O7" s="29">
        <f t="shared" si="11"/>
        <v>0</v>
      </c>
      <c r="P7" s="29">
        <f t="shared" si="11"/>
        <v>0</v>
      </c>
      <c r="Q7" s="29">
        <f t="shared" si="11"/>
        <v>0</v>
      </c>
      <c r="R7" s="29">
        <f t="shared" si="11"/>
        <v>0</v>
      </c>
      <c r="S7" s="29">
        <f t="shared" si="11"/>
        <v>6697.5</v>
      </c>
    </row>
    <row r="8" spans="2:19">
      <c r="B8" s="59" t="s">
        <v>46</v>
      </c>
    </row>
    <row r="9" spans="2:19" ht="16.5" thickBot="1">
      <c r="B9" s="2"/>
    </row>
    <row r="10" spans="2:19">
      <c r="B10" s="60" t="s">
        <v>47</v>
      </c>
    </row>
    <row r="11" spans="2:19">
      <c r="B11" s="61" t="s">
        <v>19</v>
      </c>
    </row>
    <row r="12" spans="2:19">
      <c r="B12" s="61" t="s">
        <v>17</v>
      </c>
    </row>
    <row r="13" spans="2:19" ht="16.5" thickBot="1">
      <c r="B13" s="62" t="s">
        <v>18</v>
      </c>
    </row>
    <row r="14" spans="2:19">
      <c r="B14" s="2"/>
    </row>
    <row r="15" spans="2:19">
      <c r="B15" s="30" t="s">
        <v>20</v>
      </c>
    </row>
    <row r="16" spans="2:19">
      <c r="B16" s="35"/>
    </row>
    <row r="17" spans="2:7">
      <c r="B17" s="35"/>
    </row>
    <row r="18" spans="2:7">
      <c r="B18" s="2"/>
      <c r="G18" s="5" t="str">
        <f>IF(B18&lt;&gt;"",SUM(C18:F18),"")</f>
        <v/>
      </c>
    </row>
    <row r="19" spans="2:7">
      <c r="G19" s="5" t="str">
        <f t="shared" ref="G19:G82" si="12">IF(B19&lt;&gt;"",SUM(C19:F19),"")</f>
        <v/>
      </c>
    </row>
    <row r="20" spans="2:7">
      <c r="G20" s="5" t="str">
        <f t="shared" si="12"/>
        <v/>
      </c>
    </row>
    <row r="21" spans="2:7">
      <c r="G21" s="5" t="str">
        <f t="shared" si="12"/>
        <v/>
      </c>
    </row>
    <row r="22" spans="2:7">
      <c r="G22" s="5" t="str">
        <f t="shared" si="12"/>
        <v/>
      </c>
    </row>
    <row r="23" spans="2:7">
      <c r="G23" s="5" t="str">
        <f t="shared" si="12"/>
        <v/>
      </c>
    </row>
    <row r="24" spans="2:7">
      <c r="G24" s="5" t="str">
        <f t="shared" si="12"/>
        <v/>
      </c>
    </row>
    <row r="25" spans="2:7">
      <c r="G25" s="5" t="str">
        <f t="shared" si="12"/>
        <v/>
      </c>
    </row>
    <row r="26" spans="2:7">
      <c r="G26" s="5" t="str">
        <f t="shared" si="12"/>
        <v/>
      </c>
    </row>
    <row r="27" spans="2:7">
      <c r="G27" s="5" t="str">
        <f t="shared" si="12"/>
        <v/>
      </c>
    </row>
    <row r="28" spans="2:7">
      <c r="G28" s="5" t="str">
        <f t="shared" si="12"/>
        <v/>
      </c>
    </row>
    <row r="29" spans="2:7">
      <c r="G29" s="5" t="str">
        <f t="shared" si="12"/>
        <v/>
      </c>
    </row>
    <row r="30" spans="2:7">
      <c r="G30" s="5" t="str">
        <f t="shared" si="12"/>
        <v/>
      </c>
    </row>
    <row r="31" spans="2:7">
      <c r="G31" s="5" t="str">
        <f t="shared" si="12"/>
        <v/>
      </c>
    </row>
    <row r="32" spans="2:7">
      <c r="G32" s="5" t="str">
        <f t="shared" si="12"/>
        <v/>
      </c>
    </row>
    <row r="33" spans="7:7">
      <c r="G33" s="5" t="str">
        <f t="shared" si="12"/>
        <v/>
      </c>
    </row>
    <row r="34" spans="7:7">
      <c r="G34" s="5" t="str">
        <f t="shared" si="12"/>
        <v/>
      </c>
    </row>
    <row r="35" spans="7:7">
      <c r="G35" s="5" t="str">
        <f t="shared" si="12"/>
        <v/>
      </c>
    </row>
    <row r="36" spans="7:7">
      <c r="G36" s="5" t="str">
        <f t="shared" si="12"/>
        <v/>
      </c>
    </row>
    <row r="37" spans="7:7">
      <c r="G37" s="5" t="str">
        <f t="shared" si="12"/>
        <v/>
      </c>
    </row>
    <row r="38" spans="7:7">
      <c r="G38" s="5" t="str">
        <f t="shared" si="12"/>
        <v/>
      </c>
    </row>
    <row r="39" spans="7:7">
      <c r="G39" s="5" t="str">
        <f t="shared" si="12"/>
        <v/>
      </c>
    </row>
    <row r="40" spans="7:7">
      <c r="G40" s="5" t="str">
        <f t="shared" si="12"/>
        <v/>
      </c>
    </row>
    <row r="41" spans="7:7">
      <c r="G41" s="5" t="str">
        <f t="shared" si="12"/>
        <v/>
      </c>
    </row>
    <row r="42" spans="7:7">
      <c r="G42" s="5" t="str">
        <f t="shared" si="12"/>
        <v/>
      </c>
    </row>
    <row r="43" spans="7:7">
      <c r="G43" s="5" t="str">
        <f t="shared" si="12"/>
        <v/>
      </c>
    </row>
    <row r="44" spans="7:7">
      <c r="G44" s="5" t="str">
        <f t="shared" si="12"/>
        <v/>
      </c>
    </row>
    <row r="45" spans="7:7">
      <c r="G45" s="5" t="str">
        <f t="shared" si="12"/>
        <v/>
      </c>
    </row>
    <row r="46" spans="7:7">
      <c r="G46" s="5" t="str">
        <f t="shared" si="12"/>
        <v/>
      </c>
    </row>
    <row r="47" spans="7:7">
      <c r="G47" s="5" t="str">
        <f t="shared" si="12"/>
        <v/>
      </c>
    </row>
    <row r="48" spans="7:7">
      <c r="G48" s="5" t="str">
        <f t="shared" si="12"/>
        <v/>
      </c>
    </row>
    <row r="49" spans="7:7">
      <c r="G49" s="5" t="str">
        <f t="shared" si="12"/>
        <v/>
      </c>
    </row>
    <row r="50" spans="7:7">
      <c r="G50" s="5" t="str">
        <f t="shared" si="12"/>
        <v/>
      </c>
    </row>
    <row r="51" spans="7:7">
      <c r="G51" s="5" t="str">
        <f t="shared" si="12"/>
        <v/>
      </c>
    </row>
    <row r="52" spans="7:7">
      <c r="G52" s="5" t="str">
        <f t="shared" si="12"/>
        <v/>
      </c>
    </row>
    <row r="53" spans="7:7">
      <c r="G53" s="5" t="str">
        <f t="shared" si="12"/>
        <v/>
      </c>
    </row>
    <row r="54" spans="7:7">
      <c r="G54" s="5" t="str">
        <f t="shared" si="12"/>
        <v/>
      </c>
    </row>
    <row r="55" spans="7:7">
      <c r="G55" s="5" t="str">
        <f t="shared" si="12"/>
        <v/>
      </c>
    </row>
    <row r="56" spans="7:7">
      <c r="G56" s="5" t="str">
        <f t="shared" si="12"/>
        <v/>
      </c>
    </row>
    <row r="57" spans="7:7">
      <c r="G57" s="5" t="str">
        <f t="shared" si="12"/>
        <v/>
      </c>
    </row>
    <row r="58" spans="7:7">
      <c r="G58" s="5" t="str">
        <f t="shared" si="12"/>
        <v/>
      </c>
    </row>
    <row r="59" spans="7:7">
      <c r="G59" s="5" t="str">
        <f t="shared" si="12"/>
        <v/>
      </c>
    </row>
    <row r="60" spans="7:7">
      <c r="G60" s="5" t="str">
        <f t="shared" si="12"/>
        <v/>
      </c>
    </row>
    <row r="61" spans="7:7">
      <c r="G61" s="5" t="str">
        <f t="shared" si="12"/>
        <v/>
      </c>
    </row>
    <row r="62" spans="7:7">
      <c r="G62" s="5" t="str">
        <f t="shared" si="12"/>
        <v/>
      </c>
    </row>
    <row r="63" spans="7:7">
      <c r="G63" s="5" t="str">
        <f t="shared" si="12"/>
        <v/>
      </c>
    </row>
    <row r="64" spans="7:7">
      <c r="G64" s="5" t="str">
        <f t="shared" si="12"/>
        <v/>
      </c>
    </row>
    <row r="65" spans="7:7">
      <c r="G65" s="5" t="str">
        <f t="shared" si="12"/>
        <v/>
      </c>
    </row>
    <row r="66" spans="7:7">
      <c r="G66" s="5" t="str">
        <f t="shared" si="12"/>
        <v/>
      </c>
    </row>
    <row r="67" spans="7:7">
      <c r="G67" s="5" t="str">
        <f t="shared" si="12"/>
        <v/>
      </c>
    </row>
    <row r="68" spans="7:7">
      <c r="G68" s="5" t="str">
        <f t="shared" si="12"/>
        <v/>
      </c>
    </row>
    <row r="69" spans="7:7">
      <c r="G69" s="5" t="str">
        <f t="shared" si="12"/>
        <v/>
      </c>
    </row>
    <row r="70" spans="7:7">
      <c r="G70" s="5" t="str">
        <f t="shared" si="12"/>
        <v/>
      </c>
    </row>
    <row r="71" spans="7:7">
      <c r="G71" s="5" t="str">
        <f t="shared" si="12"/>
        <v/>
      </c>
    </row>
    <row r="72" spans="7:7">
      <c r="G72" s="5" t="str">
        <f t="shared" si="12"/>
        <v/>
      </c>
    </row>
    <row r="73" spans="7:7">
      <c r="G73" s="5" t="str">
        <f t="shared" si="12"/>
        <v/>
      </c>
    </row>
    <row r="74" spans="7:7">
      <c r="G74" s="5" t="str">
        <f t="shared" si="12"/>
        <v/>
      </c>
    </row>
    <row r="75" spans="7:7">
      <c r="G75" s="5" t="str">
        <f t="shared" si="12"/>
        <v/>
      </c>
    </row>
    <row r="76" spans="7:7">
      <c r="G76" s="5" t="str">
        <f t="shared" si="12"/>
        <v/>
      </c>
    </row>
    <row r="77" spans="7:7">
      <c r="G77" s="5" t="str">
        <f t="shared" si="12"/>
        <v/>
      </c>
    </row>
    <row r="78" spans="7:7">
      <c r="G78" s="5" t="str">
        <f t="shared" si="12"/>
        <v/>
      </c>
    </row>
    <row r="79" spans="7:7">
      <c r="G79" s="5" t="str">
        <f t="shared" si="12"/>
        <v/>
      </c>
    </row>
    <row r="80" spans="7:7">
      <c r="G80" s="5" t="str">
        <f t="shared" si="12"/>
        <v/>
      </c>
    </row>
    <row r="81" spans="7:7">
      <c r="G81" s="5" t="str">
        <f t="shared" si="12"/>
        <v/>
      </c>
    </row>
    <row r="82" spans="7:7">
      <c r="G82" s="5" t="str">
        <f t="shared" si="12"/>
        <v/>
      </c>
    </row>
    <row r="83" spans="7:7">
      <c r="G83" s="5" t="str">
        <f t="shared" ref="G83:G146" si="13">IF(B83&lt;&gt;"",SUM(C83:F83),"")</f>
        <v/>
      </c>
    </row>
    <row r="84" spans="7:7">
      <c r="G84" s="5" t="str">
        <f t="shared" si="13"/>
        <v/>
      </c>
    </row>
    <row r="85" spans="7:7">
      <c r="G85" s="5" t="str">
        <f t="shared" si="13"/>
        <v/>
      </c>
    </row>
    <row r="86" spans="7:7">
      <c r="G86" s="5" t="str">
        <f t="shared" si="13"/>
        <v/>
      </c>
    </row>
    <row r="87" spans="7:7">
      <c r="G87" s="5" t="str">
        <f t="shared" si="13"/>
        <v/>
      </c>
    </row>
    <row r="88" spans="7:7">
      <c r="G88" s="5" t="str">
        <f t="shared" si="13"/>
        <v/>
      </c>
    </row>
    <row r="89" spans="7:7">
      <c r="G89" s="5" t="str">
        <f t="shared" si="13"/>
        <v/>
      </c>
    </row>
    <row r="90" spans="7:7">
      <c r="G90" s="5" t="str">
        <f t="shared" si="13"/>
        <v/>
      </c>
    </row>
    <row r="91" spans="7:7">
      <c r="G91" s="5" t="str">
        <f t="shared" si="13"/>
        <v/>
      </c>
    </row>
    <row r="92" spans="7:7">
      <c r="G92" s="5" t="str">
        <f t="shared" si="13"/>
        <v/>
      </c>
    </row>
    <row r="93" spans="7:7">
      <c r="G93" s="5" t="str">
        <f t="shared" si="13"/>
        <v/>
      </c>
    </row>
    <row r="94" spans="7:7">
      <c r="G94" s="5" t="str">
        <f t="shared" si="13"/>
        <v/>
      </c>
    </row>
    <row r="95" spans="7:7">
      <c r="G95" s="5" t="str">
        <f t="shared" si="13"/>
        <v/>
      </c>
    </row>
    <row r="96" spans="7:7">
      <c r="G96" s="5" t="str">
        <f t="shared" si="13"/>
        <v/>
      </c>
    </row>
    <row r="97" spans="7:7">
      <c r="G97" s="5" t="str">
        <f t="shared" si="13"/>
        <v/>
      </c>
    </row>
    <row r="98" spans="7:7">
      <c r="G98" s="5" t="str">
        <f t="shared" si="13"/>
        <v/>
      </c>
    </row>
    <row r="99" spans="7:7">
      <c r="G99" s="5" t="str">
        <f t="shared" si="13"/>
        <v/>
      </c>
    </row>
    <row r="100" spans="7:7">
      <c r="G100" s="5" t="str">
        <f t="shared" si="13"/>
        <v/>
      </c>
    </row>
    <row r="101" spans="7:7">
      <c r="G101" s="5" t="str">
        <f t="shared" si="13"/>
        <v/>
      </c>
    </row>
    <row r="102" spans="7:7">
      <c r="G102" s="5" t="str">
        <f t="shared" si="13"/>
        <v/>
      </c>
    </row>
    <row r="103" spans="7:7">
      <c r="G103" s="5" t="str">
        <f t="shared" si="13"/>
        <v/>
      </c>
    </row>
    <row r="104" spans="7:7">
      <c r="G104" s="5" t="str">
        <f t="shared" si="13"/>
        <v/>
      </c>
    </row>
    <row r="105" spans="7:7">
      <c r="G105" s="5" t="str">
        <f t="shared" si="13"/>
        <v/>
      </c>
    </row>
    <row r="106" spans="7:7">
      <c r="G106" s="5" t="str">
        <f t="shared" si="13"/>
        <v/>
      </c>
    </row>
    <row r="107" spans="7:7">
      <c r="G107" s="5" t="str">
        <f t="shared" si="13"/>
        <v/>
      </c>
    </row>
    <row r="108" spans="7:7">
      <c r="G108" s="5" t="str">
        <f t="shared" si="13"/>
        <v/>
      </c>
    </row>
    <row r="109" spans="7:7">
      <c r="G109" s="5" t="str">
        <f t="shared" si="13"/>
        <v/>
      </c>
    </row>
    <row r="110" spans="7:7">
      <c r="G110" s="5" t="str">
        <f t="shared" si="13"/>
        <v/>
      </c>
    </row>
    <row r="111" spans="7:7">
      <c r="G111" s="5" t="str">
        <f t="shared" si="13"/>
        <v/>
      </c>
    </row>
    <row r="112" spans="7:7">
      <c r="G112" s="5" t="str">
        <f t="shared" si="13"/>
        <v/>
      </c>
    </row>
    <row r="113" spans="7:7">
      <c r="G113" s="5" t="str">
        <f t="shared" si="13"/>
        <v/>
      </c>
    </row>
    <row r="114" spans="7:7">
      <c r="G114" s="5" t="str">
        <f t="shared" si="13"/>
        <v/>
      </c>
    </row>
    <row r="115" spans="7:7">
      <c r="G115" s="5" t="str">
        <f t="shared" si="13"/>
        <v/>
      </c>
    </row>
    <row r="116" spans="7:7">
      <c r="G116" s="5" t="str">
        <f t="shared" si="13"/>
        <v/>
      </c>
    </row>
    <row r="117" spans="7:7">
      <c r="G117" s="5" t="str">
        <f t="shared" si="13"/>
        <v/>
      </c>
    </row>
    <row r="118" spans="7:7">
      <c r="G118" s="5" t="str">
        <f t="shared" si="13"/>
        <v/>
      </c>
    </row>
    <row r="119" spans="7:7">
      <c r="G119" s="5" t="str">
        <f t="shared" si="13"/>
        <v/>
      </c>
    </row>
    <row r="120" spans="7:7">
      <c r="G120" s="5" t="str">
        <f t="shared" si="13"/>
        <v/>
      </c>
    </row>
    <row r="121" spans="7:7">
      <c r="G121" s="5" t="str">
        <f t="shared" si="13"/>
        <v/>
      </c>
    </row>
    <row r="122" spans="7:7">
      <c r="G122" s="5" t="str">
        <f t="shared" si="13"/>
        <v/>
      </c>
    </row>
    <row r="123" spans="7:7">
      <c r="G123" s="5" t="str">
        <f t="shared" si="13"/>
        <v/>
      </c>
    </row>
    <row r="124" spans="7:7">
      <c r="G124" s="5" t="str">
        <f t="shared" si="13"/>
        <v/>
      </c>
    </row>
    <row r="125" spans="7:7">
      <c r="G125" s="5" t="str">
        <f t="shared" si="13"/>
        <v/>
      </c>
    </row>
    <row r="126" spans="7:7">
      <c r="G126" s="5" t="str">
        <f t="shared" si="13"/>
        <v/>
      </c>
    </row>
    <row r="127" spans="7:7">
      <c r="G127" s="5" t="str">
        <f t="shared" si="13"/>
        <v/>
      </c>
    </row>
    <row r="128" spans="7:7">
      <c r="G128" s="5" t="str">
        <f t="shared" si="13"/>
        <v/>
      </c>
    </row>
    <row r="129" spans="7:7">
      <c r="G129" s="5" t="str">
        <f t="shared" si="13"/>
        <v/>
      </c>
    </row>
    <row r="130" spans="7:7">
      <c r="G130" s="5" t="str">
        <f t="shared" si="13"/>
        <v/>
      </c>
    </row>
    <row r="131" spans="7:7">
      <c r="G131" s="5" t="str">
        <f t="shared" si="13"/>
        <v/>
      </c>
    </row>
    <row r="132" spans="7:7">
      <c r="G132" s="5" t="str">
        <f t="shared" si="13"/>
        <v/>
      </c>
    </row>
    <row r="133" spans="7:7">
      <c r="G133" s="5" t="str">
        <f t="shared" si="13"/>
        <v/>
      </c>
    </row>
    <row r="134" spans="7:7">
      <c r="G134" s="5" t="str">
        <f t="shared" si="13"/>
        <v/>
      </c>
    </row>
    <row r="135" spans="7:7">
      <c r="G135" s="5" t="str">
        <f t="shared" si="13"/>
        <v/>
      </c>
    </row>
    <row r="136" spans="7:7">
      <c r="G136" s="5" t="str">
        <f t="shared" si="13"/>
        <v/>
      </c>
    </row>
    <row r="137" spans="7:7">
      <c r="G137" s="5" t="str">
        <f t="shared" si="13"/>
        <v/>
      </c>
    </row>
    <row r="138" spans="7:7">
      <c r="G138" s="5" t="str">
        <f t="shared" si="13"/>
        <v/>
      </c>
    </row>
    <row r="139" spans="7:7">
      <c r="G139" s="5" t="str">
        <f t="shared" si="13"/>
        <v/>
      </c>
    </row>
    <row r="140" spans="7:7">
      <c r="G140" s="5" t="str">
        <f t="shared" si="13"/>
        <v/>
      </c>
    </row>
    <row r="141" spans="7:7">
      <c r="G141" s="5" t="str">
        <f t="shared" si="13"/>
        <v/>
      </c>
    </row>
    <row r="142" spans="7:7">
      <c r="G142" s="5" t="str">
        <f t="shared" si="13"/>
        <v/>
      </c>
    </row>
    <row r="143" spans="7:7">
      <c r="G143" s="5" t="str">
        <f t="shared" si="13"/>
        <v/>
      </c>
    </row>
    <row r="144" spans="7:7">
      <c r="G144" s="5" t="str">
        <f t="shared" si="13"/>
        <v/>
      </c>
    </row>
    <row r="145" spans="7:7">
      <c r="G145" s="5" t="str">
        <f t="shared" si="13"/>
        <v/>
      </c>
    </row>
    <row r="146" spans="7:7">
      <c r="G146" s="5" t="str">
        <f t="shared" si="13"/>
        <v/>
      </c>
    </row>
    <row r="147" spans="7:7">
      <c r="G147" s="5" t="str">
        <f t="shared" ref="G147:G210" si="14">IF(B147&lt;&gt;"",SUM(C147:F147),"")</f>
        <v/>
      </c>
    </row>
    <row r="148" spans="7:7">
      <c r="G148" s="5" t="str">
        <f t="shared" si="14"/>
        <v/>
      </c>
    </row>
    <row r="149" spans="7:7">
      <c r="G149" s="5" t="str">
        <f t="shared" si="14"/>
        <v/>
      </c>
    </row>
    <row r="150" spans="7:7">
      <c r="G150" s="5" t="str">
        <f t="shared" si="14"/>
        <v/>
      </c>
    </row>
    <row r="151" spans="7:7">
      <c r="G151" s="5" t="str">
        <f t="shared" si="14"/>
        <v/>
      </c>
    </row>
    <row r="152" spans="7:7">
      <c r="G152" s="5" t="str">
        <f t="shared" si="14"/>
        <v/>
      </c>
    </row>
    <row r="153" spans="7:7">
      <c r="G153" s="5" t="str">
        <f t="shared" si="14"/>
        <v/>
      </c>
    </row>
    <row r="154" spans="7:7">
      <c r="G154" s="5" t="str">
        <f t="shared" si="14"/>
        <v/>
      </c>
    </row>
    <row r="155" spans="7:7">
      <c r="G155" s="5" t="str">
        <f t="shared" si="14"/>
        <v/>
      </c>
    </row>
    <row r="156" spans="7:7">
      <c r="G156" s="5" t="str">
        <f t="shared" si="14"/>
        <v/>
      </c>
    </row>
    <row r="157" spans="7:7">
      <c r="G157" s="5" t="str">
        <f t="shared" si="14"/>
        <v/>
      </c>
    </row>
    <row r="158" spans="7:7">
      <c r="G158" s="5" t="str">
        <f t="shared" si="14"/>
        <v/>
      </c>
    </row>
    <row r="159" spans="7:7">
      <c r="G159" s="5" t="str">
        <f t="shared" si="14"/>
        <v/>
      </c>
    </row>
    <row r="160" spans="7:7">
      <c r="G160" s="5" t="str">
        <f t="shared" si="14"/>
        <v/>
      </c>
    </row>
    <row r="161" spans="7:7">
      <c r="G161" s="5" t="str">
        <f t="shared" si="14"/>
        <v/>
      </c>
    </row>
    <row r="162" spans="7:7">
      <c r="G162" s="5" t="str">
        <f t="shared" si="14"/>
        <v/>
      </c>
    </row>
    <row r="163" spans="7:7">
      <c r="G163" s="5" t="str">
        <f t="shared" si="14"/>
        <v/>
      </c>
    </row>
    <row r="164" spans="7:7">
      <c r="G164" s="5" t="str">
        <f t="shared" si="14"/>
        <v/>
      </c>
    </row>
    <row r="165" spans="7:7">
      <c r="G165" s="5" t="str">
        <f t="shared" si="14"/>
        <v/>
      </c>
    </row>
    <row r="166" spans="7:7">
      <c r="G166" s="5" t="str">
        <f t="shared" si="14"/>
        <v/>
      </c>
    </row>
    <row r="167" spans="7:7">
      <c r="G167" s="5" t="str">
        <f t="shared" si="14"/>
        <v/>
      </c>
    </row>
    <row r="168" spans="7:7">
      <c r="G168" s="5" t="str">
        <f t="shared" si="14"/>
        <v/>
      </c>
    </row>
    <row r="169" spans="7:7">
      <c r="G169" s="5" t="str">
        <f t="shared" si="14"/>
        <v/>
      </c>
    </row>
    <row r="170" spans="7:7">
      <c r="G170" s="5" t="str">
        <f t="shared" si="14"/>
        <v/>
      </c>
    </row>
    <row r="171" spans="7:7">
      <c r="G171" s="5" t="str">
        <f t="shared" si="14"/>
        <v/>
      </c>
    </row>
    <row r="172" spans="7:7">
      <c r="G172" s="5" t="str">
        <f t="shared" si="14"/>
        <v/>
      </c>
    </row>
    <row r="173" spans="7:7">
      <c r="G173" s="5" t="str">
        <f t="shared" si="14"/>
        <v/>
      </c>
    </row>
    <row r="174" spans="7:7">
      <c r="G174" s="5" t="str">
        <f t="shared" si="14"/>
        <v/>
      </c>
    </row>
    <row r="175" spans="7:7">
      <c r="G175" s="5" t="str">
        <f t="shared" si="14"/>
        <v/>
      </c>
    </row>
    <row r="176" spans="7:7">
      <c r="G176" s="5" t="str">
        <f t="shared" si="14"/>
        <v/>
      </c>
    </row>
    <row r="177" spans="7:7">
      <c r="G177" s="5" t="str">
        <f t="shared" si="14"/>
        <v/>
      </c>
    </row>
    <row r="178" spans="7:7">
      <c r="G178" s="5" t="str">
        <f t="shared" si="14"/>
        <v/>
      </c>
    </row>
    <row r="179" spans="7:7">
      <c r="G179" s="5" t="str">
        <f t="shared" si="14"/>
        <v/>
      </c>
    </row>
    <row r="180" spans="7:7">
      <c r="G180" s="5" t="str">
        <f t="shared" si="14"/>
        <v/>
      </c>
    </row>
    <row r="181" spans="7:7">
      <c r="G181" s="5" t="str">
        <f t="shared" si="14"/>
        <v/>
      </c>
    </row>
    <row r="182" spans="7:7">
      <c r="G182" s="5" t="str">
        <f t="shared" si="14"/>
        <v/>
      </c>
    </row>
    <row r="183" spans="7:7">
      <c r="G183" s="5" t="str">
        <f t="shared" si="14"/>
        <v/>
      </c>
    </row>
    <row r="184" spans="7:7">
      <c r="G184" s="5" t="str">
        <f t="shared" si="14"/>
        <v/>
      </c>
    </row>
    <row r="185" spans="7:7">
      <c r="G185" s="5" t="str">
        <f t="shared" si="14"/>
        <v/>
      </c>
    </row>
    <row r="186" spans="7:7">
      <c r="G186" s="5" t="str">
        <f t="shared" si="14"/>
        <v/>
      </c>
    </row>
    <row r="187" spans="7:7">
      <c r="G187" s="5" t="str">
        <f t="shared" si="14"/>
        <v/>
      </c>
    </row>
    <row r="188" spans="7:7">
      <c r="G188" s="5" t="str">
        <f t="shared" si="14"/>
        <v/>
      </c>
    </row>
    <row r="189" spans="7:7">
      <c r="G189" s="5" t="str">
        <f t="shared" si="14"/>
        <v/>
      </c>
    </row>
    <row r="190" spans="7:7">
      <c r="G190" s="5" t="str">
        <f t="shared" si="14"/>
        <v/>
      </c>
    </row>
    <row r="191" spans="7:7">
      <c r="G191" s="5" t="str">
        <f t="shared" si="14"/>
        <v/>
      </c>
    </row>
    <row r="192" spans="7:7">
      <c r="G192" s="5" t="str">
        <f t="shared" si="14"/>
        <v/>
      </c>
    </row>
    <row r="193" spans="7:7">
      <c r="G193" s="5" t="str">
        <f t="shared" si="14"/>
        <v/>
      </c>
    </row>
    <row r="194" spans="7:7">
      <c r="G194" s="5" t="str">
        <f t="shared" si="14"/>
        <v/>
      </c>
    </row>
    <row r="195" spans="7:7">
      <c r="G195" s="5" t="str">
        <f t="shared" si="14"/>
        <v/>
      </c>
    </row>
    <row r="196" spans="7:7">
      <c r="G196" s="5" t="str">
        <f t="shared" si="14"/>
        <v/>
      </c>
    </row>
    <row r="197" spans="7:7">
      <c r="G197" s="5" t="str">
        <f t="shared" si="14"/>
        <v/>
      </c>
    </row>
    <row r="198" spans="7:7">
      <c r="G198" s="5" t="str">
        <f t="shared" si="14"/>
        <v/>
      </c>
    </row>
    <row r="199" spans="7:7">
      <c r="G199" s="5" t="str">
        <f t="shared" si="14"/>
        <v/>
      </c>
    </row>
    <row r="200" spans="7:7">
      <c r="G200" s="5" t="str">
        <f t="shared" si="14"/>
        <v/>
      </c>
    </row>
    <row r="201" spans="7:7">
      <c r="G201" s="5" t="str">
        <f t="shared" si="14"/>
        <v/>
      </c>
    </row>
    <row r="202" spans="7:7">
      <c r="G202" s="5" t="str">
        <f t="shared" si="14"/>
        <v/>
      </c>
    </row>
    <row r="203" spans="7:7">
      <c r="G203" s="5" t="str">
        <f t="shared" si="14"/>
        <v/>
      </c>
    </row>
    <row r="204" spans="7:7">
      <c r="G204" s="5" t="str">
        <f t="shared" si="14"/>
        <v/>
      </c>
    </row>
    <row r="205" spans="7:7">
      <c r="G205" s="5" t="str">
        <f t="shared" si="14"/>
        <v/>
      </c>
    </row>
    <row r="206" spans="7:7">
      <c r="G206" s="5" t="str">
        <f t="shared" si="14"/>
        <v/>
      </c>
    </row>
    <row r="207" spans="7:7">
      <c r="G207" s="5" t="str">
        <f t="shared" si="14"/>
        <v/>
      </c>
    </row>
    <row r="208" spans="7:7">
      <c r="G208" s="5" t="str">
        <f t="shared" si="14"/>
        <v/>
      </c>
    </row>
    <row r="209" spans="7:7">
      <c r="G209" s="5" t="str">
        <f t="shared" si="14"/>
        <v/>
      </c>
    </row>
    <row r="210" spans="7:7">
      <c r="G210" s="5" t="str">
        <f t="shared" si="14"/>
        <v/>
      </c>
    </row>
    <row r="211" spans="7:7">
      <c r="G211" s="5" t="str">
        <f t="shared" ref="G211:G274" si="15">IF(B211&lt;&gt;"",SUM(C211:F211),"")</f>
        <v/>
      </c>
    </row>
    <row r="212" spans="7:7">
      <c r="G212" s="5" t="str">
        <f t="shared" si="15"/>
        <v/>
      </c>
    </row>
    <row r="213" spans="7:7">
      <c r="G213" s="5" t="str">
        <f t="shared" si="15"/>
        <v/>
      </c>
    </row>
    <row r="214" spans="7:7">
      <c r="G214" s="5" t="str">
        <f t="shared" si="15"/>
        <v/>
      </c>
    </row>
    <row r="215" spans="7:7">
      <c r="G215" s="5" t="str">
        <f t="shared" si="15"/>
        <v/>
      </c>
    </row>
    <row r="216" spans="7:7">
      <c r="G216" s="5" t="str">
        <f t="shared" si="15"/>
        <v/>
      </c>
    </row>
    <row r="217" spans="7:7">
      <c r="G217" s="5" t="str">
        <f t="shared" si="15"/>
        <v/>
      </c>
    </row>
    <row r="218" spans="7:7">
      <c r="G218" s="5" t="str">
        <f t="shared" si="15"/>
        <v/>
      </c>
    </row>
    <row r="219" spans="7:7">
      <c r="G219" s="5" t="str">
        <f t="shared" si="15"/>
        <v/>
      </c>
    </row>
    <row r="220" spans="7:7">
      <c r="G220" s="5" t="str">
        <f t="shared" si="15"/>
        <v/>
      </c>
    </row>
    <row r="221" spans="7:7">
      <c r="G221" s="5" t="str">
        <f t="shared" si="15"/>
        <v/>
      </c>
    </row>
    <row r="222" spans="7:7">
      <c r="G222" s="5" t="str">
        <f t="shared" si="15"/>
        <v/>
      </c>
    </row>
    <row r="223" spans="7:7">
      <c r="G223" s="5" t="str">
        <f t="shared" si="15"/>
        <v/>
      </c>
    </row>
    <row r="224" spans="7:7">
      <c r="G224" s="5" t="str">
        <f t="shared" si="15"/>
        <v/>
      </c>
    </row>
    <row r="225" spans="7:7">
      <c r="G225" s="5" t="str">
        <f t="shared" si="15"/>
        <v/>
      </c>
    </row>
    <row r="226" spans="7:7">
      <c r="G226" s="5" t="str">
        <f t="shared" si="15"/>
        <v/>
      </c>
    </row>
    <row r="227" spans="7:7">
      <c r="G227" s="5" t="str">
        <f t="shared" si="15"/>
        <v/>
      </c>
    </row>
    <row r="228" spans="7:7">
      <c r="G228" s="5" t="str">
        <f t="shared" si="15"/>
        <v/>
      </c>
    </row>
    <row r="229" spans="7:7">
      <c r="G229" s="5" t="str">
        <f t="shared" si="15"/>
        <v/>
      </c>
    </row>
    <row r="230" spans="7:7">
      <c r="G230" s="5" t="str">
        <f t="shared" si="15"/>
        <v/>
      </c>
    </row>
    <row r="231" spans="7:7">
      <c r="G231" s="5" t="str">
        <f t="shared" si="15"/>
        <v/>
      </c>
    </row>
    <row r="232" spans="7:7">
      <c r="G232" s="5" t="str">
        <f t="shared" si="15"/>
        <v/>
      </c>
    </row>
    <row r="233" spans="7:7">
      <c r="G233" s="5" t="str">
        <f t="shared" si="15"/>
        <v/>
      </c>
    </row>
    <row r="234" spans="7:7">
      <c r="G234" s="5" t="str">
        <f t="shared" si="15"/>
        <v/>
      </c>
    </row>
    <row r="235" spans="7:7">
      <c r="G235" s="5" t="str">
        <f t="shared" si="15"/>
        <v/>
      </c>
    </row>
    <row r="236" spans="7:7">
      <c r="G236" s="5" t="str">
        <f t="shared" si="15"/>
        <v/>
      </c>
    </row>
    <row r="237" spans="7:7">
      <c r="G237" s="5" t="str">
        <f t="shared" si="15"/>
        <v/>
      </c>
    </row>
    <row r="238" spans="7:7">
      <c r="G238" s="5" t="str">
        <f t="shared" si="15"/>
        <v/>
      </c>
    </row>
    <row r="239" spans="7:7">
      <c r="G239" s="5" t="str">
        <f t="shared" si="15"/>
        <v/>
      </c>
    </row>
    <row r="240" spans="7:7">
      <c r="G240" s="5" t="str">
        <f t="shared" si="15"/>
        <v/>
      </c>
    </row>
    <row r="241" spans="7:7">
      <c r="G241" s="5" t="str">
        <f t="shared" si="15"/>
        <v/>
      </c>
    </row>
    <row r="242" spans="7:7">
      <c r="G242" s="5" t="str">
        <f t="shared" si="15"/>
        <v/>
      </c>
    </row>
    <row r="243" spans="7:7">
      <c r="G243" s="5" t="str">
        <f t="shared" si="15"/>
        <v/>
      </c>
    </row>
    <row r="244" spans="7:7">
      <c r="G244" s="5" t="str">
        <f t="shared" si="15"/>
        <v/>
      </c>
    </row>
    <row r="245" spans="7:7">
      <c r="G245" s="5" t="str">
        <f t="shared" si="15"/>
        <v/>
      </c>
    </row>
    <row r="246" spans="7:7">
      <c r="G246" s="5" t="str">
        <f t="shared" si="15"/>
        <v/>
      </c>
    </row>
    <row r="247" spans="7:7">
      <c r="G247" s="5" t="str">
        <f t="shared" si="15"/>
        <v/>
      </c>
    </row>
    <row r="248" spans="7:7">
      <c r="G248" s="5" t="str">
        <f t="shared" si="15"/>
        <v/>
      </c>
    </row>
    <row r="249" spans="7:7">
      <c r="G249" s="5" t="str">
        <f t="shared" si="15"/>
        <v/>
      </c>
    </row>
    <row r="250" spans="7:7">
      <c r="G250" s="5" t="str">
        <f t="shared" si="15"/>
        <v/>
      </c>
    </row>
    <row r="251" spans="7:7">
      <c r="G251" s="5" t="str">
        <f t="shared" si="15"/>
        <v/>
      </c>
    </row>
    <row r="252" spans="7:7">
      <c r="G252" s="5" t="str">
        <f t="shared" si="15"/>
        <v/>
      </c>
    </row>
    <row r="253" spans="7:7">
      <c r="G253" s="5" t="str">
        <f t="shared" si="15"/>
        <v/>
      </c>
    </row>
    <row r="254" spans="7:7">
      <c r="G254" s="5" t="str">
        <f t="shared" si="15"/>
        <v/>
      </c>
    </row>
    <row r="255" spans="7:7">
      <c r="G255" s="5" t="str">
        <f t="shared" si="15"/>
        <v/>
      </c>
    </row>
    <row r="256" spans="7:7">
      <c r="G256" s="5" t="str">
        <f t="shared" si="15"/>
        <v/>
      </c>
    </row>
    <row r="257" spans="7:7">
      <c r="G257" s="5" t="str">
        <f t="shared" si="15"/>
        <v/>
      </c>
    </row>
    <row r="258" spans="7:7">
      <c r="G258" s="5" t="str">
        <f t="shared" si="15"/>
        <v/>
      </c>
    </row>
    <row r="259" spans="7:7">
      <c r="G259" s="5" t="str">
        <f t="shared" si="15"/>
        <v/>
      </c>
    </row>
    <row r="260" spans="7:7">
      <c r="G260" s="5" t="str">
        <f t="shared" si="15"/>
        <v/>
      </c>
    </row>
    <row r="261" spans="7:7">
      <c r="G261" s="5" t="str">
        <f t="shared" si="15"/>
        <v/>
      </c>
    </row>
    <row r="262" spans="7:7">
      <c r="G262" s="5" t="str">
        <f t="shared" si="15"/>
        <v/>
      </c>
    </row>
    <row r="263" spans="7:7">
      <c r="G263" s="5" t="str">
        <f t="shared" si="15"/>
        <v/>
      </c>
    </row>
    <row r="264" spans="7:7">
      <c r="G264" s="5" t="str">
        <f t="shared" si="15"/>
        <v/>
      </c>
    </row>
    <row r="265" spans="7:7">
      <c r="G265" s="5" t="str">
        <f t="shared" si="15"/>
        <v/>
      </c>
    </row>
    <row r="266" spans="7:7">
      <c r="G266" s="5" t="str">
        <f t="shared" si="15"/>
        <v/>
      </c>
    </row>
    <row r="267" spans="7:7">
      <c r="G267" s="5" t="str">
        <f t="shared" si="15"/>
        <v/>
      </c>
    </row>
    <row r="268" spans="7:7">
      <c r="G268" s="5" t="str">
        <f t="shared" si="15"/>
        <v/>
      </c>
    </row>
    <row r="269" spans="7:7">
      <c r="G269" s="5" t="str">
        <f t="shared" si="15"/>
        <v/>
      </c>
    </row>
    <row r="270" spans="7:7">
      <c r="G270" s="5" t="str">
        <f t="shared" si="15"/>
        <v/>
      </c>
    </row>
    <row r="271" spans="7:7">
      <c r="G271" s="5" t="str">
        <f t="shared" si="15"/>
        <v/>
      </c>
    </row>
    <row r="272" spans="7:7">
      <c r="G272" s="5" t="str">
        <f t="shared" si="15"/>
        <v/>
      </c>
    </row>
    <row r="273" spans="7:7">
      <c r="G273" s="5" t="str">
        <f t="shared" si="15"/>
        <v/>
      </c>
    </row>
    <row r="274" spans="7:7">
      <c r="G274" s="5" t="str">
        <f t="shared" si="15"/>
        <v/>
      </c>
    </row>
    <row r="275" spans="7:7">
      <c r="G275" s="5" t="str">
        <f t="shared" ref="G275:G338" si="16">IF(B275&lt;&gt;"",SUM(C275:F275),"")</f>
        <v/>
      </c>
    </row>
    <row r="276" spans="7:7">
      <c r="G276" s="5" t="str">
        <f t="shared" si="16"/>
        <v/>
      </c>
    </row>
    <row r="277" spans="7:7">
      <c r="G277" s="5" t="str">
        <f t="shared" si="16"/>
        <v/>
      </c>
    </row>
    <row r="278" spans="7:7">
      <c r="G278" s="5" t="str">
        <f t="shared" si="16"/>
        <v/>
      </c>
    </row>
    <row r="279" spans="7:7">
      <c r="G279" s="5" t="str">
        <f t="shared" si="16"/>
        <v/>
      </c>
    </row>
    <row r="280" spans="7:7">
      <c r="G280" s="5" t="str">
        <f t="shared" si="16"/>
        <v/>
      </c>
    </row>
    <row r="281" spans="7:7">
      <c r="G281" s="5" t="str">
        <f t="shared" si="16"/>
        <v/>
      </c>
    </row>
    <row r="282" spans="7:7">
      <c r="G282" s="5" t="str">
        <f t="shared" si="16"/>
        <v/>
      </c>
    </row>
    <row r="283" spans="7:7">
      <c r="G283" s="5" t="str">
        <f t="shared" si="16"/>
        <v/>
      </c>
    </row>
    <row r="284" spans="7:7">
      <c r="G284" s="5" t="str">
        <f t="shared" si="16"/>
        <v/>
      </c>
    </row>
    <row r="285" spans="7:7">
      <c r="G285" s="5" t="str">
        <f t="shared" si="16"/>
        <v/>
      </c>
    </row>
    <row r="286" spans="7:7">
      <c r="G286" s="5" t="str">
        <f t="shared" si="16"/>
        <v/>
      </c>
    </row>
    <row r="287" spans="7:7">
      <c r="G287" s="5" t="str">
        <f t="shared" si="16"/>
        <v/>
      </c>
    </row>
    <row r="288" spans="7:7">
      <c r="G288" s="5" t="str">
        <f t="shared" si="16"/>
        <v/>
      </c>
    </row>
    <row r="289" spans="7:7">
      <c r="G289" s="5" t="str">
        <f t="shared" si="16"/>
        <v/>
      </c>
    </row>
    <row r="290" spans="7:7">
      <c r="G290" s="5" t="str">
        <f t="shared" si="16"/>
        <v/>
      </c>
    </row>
    <row r="291" spans="7:7">
      <c r="G291" s="5" t="str">
        <f t="shared" si="16"/>
        <v/>
      </c>
    </row>
    <row r="292" spans="7:7">
      <c r="G292" s="5" t="str">
        <f t="shared" si="16"/>
        <v/>
      </c>
    </row>
    <row r="293" spans="7:7">
      <c r="G293" s="5" t="str">
        <f t="shared" si="16"/>
        <v/>
      </c>
    </row>
    <row r="294" spans="7:7">
      <c r="G294" s="5" t="str">
        <f t="shared" si="16"/>
        <v/>
      </c>
    </row>
    <row r="295" spans="7:7">
      <c r="G295" s="5" t="str">
        <f t="shared" si="16"/>
        <v/>
      </c>
    </row>
    <row r="296" spans="7:7">
      <c r="G296" s="5" t="str">
        <f t="shared" si="16"/>
        <v/>
      </c>
    </row>
    <row r="297" spans="7:7">
      <c r="G297" s="5" t="str">
        <f t="shared" si="16"/>
        <v/>
      </c>
    </row>
    <row r="298" spans="7:7">
      <c r="G298" s="5" t="str">
        <f t="shared" si="16"/>
        <v/>
      </c>
    </row>
    <row r="299" spans="7:7">
      <c r="G299" s="5" t="str">
        <f t="shared" si="16"/>
        <v/>
      </c>
    </row>
    <row r="300" spans="7:7">
      <c r="G300" s="5" t="str">
        <f t="shared" si="16"/>
        <v/>
      </c>
    </row>
    <row r="301" spans="7:7">
      <c r="G301" s="5" t="str">
        <f t="shared" si="16"/>
        <v/>
      </c>
    </row>
    <row r="302" spans="7:7">
      <c r="G302" s="5" t="str">
        <f t="shared" si="16"/>
        <v/>
      </c>
    </row>
    <row r="303" spans="7:7">
      <c r="G303" s="5" t="str">
        <f t="shared" si="16"/>
        <v/>
      </c>
    </row>
    <row r="304" spans="7:7">
      <c r="G304" s="5" t="str">
        <f t="shared" si="16"/>
        <v/>
      </c>
    </row>
    <row r="305" spans="7:7">
      <c r="G305" s="5" t="str">
        <f t="shared" si="16"/>
        <v/>
      </c>
    </row>
    <row r="306" spans="7:7">
      <c r="G306" s="5" t="str">
        <f t="shared" si="16"/>
        <v/>
      </c>
    </row>
    <row r="307" spans="7:7">
      <c r="G307" s="5" t="str">
        <f t="shared" si="16"/>
        <v/>
      </c>
    </row>
    <row r="308" spans="7:7">
      <c r="G308" s="5" t="str">
        <f t="shared" si="16"/>
        <v/>
      </c>
    </row>
    <row r="309" spans="7:7">
      <c r="G309" s="5" t="str">
        <f t="shared" si="16"/>
        <v/>
      </c>
    </row>
    <row r="310" spans="7:7">
      <c r="G310" s="5" t="str">
        <f t="shared" si="16"/>
        <v/>
      </c>
    </row>
    <row r="311" spans="7:7">
      <c r="G311" s="5" t="str">
        <f t="shared" si="16"/>
        <v/>
      </c>
    </row>
    <row r="312" spans="7:7">
      <c r="G312" s="5" t="str">
        <f t="shared" si="16"/>
        <v/>
      </c>
    </row>
    <row r="313" spans="7:7">
      <c r="G313" s="5" t="str">
        <f t="shared" si="16"/>
        <v/>
      </c>
    </row>
    <row r="314" spans="7:7">
      <c r="G314" s="5" t="str">
        <f t="shared" si="16"/>
        <v/>
      </c>
    </row>
    <row r="315" spans="7:7">
      <c r="G315" s="5" t="str">
        <f t="shared" si="16"/>
        <v/>
      </c>
    </row>
    <row r="316" spans="7:7">
      <c r="G316" s="5" t="str">
        <f t="shared" si="16"/>
        <v/>
      </c>
    </row>
    <row r="317" spans="7:7">
      <c r="G317" s="5" t="str">
        <f t="shared" si="16"/>
        <v/>
      </c>
    </row>
    <row r="318" spans="7:7">
      <c r="G318" s="5" t="str">
        <f t="shared" si="16"/>
        <v/>
      </c>
    </row>
    <row r="319" spans="7:7">
      <c r="G319" s="5" t="str">
        <f t="shared" si="16"/>
        <v/>
      </c>
    </row>
    <row r="320" spans="7:7">
      <c r="G320" s="5" t="str">
        <f t="shared" si="16"/>
        <v/>
      </c>
    </row>
    <row r="321" spans="7:7">
      <c r="G321" s="5" t="str">
        <f t="shared" si="16"/>
        <v/>
      </c>
    </row>
    <row r="322" spans="7:7">
      <c r="G322" s="5" t="str">
        <f t="shared" si="16"/>
        <v/>
      </c>
    </row>
    <row r="323" spans="7:7">
      <c r="G323" s="5" t="str">
        <f t="shared" si="16"/>
        <v/>
      </c>
    </row>
    <row r="324" spans="7:7">
      <c r="G324" s="5" t="str">
        <f t="shared" si="16"/>
        <v/>
      </c>
    </row>
    <row r="325" spans="7:7">
      <c r="G325" s="5" t="str">
        <f t="shared" si="16"/>
        <v/>
      </c>
    </row>
    <row r="326" spans="7:7">
      <c r="G326" s="5" t="str">
        <f t="shared" si="16"/>
        <v/>
      </c>
    </row>
    <row r="327" spans="7:7">
      <c r="G327" s="5" t="str">
        <f t="shared" si="16"/>
        <v/>
      </c>
    </row>
    <row r="328" spans="7:7">
      <c r="G328" s="5" t="str">
        <f t="shared" si="16"/>
        <v/>
      </c>
    </row>
    <row r="329" spans="7:7">
      <c r="G329" s="5" t="str">
        <f t="shared" si="16"/>
        <v/>
      </c>
    </row>
    <row r="330" spans="7:7">
      <c r="G330" s="5" t="str">
        <f t="shared" si="16"/>
        <v/>
      </c>
    </row>
    <row r="331" spans="7:7">
      <c r="G331" s="5" t="str">
        <f t="shared" si="16"/>
        <v/>
      </c>
    </row>
    <row r="332" spans="7:7">
      <c r="G332" s="5" t="str">
        <f t="shared" si="16"/>
        <v/>
      </c>
    </row>
    <row r="333" spans="7:7">
      <c r="G333" s="5" t="str">
        <f t="shared" si="16"/>
        <v/>
      </c>
    </row>
    <row r="334" spans="7:7">
      <c r="G334" s="5" t="str">
        <f t="shared" si="16"/>
        <v/>
      </c>
    </row>
    <row r="335" spans="7:7">
      <c r="G335" s="5" t="str">
        <f t="shared" si="16"/>
        <v/>
      </c>
    </row>
    <row r="336" spans="7:7">
      <c r="G336" s="5" t="str">
        <f t="shared" si="16"/>
        <v/>
      </c>
    </row>
    <row r="337" spans="7:7">
      <c r="G337" s="5" t="str">
        <f t="shared" si="16"/>
        <v/>
      </c>
    </row>
    <row r="338" spans="7:7">
      <c r="G338" s="5" t="str">
        <f t="shared" si="16"/>
        <v/>
      </c>
    </row>
    <row r="339" spans="7:7">
      <c r="G339" s="5" t="str">
        <f t="shared" ref="G339:G402" si="17">IF(B339&lt;&gt;"",SUM(C339:F339),"")</f>
        <v/>
      </c>
    </row>
    <row r="340" spans="7:7">
      <c r="G340" s="5" t="str">
        <f t="shared" si="17"/>
        <v/>
      </c>
    </row>
    <row r="341" spans="7:7">
      <c r="G341" s="5" t="str">
        <f t="shared" si="17"/>
        <v/>
      </c>
    </row>
    <row r="342" spans="7:7">
      <c r="G342" s="5" t="str">
        <f t="shared" si="17"/>
        <v/>
      </c>
    </row>
    <row r="343" spans="7:7">
      <c r="G343" s="5" t="str">
        <f t="shared" si="17"/>
        <v/>
      </c>
    </row>
    <row r="344" spans="7:7">
      <c r="G344" s="5" t="str">
        <f t="shared" si="17"/>
        <v/>
      </c>
    </row>
    <row r="345" spans="7:7">
      <c r="G345" s="5" t="str">
        <f t="shared" si="17"/>
        <v/>
      </c>
    </row>
    <row r="346" spans="7:7">
      <c r="G346" s="5" t="str">
        <f t="shared" si="17"/>
        <v/>
      </c>
    </row>
    <row r="347" spans="7:7">
      <c r="G347" s="5" t="str">
        <f t="shared" si="17"/>
        <v/>
      </c>
    </row>
    <row r="348" spans="7:7">
      <c r="G348" s="5" t="str">
        <f t="shared" si="17"/>
        <v/>
      </c>
    </row>
    <row r="349" spans="7:7">
      <c r="G349" s="5" t="str">
        <f t="shared" si="17"/>
        <v/>
      </c>
    </row>
    <row r="350" spans="7:7">
      <c r="G350" s="5" t="str">
        <f t="shared" si="17"/>
        <v/>
      </c>
    </row>
    <row r="351" spans="7:7">
      <c r="G351" s="5" t="str">
        <f t="shared" si="17"/>
        <v/>
      </c>
    </row>
    <row r="352" spans="7:7">
      <c r="G352" s="5" t="str">
        <f t="shared" si="17"/>
        <v/>
      </c>
    </row>
    <row r="353" spans="7:7">
      <c r="G353" s="5" t="str">
        <f t="shared" si="17"/>
        <v/>
      </c>
    </row>
    <row r="354" spans="7:7">
      <c r="G354" s="5" t="str">
        <f t="shared" si="17"/>
        <v/>
      </c>
    </row>
    <row r="355" spans="7:7">
      <c r="G355" s="5" t="str">
        <f t="shared" si="17"/>
        <v/>
      </c>
    </row>
    <row r="356" spans="7:7">
      <c r="G356" s="5" t="str">
        <f t="shared" si="17"/>
        <v/>
      </c>
    </row>
    <row r="357" spans="7:7">
      <c r="G357" s="5" t="str">
        <f t="shared" si="17"/>
        <v/>
      </c>
    </row>
    <row r="358" spans="7:7">
      <c r="G358" s="5" t="str">
        <f t="shared" si="17"/>
        <v/>
      </c>
    </row>
    <row r="359" spans="7:7">
      <c r="G359" s="5" t="str">
        <f t="shared" si="17"/>
        <v/>
      </c>
    </row>
    <row r="360" spans="7:7">
      <c r="G360" s="5" t="str">
        <f t="shared" si="17"/>
        <v/>
      </c>
    </row>
    <row r="361" spans="7:7">
      <c r="G361" s="5" t="str">
        <f t="shared" si="17"/>
        <v/>
      </c>
    </row>
    <row r="362" spans="7:7">
      <c r="G362" s="5" t="str">
        <f t="shared" si="17"/>
        <v/>
      </c>
    </row>
    <row r="363" spans="7:7">
      <c r="G363" s="5" t="str">
        <f t="shared" si="17"/>
        <v/>
      </c>
    </row>
    <row r="364" spans="7:7">
      <c r="G364" s="5" t="str">
        <f t="shared" si="17"/>
        <v/>
      </c>
    </row>
    <row r="365" spans="7:7">
      <c r="G365" s="5" t="str">
        <f t="shared" si="17"/>
        <v/>
      </c>
    </row>
    <row r="366" spans="7:7">
      <c r="G366" s="5" t="str">
        <f t="shared" si="17"/>
        <v/>
      </c>
    </row>
    <row r="367" spans="7:7">
      <c r="G367" s="5" t="str">
        <f t="shared" si="17"/>
        <v/>
      </c>
    </row>
    <row r="368" spans="7:7">
      <c r="G368" s="5" t="str">
        <f t="shared" si="17"/>
        <v/>
      </c>
    </row>
    <row r="369" spans="7:7">
      <c r="G369" s="5" t="str">
        <f t="shared" si="17"/>
        <v/>
      </c>
    </row>
    <row r="370" spans="7:7">
      <c r="G370" s="5" t="str">
        <f t="shared" si="17"/>
        <v/>
      </c>
    </row>
    <row r="371" spans="7:7">
      <c r="G371" s="5" t="str">
        <f t="shared" si="17"/>
        <v/>
      </c>
    </row>
    <row r="372" spans="7:7">
      <c r="G372" s="5" t="str">
        <f t="shared" si="17"/>
        <v/>
      </c>
    </row>
    <row r="373" spans="7:7">
      <c r="G373" s="5" t="str">
        <f t="shared" si="17"/>
        <v/>
      </c>
    </row>
    <row r="374" spans="7:7">
      <c r="G374" s="5" t="str">
        <f t="shared" si="17"/>
        <v/>
      </c>
    </row>
    <row r="375" spans="7:7">
      <c r="G375" s="5" t="str">
        <f t="shared" si="17"/>
        <v/>
      </c>
    </row>
    <row r="376" spans="7:7">
      <c r="G376" s="5" t="str">
        <f t="shared" si="17"/>
        <v/>
      </c>
    </row>
    <row r="377" spans="7:7">
      <c r="G377" s="5" t="str">
        <f t="shared" si="17"/>
        <v/>
      </c>
    </row>
    <row r="378" spans="7:7">
      <c r="G378" s="5" t="str">
        <f t="shared" si="17"/>
        <v/>
      </c>
    </row>
    <row r="379" spans="7:7">
      <c r="G379" s="5" t="str">
        <f t="shared" si="17"/>
        <v/>
      </c>
    </row>
    <row r="380" spans="7:7">
      <c r="G380" s="5" t="str">
        <f t="shared" si="17"/>
        <v/>
      </c>
    </row>
    <row r="381" spans="7:7">
      <c r="G381" s="5" t="str">
        <f t="shared" si="17"/>
        <v/>
      </c>
    </row>
    <row r="382" spans="7:7">
      <c r="G382" s="5" t="str">
        <f t="shared" si="17"/>
        <v/>
      </c>
    </row>
    <row r="383" spans="7:7">
      <c r="G383" s="5" t="str">
        <f t="shared" si="17"/>
        <v/>
      </c>
    </row>
    <row r="384" spans="7:7">
      <c r="G384" s="5" t="str">
        <f t="shared" si="17"/>
        <v/>
      </c>
    </row>
    <row r="385" spans="7:7">
      <c r="G385" s="5" t="str">
        <f t="shared" si="17"/>
        <v/>
      </c>
    </row>
    <row r="386" spans="7:7">
      <c r="G386" s="5" t="str">
        <f t="shared" si="17"/>
        <v/>
      </c>
    </row>
    <row r="387" spans="7:7">
      <c r="G387" s="5" t="str">
        <f t="shared" si="17"/>
        <v/>
      </c>
    </row>
    <row r="388" spans="7:7">
      <c r="G388" s="5" t="str">
        <f t="shared" si="17"/>
        <v/>
      </c>
    </row>
    <row r="389" spans="7:7">
      <c r="G389" s="5" t="str">
        <f t="shared" si="17"/>
        <v/>
      </c>
    </row>
    <row r="390" spans="7:7">
      <c r="G390" s="5" t="str">
        <f t="shared" si="17"/>
        <v/>
      </c>
    </row>
    <row r="391" spans="7:7">
      <c r="G391" s="5" t="str">
        <f t="shared" si="17"/>
        <v/>
      </c>
    </row>
    <row r="392" spans="7:7">
      <c r="G392" s="5" t="str">
        <f t="shared" si="17"/>
        <v/>
      </c>
    </row>
    <row r="393" spans="7:7">
      <c r="G393" s="5" t="str">
        <f t="shared" si="17"/>
        <v/>
      </c>
    </row>
    <row r="394" spans="7:7">
      <c r="G394" s="5" t="str">
        <f t="shared" si="17"/>
        <v/>
      </c>
    </row>
    <row r="395" spans="7:7">
      <c r="G395" s="5" t="str">
        <f t="shared" si="17"/>
        <v/>
      </c>
    </row>
    <row r="396" spans="7:7">
      <c r="G396" s="5" t="str">
        <f t="shared" si="17"/>
        <v/>
      </c>
    </row>
    <row r="397" spans="7:7">
      <c r="G397" s="5" t="str">
        <f t="shared" si="17"/>
        <v/>
      </c>
    </row>
    <row r="398" spans="7:7">
      <c r="G398" s="5" t="str">
        <f t="shared" si="17"/>
        <v/>
      </c>
    </row>
    <row r="399" spans="7:7">
      <c r="G399" s="5" t="str">
        <f t="shared" si="17"/>
        <v/>
      </c>
    </row>
    <row r="400" spans="7:7">
      <c r="G400" s="5" t="str">
        <f t="shared" si="17"/>
        <v/>
      </c>
    </row>
    <row r="401" spans="7:7">
      <c r="G401" s="5" t="str">
        <f t="shared" si="17"/>
        <v/>
      </c>
    </row>
    <row r="402" spans="7:7">
      <c r="G402" s="5" t="str">
        <f t="shared" si="17"/>
        <v/>
      </c>
    </row>
    <row r="403" spans="7:7">
      <c r="G403" s="5" t="str">
        <f t="shared" ref="G403:G434" si="18">IF(B403&lt;&gt;"",SUM(C403:F403),"")</f>
        <v/>
      </c>
    </row>
    <row r="404" spans="7:7">
      <c r="G404" s="5" t="str">
        <f t="shared" si="18"/>
        <v/>
      </c>
    </row>
    <row r="405" spans="7:7">
      <c r="G405" s="5" t="str">
        <f t="shared" si="18"/>
        <v/>
      </c>
    </row>
    <row r="406" spans="7:7">
      <c r="G406" s="5" t="str">
        <f t="shared" si="18"/>
        <v/>
      </c>
    </row>
    <row r="407" spans="7:7">
      <c r="G407" s="5" t="str">
        <f t="shared" si="18"/>
        <v/>
      </c>
    </row>
    <row r="408" spans="7:7">
      <c r="G408" s="5" t="str">
        <f t="shared" si="18"/>
        <v/>
      </c>
    </row>
    <row r="409" spans="7:7">
      <c r="G409" s="5" t="str">
        <f t="shared" si="18"/>
        <v/>
      </c>
    </row>
    <row r="410" spans="7:7">
      <c r="G410" s="5" t="str">
        <f t="shared" si="18"/>
        <v/>
      </c>
    </row>
    <row r="411" spans="7:7">
      <c r="G411" s="5" t="str">
        <f t="shared" si="18"/>
        <v/>
      </c>
    </row>
    <row r="412" spans="7:7">
      <c r="G412" s="5" t="str">
        <f t="shared" si="18"/>
        <v/>
      </c>
    </row>
    <row r="413" spans="7:7">
      <c r="G413" s="5" t="str">
        <f t="shared" si="18"/>
        <v/>
      </c>
    </row>
    <row r="414" spans="7:7">
      <c r="G414" s="5" t="str">
        <f t="shared" si="18"/>
        <v/>
      </c>
    </row>
    <row r="415" spans="7:7">
      <c r="G415" s="5" t="str">
        <f t="shared" si="18"/>
        <v/>
      </c>
    </row>
    <row r="416" spans="7:7">
      <c r="G416" s="5" t="str">
        <f t="shared" si="18"/>
        <v/>
      </c>
    </row>
    <row r="417" spans="7:7">
      <c r="G417" s="5" t="str">
        <f t="shared" si="18"/>
        <v/>
      </c>
    </row>
    <row r="418" spans="7:7">
      <c r="G418" s="5" t="str">
        <f t="shared" si="18"/>
        <v/>
      </c>
    </row>
    <row r="419" spans="7:7">
      <c r="G419" s="5" t="str">
        <f t="shared" si="18"/>
        <v/>
      </c>
    </row>
    <row r="420" spans="7:7">
      <c r="G420" s="5" t="str">
        <f t="shared" si="18"/>
        <v/>
      </c>
    </row>
    <row r="421" spans="7:7">
      <c r="G421" s="5" t="str">
        <f t="shared" si="18"/>
        <v/>
      </c>
    </row>
    <row r="422" spans="7:7">
      <c r="G422" s="5" t="str">
        <f t="shared" si="18"/>
        <v/>
      </c>
    </row>
    <row r="423" spans="7:7">
      <c r="G423" s="5" t="str">
        <f t="shared" si="18"/>
        <v/>
      </c>
    </row>
    <row r="424" spans="7:7">
      <c r="G424" s="5" t="str">
        <f t="shared" si="18"/>
        <v/>
      </c>
    </row>
    <row r="425" spans="7:7">
      <c r="G425" s="5" t="str">
        <f t="shared" si="18"/>
        <v/>
      </c>
    </row>
    <row r="426" spans="7:7">
      <c r="G426" s="5" t="str">
        <f t="shared" si="18"/>
        <v/>
      </c>
    </row>
    <row r="427" spans="7:7">
      <c r="G427" s="5" t="str">
        <f t="shared" si="18"/>
        <v/>
      </c>
    </row>
    <row r="428" spans="7:7">
      <c r="G428" s="5" t="str">
        <f t="shared" si="18"/>
        <v/>
      </c>
    </row>
    <row r="429" spans="7:7">
      <c r="G429" s="5" t="str">
        <f t="shared" si="18"/>
        <v/>
      </c>
    </row>
    <row r="430" spans="7:7">
      <c r="G430" s="5" t="str">
        <f t="shared" si="18"/>
        <v/>
      </c>
    </row>
    <row r="431" spans="7:7">
      <c r="G431" s="5" t="str">
        <f t="shared" si="18"/>
        <v/>
      </c>
    </row>
    <row r="432" spans="7:7">
      <c r="G432" s="5" t="str">
        <f t="shared" si="18"/>
        <v/>
      </c>
    </row>
    <row r="433" spans="7:7">
      <c r="G433" s="5" t="str">
        <f t="shared" si="18"/>
        <v/>
      </c>
    </row>
    <row r="434" spans="7:7">
      <c r="G434" s="5" t="str">
        <f t="shared" si="18"/>
        <v/>
      </c>
    </row>
  </sheetData>
  <sheetProtection sort="0" autoFilter="0" pivotTables="0"/>
  <autoFilter ref="H5:H7" xr:uid="{D3AFCC79-0BA9-450B-8BF8-7AFF127FC06F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296F2-07BC-40A8-BE06-5AAAAA709AF3}">
  <sheetPr codeName="Planilha32">
    <tabColor rgb="FFFF0000"/>
    <pageSetUpPr fitToPage="1"/>
  </sheetPr>
  <dimension ref="B1:S443"/>
  <sheetViews>
    <sheetView workbookViewId="0">
      <pane ySplit="5" topLeftCell="A6" activePane="bottomLeft" state="frozen"/>
      <selection pane="bottomLeft" activeCell="I17" sqref="I17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0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30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190" t="s">
        <v>6</v>
      </c>
      <c r="C4" s="43"/>
      <c r="D4" s="43"/>
      <c r="E4" s="43"/>
      <c r="F4" s="44"/>
      <c r="G4" s="45"/>
      <c r="H4" s="191"/>
      <c r="I4" s="191" t="s">
        <v>48</v>
      </c>
      <c r="J4" s="192" t="s">
        <v>9</v>
      </c>
      <c r="K4" s="192" t="s">
        <v>9</v>
      </c>
      <c r="L4" s="49">
        <v>4.7619047619047616E-2</v>
      </c>
      <c r="M4" s="193" t="s">
        <v>15</v>
      </c>
      <c r="N4" s="36"/>
      <c r="O4" s="19"/>
      <c r="P4" s="19"/>
      <c r="Q4" s="19"/>
      <c r="R4" s="19"/>
      <c r="S4" s="19"/>
    </row>
    <row r="5" spans="2:19" ht="16.5" thickBot="1">
      <c r="B5" s="196" t="s">
        <v>5</v>
      </c>
      <c r="C5" s="185" t="s">
        <v>0</v>
      </c>
      <c r="D5" s="185" t="s">
        <v>12</v>
      </c>
      <c r="E5" s="185" t="s">
        <v>2</v>
      </c>
      <c r="F5" s="185" t="s">
        <v>3</v>
      </c>
      <c r="G5" s="186" t="s">
        <v>1</v>
      </c>
      <c r="H5" s="187" t="s">
        <v>4</v>
      </c>
      <c r="I5" s="187" t="s">
        <v>7</v>
      </c>
      <c r="J5" s="188" t="s">
        <v>8</v>
      </c>
      <c r="K5" s="188" t="s">
        <v>10</v>
      </c>
      <c r="L5" s="195" t="s">
        <v>11</v>
      </c>
      <c r="M5" s="189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85" t="s">
        <v>390</v>
      </c>
      <c r="C6" s="38"/>
      <c r="D6" s="38"/>
      <c r="E6" s="38"/>
      <c r="F6" s="39"/>
      <c r="G6" s="40"/>
      <c r="H6" s="23">
        <f>SUM(C6:G6)</f>
        <v>0</v>
      </c>
      <c r="I6" s="183">
        <f t="shared" ref="I6:I14" si="0">L6-(L6*J6)</f>
        <v>3.51</v>
      </c>
      <c r="J6" s="16"/>
      <c r="K6" s="17"/>
      <c r="L6">
        <v>3.51</v>
      </c>
      <c r="M6" s="31">
        <v>12</v>
      </c>
      <c r="N6" s="25">
        <f t="shared" ref="N6:N15" si="1">I6*C6</f>
        <v>0</v>
      </c>
      <c r="O6" s="25">
        <f t="shared" ref="O6:O15" si="2">I6*D6</f>
        <v>0</v>
      </c>
      <c r="P6" s="25">
        <f t="shared" ref="P6:P15" si="3">I6*E6</f>
        <v>0</v>
      </c>
      <c r="Q6" s="26">
        <f t="shared" ref="Q6:Q15" si="4">I6*F6</f>
        <v>0</v>
      </c>
      <c r="R6" s="27">
        <f t="shared" ref="R6:R15" si="5">I6*G6</f>
        <v>0</v>
      </c>
      <c r="S6" s="28">
        <f>SUM(N6:R6)</f>
        <v>0</v>
      </c>
    </row>
    <row r="7" spans="2:19">
      <c r="B7" s="85" t="s">
        <v>391</v>
      </c>
      <c r="C7" s="13"/>
      <c r="D7" s="13"/>
      <c r="E7" s="13"/>
      <c r="F7" s="14"/>
      <c r="G7" s="8"/>
      <c r="H7" s="24">
        <f t="shared" ref="H7:H15" si="6">SUM(C7:G7)</f>
        <v>0</v>
      </c>
      <c r="I7" s="184">
        <f t="shared" si="0"/>
        <v>133.25</v>
      </c>
      <c r="J7" s="10"/>
      <c r="K7" s="12"/>
      <c r="L7" s="80">
        <v>133.25</v>
      </c>
      <c r="M7" s="32">
        <v>12</v>
      </c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15" si="7">SUM(N7:R7)</f>
        <v>0</v>
      </c>
    </row>
    <row r="8" spans="2:19">
      <c r="B8" s="86" t="s">
        <v>392</v>
      </c>
      <c r="C8" s="13"/>
      <c r="D8" s="13"/>
      <c r="E8" s="13">
        <v>24</v>
      </c>
      <c r="F8" s="14"/>
      <c r="G8" s="8"/>
      <c r="H8" s="24">
        <f t="shared" si="6"/>
        <v>24</v>
      </c>
      <c r="I8" s="184"/>
      <c r="J8" s="10"/>
      <c r="K8" s="12" t="s">
        <v>2515</v>
      </c>
      <c r="L8" s="80">
        <v>15.95</v>
      </c>
      <c r="M8" s="32">
        <v>12</v>
      </c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86" t="s">
        <v>393</v>
      </c>
      <c r="C9" s="13"/>
      <c r="D9" s="13"/>
      <c r="E9" s="13"/>
      <c r="F9" s="14">
        <v>120</v>
      </c>
      <c r="G9" s="8"/>
      <c r="H9" s="24">
        <f t="shared" si="6"/>
        <v>120</v>
      </c>
      <c r="I9" s="184"/>
      <c r="J9" s="10"/>
      <c r="K9" s="12" t="s">
        <v>2515</v>
      </c>
      <c r="L9" s="80">
        <v>5.09</v>
      </c>
      <c r="M9" s="32">
        <v>24</v>
      </c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86" t="s">
        <v>394</v>
      </c>
      <c r="C10" s="13"/>
      <c r="D10" s="13"/>
      <c r="E10" s="13"/>
      <c r="F10" s="14"/>
      <c r="G10" s="8"/>
      <c r="H10" s="24">
        <f t="shared" si="6"/>
        <v>0</v>
      </c>
      <c r="I10" s="184">
        <f t="shared" si="0"/>
        <v>2.99</v>
      </c>
      <c r="J10" s="10"/>
      <c r="K10" s="12"/>
      <c r="L10" s="80">
        <v>2.99</v>
      </c>
      <c r="M10" s="32">
        <v>12</v>
      </c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86" t="s">
        <v>395</v>
      </c>
      <c r="C11" s="13"/>
      <c r="D11" s="13"/>
      <c r="E11" s="13">
        <v>24</v>
      </c>
      <c r="F11" s="14"/>
      <c r="G11" s="8"/>
      <c r="H11" s="24">
        <f t="shared" si="6"/>
        <v>24</v>
      </c>
      <c r="I11" s="184">
        <f t="shared" si="0"/>
        <v>14.5</v>
      </c>
      <c r="J11" s="10"/>
      <c r="K11" s="12"/>
      <c r="L11" s="80">
        <v>14.5</v>
      </c>
      <c r="M11" s="32">
        <v>12</v>
      </c>
      <c r="N11" s="25">
        <f t="shared" si="1"/>
        <v>0</v>
      </c>
      <c r="O11" s="25">
        <f t="shared" si="2"/>
        <v>0</v>
      </c>
      <c r="P11" s="25">
        <f t="shared" si="3"/>
        <v>348</v>
      </c>
      <c r="Q11" s="26">
        <f t="shared" si="4"/>
        <v>0</v>
      </c>
      <c r="R11" s="27">
        <f t="shared" si="5"/>
        <v>0</v>
      </c>
      <c r="S11" s="28">
        <f t="shared" si="7"/>
        <v>348</v>
      </c>
    </row>
    <row r="12" spans="2:19">
      <c r="B12" s="86" t="s">
        <v>396</v>
      </c>
      <c r="C12" s="13"/>
      <c r="D12" s="13"/>
      <c r="E12" s="13">
        <v>24</v>
      </c>
      <c r="F12" s="14"/>
      <c r="G12" s="8"/>
      <c r="H12" s="24">
        <f t="shared" si="6"/>
        <v>24</v>
      </c>
      <c r="I12" s="184">
        <f t="shared" si="0"/>
        <v>107.67</v>
      </c>
      <c r="J12" s="10"/>
      <c r="K12" s="12"/>
      <c r="L12" s="80">
        <v>107.67</v>
      </c>
      <c r="M12" s="32">
        <v>12</v>
      </c>
      <c r="N12" s="25">
        <f t="shared" si="1"/>
        <v>0</v>
      </c>
      <c r="O12" s="25">
        <f t="shared" si="2"/>
        <v>0</v>
      </c>
      <c r="P12" s="25">
        <f t="shared" si="3"/>
        <v>2584.08</v>
      </c>
      <c r="Q12" s="26">
        <f t="shared" si="4"/>
        <v>0</v>
      </c>
      <c r="R12" s="27">
        <f t="shared" si="5"/>
        <v>0</v>
      </c>
      <c r="S12" s="28">
        <f t="shared" si="7"/>
        <v>2584.08</v>
      </c>
    </row>
    <row r="13" spans="2:19">
      <c r="B13" s="87" t="s">
        <v>397</v>
      </c>
      <c r="C13" s="13"/>
      <c r="D13" s="13"/>
      <c r="E13" s="13"/>
      <c r="F13" s="14"/>
      <c r="G13" s="8"/>
      <c r="H13" s="24">
        <f t="shared" si="6"/>
        <v>0</v>
      </c>
      <c r="I13" s="184">
        <f t="shared" si="0"/>
        <v>49.01</v>
      </c>
      <c r="J13" s="10"/>
      <c r="K13" s="12"/>
      <c r="L13" s="80">
        <v>49.01</v>
      </c>
      <c r="M13" s="32">
        <v>12</v>
      </c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>
      <c r="B14" s="87" t="s">
        <v>398</v>
      </c>
      <c r="C14" s="13"/>
      <c r="D14" s="13"/>
      <c r="E14" s="13">
        <v>48</v>
      </c>
      <c r="F14" s="14">
        <v>72</v>
      </c>
      <c r="G14" s="8"/>
      <c r="H14" s="24">
        <f t="shared" si="6"/>
        <v>120</v>
      </c>
      <c r="I14" s="184">
        <f t="shared" si="0"/>
        <v>7.11</v>
      </c>
      <c r="J14" s="10"/>
      <c r="K14" s="12"/>
      <c r="L14" s="80">
        <v>7.11</v>
      </c>
      <c r="M14" s="32">
        <v>12</v>
      </c>
      <c r="N14" s="25">
        <f t="shared" si="1"/>
        <v>0</v>
      </c>
      <c r="O14" s="25">
        <f t="shared" si="2"/>
        <v>0</v>
      </c>
      <c r="P14" s="25">
        <f t="shared" si="3"/>
        <v>341.28000000000003</v>
      </c>
      <c r="Q14" s="26">
        <f t="shared" si="4"/>
        <v>511.92</v>
      </c>
      <c r="R14" s="27">
        <f t="shared" si="5"/>
        <v>0</v>
      </c>
      <c r="S14" s="28">
        <f t="shared" si="7"/>
        <v>853.2</v>
      </c>
    </row>
    <row r="15" spans="2:19">
      <c r="B15" s="86" t="s">
        <v>399</v>
      </c>
      <c r="C15" s="13"/>
      <c r="D15" s="13"/>
      <c r="E15" s="13"/>
      <c r="F15" s="14">
        <v>300</v>
      </c>
      <c r="G15" s="8"/>
      <c r="H15" s="24">
        <f t="shared" si="6"/>
        <v>300</v>
      </c>
      <c r="I15" s="184"/>
      <c r="J15" s="10"/>
      <c r="K15" s="12" t="s">
        <v>2515</v>
      </c>
      <c r="L15" s="80">
        <v>11.15</v>
      </c>
      <c r="M15" s="32">
        <v>12</v>
      </c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>
      <c r="B16" s="58" t="s">
        <v>13</v>
      </c>
      <c r="C16" s="288">
        <f t="shared" ref="C16" si="8">N16</f>
        <v>0</v>
      </c>
      <c r="D16" s="288">
        <f t="shared" ref="D16" si="9">O16</f>
        <v>0</v>
      </c>
      <c r="E16" s="288">
        <f t="shared" ref="E16" si="10">P16</f>
        <v>3273.36</v>
      </c>
      <c r="F16" s="288">
        <f t="shared" ref="F16" si="11">Q16</f>
        <v>511.92</v>
      </c>
      <c r="G16" s="288">
        <f t="shared" ref="G16" si="12">R16</f>
        <v>0</v>
      </c>
      <c r="H16" s="288">
        <f t="shared" ref="H16" si="13">S16</f>
        <v>3785.2799999999997</v>
      </c>
      <c r="N16" s="29">
        <f t="shared" ref="N16:S16" si="14">SUM(N6:N15)</f>
        <v>0</v>
      </c>
      <c r="O16" s="29">
        <f t="shared" si="14"/>
        <v>0</v>
      </c>
      <c r="P16" s="29">
        <f t="shared" si="14"/>
        <v>3273.36</v>
      </c>
      <c r="Q16" s="29">
        <f t="shared" si="14"/>
        <v>511.92</v>
      </c>
      <c r="R16" s="29">
        <f t="shared" si="14"/>
        <v>0</v>
      </c>
      <c r="S16" s="29">
        <f t="shared" si="14"/>
        <v>3785.2799999999997</v>
      </c>
    </row>
    <row r="17" spans="2:7">
      <c r="B17" s="59" t="s">
        <v>46</v>
      </c>
    </row>
    <row r="18" spans="2:7" ht="16.5" thickBot="1">
      <c r="B18" s="2"/>
    </row>
    <row r="19" spans="2:7">
      <c r="B19" s="60" t="s">
        <v>47</v>
      </c>
    </row>
    <row r="20" spans="2:7">
      <c r="B20" s="61" t="s">
        <v>557</v>
      </c>
    </row>
    <row r="21" spans="2:7">
      <c r="B21" s="61" t="s">
        <v>427</v>
      </c>
    </row>
    <row r="22" spans="2:7" ht="16.5" thickBot="1">
      <c r="B22" s="62" t="s">
        <v>556</v>
      </c>
    </row>
    <row r="23" spans="2:7">
      <c r="B23" s="2"/>
    </row>
    <row r="24" spans="2:7">
      <c r="B24" s="30" t="s">
        <v>20</v>
      </c>
    </row>
    <row r="25" spans="2:7">
      <c r="B25" s="35"/>
    </row>
    <row r="26" spans="2:7">
      <c r="B26" s="35"/>
    </row>
    <row r="27" spans="2:7">
      <c r="B27" s="2"/>
      <c r="G27" s="5" t="str">
        <f>IF(B27&lt;&gt;"",SUM(C27:F27),"")</f>
        <v/>
      </c>
    </row>
    <row r="28" spans="2:7">
      <c r="G28" s="5" t="str">
        <f t="shared" ref="G28:G91" si="15">IF(B28&lt;&gt;"",SUM(C28:F28),"")</f>
        <v/>
      </c>
    </row>
    <row r="29" spans="2:7">
      <c r="G29" s="5" t="str">
        <f t="shared" si="15"/>
        <v/>
      </c>
    </row>
    <row r="30" spans="2:7">
      <c r="G30" s="5" t="str">
        <f t="shared" si="15"/>
        <v/>
      </c>
    </row>
    <row r="31" spans="2:7">
      <c r="G31" s="5" t="str">
        <f t="shared" si="15"/>
        <v/>
      </c>
    </row>
    <row r="32" spans="2:7">
      <c r="G32" s="5" t="str">
        <f t="shared" si="15"/>
        <v/>
      </c>
    </row>
    <row r="33" spans="7:7">
      <c r="G33" s="5" t="str">
        <f t="shared" si="15"/>
        <v/>
      </c>
    </row>
    <row r="34" spans="7:7">
      <c r="G34" s="5" t="str">
        <f t="shared" si="15"/>
        <v/>
      </c>
    </row>
    <row r="35" spans="7:7">
      <c r="G35" s="5" t="str">
        <f t="shared" si="15"/>
        <v/>
      </c>
    </row>
    <row r="36" spans="7:7">
      <c r="G36" s="5" t="str">
        <f t="shared" si="15"/>
        <v/>
      </c>
    </row>
    <row r="37" spans="7:7">
      <c r="G37" s="5" t="str">
        <f t="shared" si="15"/>
        <v/>
      </c>
    </row>
    <row r="38" spans="7:7">
      <c r="G38" s="5" t="str">
        <f t="shared" si="15"/>
        <v/>
      </c>
    </row>
    <row r="39" spans="7:7">
      <c r="G39" s="5" t="str">
        <f t="shared" si="15"/>
        <v/>
      </c>
    </row>
    <row r="40" spans="7:7">
      <c r="G40" s="5" t="str">
        <f t="shared" si="15"/>
        <v/>
      </c>
    </row>
    <row r="41" spans="7:7">
      <c r="G41" s="5" t="str">
        <f t="shared" si="15"/>
        <v/>
      </c>
    </row>
    <row r="42" spans="7:7">
      <c r="G42" s="5" t="str">
        <f t="shared" si="15"/>
        <v/>
      </c>
    </row>
    <row r="43" spans="7:7">
      <c r="G43" s="5" t="str">
        <f t="shared" si="15"/>
        <v/>
      </c>
    </row>
    <row r="44" spans="7:7">
      <c r="G44" s="5" t="str">
        <f t="shared" si="15"/>
        <v/>
      </c>
    </row>
    <row r="45" spans="7:7">
      <c r="G45" s="5" t="str">
        <f t="shared" si="15"/>
        <v/>
      </c>
    </row>
    <row r="46" spans="7:7">
      <c r="G46" s="5" t="str">
        <f t="shared" si="15"/>
        <v/>
      </c>
    </row>
    <row r="47" spans="7:7">
      <c r="G47" s="5" t="str">
        <f t="shared" si="15"/>
        <v/>
      </c>
    </row>
    <row r="48" spans="7:7">
      <c r="G48" s="5" t="str">
        <f t="shared" si="15"/>
        <v/>
      </c>
    </row>
    <row r="49" spans="7:7">
      <c r="G49" s="5" t="str">
        <f t="shared" si="15"/>
        <v/>
      </c>
    </row>
    <row r="50" spans="7:7">
      <c r="G50" s="5" t="str">
        <f t="shared" si="15"/>
        <v/>
      </c>
    </row>
    <row r="51" spans="7:7">
      <c r="G51" s="5" t="str">
        <f t="shared" si="15"/>
        <v/>
      </c>
    </row>
    <row r="52" spans="7:7">
      <c r="G52" s="5" t="str">
        <f t="shared" si="15"/>
        <v/>
      </c>
    </row>
    <row r="53" spans="7:7">
      <c r="G53" s="5" t="str">
        <f t="shared" si="15"/>
        <v/>
      </c>
    </row>
    <row r="54" spans="7:7">
      <c r="G54" s="5" t="str">
        <f t="shared" si="15"/>
        <v/>
      </c>
    </row>
    <row r="55" spans="7:7">
      <c r="G55" s="5" t="str">
        <f t="shared" si="15"/>
        <v/>
      </c>
    </row>
    <row r="56" spans="7:7">
      <c r="G56" s="5" t="str">
        <f t="shared" si="15"/>
        <v/>
      </c>
    </row>
    <row r="57" spans="7:7">
      <c r="G57" s="5" t="str">
        <f t="shared" si="15"/>
        <v/>
      </c>
    </row>
    <row r="58" spans="7:7">
      <c r="G58" s="5" t="str">
        <f t="shared" si="15"/>
        <v/>
      </c>
    </row>
    <row r="59" spans="7:7">
      <c r="G59" s="5" t="str">
        <f t="shared" si="15"/>
        <v/>
      </c>
    </row>
    <row r="60" spans="7:7">
      <c r="G60" s="5" t="str">
        <f t="shared" si="15"/>
        <v/>
      </c>
    </row>
    <row r="61" spans="7:7">
      <c r="G61" s="5" t="str">
        <f t="shared" si="15"/>
        <v/>
      </c>
    </row>
    <row r="62" spans="7:7">
      <c r="G62" s="5" t="str">
        <f t="shared" si="15"/>
        <v/>
      </c>
    </row>
    <row r="63" spans="7:7">
      <c r="G63" s="5" t="str">
        <f t="shared" si="15"/>
        <v/>
      </c>
    </row>
    <row r="64" spans="7:7">
      <c r="G64" s="5" t="str">
        <f t="shared" si="15"/>
        <v/>
      </c>
    </row>
    <row r="65" spans="7:7">
      <c r="G65" s="5" t="str">
        <f t="shared" si="15"/>
        <v/>
      </c>
    </row>
    <row r="66" spans="7:7">
      <c r="G66" s="5" t="str">
        <f t="shared" si="15"/>
        <v/>
      </c>
    </row>
    <row r="67" spans="7:7">
      <c r="G67" s="5" t="str">
        <f t="shared" si="15"/>
        <v/>
      </c>
    </row>
    <row r="68" spans="7:7">
      <c r="G68" s="5" t="str">
        <f t="shared" si="15"/>
        <v/>
      </c>
    </row>
    <row r="69" spans="7:7">
      <c r="G69" s="5" t="str">
        <f t="shared" si="15"/>
        <v/>
      </c>
    </row>
    <row r="70" spans="7:7">
      <c r="G70" s="5" t="str">
        <f t="shared" si="15"/>
        <v/>
      </c>
    </row>
    <row r="71" spans="7:7">
      <c r="G71" s="5" t="str">
        <f t="shared" si="15"/>
        <v/>
      </c>
    </row>
    <row r="72" spans="7:7">
      <c r="G72" s="5" t="str">
        <f t="shared" si="15"/>
        <v/>
      </c>
    </row>
    <row r="73" spans="7:7">
      <c r="G73" s="5" t="str">
        <f t="shared" si="15"/>
        <v/>
      </c>
    </row>
    <row r="74" spans="7:7">
      <c r="G74" s="5" t="str">
        <f t="shared" si="15"/>
        <v/>
      </c>
    </row>
    <row r="75" spans="7:7">
      <c r="G75" s="5" t="str">
        <f t="shared" si="15"/>
        <v/>
      </c>
    </row>
    <row r="76" spans="7:7">
      <c r="G76" s="5" t="str">
        <f t="shared" si="15"/>
        <v/>
      </c>
    </row>
    <row r="77" spans="7:7">
      <c r="G77" s="5" t="str">
        <f t="shared" si="15"/>
        <v/>
      </c>
    </row>
    <row r="78" spans="7:7">
      <c r="G78" s="5" t="str">
        <f t="shared" si="15"/>
        <v/>
      </c>
    </row>
    <row r="79" spans="7:7">
      <c r="G79" s="5" t="str">
        <f t="shared" si="15"/>
        <v/>
      </c>
    </row>
    <row r="80" spans="7:7">
      <c r="G80" s="5" t="str">
        <f t="shared" si="15"/>
        <v/>
      </c>
    </row>
    <row r="81" spans="7:7">
      <c r="G81" s="5" t="str">
        <f t="shared" si="15"/>
        <v/>
      </c>
    </row>
    <row r="82" spans="7:7">
      <c r="G82" s="5" t="str">
        <f t="shared" si="15"/>
        <v/>
      </c>
    </row>
    <row r="83" spans="7:7">
      <c r="G83" s="5" t="str">
        <f t="shared" si="15"/>
        <v/>
      </c>
    </row>
    <row r="84" spans="7:7">
      <c r="G84" s="5" t="str">
        <f t="shared" si="15"/>
        <v/>
      </c>
    </row>
    <row r="85" spans="7:7">
      <c r="G85" s="5" t="str">
        <f t="shared" si="15"/>
        <v/>
      </c>
    </row>
    <row r="86" spans="7:7">
      <c r="G86" s="5" t="str">
        <f t="shared" si="15"/>
        <v/>
      </c>
    </row>
    <row r="87" spans="7:7">
      <c r="G87" s="5" t="str">
        <f t="shared" si="15"/>
        <v/>
      </c>
    </row>
    <row r="88" spans="7:7">
      <c r="G88" s="5" t="str">
        <f t="shared" si="15"/>
        <v/>
      </c>
    </row>
    <row r="89" spans="7:7">
      <c r="G89" s="5" t="str">
        <f t="shared" si="15"/>
        <v/>
      </c>
    </row>
    <row r="90" spans="7:7">
      <c r="G90" s="5" t="str">
        <f t="shared" si="15"/>
        <v/>
      </c>
    </row>
    <row r="91" spans="7:7">
      <c r="G91" s="5" t="str">
        <f t="shared" si="15"/>
        <v/>
      </c>
    </row>
    <row r="92" spans="7:7">
      <c r="G92" s="5" t="str">
        <f t="shared" ref="G92:G155" si="16">IF(B92&lt;&gt;"",SUM(C92:F92),"")</f>
        <v/>
      </c>
    </row>
    <row r="93" spans="7:7">
      <c r="G93" s="5" t="str">
        <f t="shared" si="16"/>
        <v/>
      </c>
    </row>
    <row r="94" spans="7:7">
      <c r="G94" s="5" t="str">
        <f t="shared" si="16"/>
        <v/>
      </c>
    </row>
    <row r="95" spans="7:7">
      <c r="G95" s="5" t="str">
        <f t="shared" si="16"/>
        <v/>
      </c>
    </row>
    <row r="96" spans="7:7">
      <c r="G96" s="5" t="str">
        <f t="shared" si="16"/>
        <v/>
      </c>
    </row>
    <row r="97" spans="7:7">
      <c r="G97" s="5" t="str">
        <f t="shared" si="16"/>
        <v/>
      </c>
    </row>
    <row r="98" spans="7:7">
      <c r="G98" s="5" t="str">
        <f t="shared" si="16"/>
        <v/>
      </c>
    </row>
    <row r="99" spans="7:7">
      <c r="G99" s="5" t="str">
        <f t="shared" si="16"/>
        <v/>
      </c>
    </row>
    <row r="100" spans="7:7">
      <c r="G100" s="5" t="str">
        <f t="shared" si="16"/>
        <v/>
      </c>
    </row>
    <row r="101" spans="7:7">
      <c r="G101" s="5" t="str">
        <f t="shared" si="16"/>
        <v/>
      </c>
    </row>
    <row r="102" spans="7:7">
      <c r="G102" s="5" t="str">
        <f t="shared" si="16"/>
        <v/>
      </c>
    </row>
    <row r="103" spans="7:7">
      <c r="G103" s="5" t="str">
        <f t="shared" si="16"/>
        <v/>
      </c>
    </row>
    <row r="104" spans="7:7">
      <c r="G104" s="5" t="str">
        <f t="shared" si="16"/>
        <v/>
      </c>
    </row>
    <row r="105" spans="7:7">
      <c r="G105" s="5" t="str">
        <f t="shared" si="16"/>
        <v/>
      </c>
    </row>
    <row r="106" spans="7:7">
      <c r="G106" s="5" t="str">
        <f t="shared" si="16"/>
        <v/>
      </c>
    </row>
    <row r="107" spans="7:7">
      <c r="G107" s="5" t="str">
        <f t="shared" si="16"/>
        <v/>
      </c>
    </row>
    <row r="108" spans="7:7">
      <c r="G108" s="5" t="str">
        <f t="shared" si="16"/>
        <v/>
      </c>
    </row>
    <row r="109" spans="7:7">
      <c r="G109" s="5" t="str">
        <f t="shared" si="16"/>
        <v/>
      </c>
    </row>
    <row r="110" spans="7:7">
      <c r="G110" s="5" t="str">
        <f t="shared" si="16"/>
        <v/>
      </c>
    </row>
    <row r="111" spans="7:7">
      <c r="G111" s="5" t="str">
        <f t="shared" si="16"/>
        <v/>
      </c>
    </row>
    <row r="112" spans="7:7">
      <c r="G112" s="5" t="str">
        <f t="shared" si="16"/>
        <v/>
      </c>
    </row>
    <row r="113" spans="7:7">
      <c r="G113" s="5" t="str">
        <f t="shared" si="16"/>
        <v/>
      </c>
    </row>
    <row r="114" spans="7:7">
      <c r="G114" s="5" t="str">
        <f t="shared" si="16"/>
        <v/>
      </c>
    </row>
    <row r="115" spans="7:7">
      <c r="G115" s="5" t="str">
        <f t="shared" si="16"/>
        <v/>
      </c>
    </row>
    <row r="116" spans="7:7">
      <c r="G116" s="5" t="str">
        <f t="shared" si="16"/>
        <v/>
      </c>
    </row>
    <row r="117" spans="7:7">
      <c r="G117" s="5" t="str">
        <f t="shared" si="16"/>
        <v/>
      </c>
    </row>
    <row r="118" spans="7:7">
      <c r="G118" s="5" t="str">
        <f t="shared" si="16"/>
        <v/>
      </c>
    </row>
    <row r="119" spans="7:7">
      <c r="G119" s="5" t="str">
        <f t="shared" si="16"/>
        <v/>
      </c>
    </row>
    <row r="120" spans="7:7">
      <c r="G120" s="5" t="str">
        <f t="shared" si="16"/>
        <v/>
      </c>
    </row>
    <row r="121" spans="7:7">
      <c r="G121" s="5" t="str">
        <f t="shared" si="16"/>
        <v/>
      </c>
    </row>
    <row r="122" spans="7:7">
      <c r="G122" s="5" t="str">
        <f t="shared" si="16"/>
        <v/>
      </c>
    </row>
    <row r="123" spans="7:7">
      <c r="G123" s="5" t="str">
        <f t="shared" si="16"/>
        <v/>
      </c>
    </row>
    <row r="124" spans="7:7">
      <c r="G124" s="5" t="str">
        <f t="shared" si="16"/>
        <v/>
      </c>
    </row>
    <row r="125" spans="7:7">
      <c r="G125" s="5" t="str">
        <f t="shared" si="16"/>
        <v/>
      </c>
    </row>
    <row r="126" spans="7:7">
      <c r="G126" s="5" t="str">
        <f t="shared" si="16"/>
        <v/>
      </c>
    </row>
    <row r="127" spans="7:7">
      <c r="G127" s="5" t="str">
        <f t="shared" si="16"/>
        <v/>
      </c>
    </row>
    <row r="128" spans="7:7">
      <c r="G128" s="5" t="str">
        <f t="shared" si="16"/>
        <v/>
      </c>
    </row>
    <row r="129" spans="7:7">
      <c r="G129" s="5" t="str">
        <f t="shared" si="16"/>
        <v/>
      </c>
    </row>
    <row r="130" spans="7:7">
      <c r="G130" s="5" t="str">
        <f t="shared" si="16"/>
        <v/>
      </c>
    </row>
    <row r="131" spans="7:7">
      <c r="G131" s="5" t="str">
        <f t="shared" si="16"/>
        <v/>
      </c>
    </row>
    <row r="132" spans="7:7">
      <c r="G132" s="5" t="str">
        <f t="shared" si="16"/>
        <v/>
      </c>
    </row>
    <row r="133" spans="7:7">
      <c r="G133" s="5" t="str">
        <f t="shared" si="16"/>
        <v/>
      </c>
    </row>
    <row r="134" spans="7:7">
      <c r="G134" s="5" t="str">
        <f t="shared" si="16"/>
        <v/>
      </c>
    </row>
    <row r="135" spans="7:7">
      <c r="G135" s="5" t="str">
        <f t="shared" si="16"/>
        <v/>
      </c>
    </row>
    <row r="136" spans="7:7">
      <c r="G136" s="5" t="str">
        <f t="shared" si="16"/>
        <v/>
      </c>
    </row>
    <row r="137" spans="7:7">
      <c r="G137" s="5" t="str">
        <f t="shared" si="16"/>
        <v/>
      </c>
    </row>
    <row r="138" spans="7:7">
      <c r="G138" s="5" t="str">
        <f t="shared" si="16"/>
        <v/>
      </c>
    </row>
    <row r="139" spans="7:7">
      <c r="G139" s="5" t="str">
        <f t="shared" si="16"/>
        <v/>
      </c>
    </row>
    <row r="140" spans="7:7">
      <c r="G140" s="5" t="str">
        <f t="shared" si="16"/>
        <v/>
      </c>
    </row>
    <row r="141" spans="7:7">
      <c r="G141" s="5" t="str">
        <f t="shared" si="16"/>
        <v/>
      </c>
    </row>
    <row r="142" spans="7:7">
      <c r="G142" s="5" t="str">
        <f t="shared" si="16"/>
        <v/>
      </c>
    </row>
    <row r="143" spans="7:7">
      <c r="G143" s="5" t="str">
        <f t="shared" si="16"/>
        <v/>
      </c>
    </row>
    <row r="144" spans="7:7">
      <c r="G144" s="5" t="str">
        <f t="shared" si="16"/>
        <v/>
      </c>
    </row>
    <row r="145" spans="7:7">
      <c r="G145" s="5" t="str">
        <f t="shared" si="16"/>
        <v/>
      </c>
    </row>
    <row r="146" spans="7:7">
      <c r="G146" s="5" t="str">
        <f t="shared" si="16"/>
        <v/>
      </c>
    </row>
    <row r="147" spans="7:7">
      <c r="G147" s="5" t="str">
        <f t="shared" si="16"/>
        <v/>
      </c>
    </row>
    <row r="148" spans="7:7">
      <c r="G148" s="5" t="str">
        <f t="shared" si="16"/>
        <v/>
      </c>
    </row>
    <row r="149" spans="7:7">
      <c r="G149" s="5" t="str">
        <f t="shared" si="16"/>
        <v/>
      </c>
    </row>
    <row r="150" spans="7:7">
      <c r="G150" s="5" t="str">
        <f t="shared" si="16"/>
        <v/>
      </c>
    </row>
    <row r="151" spans="7:7">
      <c r="G151" s="5" t="str">
        <f t="shared" si="16"/>
        <v/>
      </c>
    </row>
    <row r="152" spans="7:7">
      <c r="G152" s="5" t="str">
        <f t="shared" si="16"/>
        <v/>
      </c>
    </row>
    <row r="153" spans="7:7">
      <c r="G153" s="5" t="str">
        <f t="shared" si="16"/>
        <v/>
      </c>
    </row>
    <row r="154" spans="7:7">
      <c r="G154" s="5" t="str">
        <f t="shared" si="16"/>
        <v/>
      </c>
    </row>
    <row r="155" spans="7:7">
      <c r="G155" s="5" t="str">
        <f t="shared" si="16"/>
        <v/>
      </c>
    </row>
    <row r="156" spans="7:7">
      <c r="G156" s="5" t="str">
        <f t="shared" ref="G156:G219" si="17">IF(B156&lt;&gt;"",SUM(C156:F156),"")</f>
        <v/>
      </c>
    </row>
    <row r="157" spans="7:7">
      <c r="G157" s="5" t="str">
        <f t="shared" si="17"/>
        <v/>
      </c>
    </row>
    <row r="158" spans="7:7">
      <c r="G158" s="5" t="str">
        <f t="shared" si="17"/>
        <v/>
      </c>
    </row>
    <row r="159" spans="7:7">
      <c r="G159" s="5" t="str">
        <f t="shared" si="17"/>
        <v/>
      </c>
    </row>
    <row r="160" spans="7:7">
      <c r="G160" s="5" t="str">
        <f t="shared" si="17"/>
        <v/>
      </c>
    </row>
    <row r="161" spans="7:7">
      <c r="G161" s="5" t="str">
        <f t="shared" si="17"/>
        <v/>
      </c>
    </row>
    <row r="162" spans="7:7">
      <c r="G162" s="5" t="str">
        <f t="shared" si="17"/>
        <v/>
      </c>
    </row>
    <row r="163" spans="7:7">
      <c r="G163" s="5" t="str">
        <f t="shared" si="17"/>
        <v/>
      </c>
    </row>
    <row r="164" spans="7:7">
      <c r="G164" s="5" t="str">
        <f t="shared" si="17"/>
        <v/>
      </c>
    </row>
    <row r="165" spans="7:7">
      <c r="G165" s="5" t="str">
        <f t="shared" si="17"/>
        <v/>
      </c>
    </row>
    <row r="166" spans="7:7">
      <c r="G166" s="5" t="str">
        <f t="shared" si="17"/>
        <v/>
      </c>
    </row>
    <row r="167" spans="7:7">
      <c r="G167" s="5" t="str">
        <f t="shared" si="17"/>
        <v/>
      </c>
    </row>
    <row r="168" spans="7:7">
      <c r="G168" s="5" t="str">
        <f t="shared" si="17"/>
        <v/>
      </c>
    </row>
    <row r="169" spans="7:7">
      <c r="G169" s="5" t="str">
        <f t="shared" si="17"/>
        <v/>
      </c>
    </row>
    <row r="170" spans="7:7">
      <c r="G170" s="5" t="str">
        <f t="shared" si="17"/>
        <v/>
      </c>
    </row>
    <row r="171" spans="7:7">
      <c r="G171" s="5" t="str">
        <f t="shared" si="17"/>
        <v/>
      </c>
    </row>
    <row r="172" spans="7:7">
      <c r="G172" s="5" t="str">
        <f t="shared" si="17"/>
        <v/>
      </c>
    </row>
    <row r="173" spans="7:7">
      <c r="G173" s="5" t="str">
        <f t="shared" si="17"/>
        <v/>
      </c>
    </row>
    <row r="174" spans="7:7">
      <c r="G174" s="5" t="str">
        <f t="shared" si="17"/>
        <v/>
      </c>
    </row>
    <row r="175" spans="7:7">
      <c r="G175" s="5" t="str">
        <f t="shared" si="17"/>
        <v/>
      </c>
    </row>
    <row r="176" spans="7:7">
      <c r="G176" s="5" t="str">
        <f t="shared" si="17"/>
        <v/>
      </c>
    </row>
    <row r="177" spans="7:7">
      <c r="G177" s="5" t="str">
        <f t="shared" si="17"/>
        <v/>
      </c>
    </row>
    <row r="178" spans="7:7">
      <c r="G178" s="5" t="str">
        <f t="shared" si="17"/>
        <v/>
      </c>
    </row>
    <row r="179" spans="7:7">
      <c r="G179" s="5" t="str">
        <f t="shared" si="17"/>
        <v/>
      </c>
    </row>
    <row r="180" spans="7:7">
      <c r="G180" s="5" t="str">
        <f t="shared" si="17"/>
        <v/>
      </c>
    </row>
    <row r="181" spans="7:7">
      <c r="G181" s="5" t="str">
        <f t="shared" si="17"/>
        <v/>
      </c>
    </row>
    <row r="182" spans="7:7">
      <c r="G182" s="5" t="str">
        <f t="shared" si="17"/>
        <v/>
      </c>
    </row>
    <row r="183" spans="7:7">
      <c r="G183" s="5" t="str">
        <f t="shared" si="17"/>
        <v/>
      </c>
    </row>
    <row r="184" spans="7:7">
      <c r="G184" s="5" t="str">
        <f t="shared" si="17"/>
        <v/>
      </c>
    </row>
    <row r="185" spans="7:7">
      <c r="G185" s="5" t="str">
        <f t="shared" si="17"/>
        <v/>
      </c>
    </row>
    <row r="186" spans="7:7">
      <c r="G186" s="5" t="str">
        <f t="shared" si="17"/>
        <v/>
      </c>
    </row>
    <row r="187" spans="7:7">
      <c r="G187" s="5" t="str">
        <f t="shared" si="17"/>
        <v/>
      </c>
    </row>
    <row r="188" spans="7:7">
      <c r="G188" s="5" t="str">
        <f t="shared" si="17"/>
        <v/>
      </c>
    </row>
    <row r="189" spans="7:7">
      <c r="G189" s="5" t="str">
        <f t="shared" si="17"/>
        <v/>
      </c>
    </row>
    <row r="190" spans="7:7">
      <c r="G190" s="5" t="str">
        <f t="shared" si="17"/>
        <v/>
      </c>
    </row>
    <row r="191" spans="7:7">
      <c r="G191" s="5" t="str">
        <f t="shared" si="17"/>
        <v/>
      </c>
    </row>
    <row r="192" spans="7:7">
      <c r="G192" s="5" t="str">
        <f t="shared" si="17"/>
        <v/>
      </c>
    </row>
    <row r="193" spans="7:7">
      <c r="G193" s="5" t="str">
        <f t="shared" si="17"/>
        <v/>
      </c>
    </row>
    <row r="194" spans="7:7">
      <c r="G194" s="5" t="str">
        <f t="shared" si="17"/>
        <v/>
      </c>
    </row>
    <row r="195" spans="7:7">
      <c r="G195" s="5" t="str">
        <f t="shared" si="17"/>
        <v/>
      </c>
    </row>
    <row r="196" spans="7:7">
      <c r="G196" s="5" t="str">
        <f t="shared" si="17"/>
        <v/>
      </c>
    </row>
    <row r="197" spans="7:7">
      <c r="G197" s="5" t="str">
        <f t="shared" si="17"/>
        <v/>
      </c>
    </row>
    <row r="198" spans="7:7">
      <c r="G198" s="5" t="str">
        <f t="shared" si="17"/>
        <v/>
      </c>
    </row>
    <row r="199" spans="7:7">
      <c r="G199" s="5" t="str">
        <f t="shared" si="17"/>
        <v/>
      </c>
    </row>
    <row r="200" spans="7:7">
      <c r="G200" s="5" t="str">
        <f t="shared" si="17"/>
        <v/>
      </c>
    </row>
    <row r="201" spans="7:7">
      <c r="G201" s="5" t="str">
        <f t="shared" si="17"/>
        <v/>
      </c>
    </row>
    <row r="202" spans="7:7">
      <c r="G202" s="5" t="str">
        <f t="shared" si="17"/>
        <v/>
      </c>
    </row>
    <row r="203" spans="7:7">
      <c r="G203" s="5" t="str">
        <f t="shared" si="17"/>
        <v/>
      </c>
    </row>
    <row r="204" spans="7:7">
      <c r="G204" s="5" t="str">
        <f t="shared" si="17"/>
        <v/>
      </c>
    </row>
    <row r="205" spans="7:7">
      <c r="G205" s="5" t="str">
        <f t="shared" si="17"/>
        <v/>
      </c>
    </row>
    <row r="206" spans="7:7">
      <c r="G206" s="5" t="str">
        <f t="shared" si="17"/>
        <v/>
      </c>
    </row>
    <row r="207" spans="7:7">
      <c r="G207" s="5" t="str">
        <f t="shared" si="17"/>
        <v/>
      </c>
    </row>
    <row r="208" spans="7:7">
      <c r="G208" s="5" t="str">
        <f t="shared" si="17"/>
        <v/>
      </c>
    </row>
    <row r="209" spans="7:7">
      <c r="G209" s="5" t="str">
        <f t="shared" si="17"/>
        <v/>
      </c>
    </row>
    <row r="210" spans="7:7">
      <c r="G210" s="5" t="str">
        <f t="shared" si="17"/>
        <v/>
      </c>
    </row>
    <row r="211" spans="7:7">
      <c r="G211" s="5" t="str">
        <f t="shared" si="17"/>
        <v/>
      </c>
    </row>
    <row r="212" spans="7:7">
      <c r="G212" s="5" t="str">
        <f t="shared" si="17"/>
        <v/>
      </c>
    </row>
    <row r="213" spans="7:7">
      <c r="G213" s="5" t="str">
        <f t="shared" si="17"/>
        <v/>
      </c>
    </row>
    <row r="214" spans="7:7">
      <c r="G214" s="5" t="str">
        <f t="shared" si="17"/>
        <v/>
      </c>
    </row>
    <row r="215" spans="7:7">
      <c r="G215" s="5" t="str">
        <f t="shared" si="17"/>
        <v/>
      </c>
    </row>
    <row r="216" spans="7:7">
      <c r="G216" s="5" t="str">
        <f t="shared" si="17"/>
        <v/>
      </c>
    </row>
    <row r="217" spans="7:7">
      <c r="G217" s="5" t="str">
        <f t="shared" si="17"/>
        <v/>
      </c>
    </row>
    <row r="218" spans="7:7">
      <c r="G218" s="5" t="str">
        <f t="shared" si="17"/>
        <v/>
      </c>
    </row>
    <row r="219" spans="7:7">
      <c r="G219" s="5" t="str">
        <f t="shared" si="17"/>
        <v/>
      </c>
    </row>
    <row r="220" spans="7:7">
      <c r="G220" s="5" t="str">
        <f t="shared" ref="G220:G283" si="18">IF(B220&lt;&gt;"",SUM(C220:F220),"")</f>
        <v/>
      </c>
    </row>
    <row r="221" spans="7:7">
      <c r="G221" s="5" t="str">
        <f t="shared" si="18"/>
        <v/>
      </c>
    </row>
    <row r="222" spans="7:7">
      <c r="G222" s="5" t="str">
        <f t="shared" si="18"/>
        <v/>
      </c>
    </row>
    <row r="223" spans="7:7">
      <c r="G223" s="5" t="str">
        <f t="shared" si="18"/>
        <v/>
      </c>
    </row>
    <row r="224" spans="7:7">
      <c r="G224" s="5" t="str">
        <f t="shared" si="18"/>
        <v/>
      </c>
    </row>
    <row r="225" spans="7:7">
      <c r="G225" s="5" t="str">
        <f t="shared" si="18"/>
        <v/>
      </c>
    </row>
    <row r="226" spans="7:7">
      <c r="G226" s="5" t="str">
        <f t="shared" si="18"/>
        <v/>
      </c>
    </row>
    <row r="227" spans="7:7">
      <c r="G227" s="5" t="str">
        <f t="shared" si="18"/>
        <v/>
      </c>
    </row>
    <row r="228" spans="7:7">
      <c r="G228" s="5" t="str">
        <f t="shared" si="18"/>
        <v/>
      </c>
    </row>
    <row r="229" spans="7:7">
      <c r="G229" s="5" t="str">
        <f t="shared" si="18"/>
        <v/>
      </c>
    </row>
    <row r="230" spans="7:7">
      <c r="G230" s="5" t="str">
        <f t="shared" si="18"/>
        <v/>
      </c>
    </row>
    <row r="231" spans="7:7">
      <c r="G231" s="5" t="str">
        <f t="shared" si="18"/>
        <v/>
      </c>
    </row>
    <row r="232" spans="7:7">
      <c r="G232" s="5" t="str">
        <f t="shared" si="18"/>
        <v/>
      </c>
    </row>
    <row r="233" spans="7:7">
      <c r="G233" s="5" t="str">
        <f t="shared" si="18"/>
        <v/>
      </c>
    </row>
    <row r="234" spans="7:7">
      <c r="G234" s="5" t="str">
        <f t="shared" si="18"/>
        <v/>
      </c>
    </row>
    <row r="235" spans="7:7">
      <c r="G235" s="5" t="str">
        <f t="shared" si="18"/>
        <v/>
      </c>
    </row>
    <row r="236" spans="7:7">
      <c r="G236" s="5" t="str">
        <f t="shared" si="18"/>
        <v/>
      </c>
    </row>
    <row r="237" spans="7:7">
      <c r="G237" s="5" t="str">
        <f t="shared" si="18"/>
        <v/>
      </c>
    </row>
    <row r="238" spans="7:7">
      <c r="G238" s="5" t="str">
        <f t="shared" si="18"/>
        <v/>
      </c>
    </row>
    <row r="239" spans="7:7">
      <c r="G239" s="5" t="str">
        <f t="shared" si="18"/>
        <v/>
      </c>
    </row>
    <row r="240" spans="7:7">
      <c r="G240" s="5" t="str">
        <f t="shared" si="18"/>
        <v/>
      </c>
    </row>
    <row r="241" spans="7:7">
      <c r="G241" s="5" t="str">
        <f t="shared" si="18"/>
        <v/>
      </c>
    </row>
    <row r="242" spans="7:7">
      <c r="G242" s="5" t="str">
        <f t="shared" si="18"/>
        <v/>
      </c>
    </row>
    <row r="243" spans="7:7">
      <c r="G243" s="5" t="str">
        <f t="shared" si="18"/>
        <v/>
      </c>
    </row>
    <row r="244" spans="7:7">
      <c r="G244" s="5" t="str">
        <f t="shared" si="18"/>
        <v/>
      </c>
    </row>
    <row r="245" spans="7:7">
      <c r="G245" s="5" t="str">
        <f t="shared" si="18"/>
        <v/>
      </c>
    </row>
    <row r="246" spans="7:7">
      <c r="G246" s="5" t="str">
        <f t="shared" si="18"/>
        <v/>
      </c>
    </row>
    <row r="247" spans="7:7">
      <c r="G247" s="5" t="str">
        <f t="shared" si="18"/>
        <v/>
      </c>
    </row>
    <row r="248" spans="7:7">
      <c r="G248" s="5" t="str">
        <f t="shared" si="18"/>
        <v/>
      </c>
    </row>
    <row r="249" spans="7:7">
      <c r="G249" s="5" t="str">
        <f t="shared" si="18"/>
        <v/>
      </c>
    </row>
    <row r="250" spans="7:7">
      <c r="G250" s="5" t="str">
        <f t="shared" si="18"/>
        <v/>
      </c>
    </row>
    <row r="251" spans="7:7">
      <c r="G251" s="5" t="str">
        <f t="shared" si="18"/>
        <v/>
      </c>
    </row>
    <row r="252" spans="7:7">
      <c r="G252" s="5" t="str">
        <f t="shared" si="18"/>
        <v/>
      </c>
    </row>
    <row r="253" spans="7:7">
      <c r="G253" s="5" t="str">
        <f t="shared" si="18"/>
        <v/>
      </c>
    </row>
    <row r="254" spans="7:7">
      <c r="G254" s="5" t="str">
        <f t="shared" si="18"/>
        <v/>
      </c>
    </row>
    <row r="255" spans="7:7">
      <c r="G255" s="5" t="str">
        <f t="shared" si="18"/>
        <v/>
      </c>
    </row>
    <row r="256" spans="7:7">
      <c r="G256" s="5" t="str">
        <f t="shared" si="18"/>
        <v/>
      </c>
    </row>
    <row r="257" spans="7:7">
      <c r="G257" s="5" t="str">
        <f t="shared" si="18"/>
        <v/>
      </c>
    </row>
    <row r="258" spans="7:7">
      <c r="G258" s="5" t="str">
        <f t="shared" si="18"/>
        <v/>
      </c>
    </row>
    <row r="259" spans="7:7">
      <c r="G259" s="5" t="str">
        <f t="shared" si="18"/>
        <v/>
      </c>
    </row>
    <row r="260" spans="7:7">
      <c r="G260" s="5" t="str">
        <f t="shared" si="18"/>
        <v/>
      </c>
    </row>
    <row r="261" spans="7:7">
      <c r="G261" s="5" t="str">
        <f t="shared" si="18"/>
        <v/>
      </c>
    </row>
    <row r="262" spans="7:7">
      <c r="G262" s="5" t="str">
        <f t="shared" si="18"/>
        <v/>
      </c>
    </row>
    <row r="263" spans="7:7">
      <c r="G263" s="5" t="str">
        <f t="shared" si="18"/>
        <v/>
      </c>
    </row>
    <row r="264" spans="7:7">
      <c r="G264" s="5" t="str">
        <f t="shared" si="18"/>
        <v/>
      </c>
    </row>
    <row r="265" spans="7:7">
      <c r="G265" s="5" t="str">
        <f t="shared" si="18"/>
        <v/>
      </c>
    </row>
    <row r="266" spans="7:7">
      <c r="G266" s="5" t="str">
        <f t="shared" si="18"/>
        <v/>
      </c>
    </row>
    <row r="267" spans="7:7">
      <c r="G267" s="5" t="str">
        <f t="shared" si="18"/>
        <v/>
      </c>
    </row>
    <row r="268" spans="7:7">
      <c r="G268" s="5" t="str">
        <f t="shared" si="18"/>
        <v/>
      </c>
    </row>
    <row r="269" spans="7:7">
      <c r="G269" s="5" t="str">
        <f t="shared" si="18"/>
        <v/>
      </c>
    </row>
    <row r="270" spans="7:7">
      <c r="G270" s="5" t="str">
        <f t="shared" si="18"/>
        <v/>
      </c>
    </row>
    <row r="271" spans="7:7">
      <c r="G271" s="5" t="str">
        <f t="shared" si="18"/>
        <v/>
      </c>
    </row>
    <row r="272" spans="7:7">
      <c r="G272" s="5" t="str">
        <f t="shared" si="18"/>
        <v/>
      </c>
    </row>
    <row r="273" spans="7:7">
      <c r="G273" s="5" t="str">
        <f t="shared" si="18"/>
        <v/>
      </c>
    </row>
    <row r="274" spans="7:7">
      <c r="G274" s="5" t="str">
        <f t="shared" si="18"/>
        <v/>
      </c>
    </row>
    <row r="275" spans="7:7">
      <c r="G275" s="5" t="str">
        <f t="shared" si="18"/>
        <v/>
      </c>
    </row>
    <row r="276" spans="7:7">
      <c r="G276" s="5" t="str">
        <f t="shared" si="18"/>
        <v/>
      </c>
    </row>
    <row r="277" spans="7:7">
      <c r="G277" s="5" t="str">
        <f t="shared" si="18"/>
        <v/>
      </c>
    </row>
    <row r="278" spans="7:7">
      <c r="G278" s="5" t="str">
        <f t="shared" si="18"/>
        <v/>
      </c>
    </row>
    <row r="279" spans="7:7">
      <c r="G279" s="5" t="str">
        <f t="shared" si="18"/>
        <v/>
      </c>
    </row>
    <row r="280" spans="7:7">
      <c r="G280" s="5" t="str">
        <f t="shared" si="18"/>
        <v/>
      </c>
    </row>
    <row r="281" spans="7:7">
      <c r="G281" s="5" t="str">
        <f t="shared" si="18"/>
        <v/>
      </c>
    </row>
    <row r="282" spans="7:7">
      <c r="G282" s="5" t="str">
        <f t="shared" si="18"/>
        <v/>
      </c>
    </row>
    <row r="283" spans="7:7">
      <c r="G283" s="5" t="str">
        <f t="shared" si="18"/>
        <v/>
      </c>
    </row>
    <row r="284" spans="7:7">
      <c r="G284" s="5" t="str">
        <f t="shared" ref="G284:G347" si="19">IF(B284&lt;&gt;"",SUM(C284:F284),"")</f>
        <v/>
      </c>
    </row>
    <row r="285" spans="7:7">
      <c r="G285" s="5" t="str">
        <f t="shared" si="19"/>
        <v/>
      </c>
    </row>
    <row r="286" spans="7:7">
      <c r="G286" s="5" t="str">
        <f t="shared" si="19"/>
        <v/>
      </c>
    </row>
    <row r="287" spans="7:7">
      <c r="G287" s="5" t="str">
        <f t="shared" si="19"/>
        <v/>
      </c>
    </row>
    <row r="288" spans="7:7">
      <c r="G288" s="5" t="str">
        <f t="shared" si="19"/>
        <v/>
      </c>
    </row>
    <row r="289" spans="7:7">
      <c r="G289" s="5" t="str">
        <f t="shared" si="19"/>
        <v/>
      </c>
    </row>
    <row r="290" spans="7:7">
      <c r="G290" s="5" t="str">
        <f t="shared" si="19"/>
        <v/>
      </c>
    </row>
    <row r="291" spans="7:7">
      <c r="G291" s="5" t="str">
        <f t="shared" si="19"/>
        <v/>
      </c>
    </row>
    <row r="292" spans="7:7">
      <c r="G292" s="5" t="str">
        <f t="shared" si="19"/>
        <v/>
      </c>
    </row>
    <row r="293" spans="7:7">
      <c r="G293" s="5" t="str">
        <f t="shared" si="19"/>
        <v/>
      </c>
    </row>
    <row r="294" spans="7:7">
      <c r="G294" s="5" t="str">
        <f t="shared" si="19"/>
        <v/>
      </c>
    </row>
    <row r="295" spans="7:7">
      <c r="G295" s="5" t="str">
        <f t="shared" si="19"/>
        <v/>
      </c>
    </row>
    <row r="296" spans="7:7">
      <c r="G296" s="5" t="str">
        <f t="shared" si="19"/>
        <v/>
      </c>
    </row>
    <row r="297" spans="7:7">
      <c r="G297" s="5" t="str">
        <f t="shared" si="19"/>
        <v/>
      </c>
    </row>
    <row r="298" spans="7:7">
      <c r="G298" s="5" t="str">
        <f t="shared" si="19"/>
        <v/>
      </c>
    </row>
    <row r="299" spans="7:7">
      <c r="G299" s="5" t="str">
        <f t="shared" si="19"/>
        <v/>
      </c>
    </row>
    <row r="300" spans="7:7">
      <c r="G300" s="5" t="str">
        <f t="shared" si="19"/>
        <v/>
      </c>
    </row>
    <row r="301" spans="7:7">
      <c r="G301" s="5" t="str">
        <f t="shared" si="19"/>
        <v/>
      </c>
    </row>
    <row r="302" spans="7:7">
      <c r="G302" s="5" t="str">
        <f t="shared" si="19"/>
        <v/>
      </c>
    </row>
    <row r="303" spans="7:7">
      <c r="G303" s="5" t="str">
        <f t="shared" si="19"/>
        <v/>
      </c>
    </row>
    <row r="304" spans="7:7">
      <c r="G304" s="5" t="str">
        <f t="shared" si="19"/>
        <v/>
      </c>
    </row>
    <row r="305" spans="7:7">
      <c r="G305" s="5" t="str">
        <f t="shared" si="19"/>
        <v/>
      </c>
    </row>
    <row r="306" spans="7:7">
      <c r="G306" s="5" t="str">
        <f t="shared" si="19"/>
        <v/>
      </c>
    </row>
    <row r="307" spans="7:7">
      <c r="G307" s="5" t="str">
        <f t="shared" si="19"/>
        <v/>
      </c>
    </row>
    <row r="308" spans="7:7">
      <c r="G308" s="5" t="str">
        <f t="shared" si="19"/>
        <v/>
      </c>
    </row>
    <row r="309" spans="7:7">
      <c r="G309" s="5" t="str">
        <f t="shared" si="19"/>
        <v/>
      </c>
    </row>
    <row r="310" spans="7:7">
      <c r="G310" s="5" t="str">
        <f t="shared" si="19"/>
        <v/>
      </c>
    </row>
    <row r="311" spans="7:7">
      <c r="G311" s="5" t="str">
        <f t="shared" si="19"/>
        <v/>
      </c>
    </row>
    <row r="312" spans="7:7">
      <c r="G312" s="5" t="str">
        <f t="shared" si="19"/>
        <v/>
      </c>
    </row>
    <row r="313" spans="7:7">
      <c r="G313" s="5" t="str">
        <f t="shared" si="19"/>
        <v/>
      </c>
    </row>
    <row r="314" spans="7:7">
      <c r="G314" s="5" t="str">
        <f t="shared" si="19"/>
        <v/>
      </c>
    </row>
    <row r="315" spans="7:7">
      <c r="G315" s="5" t="str">
        <f t="shared" si="19"/>
        <v/>
      </c>
    </row>
    <row r="316" spans="7:7">
      <c r="G316" s="5" t="str">
        <f t="shared" si="19"/>
        <v/>
      </c>
    </row>
    <row r="317" spans="7:7">
      <c r="G317" s="5" t="str">
        <f t="shared" si="19"/>
        <v/>
      </c>
    </row>
    <row r="318" spans="7:7">
      <c r="G318" s="5" t="str">
        <f t="shared" si="19"/>
        <v/>
      </c>
    </row>
    <row r="319" spans="7:7">
      <c r="G319" s="5" t="str">
        <f t="shared" si="19"/>
        <v/>
      </c>
    </row>
    <row r="320" spans="7:7">
      <c r="G320" s="5" t="str">
        <f t="shared" si="19"/>
        <v/>
      </c>
    </row>
    <row r="321" spans="7:7">
      <c r="G321" s="5" t="str">
        <f t="shared" si="19"/>
        <v/>
      </c>
    </row>
    <row r="322" spans="7:7">
      <c r="G322" s="5" t="str">
        <f t="shared" si="19"/>
        <v/>
      </c>
    </row>
    <row r="323" spans="7:7">
      <c r="G323" s="5" t="str">
        <f t="shared" si="19"/>
        <v/>
      </c>
    </row>
    <row r="324" spans="7:7">
      <c r="G324" s="5" t="str">
        <f t="shared" si="19"/>
        <v/>
      </c>
    </row>
    <row r="325" spans="7:7">
      <c r="G325" s="5" t="str">
        <f t="shared" si="19"/>
        <v/>
      </c>
    </row>
    <row r="326" spans="7:7">
      <c r="G326" s="5" t="str">
        <f t="shared" si="19"/>
        <v/>
      </c>
    </row>
    <row r="327" spans="7:7">
      <c r="G327" s="5" t="str">
        <f t="shared" si="19"/>
        <v/>
      </c>
    </row>
    <row r="328" spans="7:7">
      <c r="G328" s="5" t="str">
        <f t="shared" si="19"/>
        <v/>
      </c>
    </row>
    <row r="329" spans="7:7">
      <c r="G329" s="5" t="str">
        <f t="shared" si="19"/>
        <v/>
      </c>
    </row>
    <row r="330" spans="7:7">
      <c r="G330" s="5" t="str">
        <f t="shared" si="19"/>
        <v/>
      </c>
    </row>
    <row r="331" spans="7:7">
      <c r="G331" s="5" t="str">
        <f t="shared" si="19"/>
        <v/>
      </c>
    </row>
    <row r="332" spans="7:7">
      <c r="G332" s="5" t="str">
        <f t="shared" si="19"/>
        <v/>
      </c>
    </row>
    <row r="333" spans="7:7">
      <c r="G333" s="5" t="str">
        <f t="shared" si="19"/>
        <v/>
      </c>
    </row>
    <row r="334" spans="7:7">
      <c r="G334" s="5" t="str">
        <f t="shared" si="19"/>
        <v/>
      </c>
    </row>
    <row r="335" spans="7:7">
      <c r="G335" s="5" t="str">
        <f t="shared" si="19"/>
        <v/>
      </c>
    </row>
    <row r="336" spans="7:7">
      <c r="G336" s="5" t="str">
        <f t="shared" si="19"/>
        <v/>
      </c>
    </row>
    <row r="337" spans="7:7">
      <c r="G337" s="5" t="str">
        <f t="shared" si="19"/>
        <v/>
      </c>
    </row>
    <row r="338" spans="7:7">
      <c r="G338" s="5" t="str">
        <f t="shared" si="19"/>
        <v/>
      </c>
    </row>
    <row r="339" spans="7:7">
      <c r="G339" s="5" t="str">
        <f t="shared" si="19"/>
        <v/>
      </c>
    </row>
    <row r="340" spans="7:7">
      <c r="G340" s="5" t="str">
        <f t="shared" si="19"/>
        <v/>
      </c>
    </row>
    <row r="341" spans="7:7">
      <c r="G341" s="5" t="str">
        <f t="shared" si="19"/>
        <v/>
      </c>
    </row>
    <row r="342" spans="7:7">
      <c r="G342" s="5" t="str">
        <f t="shared" si="19"/>
        <v/>
      </c>
    </row>
    <row r="343" spans="7:7">
      <c r="G343" s="5" t="str">
        <f t="shared" si="19"/>
        <v/>
      </c>
    </row>
    <row r="344" spans="7:7">
      <c r="G344" s="5" t="str">
        <f t="shared" si="19"/>
        <v/>
      </c>
    </row>
    <row r="345" spans="7:7">
      <c r="G345" s="5" t="str">
        <f t="shared" si="19"/>
        <v/>
      </c>
    </row>
    <row r="346" spans="7:7">
      <c r="G346" s="5" t="str">
        <f t="shared" si="19"/>
        <v/>
      </c>
    </row>
    <row r="347" spans="7:7">
      <c r="G347" s="5" t="str">
        <f t="shared" si="19"/>
        <v/>
      </c>
    </row>
    <row r="348" spans="7:7">
      <c r="G348" s="5" t="str">
        <f t="shared" ref="G348:G411" si="20">IF(B348&lt;&gt;"",SUM(C348:F348),"")</f>
        <v/>
      </c>
    </row>
    <row r="349" spans="7:7">
      <c r="G349" s="5" t="str">
        <f t="shared" si="20"/>
        <v/>
      </c>
    </row>
    <row r="350" spans="7:7">
      <c r="G350" s="5" t="str">
        <f t="shared" si="20"/>
        <v/>
      </c>
    </row>
    <row r="351" spans="7:7">
      <c r="G351" s="5" t="str">
        <f t="shared" si="20"/>
        <v/>
      </c>
    </row>
    <row r="352" spans="7:7">
      <c r="G352" s="5" t="str">
        <f t="shared" si="20"/>
        <v/>
      </c>
    </row>
    <row r="353" spans="7:7">
      <c r="G353" s="5" t="str">
        <f t="shared" si="20"/>
        <v/>
      </c>
    </row>
    <row r="354" spans="7:7">
      <c r="G354" s="5" t="str">
        <f t="shared" si="20"/>
        <v/>
      </c>
    </row>
    <row r="355" spans="7:7">
      <c r="G355" s="5" t="str">
        <f t="shared" si="20"/>
        <v/>
      </c>
    </row>
    <row r="356" spans="7:7">
      <c r="G356" s="5" t="str">
        <f t="shared" si="20"/>
        <v/>
      </c>
    </row>
    <row r="357" spans="7:7">
      <c r="G357" s="5" t="str">
        <f t="shared" si="20"/>
        <v/>
      </c>
    </row>
    <row r="358" spans="7:7">
      <c r="G358" s="5" t="str">
        <f t="shared" si="20"/>
        <v/>
      </c>
    </row>
    <row r="359" spans="7:7">
      <c r="G359" s="5" t="str">
        <f t="shared" si="20"/>
        <v/>
      </c>
    </row>
    <row r="360" spans="7:7">
      <c r="G360" s="5" t="str">
        <f t="shared" si="20"/>
        <v/>
      </c>
    </row>
    <row r="361" spans="7:7">
      <c r="G361" s="5" t="str">
        <f t="shared" si="20"/>
        <v/>
      </c>
    </row>
    <row r="362" spans="7:7">
      <c r="G362" s="5" t="str">
        <f t="shared" si="20"/>
        <v/>
      </c>
    </row>
    <row r="363" spans="7:7">
      <c r="G363" s="5" t="str">
        <f t="shared" si="20"/>
        <v/>
      </c>
    </row>
    <row r="364" spans="7:7">
      <c r="G364" s="5" t="str">
        <f t="shared" si="20"/>
        <v/>
      </c>
    </row>
    <row r="365" spans="7:7">
      <c r="G365" s="5" t="str">
        <f t="shared" si="20"/>
        <v/>
      </c>
    </row>
    <row r="366" spans="7:7">
      <c r="G366" s="5" t="str">
        <f t="shared" si="20"/>
        <v/>
      </c>
    </row>
    <row r="367" spans="7:7">
      <c r="G367" s="5" t="str">
        <f t="shared" si="20"/>
        <v/>
      </c>
    </row>
    <row r="368" spans="7:7">
      <c r="G368" s="5" t="str">
        <f t="shared" si="20"/>
        <v/>
      </c>
    </row>
    <row r="369" spans="7:7">
      <c r="G369" s="5" t="str">
        <f t="shared" si="20"/>
        <v/>
      </c>
    </row>
    <row r="370" spans="7:7">
      <c r="G370" s="5" t="str">
        <f t="shared" si="20"/>
        <v/>
      </c>
    </row>
    <row r="371" spans="7:7">
      <c r="G371" s="5" t="str">
        <f t="shared" si="20"/>
        <v/>
      </c>
    </row>
    <row r="372" spans="7:7">
      <c r="G372" s="5" t="str">
        <f t="shared" si="20"/>
        <v/>
      </c>
    </row>
    <row r="373" spans="7:7">
      <c r="G373" s="5" t="str">
        <f t="shared" si="20"/>
        <v/>
      </c>
    </row>
    <row r="374" spans="7:7">
      <c r="G374" s="5" t="str">
        <f t="shared" si="20"/>
        <v/>
      </c>
    </row>
    <row r="375" spans="7:7">
      <c r="G375" s="5" t="str">
        <f t="shared" si="20"/>
        <v/>
      </c>
    </row>
    <row r="376" spans="7:7">
      <c r="G376" s="5" t="str">
        <f t="shared" si="20"/>
        <v/>
      </c>
    </row>
    <row r="377" spans="7:7">
      <c r="G377" s="5" t="str">
        <f t="shared" si="20"/>
        <v/>
      </c>
    </row>
    <row r="378" spans="7:7">
      <c r="G378" s="5" t="str">
        <f t="shared" si="20"/>
        <v/>
      </c>
    </row>
    <row r="379" spans="7:7">
      <c r="G379" s="5" t="str">
        <f t="shared" si="20"/>
        <v/>
      </c>
    </row>
    <row r="380" spans="7:7">
      <c r="G380" s="5" t="str">
        <f t="shared" si="20"/>
        <v/>
      </c>
    </row>
    <row r="381" spans="7:7">
      <c r="G381" s="5" t="str">
        <f t="shared" si="20"/>
        <v/>
      </c>
    </row>
    <row r="382" spans="7:7">
      <c r="G382" s="5" t="str">
        <f t="shared" si="20"/>
        <v/>
      </c>
    </row>
    <row r="383" spans="7:7">
      <c r="G383" s="5" t="str">
        <f t="shared" si="20"/>
        <v/>
      </c>
    </row>
    <row r="384" spans="7:7">
      <c r="G384" s="5" t="str">
        <f t="shared" si="20"/>
        <v/>
      </c>
    </row>
    <row r="385" spans="7:7">
      <c r="G385" s="5" t="str">
        <f t="shared" si="20"/>
        <v/>
      </c>
    </row>
    <row r="386" spans="7:7">
      <c r="G386" s="5" t="str">
        <f t="shared" si="20"/>
        <v/>
      </c>
    </row>
    <row r="387" spans="7:7">
      <c r="G387" s="5" t="str">
        <f t="shared" si="20"/>
        <v/>
      </c>
    </row>
    <row r="388" spans="7:7">
      <c r="G388" s="5" t="str">
        <f t="shared" si="20"/>
        <v/>
      </c>
    </row>
    <row r="389" spans="7:7">
      <c r="G389" s="5" t="str">
        <f t="shared" si="20"/>
        <v/>
      </c>
    </row>
    <row r="390" spans="7:7">
      <c r="G390" s="5" t="str">
        <f t="shared" si="20"/>
        <v/>
      </c>
    </row>
    <row r="391" spans="7:7">
      <c r="G391" s="5" t="str">
        <f t="shared" si="20"/>
        <v/>
      </c>
    </row>
    <row r="392" spans="7:7">
      <c r="G392" s="5" t="str">
        <f t="shared" si="20"/>
        <v/>
      </c>
    </row>
    <row r="393" spans="7:7">
      <c r="G393" s="5" t="str">
        <f t="shared" si="20"/>
        <v/>
      </c>
    </row>
    <row r="394" spans="7:7">
      <c r="G394" s="5" t="str">
        <f t="shared" si="20"/>
        <v/>
      </c>
    </row>
    <row r="395" spans="7:7">
      <c r="G395" s="5" t="str">
        <f t="shared" si="20"/>
        <v/>
      </c>
    </row>
    <row r="396" spans="7:7">
      <c r="G396" s="5" t="str">
        <f t="shared" si="20"/>
        <v/>
      </c>
    </row>
    <row r="397" spans="7:7">
      <c r="G397" s="5" t="str">
        <f t="shared" si="20"/>
        <v/>
      </c>
    </row>
    <row r="398" spans="7:7">
      <c r="G398" s="5" t="str">
        <f t="shared" si="20"/>
        <v/>
      </c>
    </row>
    <row r="399" spans="7:7">
      <c r="G399" s="5" t="str">
        <f t="shared" si="20"/>
        <v/>
      </c>
    </row>
    <row r="400" spans="7:7">
      <c r="G400" s="5" t="str">
        <f t="shared" si="20"/>
        <v/>
      </c>
    </row>
    <row r="401" spans="7:7">
      <c r="G401" s="5" t="str">
        <f t="shared" si="20"/>
        <v/>
      </c>
    </row>
    <row r="402" spans="7:7">
      <c r="G402" s="5" t="str">
        <f t="shared" si="20"/>
        <v/>
      </c>
    </row>
    <row r="403" spans="7:7">
      <c r="G403" s="5" t="str">
        <f t="shared" si="20"/>
        <v/>
      </c>
    </row>
    <row r="404" spans="7:7">
      <c r="G404" s="5" t="str">
        <f t="shared" si="20"/>
        <v/>
      </c>
    </row>
    <row r="405" spans="7:7">
      <c r="G405" s="5" t="str">
        <f t="shared" si="20"/>
        <v/>
      </c>
    </row>
    <row r="406" spans="7:7">
      <c r="G406" s="5" t="str">
        <f t="shared" si="20"/>
        <v/>
      </c>
    </row>
    <row r="407" spans="7:7">
      <c r="G407" s="5" t="str">
        <f t="shared" si="20"/>
        <v/>
      </c>
    </row>
    <row r="408" spans="7:7">
      <c r="G408" s="5" t="str">
        <f t="shared" si="20"/>
        <v/>
      </c>
    </row>
    <row r="409" spans="7:7">
      <c r="G409" s="5" t="str">
        <f t="shared" si="20"/>
        <v/>
      </c>
    </row>
    <row r="410" spans="7:7">
      <c r="G410" s="5" t="str">
        <f t="shared" si="20"/>
        <v/>
      </c>
    </row>
    <row r="411" spans="7:7">
      <c r="G411" s="5" t="str">
        <f t="shared" si="20"/>
        <v/>
      </c>
    </row>
    <row r="412" spans="7:7">
      <c r="G412" s="5" t="str">
        <f t="shared" ref="G412:G443" si="21">IF(B412&lt;&gt;"",SUM(C412:F412),"")</f>
        <v/>
      </c>
    </row>
    <row r="413" spans="7:7">
      <c r="G413" s="5" t="str">
        <f t="shared" si="21"/>
        <v/>
      </c>
    </row>
    <row r="414" spans="7:7">
      <c r="G414" s="5" t="str">
        <f t="shared" si="21"/>
        <v/>
      </c>
    </row>
    <row r="415" spans="7:7">
      <c r="G415" s="5" t="str">
        <f t="shared" si="21"/>
        <v/>
      </c>
    </row>
    <row r="416" spans="7:7">
      <c r="G416" s="5" t="str">
        <f t="shared" si="21"/>
        <v/>
      </c>
    </row>
    <row r="417" spans="7:7">
      <c r="G417" s="5" t="str">
        <f t="shared" si="21"/>
        <v/>
      </c>
    </row>
    <row r="418" spans="7:7">
      <c r="G418" s="5" t="str">
        <f t="shared" si="21"/>
        <v/>
      </c>
    </row>
    <row r="419" spans="7:7">
      <c r="G419" s="5" t="str">
        <f t="shared" si="21"/>
        <v/>
      </c>
    </row>
    <row r="420" spans="7:7">
      <c r="G420" s="5" t="str">
        <f t="shared" si="21"/>
        <v/>
      </c>
    </row>
    <row r="421" spans="7:7">
      <c r="G421" s="5" t="str">
        <f t="shared" si="21"/>
        <v/>
      </c>
    </row>
    <row r="422" spans="7:7">
      <c r="G422" s="5" t="str">
        <f t="shared" si="21"/>
        <v/>
      </c>
    </row>
    <row r="423" spans="7:7">
      <c r="G423" s="5" t="str">
        <f t="shared" si="21"/>
        <v/>
      </c>
    </row>
    <row r="424" spans="7:7">
      <c r="G424" s="5" t="str">
        <f t="shared" si="21"/>
        <v/>
      </c>
    </row>
    <row r="425" spans="7:7">
      <c r="G425" s="5" t="str">
        <f t="shared" si="21"/>
        <v/>
      </c>
    </row>
    <row r="426" spans="7:7">
      <c r="G426" s="5" t="str">
        <f t="shared" si="21"/>
        <v/>
      </c>
    </row>
    <row r="427" spans="7:7">
      <c r="G427" s="5" t="str">
        <f t="shared" si="21"/>
        <v/>
      </c>
    </row>
    <row r="428" spans="7:7">
      <c r="G428" s="5" t="str">
        <f t="shared" si="21"/>
        <v/>
      </c>
    </row>
    <row r="429" spans="7:7">
      <c r="G429" s="5" t="str">
        <f t="shared" si="21"/>
        <v/>
      </c>
    </row>
    <row r="430" spans="7:7">
      <c r="G430" s="5" t="str">
        <f t="shared" si="21"/>
        <v/>
      </c>
    </row>
    <row r="431" spans="7:7">
      <c r="G431" s="5" t="str">
        <f t="shared" si="21"/>
        <v/>
      </c>
    </row>
    <row r="432" spans="7:7">
      <c r="G432" s="5" t="str">
        <f t="shared" si="21"/>
        <v/>
      </c>
    </row>
    <row r="433" spans="7:7">
      <c r="G433" s="5" t="str">
        <f t="shared" si="21"/>
        <v/>
      </c>
    </row>
    <row r="434" spans="7:7">
      <c r="G434" s="5" t="str">
        <f t="shared" si="21"/>
        <v/>
      </c>
    </row>
    <row r="435" spans="7:7">
      <c r="G435" s="5" t="str">
        <f t="shared" si="21"/>
        <v/>
      </c>
    </row>
    <row r="436" spans="7:7">
      <c r="G436" s="5" t="str">
        <f t="shared" si="21"/>
        <v/>
      </c>
    </row>
    <row r="437" spans="7:7">
      <c r="G437" s="5" t="str">
        <f t="shared" si="21"/>
        <v/>
      </c>
    </row>
    <row r="438" spans="7:7">
      <c r="G438" s="5" t="str">
        <f t="shared" si="21"/>
        <v/>
      </c>
    </row>
    <row r="439" spans="7:7">
      <c r="G439" s="5" t="str">
        <f t="shared" si="21"/>
        <v/>
      </c>
    </row>
    <row r="440" spans="7:7">
      <c r="G440" s="5" t="str">
        <f t="shared" si="21"/>
        <v/>
      </c>
    </row>
    <row r="441" spans="7:7">
      <c r="G441" s="5" t="str">
        <f t="shared" si="21"/>
        <v/>
      </c>
    </row>
    <row r="442" spans="7:7">
      <c r="G442" s="5" t="str">
        <f t="shared" si="21"/>
        <v/>
      </c>
    </row>
    <row r="443" spans="7:7">
      <c r="G443" s="5" t="str">
        <f t="shared" si="21"/>
        <v/>
      </c>
    </row>
  </sheetData>
  <sheetProtection sort="0" autoFilter="0" pivotTables="0"/>
  <autoFilter ref="H5:H16" xr:uid="{46E52F1D-6577-4882-BC02-2BE4A1C7CFF1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BB0D-2D52-4408-BF2A-63AFD3D5BFAC}">
  <sheetPr codeName="Planilha33" filterMode="1">
    <tabColor rgb="FF006600"/>
    <pageSetUpPr fitToPage="1"/>
  </sheetPr>
  <dimension ref="B1:T432"/>
  <sheetViews>
    <sheetView workbookViewId="0">
      <pane ySplit="5" topLeftCell="A6" activePane="bottomLeft" state="frozen"/>
      <selection pane="bottomLeft" activeCell="C85" sqref="C85"/>
    </sheetView>
  </sheetViews>
  <sheetFormatPr defaultColWidth="9.140625" defaultRowHeight="15.75"/>
  <cols>
    <col min="1" max="1" width="0.5703125" style="1" customWidth="1"/>
    <col min="2" max="2" width="49.42578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3" width="10.5703125" style="6" hidden="1" customWidth="1"/>
    <col min="14" max="14" width="13.85546875" style="6" bestFit="1" customWidth="1"/>
    <col min="15" max="15" width="10.5703125" style="1" hidden="1" customWidth="1"/>
    <col min="16" max="16" width="11" style="1" hidden="1" customWidth="1"/>
    <col min="17" max="18" width="10.5703125" style="1" hidden="1" customWidth="1"/>
    <col min="19" max="19" width="12.140625" style="1" hidden="1" customWidth="1"/>
    <col min="20" max="20" width="11.5703125" style="1" hidden="1" customWidth="1"/>
    <col min="21" max="16384" width="9.140625" style="1"/>
  </cols>
  <sheetData>
    <row r="1" spans="2:20" ht="4.5" customHeight="1">
      <c r="B1" s="1"/>
      <c r="C1" s="4"/>
      <c r="D1" s="4"/>
      <c r="E1" s="4"/>
      <c r="F1" s="4"/>
      <c r="G1" s="4"/>
    </row>
    <row r="2" spans="2:20" ht="59.25" customHeight="1">
      <c r="B2" s="63" t="s">
        <v>39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  <c r="N2" s="1"/>
    </row>
    <row r="3" spans="2:20" ht="4.5" customHeight="1" thickBot="1">
      <c r="B3" s="1"/>
      <c r="C3" s="4"/>
      <c r="D3" s="4"/>
      <c r="E3" s="4"/>
      <c r="F3" s="4"/>
      <c r="G3" s="4"/>
    </row>
    <row r="4" spans="2:20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172">
        <v>4.7619047619047616E-2</v>
      </c>
      <c r="M4" s="173"/>
      <c r="N4" s="449" t="s">
        <v>15</v>
      </c>
      <c r="O4" s="36"/>
      <c r="P4" s="19"/>
      <c r="Q4" s="19"/>
      <c r="R4" s="19"/>
      <c r="S4" s="19"/>
      <c r="T4" s="19"/>
    </row>
    <row r="5" spans="2:20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174" t="s">
        <v>11</v>
      </c>
      <c r="M5" s="300"/>
      <c r="N5" s="478" t="s">
        <v>16</v>
      </c>
      <c r="O5" s="37" t="s">
        <v>0</v>
      </c>
      <c r="P5" s="20" t="s">
        <v>12</v>
      </c>
      <c r="Q5" s="20" t="s">
        <v>2</v>
      </c>
      <c r="R5" s="20" t="s">
        <v>3</v>
      </c>
      <c r="S5" s="21" t="s">
        <v>1</v>
      </c>
      <c r="T5" s="22" t="s">
        <v>4</v>
      </c>
    </row>
    <row r="6" spans="2:20" hidden="1">
      <c r="B6" s="418" t="s">
        <v>2252</v>
      </c>
      <c r="C6" s="14"/>
      <c r="D6" s="14"/>
      <c r="E6" s="14"/>
      <c r="F6" s="14"/>
      <c r="G6" s="14"/>
      <c r="H6" s="24">
        <f t="shared" ref="H6:H29" si="0">SUM(C6:G6)</f>
        <v>0</v>
      </c>
      <c r="I6" s="456">
        <f t="shared" ref="I6:I29" si="1">L6-(L6*J6)</f>
        <v>5.19</v>
      </c>
      <c r="J6" s="10"/>
      <c r="K6" s="12"/>
      <c r="L6" s="167">
        <v>5.19</v>
      </c>
      <c r="M6" s="167">
        <v>5.23</v>
      </c>
      <c r="N6" s="32"/>
      <c r="O6" s="25">
        <f t="shared" ref="O6:O27" si="2">I6*C6</f>
        <v>0</v>
      </c>
      <c r="P6" s="25">
        <f t="shared" ref="P6:P27" si="3">I6*D6</f>
        <v>0</v>
      </c>
      <c r="Q6" s="25">
        <f t="shared" ref="Q6:Q27" si="4">I6*E6</f>
        <v>0</v>
      </c>
      <c r="R6" s="26">
        <f t="shared" ref="R6:R27" si="5">I6*F6</f>
        <v>0</v>
      </c>
      <c r="S6" s="27">
        <f t="shared" ref="S6:S27" si="6">I6*G6</f>
        <v>0</v>
      </c>
      <c r="T6" s="28">
        <f t="shared" ref="T6:T29" si="7">SUM(O6:S6)</f>
        <v>0</v>
      </c>
    </row>
    <row r="7" spans="2:20" hidden="1">
      <c r="B7" s="418" t="s">
        <v>2253</v>
      </c>
      <c r="C7" s="14"/>
      <c r="D7" s="14"/>
      <c r="E7" s="14"/>
      <c r="F7" s="14"/>
      <c r="G7" s="14"/>
      <c r="H7" s="24">
        <f t="shared" si="0"/>
        <v>0</v>
      </c>
      <c r="I7" s="456">
        <f t="shared" si="1"/>
        <v>4.8899999999999997</v>
      </c>
      <c r="J7" s="10"/>
      <c r="K7" s="12"/>
      <c r="L7" s="167">
        <v>4.8899999999999997</v>
      </c>
      <c r="M7" s="167">
        <v>4.9400000000000004</v>
      </c>
      <c r="N7" s="32"/>
      <c r="O7" s="25">
        <f t="shared" si="2"/>
        <v>0</v>
      </c>
      <c r="P7" s="25">
        <f t="shared" si="3"/>
        <v>0</v>
      </c>
      <c r="Q7" s="25">
        <f t="shared" si="4"/>
        <v>0</v>
      </c>
      <c r="R7" s="26">
        <f t="shared" si="5"/>
        <v>0</v>
      </c>
      <c r="S7" s="27">
        <f t="shared" si="6"/>
        <v>0</v>
      </c>
      <c r="T7" s="28">
        <f t="shared" si="7"/>
        <v>0</v>
      </c>
    </row>
    <row r="8" spans="2:20" hidden="1">
      <c r="B8" s="418" t="s">
        <v>2254</v>
      </c>
      <c r="C8" s="14"/>
      <c r="D8" s="14"/>
      <c r="E8" s="14"/>
      <c r="F8" s="14"/>
      <c r="G8" s="14"/>
      <c r="H8" s="24">
        <f t="shared" si="0"/>
        <v>0</v>
      </c>
      <c r="I8" s="456">
        <f t="shared" si="1"/>
        <v>4.8899999999999997</v>
      </c>
      <c r="J8" s="10"/>
      <c r="K8" s="12"/>
      <c r="L8" s="167">
        <v>4.8899999999999997</v>
      </c>
      <c r="M8" s="167">
        <v>4.9400000000000004</v>
      </c>
      <c r="N8" s="32"/>
      <c r="O8" s="25">
        <f t="shared" si="2"/>
        <v>0</v>
      </c>
      <c r="P8" s="25">
        <f t="shared" si="3"/>
        <v>0</v>
      </c>
      <c r="Q8" s="25">
        <f t="shared" si="4"/>
        <v>0</v>
      </c>
      <c r="R8" s="26">
        <f t="shared" si="5"/>
        <v>0</v>
      </c>
      <c r="S8" s="27">
        <f t="shared" si="6"/>
        <v>0</v>
      </c>
      <c r="T8" s="28">
        <f t="shared" si="7"/>
        <v>0</v>
      </c>
    </row>
    <row r="9" spans="2:20" hidden="1">
      <c r="B9" s="418" t="s">
        <v>2255</v>
      </c>
      <c r="C9" s="14"/>
      <c r="D9" s="14"/>
      <c r="E9" s="14"/>
      <c r="F9" s="14"/>
      <c r="G9" s="14"/>
      <c r="H9" s="24">
        <f t="shared" si="0"/>
        <v>0</v>
      </c>
      <c r="I9" s="456">
        <f t="shared" si="1"/>
        <v>6.58</v>
      </c>
      <c r="J9" s="10"/>
      <c r="K9" s="12"/>
      <c r="L9" s="167">
        <v>6.58</v>
      </c>
      <c r="M9" s="167">
        <v>6.63</v>
      </c>
      <c r="N9" s="32"/>
      <c r="O9" s="25">
        <f t="shared" si="2"/>
        <v>0</v>
      </c>
      <c r="P9" s="25">
        <f t="shared" si="3"/>
        <v>0</v>
      </c>
      <c r="Q9" s="25">
        <f t="shared" si="4"/>
        <v>0</v>
      </c>
      <c r="R9" s="26">
        <f t="shared" si="5"/>
        <v>0</v>
      </c>
      <c r="S9" s="27">
        <f t="shared" si="6"/>
        <v>0</v>
      </c>
      <c r="T9" s="28">
        <f t="shared" si="7"/>
        <v>0</v>
      </c>
    </row>
    <row r="10" spans="2:20" hidden="1">
      <c r="B10" s="418" t="s">
        <v>2256</v>
      </c>
      <c r="C10" s="14"/>
      <c r="D10" s="14"/>
      <c r="E10" s="14"/>
      <c r="F10" s="14"/>
      <c r="G10" s="14"/>
      <c r="H10" s="24">
        <f t="shared" si="0"/>
        <v>0</v>
      </c>
      <c r="I10" s="456">
        <f t="shared" si="1"/>
        <v>5.19</v>
      </c>
      <c r="J10" s="10"/>
      <c r="K10" s="12"/>
      <c r="L10" s="167">
        <v>5.19</v>
      </c>
      <c r="M10" s="167">
        <v>5.23</v>
      </c>
      <c r="N10" s="32"/>
      <c r="O10" s="25">
        <f t="shared" si="2"/>
        <v>0</v>
      </c>
      <c r="P10" s="25">
        <f t="shared" si="3"/>
        <v>0</v>
      </c>
      <c r="Q10" s="25">
        <f t="shared" si="4"/>
        <v>0</v>
      </c>
      <c r="R10" s="26">
        <f t="shared" si="5"/>
        <v>0</v>
      </c>
      <c r="S10" s="27">
        <f t="shared" si="6"/>
        <v>0</v>
      </c>
      <c r="T10" s="28">
        <f t="shared" si="7"/>
        <v>0</v>
      </c>
    </row>
    <row r="11" spans="2:20" hidden="1">
      <c r="B11" s="418" t="s">
        <v>2257</v>
      </c>
      <c r="C11" s="14"/>
      <c r="D11" s="14"/>
      <c r="E11" s="14"/>
      <c r="F11" s="14"/>
      <c r="G11" s="14"/>
      <c r="H11" s="24">
        <f t="shared" si="0"/>
        <v>0</v>
      </c>
      <c r="I11" s="456">
        <f t="shared" si="1"/>
        <v>5.19</v>
      </c>
      <c r="J11" s="10"/>
      <c r="K11" s="12"/>
      <c r="L11" s="167">
        <v>5.19</v>
      </c>
      <c r="M11" s="167">
        <v>4.9400000000000004</v>
      </c>
      <c r="N11" s="32"/>
      <c r="O11" s="25">
        <f t="shared" si="2"/>
        <v>0</v>
      </c>
      <c r="P11" s="25">
        <f t="shared" si="3"/>
        <v>0</v>
      </c>
      <c r="Q11" s="25">
        <f t="shared" si="4"/>
        <v>0</v>
      </c>
      <c r="R11" s="26">
        <f t="shared" si="5"/>
        <v>0</v>
      </c>
      <c r="S11" s="27">
        <f t="shared" si="6"/>
        <v>0</v>
      </c>
      <c r="T11" s="28">
        <f t="shared" si="7"/>
        <v>0</v>
      </c>
    </row>
    <row r="12" spans="2:20" hidden="1">
      <c r="B12" s="418" t="s">
        <v>2258</v>
      </c>
      <c r="C12" s="14"/>
      <c r="D12" s="14"/>
      <c r="E12" s="14"/>
      <c r="F12" s="14"/>
      <c r="G12" s="14"/>
      <c r="H12" s="24">
        <f t="shared" si="0"/>
        <v>0</v>
      </c>
      <c r="I12" s="456">
        <f t="shared" si="1"/>
        <v>10.1</v>
      </c>
      <c r="J12" s="10"/>
      <c r="K12" s="12"/>
      <c r="L12" s="167">
        <v>10.1</v>
      </c>
      <c r="M12" s="167">
        <v>10.19</v>
      </c>
      <c r="N12" s="32"/>
      <c r="O12" s="25">
        <f t="shared" si="2"/>
        <v>0</v>
      </c>
      <c r="P12" s="25">
        <f t="shared" si="3"/>
        <v>0</v>
      </c>
      <c r="Q12" s="25">
        <f t="shared" si="4"/>
        <v>0</v>
      </c>
      <c r="R12" s="26">
        <f t="shared" si="5"/>
        <v>0</v>
      </c>
      <c r="S12" s="27">
        <f t="shared" si="6"/>
        <v>0</v>
      </c>
      <c r="T12" s="28">
        <f t="shared" si="7"/>
        <v>0</v>
      </c>
    </row>
    <row r="13" spans="2:20" hidden="1">
      <c r="B13" s="418" t="s">
        <v>2259</v>
      </c>
      <c r="C13" s="14"/>
      <c r="D13" s="14"/>
      <c r="E13" s="14"/>
      <c r="F13" s="14"/>
      <c r="G13" s="14"/>
      <c r="H13" s="24">
        <f t="shared" si="0"/>
        <v>0</v>
      </c>
      <c r="I13" s="456">
        <f t="shared" si="1"/>
        <v>4.8899999999999997</v>
      </c>
      <c r="J13" s="10"/>
      <c r="K13" s="12"/>
      <c r="L13" s="167">
        <v>4.8899999999999997</v>
      </c>
      <c r="M13" s="167">
        <v>15.54</v>
      </c>
      <c r="N13" s="32"/>
      <c r="O13" s="25">
        <f t="shared" si="2"/>
        <v>0</v>
      </c>
      <c r="P13" s="25">
        <f t="shared" si="3"/>
        <v>0</v>
      </c>
      <c r="Q13" s="25">
        <f t="shared" si="4"/>
        <v>0</v>
      </c>
      <c r="R13" s="26">
        <f t="shared" si="5"/>
        <v>0</v>
      </c>
      <c r="S13" s="27">
        <f t="shared" si="6"/>
        <v>0</v>
      </c>
      <c r="T13" s="28">
        <f t="shared" si="7"/>
        <v>0</v>
      </c>
    </row>
    <row r="14" spans="2:20" hidden="1">
      <c r="B14" s="418" t="s">
        <v>2260</v>
      </c>
      <c r="C14" s="14"/>
      <c r="D14" s="14"/>
      <c r="E14" s="14"/>
      <c r="F14" s="14"/>
      <c r="G14" s="14"/>
      <c r="H14" s="24">
        <f t="shared" si="0"/>
        <v>0</v>
      </c>
      <c r="I14" s="456">
        <f t="shared" si="1"/>
        <v>17.05</v>
      </c>
      <c r="J14" s="10"/>
      <c r="K14" s="12"/>
      <c r="L14" s="167">
        <v>17.05</v>
      </c>
      <c r="M14" s="167">
        <v>5.05</v>
      </c>
      <c r="N14" s="32"/>
      <c r="O14" s="25">
        <f t="shared" si="2"/>
        <v>0</v>
      </c>
      <c r="P14" s="25">
        <f t="shared" si="3"/>
        <v>0</v>
      </c>
      <c r="Q14" s="25">
        <f t="shared" si="4"/>
        <v>0</v>
      </c>
      <c r="R14" s="26">
        <f t="shared" si="5"/>
        <v>0</v>
      </c>
      <c r="S14" s="27">
        <f t="shared" si="6"/>
        <v>0</v>
      </c>
      <c r="T14" s="28">
        <f t="shared" si="7"/>
        <v>0</v>
      </c>
    </row>
    <row r="15" spans="2:20" hidden="1">
      <c r="B15" s="418" t="s">
        <v>2261</v>
      </c>
      <c r="C15" s="14"/>
      <c r="D15" s="14"/>
      <c r="E15" s="14"/>
      <c r="F15" s="14"/>
      <c r="G15" s="14"/>
      <c r="H15" s="24">
        <f t="shared" si="0"/>
        <v>0</v>
      </c>
      <c r="I15" s="456">
        <f t="shared" si="1"/>
        <v>6.06</v>
      </c>
      <c r="J15" s="10"/>
      <c r="K15" s="12"/>
      <c r="L15" s="167">
        <v>6.06</v>
      </c>
      <c r="M15" s="167">
        <v>5.23</v>
      </c>
      <c r="N15" s="32"/>
      <c r="O15" s="25">
        <f t="shared" si="2"/>
        <v>0</v>
      </c>
      <c r="P15" s="25">
        <f t="shared" si="3"/>
        <v>0</v>
      </c>
      <c r="Q15" s="25">
        <f t="shared" si="4"/>
        <v>0</v>
      </c>
      <c r="R15" s="26">
        <f t="shared" si="5"/>
        <v>0</v>
      </c>
      <c r="S15" s="27">
        <f t="shared" si="6"/>
        <v>0</v>
      </c>
      <c r="T15" s="28">
        <f t="shared" si="7"/>
        <v>0</v>
      </c>
    </row>
    <row r="16" spans="2:20" hidden="1">
      <c r="B16" s="418" t="s">
        <v>2262</v>
      </c>
      <c r="C16" s="14"/>
      <c r="D16" s="14"/>
      <c r="E16" s="14"/>
      <c r="F16" s="14"/>
      <c r="G16" s="14"/>
      <c r="H16" s="24">
        <f t="shared" si="0"/>
        <v>0</v>
      </c>
      <c r="I16" s="456">
        <f t="shared" si="1"/>
        <v>4.4000000000000004</v>
      </c>
      <c r="J16" s="10"/>
      <c r="K16" s="12"/>
      <c r="L16" s="167">
        <v>4.4000000000000004</v>
      </c>
      <c r="M16" s="167">
        <v>4.41</v>
      </c>
      <c r="N16" s="32"/>
      <c r="O16" s="25">
        <f t="shared" si="2"/>
        <v>0</v>
      </c>
      <c r="P16" s="25">
        <f t="shared" si="3"/>
        <v>0</v>
      </c>
      <c r="Q16" s="25">
        <f t="shared" si="4"/>
        <v>0</v>
      </c>
      <c r="R16" s="26">
        <f t="shared" si="5"/>
        <v>0</v>
      </c>
      <c r="S16" s="27">
        <f t="shared" si="6"/>
        <v>0</v>
      </c>
      <c r="T16" s="28">
        <f t="shared" si="7"/>
        <v>0</v>
      </c>
    </row>
    <row r="17" spans="2:20" hidden="1">
      <c r="B17" s="418" t="s">
        <v>2263</v>
      </c>
      <c r="C17" s="14"/>
      <c r="D17" s="14"/>
      <c r="E17" s="14"/>
      <c r="F17" s="14"/>
      <c r="G17" s="14"/>
      <c r="H17" s="24">
        <f t="shared" si="0"/>
        <v>0</v>
      </c>
      <c r="I17" s="456">
        <f t="shared" si="1"/>
        <v>3.7</v>
      </c>
      <c r="J17" s="10"/>
      <c r="K17" s="12"/>
      <c r="L17" s="167">
        <v>3.7</v>
      </c>
      <c r="M17" s="167">
        <v>3.39</v>
      </c>
      <c r="N17" s="32"/>
      <c r="O17" s="25">
        <f t="shared" si="2"/>
        <v>0</v>
      </c>
      <c r="P17" s="25">
        <f t="shared" si="3"/>
        <v>0</v>
      </c>
      <c r="Q17" s="25">
        <f t="shared" si="4"/>
        <v>0</v>
      </c>
      <c r="R17" s="26">
        <f t="shared" si="5"/>
        <v>0</v>
      </c>
      <c r="S17" s="27">
        <f t="shared" si="6"/>
        <v>0</v>
      </c>
      <c r="T17" s="28">
        <f t="shared" si="7"/>
        <v>0</v>
      </c>
    </row>
    <row r="18" spans="2:20">
      <c r="B18" s="418" t="s">
        <v>2264</v>
      </c>
      <c r="C18" s="14"/>
      <c r="D18" s="14"/>
      <c r="E18" s="14">
        <v>24</v>
      </c>
      <c r="F18" s="14"/>
      <c r="G18" s="14"/>
      <c r="H18" s="24">
        <f t="shared" si="0"/>
        <v>24</v>
      </c>
      <c r="I18" s="456">
        <v>19.440000000000001</v>
      </c>
      <c r="J18" s="10"/>
      <c r="K18" s="12"/>
      <c r="L18" s="167">
        <v>18.510000000000002</v>
      </c>
      <c r="M18" s="167">
        <v>11.08</v>
      </c>
      <c r="N18" s="32"/>
      <c r="O18" s="25">
        <f t="shared" si="2"/>
        <v>0</v>
      </c>
      <c r="P18" s="25">
        <f t="shared" si="3"/>
        <v>0</v>
      </c>
      <c r="Q18" s="25">
        <f t="shared" si="4"/>
        <v>466.56000000000006</v>
      </c>
      <c r="R18" s="26">
        <f t="shared" si="5"/>
        <v>0</v>
      </c>
      <c r="S18" s="27">
        <f t="shared" si="6"/>
        <v>0</v>
      </c>
      <c r="T18" s="28">
        <f t="shared" si="7"/>
        <v>466.56000000000006</v>
      </c>
    </row>
    <row r="19" spans="2:20">
      <c r="B19" s="418" t="s">
        <v>2265</v>
      </c>
      <c r="C19" s="14"/>
      <c r="D19" s="14"/>
      <c r="E19" s="14">
        <v>24</v>
      </c>
      <c r="F19" s="14"/>
      <c r="G19" s="14"/>
      <c r="H19" s="24">
        <f t="shared" si="0"/>
        <v>24</v>
      </c>
      <c r="I19" s="456">
        <v>12.18</v>
      </c>
      <c r="J19" s="10"/>
      <c r="K19" s="12"/>
      <c r="L19" s="167">
        <v>11.6</v>
      </c>
      <c r="M19" s="167">
        <v>17.670000000000002</v>
      </c>
      <c r="N19" s="32"/>
      <c r="O19" s="25">
        <f t="shared" si="2"/>
        <v>0</v>
      </c>
      <c r="P19" s="25">
        <f t="shared" si="3"/>
        <v>0</v>
      </c>
      <c r="Q19" s="25">
        <f t="shared" si="4"/>
        <v>292.32</v>
      </c>
      <c r="R19" s="26">
        <f t="shared" si="5"/>
        <v>0</v>
      </c>
      <c r="S19" s="27">
        <f t="shared" si="6"/>
        <v>0</v>
      </c>
      <c r="T19" s="28">
        <f t="shared" si="7"/>
        <v>292.32</v>
      </c>
    </row>
    <row r="20" spans="2:20" hidden="1">
      <c r="B20" s="418" t="s">
        <v>2266</v>
      </c>
      <c r="C20" s="14"/>
      <c r="D20" s="14"/>
      <c r="E20" s="14"/>
      <c r="F20" s="14"/>
      <c r="G20" s="14"/>
      <c r="H20" s="24">
        <f t="shared" si="0"/>
        <v>0</v>
      </c>
      <c r="I20" s="456">
        <f t="shared" si="1"/>
        <v>4.24</v>
      </c>
      <c r="J20" s="10"/>
      <c r="K20" s="12"/>
      <c r="L20" s="167">
        <v>4.24</v>
      </c>
      <c r="M20" s="167">
        <v>4.0599999999999996</v>
      </c>
      <c r="N20" s="32"/>
      <c r="O20" s="25">
        <f t="shared" si="2"/>
        <v>0</v>
      </c>
      <c r="P20" s="25">
        <f t="shared" si="3"/>
        <v>0</v>
      </c>
      <c r="Q20" s="25">
        <f t="shared" si="4"/>
        <v>0</v>
      </c>
      <c r="R20" s="26">
        <f t="shared" si="5"/>
        <v>0</v>
      </c>
      <c r="S20" s="27">
        <f t="shared" si="6"/>
        <v>0</v>
      </c>
      <c r="T20" s="28">
        <f t="shared" si="7"/>
        <v>0</v>
      </c>
    </row>
    <row r="21" spans="2:20" hidden="1">
      <c r="B21" s="418" t="s">
        <v>2267</v>
      </c>
      <c r="C21" s="14"/>
      <c r="D21" s="14"/>
      <c r="E21" s="14"/>
      <c r="F21" s="14"/>
      <c r="G21" s="14"/>
      <c r="H21" s="24">
        <f t="shared" si="0"/>
        <v>0</v>
      </c>
      <c r="I21" s="456">
        <f t="shared" si="1"/>
        <v>8.25</v>
      </c>
      <c r="J21" s="10"/>
      <c r="K21" s="12"/>
      <c r="L21" s="167">
        <v>8.25</v>
      </c>
      <c r="M21" s="167">
        <v>7.89</v>
      </c>
      <c r="N21" s="32"/>
      <c r="O21" s="25">
        <f t="shared" si="2"/>
        <v>0</v>
      </c>
      <c r="P21" s="25">
        <f t="shared" si="3"/>
        <v>0</v>
      </c>
      <c r="Q21" s="25">
        <f t="shared" si="4"/>
        <v>0</v>
      </c>
      <c r="R21" s="26">
        <f t="shared" si="5"/>
        <v>0</v>
      </c>
      <c r="S21" s="27">
        <f t="shared" si="6"/>
        <v>0</v>
      </c>
      <c r="T21" s="28">
        <f t="shared" si="7"/>
        <v>0</v>
      </c>
    </row>
    <row r="22" spans="2:20" hidden="1">
      <c r="B22" s="418" t="s">
        <v>2268</v>
      </c>
      <c r="C22" s="14"/>
      <c r="D22" s="14"/>
      <c r="E22" s="14"/>
      <c r="F22" s="14"/>
      <c r="G22" s="14"/>
      <c r="H22" s="24">
        <f t="shared" si="0"/>
        <v>0</v>
      </c>
      <c r="I22" s="456">
        <f t="shared" si="1"/>
        <v>2.66</v>
      </c>
      <c r="J22" s="10"/>
      <c r="K22" s="12"/>
      <c r="L22" s="167">
        <v>2.66</v>
      </c>
      <c r="M22" s="167">
        <v>0.73</v>
      </c>
      <c r="N22" s="32"/>
      <c r="O22" s="25">
        <f t="shared" si="2"/>
        <v>0</v>
      </c>
      <c r="P22" s="25">
        <f t="shared" si="3"/>
        <v>0</v>
      </c>
      <c r="Q22" s="25">
        <f t="shared" si="4"/>
        <v>0</v>
      </c>
      <c r="R22" s="26">
        <f t="shared" si="5"/>
        <v>0</v>
      </c>
      <c r="S22" s="27">
        <f t="shared" si="6"/>
        <v>0</v>
      </c>
      <c r="T22" s="28">
        <f t="shared" si="7"/>
        <v>0</v>
      </c>
    </row>
    <row r="23" spans="2:20" hidden="1">
      <c r="B23" s="418" t="s">
        <v>2269</v>
      </c>
      <c r="C23" s="14"/>
      <c r="D23" s="14"/>
      <c r="E23" s="14"/>
      <c r="F23" s="14"/>
      <c r="G23" s="14"/>
      <c r="H23" s="24">
        <f t="shared" si="0"/>
        <v>0</v>
      </c>
      <c r="I23" s="456">
        <f t="shared" si="1"/>
        <v>0.8</v>
      </c>
      <c r="J23" s="10"/>
      <c r="K23" s="12"/>
      <c r="L23" s="167">
        <v>0.8</v>
      </c>
      <c r="M23" s="167">
        <v>2.42</v>
      </c>
      <c r="N23" s="32"/>
      <c r="O23" s="25">
        <f t="shared" si="2"/>
        <v>0</v>
      </c>
      <c r="P23" s="25">
        <f t="shared" si="3"/>
        <v>0</v>
      </c>
      <c r="Q23" s="25">
        <f t="shared" si="4"/>
        <v>0</v>
      </c>
      <c r="R23" s="26">
        <f t="shared" si="5"/>
        <v>0</v>
      </c>
      <c r="S23" s="27">
        <f t="shared" si="6"/>
        <v>0</v>
      </c>
      <c r="T23" s="28">
        <f t="shared" si="7"/>
        <v>0</v>
      </c>
    </row>
    <row r="24" spans="2:20" hidden="1">
      <c r="B24" s="418" t="s">
        <v>2270</v>
      </c>
      <c r="C24" s="14"/>
      <c r="D24" s="14"/>
      <c r="E24" s="14"/>
      <c r="F24" s="14"/>
      <c r="G24" s="14"/>
      <c r="H24" s="24">
        <f t="shared" si="0"/>
        <v>0</v>
      </c>
      <c r="I24" s="456">
        <f t="shared" si="1"/>
        <v>2.44</v>
      </c>
      <c r="J24" s="10"/>
      <c r="K24" s="12"/>
      <c r="L24" s="167">
        <v>2.44</v>
      </c>
      <c r="M24" s="167">
        <v>2.23</v>
      </c>
      <c r="N24" s="32"/>
      <c r="O24" s="25">
        <f t="shared" si="2"/>
        <v>0</v>
      </c>
      <c r="P24" s="25">
        <f t="shared" si="3"/>
        <v>0</v>
      </c>
      <c r="Q24" s="25">
        <f t="shared" si="4"/>
        <v>0</v>
      </c>
      <c r="R24" s="26">
        <f t="shared" si="5"/>
        <v>0</v>
      </c>
      <c r="S24" s="27">
        <f t="shared" si="6"/>
        <v>0</v>
      </c>
      <c r="T24" s="28">
        <f t="shared" si="7"/>
        <v>0</v>
      </c>
    </row>
    <row r="25" spans="2:20" hidden="1">
      <c r="B25" s="418" t="s">
        <v>2271</v>
      </c>
      <c r="C25" s="14"/>
      <c r="D25" s="14"/>
      <c r="E25" s="14"/>
      <c r="F25" s="14"/>
      <c r="G25" s="14"/>
      <c r="H25" s="24">
        <f t="shared" si="0"/>
        <v>0</v>
      </c>
      <c r="I25" s="456">
        <f t="shared" si="1"/>
        <v>4.5</v>
      </c>
      <c r="J25" s="10"/>
      <c r="K25" s="12"/>
      <c r="L25" s="167">
        <v>4.5</v>
      </c>
      <c r="M25" s="167">
        <v>4.3</v>
      </c>
      <c r="N25" s="32"/>
      <c r="O25" s="25">
        <f t="shared" si="2"/>
        <v>0</v>
      </c>
      <c r="P25" s="25">
        <f t="shared" si="3"/>
        <v>0</v>
      </c>
      <c r="Q25" s="25">
        <f t="shared" si="4"/>
        <v>0</v>
      </c>
      <c r="R25" s="26">
        <f t="shared" si="5"/>
        <v>0</v>
      </c>
      <c r="S25" s="27">
        <f t="shared" si="6"/>
        <v>0</v>
      </c>
      <c r="T25" s="28">
        <f t="shared" si="7"/>
        <v>0</v>
      </c>
    </row>
    <row r="26" spans="2:20" hidden="1">
      <c r="B26" s="418" t="s">
        <v>2272</v>
      </c>
      <c r="C26" s="14"/>
      <c r="D26" s="14"/>
      <c r="E26" s="14"/>
      <c r="F26" s="14"/>
      <c r="G26" s="14"/>
      <c r="H26" s="24">
        <f t="shared" si="0"/>
        <v>0</v>
      </c>
      <c r="I26" s="456">
        <f t="shared" si="1"/>
        <v>17.02</v>
      </c>
      <c r="J26" s="10"/>
      <c r="K26" s="12"/>
      <c r="L26" s="167">
        <v>17.02</v>
      </c>
      <c r="M26" s="167">
        <v>14.22</v>
      </c>
      <c r="N26" s="32"/>
      <c r="O26" s="25">
        <f t="shared" si="2"/>
        <v>0</v>
      </c>
      <c r="P26" s="25">
        <f t="shared" si="3"/>
        <v>0</v>
      </c>
      <c r="Q26" s="25">
        <f t="shared" si="4"/>
        <v>0</v>
      </c>
      <c r="R26" s="26">
        <f t="shared" si="5"/>
        <v>0</v>
      </c>
      <c r="S26" s="27">
        <f t="shared" si="6"/>
        <v>0</v>
      </c>
      <c r="T26" s="28">
        <f t="shared" si="7"/>
        <v>0</v>
      </c>
    </row>
    <row r="27" spans="2:20" hidden="1">
      <c r="B27" s="418" t="s">
        <v>2273</v>
      </c>
      <c r="C27" s="14"/>
      <c r="D27" s="14"/>
      <c r="E27" s="14"/>
      <c r="F27" s="14"/>
      <c r="G27" s="14"/>
      <c r="H27" s="24">
        <f t="shared" si="0"/>
        <v>0</v>
      </c>
      <c r="I27" s="456">
        <f t="shared" si="1"/>
        <v>6.21</v>
      </c>
      <c r="J27" s="10"/>
      <c r="K27" s="12"/>
      <c r="L27" s="167">
        <v>6.21</v>
      </c>
      <c r="M27" s="167">
        <v>8.14</v>
      </c>
      <c r="N27" s="32"/>
      <c r="O27" s="25">
        <f t="shared" si="2"/>
        <v>0</v>
      </c>
      <c r="P27" s="25">
        <f t="shared" si="3"/>
        <v>0</v>
      </c>
      <c r="Q27" s="25">
        <f t="shared" si="4"/>
        <v>0</v>
      </c>
      <c r="R27" s="26">
        <f t="shared" si="5"/>
        <v>0</v>
      </c>
      <c r="S27" s="27">
        <f t="shared" si="6"/>
        <v>0</v>
      </c>
      <c r="T27" s="28">
        <f t="shared" si="7"/>
        <v>0</v>
      </c>
    </row>
    <row r="28" spans="2:20" hidden="1">
      <c r="B28" s="418" t="s">
        <v>2274</v>
      </c>
      <c r="C28" s="14"/>
      <c r="D28" s="14"/>
      <c r="E28" s="14"/>
      <c r="F28" s="14"/>
      <c r="G28" s="14"/>
      <c r="H28" s="24">
        <f t="shared" si="0"/>
        <v>0</v>
      </c>
      <c r="I28" s="456">
        <f t="shared" si="1"/>
        <v>15.533000000000001</v>
      </c>
      <c r="J28" s="10"/>
      <c r="K28" s="12"/>
      <c r="L28" s="167">
        <v>15.533000000000001</v>
      </c>
      <c r="M28" s="167">
        <v>16.11</v>
      </c>
      <c r="N28" s="32"/>
      <c r="O28" s="25">
        <f t="shared" ref="O28:O29" si="8">I28*C28</f>
        <v>0</v>
      </c>
      <c r="P28" s="25">
        <f t="shared" ref="P28:P29" si="9">I28*D28</f>
        <v>0</v>
      </c>
      <c r="Q28" s="25">
        <f t="shared" ref="Q28:Q29" si="10">I28*E28</f>
        <v>0</v>
      </c>
      <c r="R28" s="26">
        <f t="shared" ref="R28:R29" si="11">I28*F28</f>
        <v>0</v>
      </c>
      <c r="S28" s="27">
        <f t="shared" ref="S28:S29" si="12">I28*G28</f>
        <v>0</v>
      </c>
      <c r="T28" s="28">
        <f t="shared" si="7"/>
        <v>0</v>
      </c>
    </row>
    <row r="29" spans="2:20" hidden="1">
      <c r="B29" s="418" t="s">
        <v>2275</v>
      </c>
      <c r="C29" s="14"/>
      <c r="D29" s="14"/>
      <c r="E29" s="14"/>
      <c r="F29" s="14"/>
      <c r="G29" s="14"/>
      <c r="H29" s="24">
        <f t="shared" si="0"/>
        <v>0</v>
      </c>
      <c r="I29" s="456">
        <f t="shared" si="1"/>
        <v>17.71</v>
      </c>
      <c r="J29" s="10"/>
      <c r="K29" s="12"/>
      <c r="L29" s="167">
        <v>17.71</v>
      </c>
      <c r="M29" s="167">
        <v>7.52</v>
      </c>
      <c r="N29" s="32"/>
      <c r="O29" s="25">
        <f t="shared" si="8"/>
        <v>0</v>
      </c>
      <c r="P29" s="25">
        <f t="shared" si="9"/>
        <v>0</v>
      </c>
      <c r="Q29" s="25">
        <f t="shared" si="10"/>
        <v>0</v>
      </c>
      <c r="R29" s="26">
        <f t="shared" si="11"/>
        <v>0</v>
      </c>
      <c r="S29" s="27">
        <f t="shared" si="12"/>
        <v>0</v>
      </c>
      <c r="T29" s="28">
        <f t="shared" si="7"/>
        <v>0</v>
      </c>
    </row>
    <row r="30" spans="2:20" hidden="1">
      <c r="B30" s="418" t="s">
        <v>2276</v>
      </c>
      <c r="C30" s="14"/>
      <c r="D30" s="14"/>
      <c r="E30" s="14"/>
      <c r="F30" s="14"/>
      <c r="G30" s="14"/>
      <c r="H30" s="24">
        <f t="shared" ref="H30:H64" si="13">SUM(C30:G30)</f>
        <v>0</v>
      </c>
      <c r="I30" s="456">
        <f t="shared" ref="I30:I60" si="14">L30-(L30*J30)</f>
        <v>10.84</v>
      </c>
      <c r="J30" s="10"/>
      <c r="K30" s="12"/>
      <c r="L30" s="167">
        <v>10.84</v>
      </c>
      <c r="M30" s="167">
        <v>9.06</v>
      </c>
      <c r="N30" s="32"/>
      <c r="O30" s="25">
        <f t="shared" ref="O30:O65" si="15">I30*C30</f>
        <v>0</v>
      </c>
      <c r="P30" s="25">
        <f t="shared" ref="P30:P65" si="16">I30*D30</f>
        <v>0</v>
      </c>
      <c r="Q30" s="25">
        <f t="shared" ref="Q30:Q65" si="17">I30*E30</f>
        <v>0</v>
      </c>
      <c r="R30" s="26">
        <f t="shared" ref="R30:R65" si="18">I30*F30</f>
        <v>0</v>
      </c>
      <c r="S30" s="27">
        <f t="shared" ref="S30:S65" si="19">I30*G30</f>
        <v>0</v>
      </c>
      <c r="T30" s="28">
        <f t="shared" ref="T30:T65" si="20">SUM(O30:S30)</f>
        <v>0</v>
      </c>
    </row>
    <row r="31" spans="2:20" hidden="1">
      <c r="B31" s="418" t="s">
        <v>2277</v>
      </c>
      <c r="C31" s="14"/>
      <c r="D31" s="14"/>
      <c r="E31" s="14"/>
      <c r="F31" s="14"/>
      <c r="G31" s="14"/>
      <c r="H31" s="24">
        <f t="shared" si="13"/>
        <v>0</v>
      </c>
      <c r="I31" s="456">
        <f t="shared" si="14"/>
        <v>13.96</v>
      </c>
      <c r="J31" s="10"/>
      <c r="K31" s="12"/>
      <c r="L31" s="167">
        <v>13.96</v>
      </c>
      <c r="M31" s="167">
        <v>11.08</v>
      </c>
      <c r="N31" s="32"/>
      <c r="O31" s="25">
        <f t="shared" si="15"/>
        <v>0</v>
      </c>
      <c r="P31" s="25">
        <f t="shared" si="16"/>
        <v>0</v>
      </c>
      <c r="Q31" s="25">
        <f t="shared" si="17"/>
        <v>0</v>
      </c>
      <c r="R31" s="26">
        <f t="shared" si="18"/>
        <v>0</v>
      </c>
      <c r="S31" s="27">
        <f t="shared" si="19"/>
        <v>0</v>
      </c>
      <c r="T31" s="28">
        <f t="shared" si="20"/>
        <v>0</v>
      </c>
    </row>
    <row r="32" spans="2:20" hidden="1">
      <c r="B32" s="418" t="s">
        <v>2278</v>
      </c>
      <c r="C32" s="14"/>
      <c r="D32" s="14"/>
      <c r="E32" s="14"/>
      <c r="F32" s="14"/>
      <c r="G32" s="14"/>
      <c r="H32" s="24">
        <f t="shared" si="13"/>
        <v>0</v>
      </c>
      <c r="I32" s="456">
        <f t="shared" si="14"/>
        <v>9.67</v>
      </c>
      <c r="J32" s="10"/>
      <c r="K32" s="12"/>
      <c r="L32" s="167">
        <v>9.67</v>
      </c>
      <c r="M32" s="167">
        <v>17.670000000000002</v>
      </c>
      <c r="N32" s="32"/>
      <c r="O32" s="25">
        <f t="shared" si="15"/>
        <v>0</v>
      </c>
      <c r="P32" s="25">
        <f t="shared" si="16"/>
        <v>0</v>
      </c>
      <c r="Q32" s="25">
        <f t="shared" si="17"/>
        <v>0</v>
      </c>
      <c r="R32" s="26">
        <f t="shared" si="18"/>
        <v>0</v>
      </c>
      <c r="S32" s="27">
        <f t="shared" si="19"/>
        <v>0</v>
      </c>
      <c r="T32" s="28">
        <f t="shared" si="20"/>
        <v>0</v>
      </c>
    </row>
    <row r="33" spans="2:20" hidden="1">
      <c r="B33" s="418" t="s">
        <v>2279</v>
      </c>
      <c r="C33" s="14"/>
      <c r="D33" s="14"/>
      <c r="E33" s="14"/>
      <c r="F33" s="14"/>
      <c r="G33" s="14"/>
      <c r="H33" s="24">
        <f t="shared" si="13"/>
        <v>0</v>
      </c>
      <c r="I33" s="456">
        <f t="shared" si="14"/>
        <v>9.1300000000000008</v>
      </c>
      <c r="J33" s="10"/>
      <c r="K33" s="12"/>
      <c r="L33" s="167">
        <v>9.1300000000000008</v>
      </c>
      <c r="M33" s="167">
        <v>11.47</v>
      </c>
      <c r="N33" s="32"/>
      <c r="O33" s="25">
        <f t="shared" si="15"/>
        <v>0</v>
      </c>
      <c r="P33" s="25">
        <f t="shared" si="16"/>
        <v>0</v>
      </c>
      <c r="Q33" s="25">
        <f t="shared" si="17"/>
        <v>0</v>
      </c>
      <c r="R33" s="26">
        <f t="shared" si="18"/>
        <v>0</v>
      </c>
      <c r="S33" s="27">
        <f t="shared" si="19"/>
        <v>0</v>
      </c>
      <c r="T33" s="28">
        <f t="shared" si="20"/>
        <v>0</v>
      </c>
    </row>
    <row r="34" spans="2:20" hidden="1">
      <c r="B34" s="418" t="s">
        <v>2280</v>
      </c>
      <c r="C34" s="14"/>
      <c r="D34" s="14"/>
      <c r="E34" s="14"/>
      <c r="F34" s="14"/>
      <c r="G34" s="14"/>
      <c r="H34" s="24">
        <f t="shared" si="13"/>
        <v>0</v>
      </c>
      <c r="I34" s="456">
        <f t="shared" si="14"/>
        <v>11.6</v>
      </c>
      <c r="J34" s="10"/>
      <c r="K34" s="12"/>
      <c r="L34" s="167">
        <v>11.6</v>
      </c>
      <c r="M34" s="167">
        <v>18.22</v>
      </c>
      <c r="N34" s="32"/>
      <c r="O34" s="25">
        <f t="shared" si="15"/>
        <v>0</v>
      </c>
      <c r="P34" s="25">
        <f t="shared" si="16"/>
        <v>0</v>
      </c>
      <c r="Q34" s="25">
        <f t="shared" si="17"/>
        <v>0</v>
      </c>
      <c r="R34" s="26">
        <f t="shared" si="18"/>
        <v>0</v>
      </c>
      <c r="S34" s="27">
        <f t="shared" si="19"/>
        <v>0</v>
      </c>
      <c r="T34" s="28">
        <f t="shared" si="20"/>
        <v>0</v>
      </c>
    </row>
    <row r="35" spans="2:20" hidden="1">
      <c r="B35" s="418" t="s">
        <v>2281</v>
      </c>
      <c r="C35" s="14"/>
      <c r="D35" s="14"/>
      <c r="E35" s="14"/>
      <c r="F35" s="14"/>
      <c r="G35" s="14"/>
      <c r="H35" s="24">
        <f t="shared" ref="H35:H42" si="21">SUM(C35:G35)</f>
        <v>0</v>
      </c>
      <c r="I35" s="456">
        <f t="shared" ref="I35:I42" si="22">L35-(L35*J35)</f>
        <v>18.510000000000002</v>
      </c>
      <c r="J35" s="10"/>
      <c r="K35" s="12"/>
      <c r="L35" s="167">
        <v>18.510000000000002</v>
      </c>
      <c r="M35" s="167">
        <v>9.42</v>
      </c>
      <c r="N35" s="32"/>
      <c r="O35" s="25">
        <f t="shared" si="15"/>
        <v>0</v>
      </c>
      <c r="P35" s="25">
        <f t="shared" si="16"/>
        <v>0</v>
      </c>
      <c r="Q35" s="25">
        <f t="shared" si="17"/>
        <v>0</v>
      </c>
      <c r="R35" s="26">
        <f t="shared" si="18"/>
        <v>0</v>
      </c>
      <c r="S35" s="27">
        <f t="shared" si="19"/>
        <v>0</v>
      </c>
      <c r="T35" s="28">
        <f t="shared" si="20"/>
        <v>0</v>
      </c>
    </row>
    <row r="36" spans="2:20" hidden="1">
      <c r="B36" s="418" t="s">
        <v>2282</v>
      </c>
      <c r="C36" s="14"/>
      <c r="D36" s="14"/>
      <c r="E36" s="14"/>
      <c r="F36" s="14"/>
      <c r="G36" s="14"/>
      <c r="H36" s="24">
        <f t="shared" si="21"/>
        <v>0</v>
      </c>
      <c r="I36" s="456">
        <f t="shared" si="22"/>
        <v>11.49</v>
      </c>
      <c r="J36" s="10"/>
      <c r="K36" s="12"/>
      <c r="L36" s="167">
        <v>11.49</v>
      </c>
      <c r="M36" s="167"/>
      <c r="N36" s="32"/>
      <c r="O36" s="25">
        <f t="shared" ref="O36:O42" si="23">I36*C36</f>
        <v>0</v>
      </c>
      <c r="P36" s="25">
        <f t="shared" ref="P36:P42" si="24">I36*D36</f>
        <v>0</v>
      </c>
      <c r="Q36" s="25">
        <f t="shared" ref="Q36:Q42" si="25">I36*E36</f>
        <v>0</v>
      </c>
      <c r="R36" s="26">
        <f t="shared" ref="R36:R42" si="26">I36*F36</f>
        <v>0</v>
      </c>
      <c r="S36" s="27">
        <f t="shared" ref="S36:S42" si="27">I36*G36</f>
        <v>0</v>
      </c>
      <c r="T36" s="28">
        <f t="shared" ref="T36:T42" si="28">SUM(O36:S36)</f>
        <v>0</v>
      </c>
    </row>
    <row r="37" spans="2:20" hidden="1">
      <c r="B37" s="418" t="s">
        <v>2283</v>
      </c>
      <c r="C37" s="14"/>
      <c r="D37" s="14"/>
      <c r="E37" s="14"/>
      <c r="F37" s="14"/>
      <c r="G37" s="14"/>
      <c r="H37" s="24">
        <f t="shared" si="21"/>
        <v>0</v>
      </c>
      <c r="I37" s="456">
        <f t="shared" si="22"/>
        <v>17.739999999999998</v>
      </c>
      <c r="J37" s="10"/>
      <c r="K37" s="12"/>
      <c r="L37" s="167">
        <v>17.739999999999998</v>
      </c>
      <c r="M37" s="167">
        <v>11.34</v>
      </c>
      <c r="N37" s="32"/>
      <c r="O37" s="25">
        <f t="shared" si="23"/>
        <v>0</v>
      </c>
      <c r="P37" s="25">
        <f t="shared" si="24"/>
        <v>0</v>
      </c>
      <c r="Q37" s="25">
        <f t="shared" si="25"/>
        <v>0</v>
      </c>
      <c r="R37" s="26">
        <f t="shared" si="26"/>
        <v>0</v>
      </c>
      <c r="S37" s="27">
        <f t="shared" si="27"/>
        <v>0</v>
      </c>
      <c r="T37" s="28">
        <f t="shared" si="28"/>
        <v>0</v>
      </c>
    </row>
    <row r="38" spans="2:20" hidden="1">
      <c r="B38" s="418" t="s">
        <v>2284</v>
      </c>
      <c r="C38" s="14"/>
      <c r="D38" s="14"/>
      <c r="E38" s="14"/>
      <c r="F38" s="14"/>
      <c r="G38" s="14"/>
      <c r="H38" s="24">
        <f t="shared" si="21"/>
        <v>0</v>
      </c>
      <c r="I38" s="456">
        <f t="shared" si="22"/>
        <v>10.81</v>
      </c>
      <c r="J38" s="10"/>
      <c r="K38" s="12"/>
      <c r="L38" s="167">
        <v>10.81</v>
      </c>
      <c r="M38" s="167"/>
      <c r="N38" s="32"/>
      <c r="O38" s="25">
        <f t="shared" si="23"/>
        <v>0</v>
      </c>
      <c r="P38" s="25">
        <f t="shared" si="24"/>
        <v>0</v>
      </c>
      <c r="Q38" s="25">
        <f t="shared" si="25"/>
        <v>0</v>
      </c>
      <c r="R38" s="26">
        <f t="shared" si="26"/>
        <v>0</v>
      </c>
      <c r="S38" s="27">
        <f t="shared" si="27"/>
        <v>0</v>
      </c>
      <c r="T38" s="28">
        <f t="shared" si="28"/>
        <v>0</v>
      </c>
    </row>
    <row r="39" spans="2:20" hidden="1">
      <c r="B39" s="418" t="s">
        <v>2285</v>
      </c>
      <c r="C39" s="14"/>
      <c r="D39" s="14"/>
      <c r="E39" s="14"/>
      <c r="F39" s="14"/>
      <c r="G39" s="14"/>
      <c r="H39" s="24">
        <f t="shared" si="21"/>
        <v>0</v>
      </c>
      <c r="I39" s="456">
        <f t="shared" si="22"/>
        <v>10.835000000000001</v>
      </c>
      <c r="J39" s="10"/>
      <c r="K39" s="12"/>
      <c r="L39" s="167">
        <v>10.835000000000001</v>
      </c>
      <c r="M39" s="167"/>
      <c r="N39" s="32"/>
      <c r="O39" s="25">
        <f t="shared" si="23"/>
        <v>0</v>
      </c>
      <c r="P39" s="25">
        <f t="shared" si="24"/>
        <v>0</v>
      </c>
      <c r="Q39" s="25">
        <f t="shared" si="25"/>
        <v>0</v>
      </c>
      <c r="R39" s="26">
        <f t="shared" si="26"/>
        <v>0</v>
      </c>
      <c r="S39" s="27">
        <f t="shared" si="27"/>
        <v>0</v>
      </c>
      <c r="T39" s="28">
        <f t="shared" si="28"/>
        <v>0</v>
      </c>
    </row>
    <row r="40" spans="2:20" hidden="1">
      <c r="B40" s="418" t="s">
        <v>2286</v>
      </c>
      <c r="C40" s="14"/>
      <c r="D40" s="14"/>
      <c r="E40" s="14"/>
      <c r="F40" s="14"/>
      <c r="G40" s="14"/>
      <c r="H40" s="24">
        <f t="shared" si="21"/>
        <v>0</v>
      </c>
      <c r="I40" s="456">
        <f t="shared" si="22"/>
        <v>13.01</v>
      </c>
      <c r="J40" s="10"/>
      <c r="K40" s="12"/>
      <c r="L40" s="167">
        <v>13.01</v>
      </c>
      <c r="M40" s="167"/>
      <c r="N40" s="32"/>
      <c r="O40" s="25">
        <f t="shared" si="23"/>
        <v>0</v>
      </c>
      <c r="P40" s="25">
        <f t="shared" si="24"/>
        <v>0</v>
      </c>
      <c r="Q40" s="25">
        <f t="shared" si="25"/>
        <v>0</v>
      </c>
      <c r="R40" s="26">
        <f t="shared" si="26"/>
        <v>0</v>
      </c>
      <c r="S40" s="27">
        <f t="shared" si="27"/>
        <v>0</v>
      </c>
      <c r="T40" s="28">
        <f t="shared" si="28"/>
        <v>0</v>
      </c>
    </row>
    <row r="41" spans="2:20" hidden="1">
      <c r="B41" s="418" t="s">
        <v>2287</v>
      </c>
      <c r="C41" s="14"/>
      <c r="D41" s="14"/>
      <c r="E41" s="14"/>
      <c r="F41" s="14"/>
      <c r="G41" s="14"/>
      <c r="H41" s="24">
        <f t="shared" si="21"/>
        <v>0</v>
      </c>
      <c r="I41" s="456">
        <f t="shared" si="22"/>
        <v>13.045833333333334</v>
      </c>
      <c r="J41" s="10"/>
      <c r="K41" s="12"/>
      <c r="L41" s="167">
        <v>13.045833333333334</v>
      </c>
      <c r="M41" s="167"/>
      <c r="N41" s="32"/>
      <c r="O41" s="25">
        <f t="shared" si="23"/>
        <v>0</v>
      </c>
      <c r="P41" s="25">
        <f t="shared" si="24"/>
        <v>0</v>
      </c>
      <c r="Q41" s="25">
        <f t="shared" si="25"/>
        <v>0</v>
      </c>
      <c r="R41" s="26">
        <f t="shared" si="26"/>
        <v>0</v>
      </c>
      <c r="S41" s="27">
        <f t="shared" si="27"/>
        <v>0</v>
      </c>
      <c r="T41" s="28">
        <f t="shared" si="28"/>
        <v>0</v>
      </c>
    </row>
    <row r="42" spans="2:20" hidden="1">
      <c r="B42" s="418" t="s">
        <v>2288</v>
      </c>
      <c r="C42" s="14"/>
      <c r="D42" s="14"/>
      <c r="E42" s="14"/>
      <c r="F42" s="14"/>
      <c r="G42" s="14"/>
      <c r="H42" s="24">
        <f t="shared" si="21"/>
        <v>0</v>
      </c>
      <c r="I42" s="456">
        <f t="shared" si="22"/>
        <v>2.9249999999999998</v>
      </c>
      <c r="J42" s="10"/>
      <c r="K42" s="12"/>
      <c r="L42" s="168">
        <v>2.9249999999999998</v>
      </c>
      <c r="M42" s="168">
        <v>133.30000000000001</v>
      </c>
      <c r="N42" s="32"/>
      <c r="O42" s="25">
        <f t="shared" si="23"/>
        <v>0</v>
      </c>
      <c r="P42" s="25">
        <f t="shared" si="24"/>
        <v>0</v>
      </c>
      <c r="Q42" s="25">
        <f t="shared" si="25"/>
        <v>0</v>
      </c>
      <c r="R42" s="26">
        <f t="shared" si="26"/>
        <v>0</v>
      </c>
      <c r="S42" s="27">
        <f t="shared" si="27"/>
        <v>0</v>
      </c>
      <c r="T42" s="28">
        <f t="shared" si="28"/>
        <v>0</v>
      </c>
    </row>
    <row r="43" spans="2:20">
      <c r="B43" s="418" t="s">
        <v>2289</v>
      </c>
      <c r="C43" s="14"/>
      <c r="D43" s="14">
        <v>80</v>
      </c>
      <c r="E43" s="14"/>
      <c r="F43" s="14">
        <v>144</v>
      </c>
      <c r="G43" s="14"/>
      <c r="H43" s="24">
        <f t="shared" si="13"/>
        <v>224</v>
      </c>
      <c r="I43" s="456">
        <v>12.09</v>
      </c>
      <c r="J43" s="10"/>
      <c r="K43" s="12"/>
      <c r="L43" s="167">
        <v>11.3</v>
      </c>
      <c r="M43" s="167">
        <v>9.85</v>
      </c>
      <c r="N43" s="32"/>
      <c r="O43" s="25">
        <f t="shared" si="15"/>
        <v>0</v>
      </c>
      <c r="P43" s="25">
        <f t="shared" si="16"/>
        <v>967.2</v>
      </c>
      <c r="Q43" s="25">
        <f t="shared" si="17"/>
        <v>0</v>
      </c>
      <c r="R43" s="26">
        <f t="shared" si="18"/>
        <v>1740.96</v>
      </c>
      <c r="S43" s="27">
        <f t="shared" si="19"/>
        <v>0</v>
      </c>
      <c r="T43" s="28">
        <f t="shared" si="20"/>
        <v>2708.16</v>
      </c>
    </row>
    <row r="44" spans="2:20" hidden="1">
      <c r="B44" s="418" t="s">
        <v>2290</v>
      </c>
      <c r="C44" s="14"/>
      <c r="D44" s="14"/>
      <c r="E44" s="14"/>
      <c r="F44" s="14"/>
      <c r="G44" s="14"/>
      <c r="H44" s="24">
        <f t="shared" si="13"/>
        <v>0</v>
      </c>
      <c r="I44" s="456">
        <f t="shared" si="14"/>
        <v>10.07</v>
      </c>
      <c r="J44" s="10"/>
      <c r="K44" s="12"/>
      <c r="L44" s="167">
        <v>10.07</v>
      </c>
      <c r="M44" s="167">
        <v>10.1</v>
      </c>
      <c r="N44" s="32"/>
      <c r="O44" s="25">
        <f t="shared" si="15"/>
        <v>0</v>
      </c>
      <c r="P44" s="25">
        <f t="shared" si="16"/>
        <v>0</v>
      </c>
      <c r="Q44" s="25">
        <f t="shared" si="17"/>
        <v>0</v>
      </c>
      <c r="R44" s="26">
        <f t="shared" si="18"/>
        <v>0</v>
      </c>
      <c r="S44" s="27">
        <f t="shared" si="19"/>
        <v>0</v>
      </c>
      <c r="T44" s="28">
        <f t="shared" si="20"/>
        <v>0</v>
      </c>
    </row>
    <row r="45" spans="2:20" hidden="1">
      <c r="B45" s="418" t="s">
        <v>2291</v>
      </c>
      <c r="C45" s="14"/>
      <c r="D45" s="14"/>
      <c r="E45" s="14"/>
      <c r="F45" s="14"/>
      <c r="G45" s="14"/>
      <c r="H45" s="24">
        <f t="shared" si="13"/>
        <v>0</v>
      </c>
      <c r="I45" s="456">
        <f t="shared" si="14"/>
        <v>5.28</v>
      </c>
      <c r="J45" s="10"/>
      <c r="K45" s="12"/>
      <c r="L45" s="167">
        <v>5.28</v>
      </c>
      <c r="M45" s="167">
        <v>4.9400000000000004</v>
      </c>
      <c r="N45" s="32"/>
      <c r="O45" s="25">
        <f t="shared" si="15"/>
        <v>0</v>
      </c>
      <c r="P45" s="25">
        <f t="shared" si="16"/>
        <v>0</v>
      </c>
      <c r="Q45" s="25">
        <f t="shared" si="17"/>
        <v>0</v>
      </c>
      <c r="R45" s="26">
        <f t="shared" si="18"/>
        <v>0</v>
      </c>
      <c r="S45" s="27">
        <f t="shared" si="19"/>
        <v>0</v>
      </c>
      <c r="T45" s="28">
        <f t="shared" si="20"/>
        <v>0</v>
      </c>
    </row>
    <row r="46" spans="2:20" hidden="1">
      <c r="B46" s="418" t="s">
        <v>2292</v>
      </c>
      <c r="C46" s="14"/>
      <c r="D46" s="14"/>
      <c r="E46" s="14"/>
      <c r="F46" s="14"/>
      <c r="G46" s="14"/>
      <c r="H46" s="24">
        <f t="shared" si="13"/>
        <v>0</v>
      </c>
      <c r="I46" s="456">
        <f t="shared" si="14"/>
        <v>9.31</v>
      </c>
      <c r="J46" s="10"/>
      <c r="K46" s="12"/>
      <c r="L46" s="167">
        <v>9.31</v>
      </c>
      <c r="M46" s="167">
        <v>8.65</v>
      </c>
      <c r="N46" s="32"/>
      <c r="O46" s="25">
        <f t="shared" si="15"/>
        <v>0</v>
      </c>
      <c r="P46" s="25">
        <f t="shared" si="16"/>
        <v>0</v>
      </c>
      <c r="Q46" s="25">
        <f t="shared" si="17"/>
        <v>0</v>
      </c>
      <c r="R46" s="26">
        <f t="shared" si="18"/>
        <v>0</v>
      </c>
      <c r="S46" s="27">
        <f t="shared" si="19"/>
        <v>0</v>
      </c>
      <c r="T46" s="28">
        <f t="shared" si="20"/>
        <v>0</v>
      </c>
    </row>
    <row r="47" spans="2:20" hidden="1">
      <c r="B47" s="418" t="s">
        <v>2293</v>
      </c>
      <c r="C47" s="14"/>
      <c r="D47" s="14"/>
      <c r="E47" s="14"/>
      <c r="F47" s="14"/>
      <c r="G47" s="14"/>
      <c r="H47" s="24">
        <f t="shared" si="13"/>
        <v>0</v>
      </c>
      <c r="I47" s="456">
        <f t="shared" si="14"/>
        <v>18.440000000000001</v>
      </c>
      <c r="J47" s="10"/>
      <c r="K47" s="12"/>
      <c r="L47" s="167">
        <v>18.440000000000001</v>
      </c>
      <c r="M47" s="167">
        <v>17.13</v>
      </c>
      <c r="N47" s="32"/>
      <c r="O47" s="25">
        <f t="shared" si="15"/>
        <v>0</v>
      </c>
      <c r="P47" s="25">
        <f t="shared" si="16"/>
        <v>0</v>
      </c>
      <c r="Q47" s="25">
        <f t="shared" si="17"/>
        <v>0</v>
      </c>
      <c r="R47" s="26">
        <f t="shared" si="18"/>
        <v>0</v>
      </c>
      <c r="S47" s="27">
        <f t="shared" si="19"/>
        <v>0</v>
      </c>
      <c r="T47" s="28">
        <f t="shared" si="20"/>
        <v>0</v>
      </c>
    </row>
    <row r="48" spans="2:20" hidden="1">
      <c r="B48" s="418" t="s">
        <v>2294</v>
      </c>
      <c r="C48" s="14"/>
      <c r="D48" s="14"/>
      <c r="E48" s="14"/>
      <c r="F48" s="14"/>
      <c r="G48" s="14"/>
      <c r="H48" s="24">
        <f t="shared" si="13"/>
        <v>0</v>
      </c>
      <c r="I48" s="456">
        <f t="shared" si="14"/>
        <v>5.51</v>
      </c>
      <c r="J48" s="10"/>
      <c r="K48" s="12"/>
      <c r="L48" s="167">
        <v>5.51</v>
      </c>
      <c r="M48" s="167">
        <v>5.0199999999999996</v>
      </c>
      <c r="N48" s="32"/>
      <c r="O48" s="25">
        <f t="shared" si="15"/>
        <v>0</v>
      </c>
      <c r="P48" s="25">
        <f t="shared" si="16"/>
        <v>0</v>
      </c>
      <c r="Q48" s="25">
        <f t="shared" si="17"/>
        <v>0</v>
      </c>
      <c r="R48" s="26">
        <f t="shared" si="18"/>
        <v>0</v>
      </c>
      <c r="S48" s="27">
        <f t="shared" si="19"/>
        <v>0</v>
      </c>
      <c r="T48" s="28">
        <f t="shared" si="20"/>
        <v>0</v>
      </c>
    </row>
    <row r="49" spans="2:20" hidden="1">
      <c r="B49" s="418" t="s">
        <v>2295</v>
      </c>
      <c r="C49" s="14"/>
      <c r="D49" s="14"/>
      <c r="E49" s="14"/>
      <c r="F49" s="14"/>
      <c r="G49" s="14"/>
      <c r="H49" s="24">
        <f t="shared" si="13"/>
        <v>0</v>
      </c>
      <c r="I49" s="456">
        <f t="shared" si="14"/>
        <v>8.24</v>
      </c>
      <c r="J49" s="10"/>
      <c r="K49" s="12"/>
      <c r="L49" s="167">
        <v>8.24</v>
      </c>
      <c r="M49" s="167">
        <v>7.51</v>
      </c>
      <c r="N49" s="32"/>
      <c r="O49" s="25">
        <f t="shared" si="15"/>
        <v>0</v>
      </c>
      <c r="P49" s="25">
        <f t="shared" si="16"/>
        <v>0</v>
      </c>
      <c r="Q49" s="25">
        <f t="shared" si="17"/>
        <v>0</v>
      </c>
      <c r="R49" s="26">
        <f t="shared" si="18"/>
        <v>0</v>
      </c>
      <c r="S49" s="27">
        <f t="shared" si="19"/>
        <v>0</v>
      </c>
      <c r="T49" s="28">
        <f t="shared" si="20"/>
        <v>0</v>
      </c>
    </row>
    <row r="50" spans="2:20">
      <c r="B50" s="418" t="s">
        <v>2296</v>
      </c>
      <c r="C50" s="14"/>
      <c r="D50" s="14">
        <v>6500</v>
      </c>
      <c r="E50" s="14">
        <v>3000</v>
      </c>
      <c r="F50" s="14">
        <v>4000</v>
      </c>
      <c r="G50" s="14"/>
      <c r="H50" s="24">
        <f t="shared" si="13"/>
        <v>13500</v>
      </c>
      <c r="I50" s="456">
        <f>529.99/200</f>
        <v>2.64995</v>
      </c>
      <c r="J50" s="10"/>
      <c r="K50" s="12"/>
      <c r="L50" s="167">
        <v>5.0475000000000003</v>
      </c>
      <c r="M50" s="167">
        <v>8.02</v>
      </c>
      <c r="N50" s="32"/>
      <c r="O50" s="25">
        <f t="shared" si="15"/>
        <v>0</v>
      </c>
      <c r="P50" s="25">
        <f t="shared" si="16"/>
        <v>17224.674999999999</v>
      </c>
      <c r="Q50" s="25">
        <f t="shared" si="17"/>
        <v>7949.85</v>
      </c>
      <c r="R50" s="26">
        <f t="shared" si="18"/>
        <v>10599.8</v>
      </c>
      <c r="S50" s="27">
        <f t="shared" si="19"/>
        <v>0</v>
      </c>
      <c r="T50" s="28">
        <f t="shared" si="20"/>
        <v>35774.324999999997</v>
      </c>
    </row>
    <row r="51" spans="2:20" hidden="1">
      <c r="B51" s="418" t="s">
        <v>2297</v>
      </c>
      <c r="C51" s="14"/>
      <c r="D51" s="14"/>
      <c r="E51" s="14"/>
      <c r="F51" s="14"/>
      <c r="G51" s="14"/>
      <c r="H51" s="24">
        <f t="shared" si="13"/>
        <v>0</v>
      </c>
      <c r="I51" s="456">
        <f t="shared" si="14"/>
        <v>20.309999999999999</v>
      </c>
      <c r="J51" s="10"/>
      <c r="K51" s="12"/>
      <c r="L51" s="167">
        <v>20.309999999999999</v>
      </c>
      <c r="M51" s="167">
        <v>413.24</v>
      </c>
      <c r="N51" s="32"/>
      <c r="O51" s="25">
        <f t="shared" si="15"/>
        <v>0</v>
      </c>
      <c r="P51" s="25">
        <f t="shared" si="16"/>
        <v>0</v>
      </c>
      <c r="Q51" s="25">
        <f t="shared" si="17"/>
        <v>0</v>
      </c>
      <c r="R51" s="26">
        <f t="shared" si="18"/>
        <v>0</v>
      </c>
      <c r="S51" s="27">
        <f t="shared" si="19"/>
        <v>0</v>
      </c>
      <c r="T51" s="28">
        <f t="shared" si="20"/>
        <v>0</v>
      </c>
    </row>
    <row r="52" spans="2:20" hidden="1">
      <c r="B52" s="418" t="s">
        <v>2298</v>
      </c>
      <c r="C52" s="14"/>
      <c r="D52" s="14"/>
      <c r="E52" s="14"/>
      <c r="F52" s="14"/>
      <c r="G52" s="14"/>
      <c r="H52" s="24">
        <f t="shared" si="13"/>
        <v>0</v>
      </c>
      <c r="I52" s="456">
        <f t="shared" si="14"/>
        <v>5.8376250000000001</v>
      </c>
      <c r="J52" s="10"/>
      <c r="K52" s="12"/>
      <c r="L52" s="167">
        <v>5.8376250000000001</v>
      </c>
      <c r="M52" s="167">
        <v>359.43</v>
      </c>
      <c r="N52" s="32"/>
      <c r="O52" s="25">
        <f t="shared" si="15"/>
        <v>0</v>
      </c>
      <c r="P52" s="25">
        <f t="shared" si="16"/>
        <v>0</v>
      </c>
      <c r="Q52" s="25">
        <f t="shared" si="17"/>
        <v>0</v>
      </c>
      <c r="R52" s="26">
        <f t="shared" si="18"/>
        <v>0</v>
      </c>
      <c r="S52" s="27">
        <f t="shared" si="19"/>
        <v>0</v>
      </c>
      <c r="T52" s="28">
        <f t="shared" si="20"/>
        <v>0</v>
      </c>
    </row>
    <row r="53" spans="2:20" hidden="1">
      <c r="B53" s="418" t="s">
        <v>2299</v>
      </c>
      <c r="C53" s="14"/>
      <c r="D53" s="14"/>
      <c r="E53" s="14"/>
      <c r="F53" s="14"/>
      <c r="G53" s="14"/>
      <c r="H53" s="24">
        <f t="shared" si="13"/>
        <v>0</v>
      </c>
      <c r="I53" s="456">
        <f t="shared" si="14"/>
        <v>2.4251818181818181</v>
      </c>
      <c r="J53" s="10"/>
      <c r="K53" s="12"/>
      <c r="L53" s="167">
        <v>2.4251818181818181</v>
      </c>
      <c r="M53" s="167">
        <v>446.64</v>
      </c>
      <c r="N53" s="32"/>
      <c r="O53" s="25">
        <f t="shared" si="15"/>
        <v>0</v>
      </c>
      <c r="P53" s="25">
        <f t="shared" si="16"/>
        <v>0</v>
      </c>
      <c r="Q53" s="25">
        <f t="shared" si="17"/>
        <v>0</v>
      </c>
      <c r="R53" s="26">
        <f t="shared" si="18"/>
        <v>0</v>
      </c>
      <c r="S53" s="27">
        <f t="shared" si="19"/>
        <v>0</v>
      </c>
      <c r="T53" s="28">
        <f t="shared" si="20"/>
        <v>0</v>
      </c>
    </row>
    <row r="54" spans="2:20" hidden="1">
      <c r="B54" s="418" t="s">
        <v>2300</v>
      </c>
      <c r="C54" s="14"/>
      <c r="D54" s="14"/>
      <c r="E54" s="14"/>
      <c r="F54" s="14"/>
      <c r="G54" s="14"/>
      <c r="H54" s="24">
        <f t="shared" si="13"/>
        <v>0</v>
      </c>
      <c r="I54" s="456">
        <f>L54-(L54*J54)</f>
        <v>19.079999999999998</v>
      </c>
      <c r="J54" s="10"/>
      <c r="K54" s="12"/>
      <c r="L54" s="167">
        <v>19.079999999999998</v>
      </c>
      <c r="M54" s="167">
        <v>185.72</v>
      </c>
      <c r="N54" s="32"/>
      <c r="O54" s="25">
        <f t="shared" si="15"/>
        <v>0</v>
      </c>
      <c r="P54" s="25">
        <f t="shared" si="16"/>
        <v>0</v>
      </c>
      <c r="Q54" s="25">
        <f t="shared" si="17"/>
        <v>0</v>
      </c>
      <c r="R54" s="26">
        <f t="shared" si="18"/>
        <v>0</v>
      </c>
      <c r="S54" s="27">
        <f t="shared" si="19"/>
        <v>0</v>
      </c>
      <c r="T54" s="28">
        <f t="shared" si="20"/>
        <v>0</v>
      </c>
    </row>
    <row r="55" spans="2:20" hidden="1">
      <c r="B55" s="418" t="s">
        <v>2301</v>
      </c>
      <c r="C55" s="14"/>
      <c r="D55" s="14"/>
      <c r="E55" s="14"/>
      <c r="F55" s="14"/>
      <c r="G55" s="14"/>
      <c r="H55" s="24">
        <f t="shared" si="13"/>
        <v>0</v>
      </c>
      <c r="I55" s="456">
        <f>L55-(L55*J55)</f>
        <v>5.6086363636363634</v>
      </c>
      <c r="J55" s="10"/>
      <c r="K55" s="12"/>
      <c r="L55" s="167">
        <v>5.6086363636363634</v>
      </c>
      <c r="M55" s="167">
        <v>236.07</v>
      </c>
      <c r="N55" s="32"/>
      <c r="O55" s="25">
        <f t="shared" si="15"/>
        <v>0</v>
      </c>
      <c r="P55" s="25">
        <f t="shared" si="16"/>
        <v>0</v>
      </c>
      <c r="Q55" s="25">
        <f t="shared" si="17"/>
        <v>0</v>
      </c>
      <c r="R55" s="26">
        <f t="shared" si="18"/>
        <v>0</v>
      </c>
      <c r="S55" s="27">
        <f t="shared" si="19"/>
        <v>0</v>
      </c>
      <c r="T55" s="28">
        <f t="shared" si="20"/>
        <v>0</v>
      </c>
    </row>
    <row r="56" spans="2:20" hidden="1">
      <c r="B56" s="418" t="s">
        <v>2302</v>
      </c>
      <c r="C56" s="14"/>
      <c r="D56" s="14"/>
      <c r="E56" s="14"/>
      <c r="F56" s="14"/>
      <c r="G56" s="14"/>
      <c r="H56" s="24">
        <f t="shared" si="13"/>
        <v>0</v>
      </c>
      <c r="I56" s="456">
        <f t="shared" si="14"/>
        <v>4.0199999999999996</v>
      </c>
      <c r="J56" s="10"/>
      <c r="K56" s="12"/>
      <c r="L56" s="167">
        <v>4.0199999999999996</v>
      </c>
      <c r="M56" s="167">
        <v>218.36</v>
      </c>
      <c r="N56" s="32"/>
      <c r="O56" s="25">
        <f t="shared" si="15"/>
        <v>0</v>
      </c>
      <c r="P56" s="25">
        <f t="shared" si="16"/>
        <v>0</v>
      </c>
      <c r="Q56" s="25">
        <f t="shared" si="17"/>
        <v>0</v>
      </c>
      <c r="R56" s="26">
        <f t="shared" si="18"/>
        <v>0</v>
      </c>
      <c r="S56" s="27">
        <f t="shared" si="19"/>
        <v>0</v>
      </c>
      <c r="T56" s="28">
        <f t="shared" si="20"/>
        <v>0</v>
      </c>
    </row>
    <row r="57" spans="2:20" hidden="1">
      <c r="B57" s="418" t="s">
        <v>2303</v>
      </c>
      <c r="C57" s="14"/>
      <c r="D57" s="14"/>
      <c r="E57" s="14"/>
      <c r="F57" s="14"/>
      <c r="G57" s="14"/>
      <c r="H57" s="24">
        <f t="shared" si="13"/>
        <v>0</v>
      </c>
      <c r="I57" s="456">
        <f t="shared" si="14"/>
        <v>23.58</v>
      </c>
      <c r="J57" s="10"/>
      <c r="K57" s="12"/>
      <c r="L57" s="167">
        <v>23.58</v>
      </c>
      <c r="M57" s="167">
        <v>20.87</v>
      </c>
      <c r="N57" s="32"/>
      <c r="O57" s="25">
        <f t="shared" si="15"/>
        <v>0</v>
      </c>
      <c r="P57" s="25">
        <f t="shared" si="16"/>
        <v>0</v>
      </c>
      <c r="Q57" s="25">
        <f t="shared" si="17"/>
        <v>0</v>
      </c>
      <c r="R57" s="26">
        <f t="shared" si="18"/>
        <v>0</v>
      </c>
      <c r="S57" s="27">
        <f t="shared" si="19"/>
        <v>0</v>
      </c>
      <c r="T57" s="28">
        <f t="shared" si="20"/>
        <v>0</v>
      </c>
    </row>
    <row r="58" spans="2:20" hidden="1">
      <c r="B58" s="418" t="s">
        <v>2304</v>
      </c>
      <c r="C58" s="14"/>
      <c r="D58" s="14"/>
      <c r="E58" s="14"/>
      <c r="F58" s="14"/>
      <c r="G58" s="14"/>
      <c r="H58" s="24">
        <f t="shared" si="13"/>
        <v>0</v>
      </c>
      <c r="I58" s="456">
        <f t="shared" si="14"/>
        <v>8.2799999999999994</v>
      </c>
      <c r="J58" s="10"/>
      <c r="K58" s="12"/>
      <c r="L58" s="167">
        <v>8.2799999999999994</v>
      </c>
      <c r="M58" s="167">
        <v>3.56</v>
      </c>
      <c r="N58" s="32"/>
      <c r="O58" s="25">
        <f t="shared" si="15"/>
        <v>0</v>
      </c>
      <c r="P58" s="25">
        <f t="shared" si="16"/>
        <v>0</v>
      </c>
      <c r="Q58" s="25">
        <f t="shared" si="17"/>
        <v>0</v>
      </c>
      <c r="R58" s="26">
        <f t="shared" si="18"/>
        <v>0</v>
      </c>
      <c r="S58" s="27">
        <f t="shared" si="19"/>
        <v>0</v>
      </c>
      <c r="T58" s="28">
        <f t="shared" si="20"/>
        <v>0</v>
      </c>
    </row>
    <row r="59" spans="2:20" hidden="1">
      <c r="B59" s="418" t="s">
        <v>2305</v>
      </c>
      <c r="C59" s="14"/>
      <c r="D59" s="14"/>
      <c r="E59" s="14"/>
      <c r="F59" s="14"/>
      <c r="G59" s="14"/>
      <c r="H59" s="24">
        <f t="shared" si="13"/>
        <v>0</v>
      </c>
      <c r="I59" s="456">
        <f t="shared" si="14"/>
        <v>9.0500000000000007</v>
      </c>
      <c r="J59" s="10"/>
      <c r="K59" s="12"/>
      <c r="L59" s="167">
        <v>9.0500000000000007</v>
      </c>
      <c r="M59" s="167">
        <v>7.32</v>
      </c>
      <c r="N59" s="32"/>
      <c r="O59" s="25">
        <f t="shared" si="15"/>
        <v>0</v>
      </c>
      <c r="P59" s="25">
        <f t="shared" si="16"/>
        <v>0</v>
      </c>
      <c r="Q59" s="25">
        <f t="shared" si="17"/>
        <v>0</v>
      </c>
      <c r="R59" s="26">
        <f t="shared" si="18"/>
        <v>0</v>
      </c>
      <c r="S59" s="27">
        <f t="shared" si="19"/>
        <v>0</v>
      </c>
      <c r="T59" s="28">
        <f t="shared" si="20"/>
        <v>0</v>
      </c>
    </row>
    <row r="60" spans="2:20" hidden="1">
      <c r="B60" s="418" t="s">
        <v>2306</v>
      </c>
      <c r="C60" s="14"/>
      <c r="D60" s="14"/>
      <c r="E60" s="14"/>
      <c r="F60" s="14"/>
      <c r="G60" s="14"/>
      <c r="H60" s="24">
        <f t="shared" si="13"/>
        <v>0</v>
      </c>
      <c r="I60" s="456">
        <f t="shared" si="14"/>
        <v>72.790000000000006</v>
      </c>
      <c r="J60" s="10"/>
      <c r="K60" s="12"/>
      <c r="L60" s="167">
        <v>72.790000000000006</v>
      </c>
      <c r="M60" s="167">
        <v>68.77</v>
      </c>
      <c r="N60" s="32"/>
      <c r="O60" s="25">
        <f t="shared" si="15"/>
        <v>0</v>
      </c>
      <c r="P60" s="25">
        <f t="shared" si="16"/>
        <v>0</v>
      </c>
      <c r="Q60" s="25">
        <f t="shared" si="17"/>
        <v>0</v>
      </c>
      <c r="R60" s="26">
        <f t="shared" si="18"/>
        <v>0</v>
      </c>
      <c r="S60" s="27">
        <f t="shared" si="19"/>
        <v>0</v>
      </c>
      <c r="T60" s="28">
        <f t="shared" si="20"/>
        <v>0</v>
      </c>
    </row>
    <row r="61" spans="2:20">
      <c r="B61" s="418" t="s">
        <v>2307</v>
      </c>
      <c r="C61" s="14"/>
      <c r="D61" s="14">
        <v>10</v>
      </c>
      <c r="E61" s="14"/>
      <c r="F61" s="14"/>
      <c r="G61" s="14"/>
      <c r="H61" s="24">
        <f t="shared" si="13"/>
        <v>10</v>
      </c>
      <c r="I61" s="456">
        <v>42.81</v>
      </c>
      <c r="J61" s="10"/>
      <c r="K61" s="12"/>
      <c r="L61" s="167">
        <v>40.78</v>
      </c>
      <c r="M61" s="167">
        <v>38.53</v>
      </c>
      <c r="N61" s="32"/>
      <c r="O61" s="25">
        <f t="shared" si="15"/>
        <v>0</v>
      </c>
      <c r="P61" s="25">
        <f t="shared" si="16"/>
        <v>428.1</v>
      </c>
      <c r="Q61" s="25">
        <f t="shared" si="17"/>
        <v>0</v>
      </c>
      <c r="R61" s="26">
        <f t="shared" si="18"/>
        <v>0</v>
      </c>
      <c r="S61" s="27">
        <f t="shared" si="19"/>
        <v>0</v>
      </c>
      <c r="T61" s="28">
        <f t="shared" si="20"/>
        <v>428.1</v>
      </c>
    </row>
    <row r="62" spans="2:20">
      <c r="B62" s="418" t="s">
        <v>2308</v>
      </c>
      <c r="C62" s="14"/>
      <c r="D62" s="14"/>
      <c r="E62" s="14"/>
      <c r="F62" s="14">
        <v>120</v>
      </c>
      <c r="G62" s="14"/>
      <c r="H62" s="24">
        <f t="shared" si="13"/>
        <v>120</v>
      </c>
      <c r="I62" s="456">
        <v>14.88</v>
      </c>
      <c r="J62" s="10"/>
      <c r="K62" s="12"/>
      <c r="L62" s="167">
        <v>14.17</v>
      </c>
      <c r="M62" s="167">
        <v>13.13</v>
      </c>
      <c r="N62" s="32"/>
      <c r="O62" s="25">
        <f t="shared" si="15"/>
        <v>0</v>
      </c>
      <c r="P62" s="25">
        <f t="shared" si="16"/>
        <v>0</v>
      </c>
      <c r="Q62" s="25">
        <f t="shared" si="17"/>
        <v>0</v>
      </c>
      <c r="R62" s="26">
        <f t="shared" si="18"/>
        <v>1785.6000000000001</v>
      </c>
      <c r="S62" s="27">
        <f t="shared" si="19"/>
        <v>0</v>
      </c>
      <c r="T62" s="28">
        <f t="shared" si="20"/>
        <v>1785.6000000000001</v>
      </c>
    </row>
    <row r="63" spans="2:20">
      <c r="B63" s="418" t="s">
        <v>2309</v>
      </c>
      <c r="C63" s="14"/>
      <c r="D63" s="14"/>
      <c r="E63" s="14">
        <v>120</v>
      </c>
      <c r="F63" s="14"/>
      <c r="G63" s="14"/>
      <c r="H63" s="24">
        <f t="shared" si="13"/>
        <v>120</v>
      </c>
      <c r="I63" s="456">
        <v>8.66</v>
      </c>
      <c r="J63" s="10"/>
      <c r="K63" s="12"/>
      <c r="L63" s="167">
        <v>8.25</v>
      </c>
      <c r="M63" s="167">
        <v>7.19</v>
      </c>
      <c r="N63" s="32"/>
      <c r="O63" s="25">
        <f t="shared" si="15"/>
        <v>0</v>
      </c>
      <c r="P63" s="25">
        <f t="shared" si="16"/>
        <v>0</v>
      </c>
      <c r="Q63" s="25">
        <f t="shared" si="17"/>
        <v>1039.2</v>
      </c>
      <c r="R63" s="26">
        <f t="shared" si="18"/>
        <v>0</v>
      </c>
      <c r="S63" s="27">
        <f t="shared" si="19"/>
        <v>0</v>
      </c>
      <c r="T63" s="28">
        <f t="shared" si="20"/>
        <v>1039.2</v>
      </c>
    </row>
    <row r="64" spans="2:20">
      <c r="B64" s="418" t="s">
        <v>2310</v>
      </c>
      <c r="C64" s="14"/>
      <c r="D64" s="14">
        <v>200</v>
      </c>
      <c r="E64" s="14">
        <v>180</v>
      </c>
      <c r="F64" s="14"/>
      <c r="G64" s="14"/>
      <c r="H64" s="24">
        <f t="shared" si="13"/>
        <v>380</v>
      </c>
      <c r="I64" s="456">
        <v>10.97</v>
      </c>
      <c r="J64" s="10"/>
      <c r="K64" s="12"/>
      <c r="L64" s="167">
        <v>10.45</v>
      </c>
      <c r="M64" s="167">
        <v>9.11</v>
      </c>
      <c r="N64" s="32"/>
      <c r="O64" s="25">
        <f t="shared" si="15"/>
        <v>0</v>
      </c>
      <c r="P64" s="25">
        <f t="shared" si="16"/>
        <v>2194</v>
      </c>
      <c r="Q64" s="25">
        <f t="shared" si="17"/>
        <v>1974.6000000000001</v>
      </c>
      <c r="R64" s="26">
        <f t="shared" si="18"/>
        <v>0</v>
      </c>
      <c r="S64" s="27">
        <f t="shared" si="19"/>
        <v>0</v>
      </c>
      <c r="T64" s="28">
        <f t="shared" si="20"/>
        <v>4168.6000000000004</v>
      </c>
    </row>
    <row r="65" spans="2:20" hidden="1">
      <c r="B65" s="418" t="s">
        <v>2311</v>
      </c>
      <c r="C65" s="14"/>
      <c r="D65" s="14"/>
      <c r="E65" s="14"/>
      <c r="F65" s="14"/>
      <c r="G65" s="14"/>
      <c r="H65" s="24">
        <f t="shared" ref="H65" si="29">SUM(C65:G65)</f>
        <v>0</v>
      </c>
      <c r="I65" s="456">
        <f t="shared" ref="I65" si="30">L65-(L65*J65)</f>
        <v>46.66</v>
      </c>
      <c r="J65" s="10"/>
      <c r="K65" s="12"/>
      <c r="L65" s="167">
        <v>46.66</v>
      </c>
      <c r="M65" s="167">
        <v>40.590000000000003</v>
      </c>
      <c r="N65" s="32"/>
      <c r="O65" s="25">
        <f t="shared" si="15"/>
        <v>0</v>
      </c>
      <c r="P65" s="25">
        <f t="shared" si="16"/>
        <v>0</v>
      </c>
      <c r="Q65" s="25">
        <f t="shared" si="17"/>
        <v>0</v>
      </c>
      <c r="R65" s="26">
        <f t="shared" si="18"/>
        <v>0</v>
      </c>
      <c r="S65" s="27">
        <f t="shared" si="19"/>
        <v>0</v>
      </c>
      <c r="T65" s="28">
        <f t="shared" si="20"/>
        <v>0</v>
      </c>
    </row>
    <row r="66" spans="2:20">
      <c r="B66" s="58" t="s">
        <v>13</v>
      </c>
      <c r="C66" s="288">
        <v>0</v>
      </c>
      <c r="D66" s="288">
        <v>36210.550000000003</v>
      </c>
      <c r="E66" s="288">
        <f t="shared" ref="E66" si="31">Q66</f>
        <v>11722.53</v>
      </c>
      <c r="F66" s="288">
        <v>23517.600000000002</v>
      </c>
      <c r="G66" s="288">
        <f t="shared" ref="G66" si="32">S66</f>
        <v>0</v>
      </c>
      <c r="H66" s="288">
        <f t="shared" ref="H66" si="33">T66</f>
        <v>46662.864999999991</v>
      </c>
      <c r="O66" s="29">
        <f t="shared" ref="O66:T66" si="34">SUM(O6:O65)</f>
        <v>0</v>
      </c>
      <c r="P66" s="29">
        <f t="shared" si="34"/>
        <v>20813.974999999999</v>
      </c>
      <c r="Q66" s="29">
        <f t="shared" si="34"/>
        <v>11722.53</v>
      </c>
      <c r="R66" s="29">
        <f t="shared" si="34"/>
        <v>14126.359999999999</v>
      </c>
      <c r="S66" s="29">
        <f t="shared" si="34"/>
        <v>0</v>
      </c>
      <c r="T66" s="29">
        <f t="shared" si="34"/>
        <v>46662.864999999991</v>
      </c>
    </row>
    <row r="67" spans="2:20">
      <c r="B67" s="59" t="s">
        <v>46</v>
      </c>
    </row>
    <row r="68" spans="2:20" ht="16.5" thickBot="1">
      <c r="B68" s="2"/>
    </row>
    <row r="69" spans="2:20">
      <c r="B69" s="60" t="s">
        <v>47</v>
      </c>
    </row>
    <row r="70" spans="2:20">
      <c r="B70" s="61" t="s">
        <v>19</v>
      </c>
    </row>
    <row r="71" spans="2:20">
      <c r="B71" s="61" t="s">
        <v>555</v>
      </c>
    </row>
    <row r="72" spans="2:20" ht="16.5" thickBot="1">
      <c r="B72" s="62" t="s">
        <v>556</v>
      </c>
    </row>
    <row r="73" spans="2:20">
      <c r="B73" s="2"/>
    </row>
    <row r="74" spans="2:20">
      <c r="B74" s="30" t="s">
        <v>20</v>
      </c>
    </row>
    <row r="75" spans="2:20">
      <c r="B75" s="35"/>
    </row>
    <row r="76" spans="2:20">
      <c r="B76" s="35"/>
    </row>
    <row r="77" spans="2:20">
      <c r="B77" s="2"/>
      <c r="G77" s="5" t="str">
        <f>IF(B77&lt;&gt;"",SUM(C77:F77),"")</f>
        <v/>
      </c>
    </row>
    <row r="78" spans="2:20">
      <c r="G78" s="5" t="str">
        <f t="shared" ref="G78:G80" si="35">IF(B78&lt;&gt;"",SUM(C78:F78),"")</f>
        <v/>
      </c>
    </row>
    <row r="79" spans="2:20">
      <c r="G79" s="5" t="str">
        <f t="shared" si="35"/>
        <v/>
      </c>
    </row>
    <row r="80" spans="2:20">
      <c r="G80" s="5" t="str">
        <f t="shared" si="35"/>
        <v/>
      </c>
    </row>
    <row r="81" spans="7:7">
      <c r="G81" s="5" t="str">
        <f t="shared" ref="G81:G144" si="36">IF(B81&lt;&gt;"",SUM(C81:F81),"")</f>
        <v/>
      </c>
    </row>
    <row r="82" spans="7:7">
      <c r="G82" s="5" t="str">
        <f t="shared" si="36"/>
        <v/>
      </c>
    </row>
    <row r="83" spans="7:7">
      <c r="G83" s="5" t="str">
        <f t="shared" si="36"/>
        <v/>
      </c>
    </row>
    <row r="84" spans="7:7">
      <c r="G84" s="5" t="str">
        <f t="shared" si="36"/>
        <v/>
      </c>
    </row>
    <row r="85" spans="7:7">
      <c r="G85" s="5" t="str">
        <f t="shared" si="36"/>
        <v/>
      </c>
    </row>
    <row r="86" spans="7:7">
      <c r="G86" s="5" t="str">
        <f t="shared" si="36"/>
        <v/>
      </c>
    </row>
    <row r="87" spans="7:7">
      <c r="G87" s="5" t="str">
        <f t="shared" si="36"/>
        <v/>
      </c>
    </row>
    <row r="88" spans="7:7">
      <c r="G88" s="5" t="str">
        <f t="shared" si="36"/>
        <v/>
      </c>
    </row>
    <row r="89" spans="7:7">
      <c r="G89" s="5" t="str">
        <f t="shared" si="36"/>
        <v/>
      </c>
    </row>
    <row r="90" spans="7:7">
      <c r="G90" s="5" t="str">
        <f t="shared" si="36"/>
        <v/>
      </c>
    </row>
    <row r="91" spans="7:7">
      <c r="G91" s="5" t="str">
        <f t="shared" si="36"/>
        <v/>
      </c>
    </row>
    <row r="92" spans="7:7">
      <c r="G92" s="5" t="str">
        <f t="shared" si="36"/>
        <v/>
      </c>
    </row>
    <row r="93" spans="7:7">
      <c r="G93" s="5" t="str">
        <f t="shared" si="36"/>
        <v/>
      </c>
    </row>
    <row r="94" spans="7:7">
      <c r="G94" s="5" t="str">
        <f t="shared" si="36"/>
        <v/>
      </c>
    </row>
    <row r="95" spans="7:7">
      <c r="G95" s="5" t="str">
        <f t="shared" si="36"/>
        <v/>
      </c>
    </row>
    <row r="96" spans="7:7">
      <c r="G96" s="5" t="str">
        <f t="shared" si="36"/>
        <v/>
      </c>
    </row>
    <row r="97" spans="7:7">
      <c r="G97" s="5" t="str">
        <f t="shared" si="36"/>
        <v/>
      </c>
    </row>
    <row r="98" spans="7:7">
      <c r="G98" s="5" t="str">
        <f t="shared" si="36"/>
        <v/>
      </c>
    </row>
    <row r="99" spans="7:7">
      <c r="G99" s="5" t="str">
        <f t="shared" si="36"/>
        <v/>
      </c>
    </row>
    <row r="100" spans="7:7">
      <c r="G100" s="5" t="str">
        <f t="shared" si="36"/>
        <v/>
      </c>
    </row>
    <row r="101" spans="7:7">
      <c r="G101" s="5" t="str">
        <f t="shared" si="36"/>
        <v/>
      </c>
    </row>
    <row r="102" spans="7:7">
      <c r="G102" s="5" t="str">
        <f t="shared" si="36"/>
        <v/>
      </c>
    </row>
    <row r="103" spans="7:7">
      <c r="G103" s="5" t="str">
        <f t="shared" si="36"/>
        <v/>
      </c>
    </row>
    <row r="104" spans="7:7">
      <c r="G104" s="5" t="str">
        <f t="shared" si="36"/>
        <v/>
      </c>
    </row>
    <row r="105" spans="7:7">
      <c r="G105" s="5" t="str">
        <f t="shared" si="36"/>
        <v/>
      </c>
    </row>
    <row r="106" spans="7:7">
      <c r="G106" s="5" t="str">
        <f t="shared" si="36"/>
        <v/>
      </c>
    </row>
    <row r="107" spans="7:7">
      <c r="G107" s="5" t="str">
        <f t="shared" si="36"/>
        <v/>
      </c>
    </row>
    <row r="108" spans="7:7">
      <c r="G108" s="5" t="str">
        <f t="shared" si="36"/>
        <v/>
      </c>
    </row>
    <row r="109" spans="7:7">
      <c r="G109" s="5" t="str">
        <f t="shared" si="36"/>
        <v/>
      </c>
    </row>
    <row r="110" spans="7:7">
      <c r="G110" s="5" t="str">
        <f t="shared" si="36"/>
        <v/>
      </c>
    </row>
    <row r="111" spans="7:7">
      <c r="G111" s="5" t="str">
        <f t="shared" si="36"/>
        <v/>
      </c>
    </row>
    <row r="112" spans="7:7">
      <c r="G112" s="5" t="str">
        <f t="shared" si="36"/>
        <v/>
      </c>
    </row>
    <row r="113" spans="7:7">
      <c r="G113" s="5" t="str">
        <f t="shared" si="36"/>
        <v/>
      </c>
    </row>
    <row r="114" spans="7:7">
      <c r="G114" s="5" t="str">
        <f t="shared" si="36"/>
        <v/>
      </c>
    </row>
    <row r="115" spans="7:7">
      <c r="G115" s="5" t="str">
        <f t="shared" si="36"/>
        <v/>
      </c>
    </row>
    <row r="116" spans="7:7">
      <c r="G116" s="5" t="str">
        <f t="shared" si="36"/>
        <v/>
      </c>
    </row>
    <row r="117" spans="7:7">
      <c r="G117" s="5" t="str">
        <f t="shared" si="36"/>
        <v/>
      </c>
    </row>
    <row r="118" spans="7:7">
      <c r="G118" s="5" t="str">
        <f t="shared" si="36"/>
        <v/>
      </c>
    </row>
    <row r="119" spans="7:7">
      <c r="G119" s="5" t="str">
        <f t="shared" si="36"/>
        <v/>
      </c>
    </row>
    <row r="120" spans="7:7">
      <c r="G120" s="5" t="str">
        <f t="shared" si="36"/>
        <v/>
      </c>
    </row>
    <row r="121" spans="7:7">
      <c r="G121" s="5" t="str">
        <f t="shared" si="36"/>
        <v/>
      </c>
    </row>
    <row r="122" spans="7:7">
      <c r="G122" s="5" t="str">
        <f t="shared" si="36"/>
        <v/>
      </c>
    </row>
    <row r="123" spans="7:7">
      <c r="G123" s="5" t="str">
        <f t="shared" si="36"/>
        <v/>
      </c>
    </row>
    <row r="124" spans="7:7">
      <c r="G124" s="5" t="str">
        <f t="shared" si="36"/>
        <v/>
      </c>
    </row>
    <row r="125" spans="7:7">
      <c r="G125" s="5" t="str">
        <f t="shared" si="36"/>
        <v/>
      </c>
    </row>
    <row r="126" spans="7:7">
      <c r="G126" s="5" t="str">
        <f t="shared" si="36"/>
        <v/>
      </c>
    </row>
    <row r="127" spans="7:7">
      <c r="G127" s="5" t="str">
        <f t="shared" si="36"/>
        <v/>
      </c>
    </row>
    <row r="128" spans="7:7">
      <c r="G128" s="5" t="str">
        <f t="shared" si="36"/>
        <v/>
      </c>
    </row>
    <row r="129" spans="7:7">
      <c r="G129" s="5" t="str">
        <f t="shared" si="36"/>
        <v/>
      </c>
    </row>
    <row r="130" spans="7:7">
      <c r="G130" s="5" t="str">
        <f t="shared" si="36"/>
        <v/>
      </c>
    </row>
    <row r="131" spans="7:7">
      <c r="G131" s="5" t="str">
        <f t="shared" si="36"/>
        <v/>
      </c>
    </row>
    <row r="132" spans="7:7">
      <c r="G132" s="5" t="str">
        <f t="shared" si="36"/>
        <v/>
      </c>
    </row>
    <row r="133" spans="7:7">
      <c r="G133" s="5" t="str">
        <f t="shared" si="36"/>
        <v/>
      </c>
    </row>
    <row r="134" spans="7:7">
      <c r="G134" s="5" t="str">
        <f t="shared" si="36"/>
        <v/>
      </c>
    </row>
    <row r="135" spans="7:7">
      <c r="G135" s="5" t="str">
        <f t="shared" si="36"/>
        <v/>
      </c>
    </row>
    <row r="136" spans="7:7">
      <c r="G136" s="5" t="str">
        <f t="shared" si="36"/>
        <v/>
      </c>
    </row>
    <row r="137" spans="7:7">
      <c r="G137" s="5" t="str">
        <f t="shared" si="36"/>
        <v/>
      </c>
    </row>
    <row r="138" spans="7:7">
      <c r="G138" s="5" t="str">
        <f t="shared" si="36"/>
        <v/>
      </c>
    </row>
    <row r="139" spans="7:7">
      <c r="G139" s="5" t="str">
        <f t="shared" si="36"/>
        <v/>
      </c>
    </row>
    <row r="140" spans="7:7">
      <c r="G140" s="5" t="str">
        <f t="shared" si="36"/>
        <v/>
      </c>
    </row>
    <row r="141" spans="7:7">
      <c r="G141" s="5" t="str">
        <f t="shared" si="36"/>
        <v/>
      </c>
    </row>
    <row r="142" spans="7:7">
      <c r="G142" s="5" t="str">
        <f t="shared" si="36"/>
        <v/>
      </c>
    </row>
    <row r="143" spans="7:7">
      <c r="G143" s="5" t="str">
        <f t="shared" si="36"/>
        <v/>
      </c>
    </row>
    <row r="144" spans="7:7">
      <c r="G144" s="5" t="str">
        <f t="shared" si="36"/>
        <v/>
      </c>
    </row>
    <row r="145" spans="7:7">
      <c r="G145" s="5" t="str">
        <f t="shared" ref="G145:G208" si="37">IF(B145&lt;&gt;"",SUM(C145:F145),"")</f>
        <v/>
      </c>
    </row>
    <row r="146" spans="7:7">
      <c r="G146" s="5" t="str">
        <f t="shared" si="37"/>
        <v/>
      </c>
    </row>
    <row r="147" spans="7:7">
      <c r="G147" s="5" t="str">
        <f t="shared" si="37"/>
        <v/>
      </c>
    </row>
    <row r="148" spans="7:7">
      <c r="G148" s="5" t="str">
        <f t="shared" si="37"/>
        <v/>
      </c>
    </row>
    <row r="149" spans="7:7">
      <c r="G149" s="5" t="str">
        <f t="shared" si="37"/>
        <v/>
      </c>
    </row>
    <row r="150" spans="7:7">
      <c r="G150" s="5" t="str">
        <f t="shared" si="37"/>
        <v/>
      </c>
    </row>
    <row r="151" spans="7:7">
      <c r="G151" s="5" t="str">
        <f t="shared" si="37"/>
        <v/>
      </c>
    </row>
    <row r="152" spans="7:7">
      <c r="G152" s="5" t="str">
        <f t="shared" si="37"/>
        <v/>
      </c>
    </row>
    <row r="153" spans="7:7">
      <c r="G153" s="5" t="str">
        <f t="shared" si="37"/>
        <v/>
      </c>
    </row>
    <row r="154" spans="7:7">
      <c r="G154" s="5" t="str">
        <f t="shared" si="37"/>
        <v/>
      </c>
    </row>
    <row r="155" spans="7:7">
      <c r="G155" s="5" t="str">
        <f t="shared" si="37"/>
        <v/>
      </c>
    </row>
    <row r="156" spans="7:7">
      <c r="G156" s="5" t="str">
        <f t="shared" si="37"/>
        <v/>
      </c>
    </row>
    <row r="157" spans="7:7">
      <c r="G157" s="5" t="str">
        <f t="shared" si="37"/>
        <v/>
      </c>
    </row>
    <row r="158" spans="7:7">
      <c r="G158" s="5" t="str">
        <f t="shared" si="37"/>
        <v/>
      </c>
    </row>
    <row r="159" spans="7:7">
      <c r="G159" s="5" t="str">
        <f t="shared" si="37"/>
        <v/>
      </c>
    </row>
    <row r="160" spans="7:7">
      <c r="G160" s="5" t="str">
        <f t="shared" si="37"/>
        <v/>
      </c>
    </row>
    <row r="161" spans="7:7">
      <c r="G161" s="5" t="str">
        <f t="shared" si="37"/>
        <v/>
      </c>
    </row>
    <row r="162" spans="7:7">
      <c r="G162" s="5" t="str">
        <f t="shared" si="37"/>
        <v/>
      </c>
    </row>
    <row r="163" spans="7:7">
      <c r="G163" s="5" t="str">
        <f t="shared" si="37"/>
        <v/>
      </c>
    </row>
    <row r="164" spans="7:7">
      <c r="G164" s="5" t="str">
        <f t="shared" si="37"/>
        <v/>
      </c>
    </row>
    <row r="165" spans="7:7">
      <c r="G165" s="5" t="str">
        <f t="shared" si="37"/>
        <v/>
      </c>
    </row>
    <row r="166" spans="7:7">
      <c r="G166" s="5" t="str">
        <f t="shared" si="37"/>
        <v/>
      </c>
    </row>
    <row r="167" spans="7:7">
      <c r="G167" s="5" t="str">
        <f t="shared" si="37"/>
        <v/>
      </c>
    </row>
    <row r="168" spans="7:7">
      <c r="G168" s="5" t="str">
        <f t="shared" si="37"/>
        <v/>
      </c>
    </row>
    <row r="169" spans="7:7">
      <c r="G169" s="5" t="str">
        <f t="shared" si="37"/>
        <v/>
      </c>
    </row>
    <row r="170" spans="7:7">
      <c r="G170" s="5" t="str">
        <f t="shared" si="37"/>
        <v/>
      </c>
    </row>
    <row r="171" spans="7:7">
      <c r="G171" s="5" t="str">
        <f t="shared" si="37"/>
        <v/>
      </c>
    </row>
    <row r="172" spans="7:7">
      <c r="G172" s="5" t="str">
        <f t="shared" si="37"/>
        <v/>
      </c>
    </row>
    <row r="173" spans="7:7">
      <c r="G173" s="5" t="str">
        <f t="shared" si="37"/>
        <v/>
      </c>
    </row>
    <row r="174" spans="7:7">
      <c r="G174" s="5" t="str">
        <f t="shared" si="37"/>
        <v/>
      </c>
    </row>
    <row r="175" spans="7:7">
      <c r="G175" s="5" t="str">
        <f t="shared" si="37"/>
        <v/>
      </c>
    </row>
    <row r="176" spans="7:7">
      <c r="G176" s="5" t="str">
        <f t="shared" si="37"/>
        <v/>
      </c>
    </row>
    <row r="177" spans="7:7">
      <c r="G177" s="5" t="str">
        <f t="shared" si="37"/>
        <v/>
      </c>
    </row>
    <row r="178" spans="7:7">
      <c r="G178" s="5" t="str">
        <f t="shared" si="37"/>
        <v/>
      </c>
    </row>
    <row r="179" spans="7:7">
      <c r="G179" s="5" t="str">
        <f t="shared" si="37"/>
        <v/>
      </c>
    </row>
    <row r="180" spans="7:7">
      <c r="G180" s="5" t="str">
        <f t="shared" si="37"/>
        <v/>
      </c>
    </row>
    <row r="181" spans="7:7">
      <c r="G181" s="5" t="str">
        <f t="shared" si="37"/>
        <v/>
      </c>
    </row>
    <row r="182" spans="7:7">
      <c r="G182" s="5" t="str">
        <f t="shared" si="37"/>
        <v/>
      </c>
    </row>
    <row r="183" spans="7:7">
      <c r="G183" s="5" t="str">
        <f t="shared" si="37"/>
        <v/>
      </c>
    </row>
    <row r="184" spans="7:7">
      <c r="G184" s="5" t="str">
        <f t="shared" si="37"/>
        <v/>
      </c>
    </row>
    <row r="185" spans="7:7">
      <c r="G185" s="5" t="str">
        <f t="shared" si="37"/>
        <v/>
      </c>
    </row>
    <row r="186" spans="7:7">
      <c r="G186" s="5" t="str">
        <f t="shared" si="37"/>
        <v/>
      </c>
    </row>
    <row r="187" spans="7:7">
      <c r="G187" s="5" t="str">
        <f t="shared" si="37"/>
        <v/>
      </c>
    </row>
    <row r="188" spans="7:7">
      <c r="G188" s="5" t="str">
        <f t="shared" si="37"/>
        <v/>
      </c>
    </row>
    <row r="189" spans="7:7">
      <c r="G189" s="5" t="str">
        <f t="shared" si="37"/>
        <v/>
      </c>
    </row>
    <row r="190" spans="7:7">
      <c r="G190" s="5" t="str">
        <f t="shared" si="37"/>
        <v/>
      </c>
    </row>
    <row r="191" spans="7:7">
      <c r="G191" s="5" t="str">
        <f t="shared" si="37"/>
        <v/>
      </c>
    </row>
    <row r="192" spans="7:7">
      <c r="G192" s="5" t="str">
        <f t="shared" si="37"/>
        <v/>
      </c>
    </row>
    <row r="193" spans="7:7">
      <c r="G193" s="5" t="str">
        <f t="shared" si="37"/>
        <v/>
      </c>
    </row>
    <row r="194" spans="7:7">
      <c r="G194" s="5" t="str">
        <f t="shared" si="37"/>
        <v/>
      </c>
    </row>
    <row r="195" spans="7:7">
      <c r="G195" s="5" t="str">
        <f t="shared" si="37"/>
        <v/>
      </c>
    </row>
    <row r="196" spans="7:7">
      <c r="G196" s="5" t="str">
        <f t="shared" si="37"/>
        <v/>
      </c>
    </row>
    <row r="197" spans="7:7">
      <c r="G197" s="5" t="str">
        <f t="shared" si="37"/>
        <v/>
      </c>
    </row>
    <row r="198" spans="7:7">
      <c r="G198" s="5" t="str">
        <f t="shared" si="37"/>
        <v/>
      </c>
    </row>
    <row r="199" spans="7:7">
      <c r="G199" s="5" t="str">
        <f t="shared" si="37"/>
        <v/>
      </c>
    </row>
    <row r="200" spans="7:7">
      <c r="G200" s="5" t="str">
        <f t="shared" si="37"/>
        <v/>
      </c>
    </row>
    <row r="201" spans="7:7">
      <c r="G201" s="5" t="str">
        <f t="shared" si="37"/>
        <v/>
      </c>
    </row>
    <row r="202" spans="7:7">
      <c r="G202" s="5" t="str">
        <f t="shared" si="37"/>
        <v/>
      </c>
    </row>
    <row r="203" spans="7:7">
      <c r="G203" s="5" t="str">
        <f t="shared" si="37"/>
        <v/>
      </c>
    </row>
    <row r="204" spans="7:7">
      <c r="G204" s="5" t="str">
        <f t="shared" si="37"/>
        <v/>
      </c>
    </row>
    <row r="205" spans="7:7">
      <c r="G205" s="5" t="str">
        <f t="shared" si="37"/>
        <v/>
      </c>
    </row>
    <row r="206" spans="7:7">
      <c r="G206" s="5" t="str">
        <f t="shared" si="37"/>
        <v/>
      </c>
    </row>
    <row r="207" spans="7:7">
      <c r="G207" s="5" t="str">
        <f t="shared" si="37"/>
        <v/>
      </c>
    </row>
    <row r="208" spans="7:7">
      <c r="G208" s="5" t="str">
        <f t="shared" si="37"/>
        <v/>
      </c>
    </row>
    <row r="209" spans="7:7">
      <c r="G209" s="5" t="str">
        <f t="shared" ref="G209:G272" si="38">IF(B209&lt;&gt;"",SUM(C209:F209),"")</f>
        <v/>
      </c>
    </row>
    <row r="210" spans="7:7">
      <c r="G210" s="5" t="str">
        <f t="shared" si="38"/>
        <v/>
      </c>
    </row>
    <row r="211" spans="7:7">
      <c r="G211" s="5" t="str">
        <f t="shared" si="38"/>
        <v/>
      </c>
    </row>
    <row r="212" spans="7:7">
      <c r="G212" s="5" t="str">
        <f t="shared" si="38"/>
        <v/>
      </c>
    </row>
    <row r="213" spans="7:7">
      <c r="G213" s="5" t="str">
        <f t="shared" si="38"/>
        <v/>
      </c>
    </row>
    <row r="214" spans="7:7">
      <c r="G214" s="5" t="str">
        <f t="shared" si="38"/>
        <v/>
      </c>
    </row>
    <row r="215" spans="7:7">
      <c r="G215" s="5" t="str">
        <f t="shared" si="38"/>
        <v/>
      </c>
    </row>
    <row r="216" spans="7:7">
      <c r="G216" s="5" t="str">
        <f t="shared" si="38"/>
        <v/>
      </c>
    </row>
    <row r="217" spans="7:7">
      <c r="G217" s="5" t="str">
        <f t="shared" si="38"/>
        <v/>
      </c>
    </row>
    <row r="218" spans="7:7">
      <c r="G218" s="5" t="str">
        <f t="shared" si="38"/>
        <v/>
      </c>
    </row>
    <row r="219" spans="7:7">
      <c r="G219" s="5" t="str">
        <f t="shared" si="38"/>
        <v/>
      </c>
    </row>
    <row r="220" spans="7:7">
      <c r="G220" s="5" t="str">
        <f t="shared" si="38"/>
        <v/>
      </c>
    </row>
    <row r="221" spans="7:7">
      <c r="G221" s="5" t="str">
        <f t="shared" si="38"/>
        <v/>
      </c>
    </row>
    <row r="222" spans="7:7">
      <c r="G222" s="5" t="str">
        <f t="shared" si="38"/>
        <v/>
      </c>
    </row>
    <row r="223" spans="7:7">
      <c r="G223" s="5" t="str">
        <f t="shared" si="38"/>
        <v/>
      </c>
    </row>
    <row r="224" spans="7:7">
      <c r="G224" s="5" t="str">
        <f t="shared" si="38"/>
        <v/>
      </c>
    </row>
    <row r="225" spans="7:7">
      <c r="G225" s="5" t="str">
        <f t="shared" si="38"/>
        <v/>
      </c>
    </row>
    <row r="226" spans="7:7">
      <c r="G226" s="5" t="str">
        <f t="shared" si="38"/>
        <v/>
      </c>
    </row>
    <row r="227" spans="7:7">
      <c r="G227" s="5" t="str">
        <f t="shared" si="38"/>
        <v/>
      </c>
    </row>
    <row r="228" spans="7:7">
      <c r="G228" s="5" t="str">
        <f t="shared" si="38"/>
        <v/>
      </c>
    </row>
    <row r="229" spans="7:7">
      <c r="G229" s="5" t="str">
        <f t="shared" si="38"/>
        <v/>
      </c>
    </row>
    <row r="230" spans="7:7">
      <c r="G230" s="5" t="str">
        <f t="shared" si="38"/>
        <v/>
      </c>
    </row>
    <row r="231" spans="7:7">
      <c r="G231" s="5" t="str">
        <f t="shared" si="38"/>
        <v/>
      </c>
    </row>
    <row r="232" spans="7:7">
      <c r="G232" s="5" t="str">
        <f t="shared" si="38"/>
        <v/>
      </c>
    </row>
    <row r="233" spans="7:7">
      <c r="G233" s="5" t="str">
        <f t="shared" si="38"/>
        <v/>
      </c>
    </row>
    <row r="234" spans="7:7">
      <c r="G234" s="5" t="str">
        <f t="shared" si="38"/>
        <v/>
      </c>
    </row>
    <row r="235" spans="7:7">
      <c r="G235" s="5" t="str">
        <f t="shared" si="38"/>
        <v/>
      </c>
    </row>
    <row r="236" spans="7:7">
      <c r="G236" s="5" t="str">
        <f t="shared" si="38"/>
        <v/>
      </c>
    </row>
    <row r="237" spans="7:7">
      <c r="G237" s="5" t="str">
        <f t="shared" si="38"/>
        <v/>
      </c>
    </row>
    <row r="238" spans="7:7">
      <c r="G238" s="5" t="str">
        <f t="shared" si="38"/>
        <v/>
      </c>
    </row>
    <row r="239" spans="7:7">
      <c r="G239" s="5" t="str">
        <f t="shared" si="38"/>
        <v/>
      </c>
    </row>
    <row r="240" spans="7:7">
      <c r="G240" s="5" t="str">
        <f t="shared" si="38"/>
        <v/>
      </c>
    </row>
    <row r="241" spans="7:7">
      <c r="G241" s="5" t="str">
        <f t="shared" si="38"/>
        <v/>
      </c>
    </row>
    <row r="242" spans="7:7">
      <c r="G242" s="5" t="str">
        <f t="shared" si="38"/>
        <v/>
      </c>
    </row>
    <row r="243" spans="7:7">
      <c r="G243" s="5" t="str">
        <f t="shared" si="38"/>
        <v/>
      </c>
    </row>
    <row r="244" spans="7:7">
      <c r="G244" s="5" t="str">
        <f t="shared" si="38"/>
        <v/>
      </c>
    </row>
    <row r="245" spans="7:7">
      <c r="G245" s="5" t="str">
        <f t="shared" si="38"/>
        <v/>
      </c>
    </row>
    <row r="246" spans="7:7">
      <c r="G246" s="5" t="str">
        <f t="shared" si="38"/>
        <v/>
      </c>
    </row>
    <row r="247" spans="7:7">
      <c r="G247" s="5" t="str">
        <f t="shared" si="38"/>
        <v/>
      </c>
    </row>
    <row r="248" spans="7:7">
      <c r="G248" s="5" t="str">
        <f t="shared" si="38"/>
        <v/>
      </c>
    </row>
    <row r="249" spans="7:7">
      <c r="G249" s="5" t="str">
        <f t="shared" si="38"/>
        <v/>
      </c>
    </row>
    <row r="250" spans="7:7">
      <c r="G250" s="5" t="str">
        <f t="shared" si="38"/>
        <v/>
      </c>
    </row>
    <row r="251" spans="7:7">
      <c r="G251" s="5" t="str">
        <f t="shared" si="38"/>
        <v/>
      </c>
    </row>
    <row r="252" spans="7:7">
      <c r="G252" s="5" t="str">
        <f t="shared" si="38"/>
        <v/>
      </c>
    </row>
    <row r="253" spans="7:7">
      <c r="G253" s="5" t="str">
        <f t="shared" si="38"/>
        <v/>
      </c>
    </row>
    <row r="254" spans="7:7">
      <c r="G254" s="5" t="str">
        <f t="shared" si="38"/>
        <v/>
      </c>
    </row>
    <row r="255" spans="7:7">
      <c r="G255" s="5" t="str">
        <f t="shared" si="38"/>
        <v/>
      </c>
    </row>
    <row r="256" spans="7:7">
      <c r="G256" s="5" t="str">
        <f t="shared" si="38"/>
        <v/>
      </c>
    </row>
    <row r="257" spans="7:7">
      <c r="G257" s="5" t="str">
        <f t="shared" si="38"/>
        <v/>
      </c>
    </row>
    <row r="258" spans="7:7">
      <c r="G258" s="5" t="str">
        <f t="shared" si="38"/>
        <v/>
      </c>
    </row>
    <row r="259" spans="7:7">
      <c r="G259" s="5" t="str">
        <f t="shared" si="38"/>
        <v/>
      </c>
    </row>
    <row r="260" spans="7:7">
      <c r="G260" s="5" t="str">
        <f t="shared" si="38"/>
        <v/>
      </c>
    </row>
    <row r="261" spans="7:7">
      <c r="G261" s="5" t="str">
        <f t="shared" si="38"/>
        <v/>
      </c>
    </row>
    <row r="262" spans="7:7">
      <c r="G262" s="5" t="str">
        <f t="shared" si="38"/>
        <v/>
      </c>
    </row>
    <row r="263" spans="7:7">
      <c r="G263" s="5" t="str">
        <f t="shared" si="38"/>
        <v/>
      </c>
    </row>
    <row r="264" spans="7:7">
      <c r="G264" s="5" t="str">
        <f t="shared" si="38"/>
        <v/>
      </c>
    </row>
    <row r="265" spans="7:7">
      <c r="G265" s="5" t="str">
        <f t="shared" si="38"/>
        <v/>
      </c>
    </row>
    <row r="266" spans="7:7">
      <c r="G266" s="5" t="str">
        <f t="shared" si="38"/>
        <v/>
      </c>
    </row>
    <row r="267" spans="7:7">
      <c r="G267" s="5" t="str">
        <f t="shared" si="38"/>
        <v/>
      </c>
    </row>
    <row r="268" spans="7:7">
      <c r="G268" s="5" t="str">
        <f t="shared" si="38"/>
        <v/>
      </c>
    </row>
    <row r="269" spans="7:7">
      <c r="G269" s="5" t="str">
        <f t="shared" si="38"/>
        <v/>
      </c>
    </row>
    <row r="270" spans="7:7">
      <c r="G270" s="5" t="str">
        <f t="shared" si="38"/>
        <v/>
      </c>
    </row>
    <row r="271" spans="7:7">
      <c r="G271" s="5" t="str">
        <f t="shared" si="38"/>
        <v/>
      </c>
    </row>
    <row r="272" spans="7:7">
      <c r="G272" s="5" t="str">
        <f t="shared" si="38"/>
        <v/>
      </c>
    </row>
    <row r="273" spans="7:7">
      <c r="G273" s="5" t="str">
        <f t="shared" ref="G273:G336" si="39">IF(B273&lt;&gt;"",SUM(C273:F273),"")</f>
        <v/>
      </c>
    </row>
    <row r="274" spans="7:7">
      <c r="G274" s="5" t="str">
        <f t="shared" si="39"/>
        <v/>
      </c>
    </row>
    <row r="275" spans="7:7">
      <c r="G275" s="5" t="str">
        <f t="shared" si="39"/>
        <v/>
      </c>
    </row>
    <row r="276" spans="7:7">
      <c r="G276" s="5" t="str">
        <f t="shared" si="39"/>
        <v/>
      </c>
    </row>
    <row r="277" spans="7:7">
      <c r="G277" s="5" t="str">
        <f t="shared" si="39"/>
        <v/>
      </c>
    </row>
    <row r="278" spans="7:7">
      <c r="G278" s="5" t="str">
        <f t="shared" si="39"/>
        <v/>
      </c>
    </row>
    <row r="279" spans="7:7">
      <c r="G279" s="5" t="str">
        <f t="shared" si="39"/>
        <v/>
      </c>
    </row>
    <row r="280" spans="7:7">
      <c r="G280" s="5" t="str">
        <f t="shared" si="39"/>
        <v/>
      </c>
    </row>
    <row r="281" spans="7:7">
      <c r="G281" s="5" t="str">
        <f t="shared" si="39"/>
        <v/>
      </c>
    </row>
    <row r="282" spans="7:7">
      <c r="G282" s="5" t="str">
        <f t="shared" si="39"/>
        <v/>
      </c>
    </row>
    <row r="283" spans="7:7">
      <c r="G283" s="5" t="str">
        <f t="shared" si="39"/>
        <v/>
      </c>
    </row>
    <row r="284" spans="7:7">
      <c r="G284" s="5" t="str">
        <f t="shared" si="39"/>
        <v/>
      </c>
    </row>
    <row r="285" spans="7:7">
      <c r="G285" s="5" t="str">
        <f t="shared" si="39"/>
        <v/>
      </c>
    </row>
    <row r="286" spans="7:7">
      <c r="G286" s="5" t="str">
        <f t="shared" si="39"/>
        <v/>
      </c>
    </row>
    <row r="287" spans="7:7">
      <c r="G287" s="5" t="str">
        <f t="shared" si="39"/>
        <v/>
      </c>
    </row>
    <row r="288" spans="7:7">
      <c r="G288" s="5" t="str">
        <f t="shared" si="39"/>
        <v/>
      </c>
    </row>
    <row r="289" spans="7:7">
      <c r="G289" s="5" t="str">
        <f t="shared" si="39"/>
        <v/>
      </c>
    </row>
    <row r="290" spans="7:7">
      <c r="G290" s="5" t="str">
        <f t="shared" si="39"/>
        <v/>
      </c>
    </row>
    <row r="291" spans="7:7">
      <c r="G291" s="5" t="str">
        <f t="shared" si="39"/>
        <v/>
      </c>
    </row>
    <row r="292" spans="7:7">
      <c r="G292" s="5" t="str">
        <f t="shared" si="39"/>
        <v/>
      </c>
    </row>
    <row r="293" spans="7:7">
      <c r="G293" s="5" t="str">
        <f t="shared" si="39"/>
        <v/>
      </c>
    </row>
    <row r="294" spans="7:7">
      <c r="G294" s="5" t="str">
        <f t="shared" si="39"/>
        <v/>
      </c>
    </row>
    <row r="295" spans="7:7">
      <c r="G295" s="5" t="str">
        <f t="shared" si="39"/>
        <v/>
      </c>
    </row>
    <row r="296" spans="7:7">
      <c r="G296" s="5" t="str">
        <f t="shared" si="39"/>
        <v/>
      </c>
    </row>
    <row r="297" spans="7:7">
      <c r="G297" s="5" t="str">
        <f t="shared" si="39"/>
        <v/>
      </c>
    </row>
    <row r="298" spans="7:7">
      <c r="G298" s="5" t="str">
        <f t="shared" si="39"/>
        <v/>
      </c>
    </row>
    <row r="299" spans="7:7">
      <c r="G299" s="5" t="str">
        <f t="shared" si="39"/>
        <v/>
      </c>
    </row>
    <row r="300" spans="7:7">
      <c r="G300" s="5" t="str">
        <f t="shared" si="39"/>
        <v/>
      </c>
    </row>
    <row r="301" spans="7:7">
      <c r="G301" s="5" t="str">
        <f t="shared" si="39"/>
        <v/>
      </c>
    </row>
    <row r="302" spans="7:7">
      <c r="G302" s="5" t="str">
        <f t="shared" si="39"/>
        <v/>
      </c>
    </row>
    <row r="303" spans="7:7">
      <c r="G303" s="5" t="str">
        <f t="shared" si="39"/>
        <v/>
      </c>
    </row>
    <row r="304" spans="7:7">
      <c r="G304" s="5" t="str">
        <f t="shared" si="39"/>
        <v/>
      </c>
    </row>
    <row r="305" spans="7:7">
      <c r="G305" s="5" t="str">
        <f t="shared" si="39"/>
        <v/>
      </c>
    </row>
    <row r="306" spans="7:7">
      <c r="G306" s="5" t="str">
        <f t="shared" si="39"/>
        <v/>
      </c>
    </row>
    <row r="307" spans="7:7">
      <c r="G307" s="5" t="str">
        <f t="shared" si="39"/>
        <v/>
      </c>
    </row>
    <row r="308" spans="7:7">
      <c r="G308" s="5" t="str">
        <f t="shared" si="39"/>
        <v/>
      </c>
    </row>
    <row r="309" spans="7:7">
      <c r="G309" s="5" t="str">
        <f t="shared" si="39"/>
        <v/>
      </c>
    </row>
    <row r="310" spans="7:7">
      <c r="G310" s="5" t="str">
        <f t="shared" si="39"/>
        <v/>
      </c>
    </row>
    <row r="311" spans="7:7">
      <c r="G311" s="5" t="str">
        <f t="shared" si="39"/>
        <v/>
      </c>
    </row>
    <row r="312" spans="7:7">
      <c r="G312" s="5" t="str">
        <f t="shared" si="39"/>
        <v/>
      </c>
    </row>
    <row r="313" spans="7:7">
      <c r="G313" s="5" t="str">
        <f t="shared" si="39"/>
        <v/>
      </c>
    </row>
    <row r="314" spans="7:7">
      <c r="G314" s="5" t="str">
        <f t="shared" si="39"/>
        <v/>
      </c>
    </row>
    <row r="315" spans="7:7">
      <c r="G315" s="5" t="str">
        <f t="shared" si="39"/>
        <v/>
      </c>
    </row>
    <row r="316" spans="7:7">
      <c r="G316" s="5" t="str">
        <f t="shared" si="39"/>
        <v/>
      </c>
    </row>
    <row r="317" spans="7:7">
      <c r="G317" s="5" t="str">
        <f t="shared" si="39"/>
        <v/>
      </c>
    </row>
    <row r="318" spans="7:7">
      <c r="G318" s="5" t="str">
        <f t="shared" si="39"/>
        <v/>
      </c>
    </row>
    <row r="319" spans="7:7">
      <c r="G319" s="5" t="str">
        <f t="shared" si="39"/>
        <v/>
      </c>
    </row>
    <row r="320" spans="7:7">
      <c r="G320" s="5" t="str">
        <f t="shared" si="39"/>
        <v/>
      </c>
    </row>
    <row r="321" spans="7:7">
      <c r="G321" s="5" t="str">
        <f t="shared" si="39"/>
        <v/>
      </c>
    </row>
    <row r="322" spans="7:7">
      <c r="G322" s="5" t="str">
        <f t="shared" si="39"/>
        <v/>
      </c>
    </row>
    <row r="323" spans="7:7">
      <c r="G323" s="5" t="str">
        <f t="shared" si="39"/>
        <v/>
      </c>
    </row>
    <row r="324" spans="7:7">
      <c r="G324" s="5" t="str">
        <f t="shared" si="39"/>
        <v/>
      </c>
    </row>
    <row r="325" spans="7:7">
      <c r="G325" s="5" t="str">
        <f t="shared" si="39"/>
        <v/>
      </c>
    </row>
    <row r="326" spans="7:7">
      <c r="G326" s="5" t="str">
        <f t="shared" si="39"/>
        <v/>
      </c>
    </row>
    <row r="327" spans="7:7">
      <c r="G327" s="5" t="str">
        <f t="shared" si="39"/>
        <v/>
      </c>
    </row>
    <row r="328" spans="7:7">
      <c r="G328" s="5" t="str">
        <f t="shared" si="39"/>
        <v/>
      </c>
    </row>
    <row r="329" spans="7:7">
      <c r="G329" s="5" t="str">
        <f t="shared" si="39"/>
        <v/>
      </c>
    </row>
    <row r="330" spans="7:7">
      <c r="G330" s="5" t="str">
        <f t="shared" si="39"/>
        <v/>
      </c>
    </row>
    <row r="331" spans="7:7">
      <c r="G331" s="5" t="str">
        <f t="shared" si="39"/>
        <v/>
      </c>
    </row>
    <row r="332" spans="7:7">
      <c r="G332" s="5" t="str">
        <f t="shared" si="39"/>
        <v/>
      </c>
    </row>
    <row r="333" spans="7:7">
      <c r="G333" s="5" t="str">
        <f t="shared" si="39"/>
        <v/>
      </c>
    </row>
    <row r="334" spans="7:7">
      <c r="G334" s="5" t="str">
        <f t="shared" si="39"/>
        <v/>
      </c>
    </row>
    <row r="335" spans="7:7">
      <c r="G335" s="5" t="str">
        <f t="shared" si="39"/>
        <v/>
      </c>
    </row>
    <row r="336" spans="7:7">
      <c r="G336" s="5" t="str">
        <f t="shared" si="39"/>
        <v/>
      </c>
    </row>
    <row r="337" spans="7:7">
      <c r="G337" s="5" t="str">
        <f t="shared" ref="G337:G400" si="40">IF(B337&lt;&gt;"",SUM(C337:F337),"")</f>
        <v/>
      </c>
    </row>
    <row r="338" spans="7:7">
      <c r="G338" s="5" t="str">
        <f t="shared" si="40"/>
        <v/>
      </c>
    </row>
    <row r="339" spans="7:7">
      <c r="G339" s="5" t="str">
        <f t="shared" si="40"/>
        <v/>
      </c>
    </row>
    <row r="340" spans="7:7">
      <c r="G340" s="5" t="str">
        <f t="shared" si="40"/>
        <v/>
      </c>
    </row>
    <row r="341" spans="7:7">
      <c r="G341" s="5" t="str">
        <f t="shared" si="40"/>
        <v/>
      </c>
    </row>
    <row r="342" spans="7:7">
      <c r="G342" s="5" t="str">
        <f t="shared" si="40"/>
        <v/>
      </c>
    </row>
    <row r="343" spans="7:7">
      <c r="G343" s="5" t="str">
        <f t="shared" si="40"/>
        <v/>
      </c>
    </row>
    <row r="344" spans="7:7">
      <c r="G344" s="5" t="str">
        <f t="shared" si="40"/>
        <v/>
      </c>
    </row>
    <row r="345" spans="7:7">
      <c r="G345" s="5" t="str">
        <f t="shared" si="40"/>
        <v/>
      </c>
    </row>
    <row r="346" spans="7:7">
      <c r="G346" s="5" t="str">
        <f t="shared" si="40"/>
        <v/>
      </c>
    </row>
    <row r="347" spans="7:7">
      <c r="G347" s="5" t="str">
        <f t="shared" si="40"/>
        <v/>
      </c>
    </row>
    <row r="348" spans="7:7">
      <c r="G348" s="5" t="str">
        <f t="shared" si="40"/>
        <v/>
      </c>
    </row>
    <row r="349" spans="7:7">
      <c r="G349" s="5" t="str">
        <f t="shared" si="40"/>
        <v/>
      </c>
    </row>
    <row r="350" spans="7:7">
      <c r="G350" s="5" t="str">
        <f t="shared" si="40"/>
        <v/>
      </c>
    </row>
    <row r="351" spans="7:7">
      <c r="G351" s="5" t="str">
        <f t="shared" si="40"/>
        <v/>
      </c>
    </row>
    <row r="352" spans="7:7">
      <c r="G352" s="5" t="str">
        <f t="shared" si="40"/>
        <v/>
      </c>
    </row>
    <row r="353" spans="7:7">
      <c r="G353" s="5" t="str">
        <f t="shared" si="40"/>
        <v/>
      </c>
    </row>
    <row r="354" spans="7:7">
      <c r="G354" s="5" t="str">
        <f t="shared" si="40"/>
        <v/>
      </c>
    </row>
    <row r="355" spans="7:7">
      <c r="G355" s="5" t="str">
        <f t="shared" si="40"/>
        <v/>
      </c>
    </row>
    <row r="356" spans="7:7">
      <c r="G356" s="5" t="str">
        <f t="shared" si="40"/>
        <v/>
      </c>
    </row>
    <row r="357" spans="7:7">
      <c r="G357" s="5" t="str">
        <f t="shared" si="40"/>
        <v/>
      </c>
    </row>
    <row r="358" spans="7:7">
      <c r="G358" s="5" t="str">
        <f t="shared" si="40"/>
        <v/>
      </c>
    </row>
    <row r="359" spans="7:7">
      <c r="G359" s="5" t="str">
        <f t="shared" si="40"/>
        <v/>
      </c>
    </row>
    <row r="360" spans="7:7">
      <c r="G360" s="5" t="str">
        <f t="shared" si="40"/>
        <v/>
      </c>
    </row>
    <row r="361" spans="7:7">
      <c r="G361" s="5" t="str">
        <f t="shared" si="40"/>
        <v/>
      </c>
    </row>
    <row r="362" spans="7:7">
      <c r="G362" s="5" t="str">
        <f t="shared" si="40"/>
        <v/>
      </c>
    </row>
    <row r="363" spans="7:7">
      <c r="G363" s="5" t="str">
        <f t="shared" si="40"/>
        <v/>
      </c>
    </row>
    <row r="364" spans="7:7">
      <c r="G364" s="5" t="str">
        <f t="shared" si="40"/>
        <v/>
      </c>
    </row>
    <row r="365" spans="7:7">
      <c r="G365" s="5" t="str">
        <f t="shared" si="40"/>
        <v/>
      </c>
    </row>
    <row r="366" spans="7:7">
      <c r="G366" s="5" t="str">
        <f t="shared" si="40"/>
        <v/>
      </c>
    </row>
    <row r="367" spans="7:7">
      <c r="G367" s="5" t="str">
        <f t="shared" si="40"/>
        <v/>
      </c>
    </row>
    <row r="368" spans="7:7">
      <c r="G368" s="5" t="str">
        <f t="shared" si="40"/>
        <v/>
      </c>
    </row>
    <row r="369" spans="7:7">
      <c r="G369" s="5" t="str">
        <f t="shared" si="40"/>
        <v/>
      </c>
    </row>
    <row r="370" spans="7:7">
      <c r="G370" s="5" t="str">
        <f t="shared" si="40"/>
        <v/>
      </c>
    </row>
    <row r="371" spans="7:7">
      <c r="G371" s="5" t="str">
        <f t="shared" si="40"/>
        <v/>
      </c>
    </row>
    <row r="372" spans="7:7">
      <c r="G372" s="5" t="str">
        <f t="shared" si="40"/>
        <v/>
      </c>
    </row>
    <row r="373" spans="7:7">
      <c r="G373" s="5" t="str">
        <f t="shared" si="40"/>
        <v/>
      </c>
    </row>
    <row r="374" spans="7:7">
      <c r="G374" s="5" t="str">
        <f t="shared" si="40"/>
        <v/>
      </c>
    </row>
    <row r="375" spans="7:7">
      <c r="G375" s="5" t="str">
        <f t="shared" si="40"/>
        <v/>
      </c>
    </row>
    <row r="376" spans="7:7">
      <c r="G376" s="5" t="str">
        <f t="shared" si="40"/>
        <v/>
      </c>
    </row>
    <row r="377" spans="7:7">
      <c r="G377" s="5" t="str">
        <f t="shared" si="40"/>
        <v/>
      </c>
    </row>
    <row r="378" spans="7:7">
      <c r="G378" s="5" t="str">
        <f t="shared" si="40"/>
        <v/>
      </c>
    </row>
    <row r="379" spans="7:7">
      <c r="G379" s="5" t="str">
        <f t="shared" si="40"/>
        <v/>
      </c>
    </row>
    <row r="380" spans="7:7">
      <c r="G380" s="5" t="str">
        <f t="shared" si="40"/>
        <v/>
      </c>
    </row>
    <row r="381" spans="7:7">
      <c r="G381" s="5" t="str">
        <f t="shared" si="40"/>
        <v/>
      </c>
    </row>
    <row r="382" spans="7:7">
      <c r="G382" s="5" t="str">
        <f t="shared" si="40"/>
        <v/>
      </c>
    </row>
    <row r="383" spans="7:7">
      <c r="G383" s="5" t="str">
        <f t="shared" si="40"/>
        <v/>
      </c>
    </row>
    <row r="384" spans="7:7">
      <c r="G384" s="5" t="str">
        <f t="shared" si="40"/>
        <v/>
      </c>
    </row>
    <row r="385" spans="7:7">
      <c r="G385" s="5" t="str">
        <f t="shared" si="40"/>
        <v/>
      </c>
    </row>
    <row r="386" spans="7:7">
      <c r="G386" s="5" t="str">
        <f t="shared" si="40"/>
        <v/>
      </c>
    </row>
    <row r="387" spans="7:7">
      <c r="G387" s="5" t="str">
        <f t="shared" si="40"/>
        <v/>
      </c>
    </row>
    <row r="388" spans="7:7">
      <c r="G388" s="5" t="str">
        <f t="shared" si="40"/>
        <v/>
      </c>
    </row>
    <row r="389" spans="7:7">
      <c r="G389" s="5" t="str">
        <f t="shared" si="40"/>
        <v/>
      </c>
    </row>
    <row r="390" spans="7:7">
      <c r="G390" s="5" t="str">
        <f t="shared" si="40"/>
        <v/>
      </c>
    </row>
    <row r="391" spans="7:7">
      <c r="G391" s="5" t="str">
        <f t="shared" si="40"/>
        <v/>
      </c>
    </row>
    <row r="392" spans="7:7">
      <c r="G392" s="5" t="str">
        <f t="shared" si="40"/>
        <v/>
      </c>
    </row>
    <row r="393" spans="7:7">
      <c r="G393" s="5" t="str">
        <f t="shared" si="40"/>
        <v/>
      </c>
    </row>
    <row r="394" spans="7:7">
      <c r="G394" s="5" t="str">
        <f t="shared" si="40"/>
        <v/>
      </c>
    </row>
    <row r="395" spans="7:7">
      <c r="G395" s="5" t="str">
        <f t="shared" si="40"/>
        <v/>
      </c>
    </row>
    <row r="396" spans="7:7">
      <c r="G396" s="5" t="str">
        <f t="shared" si="40"/>
        <v/>
      </c>
    </row>
    <row r="397" spans="7:7">
      <c r="G397" s="5" t="str">
        <f t="shared" si="40"/>
        <v/>
      </c>
    </row>
    <row r="398" spans="7:7">
      <c r="G398" s="5" t="str">
        <f t="shared" si="40"/>
        <v/>
      </c>
    </row>
    <row r="399" spans="7:7">
      <c r="G399" s="5" t="str">
        <f t="shared" si="40"/>
        <v/>
      </c>
    </row>
    <row r="400" spans="7:7">
      <c r="G400" s="5" t="str">
        <f t="shared" si="40"/>
        <v/>
      </c>
    </row>
    <row r="401" spans="7:7">
      <c r="G401" s="5" t="str">
        <f t="shared" ref="G401:G432" si="41">IF(B401&lt;&gt;"",SUM(C401:F401),"")</f>
        <v/>
      </c>
    </row>
    <row r="402" spans="7:7">
      <c r="G402" s="5" t="str">
        <f t="shared" si="41"/>
        <v/>
      </c>
    </row>
    <row r="403" spans="7:7">
      <c r="G403" s="5" t="str">
        <f t="shared" si="41"/>
        <v/>
      </c>
    </row>
    <row r="404" spans="7:7">
      <c r="G404" s="5" t="str">
        <f t="shared" si="41"/>
        <v/>
      </c>
    </row>
    <row r="405" spans="7:7">
      <c r="G405" s="5" t="str">
        <f t="shared" si="41"/>
        <v/>
      </c>
    </row>
    <row r="406" spans="7:7">
      <c r="G406" s="5" t="str">
        <f t="shared" si="41"/>
        <v/>
      </c>
    </row>
    <row r="407" spans="7:7">
      <c r="G407" s="5" t="str">
        <f t="shared" si="41"/>
        <v/>
      </c>
    </row>
    <row r="408" spans="7:7">
      <c r="G408" s="5" t="str">
        <f t="shared" si="41"/>
        <v/>
      </c>
    </row>
    <row r="409" spans="7:7">
      <c r="G409" s="5" t="str">
        <f t="shared" si="41"/>
        <v/>
      </c>
    </row>
    <row r="410" spans="7:7">
      <c r="G410" s="5" t="str">
        <f t="shared" si="41"/>
        <v/>
      </c>
    </row>
    <row r="411" spans="7:7">
      <c r="G411" s="5" t="str">
        <f t="shared" si="41"/>
        <v/>
      </c>
    </row>
    <row r="412" spans="7:7">
      <c r="G412" s="5" t="str">
        <f t="shared" si="41"/>
        <v/>
      </c>
    </row>
    <row r="413" spans="7:7">
      <c r="G413" s="5" t="str">
        <f t="shared" si="41"/>
        <v/>
      </c>
    </row>
    <row r="414" spans="7:7">
      <c r="G414" s="5" t="str">
        <f t="shared" si="41"/>
        <v/>
      </c>
    </row>
    <row r="415" spans="7:7">
      <c r="G415" s="5" t="str">
        <f t="shared" si="41"/>
        <v/>
      </c>
    </row>
    <row r="416" spans="7:7">
      <c r="G416" s="5" t="str">
        <f t="shared" si="41"/>
        <v/>
      </c>
    </row>
    <row r="417" spans="7:7">
      <c r="G417" s="5" t="str">
        <f t="shared" si="41"/>
        <v/>
      </c>
    </row>
    <row r="418" spans="7:7">
      <c r="G418" s="5" t="str">
        <f t="shared" si="41"/>
        <v/>
      </c>
    </row>
    <row r="419" spans="7:7">
      <c r="G419" s="5" t="str">
        <f t="shared" si="41"/>
        <v/>
      </c>
    </row>
    <row r="420" spans="7:7">
      <c r="G420" s="5" t="str">
        <f t="shared" si="41"/>
        <v/>
      </c>
    </row>
    <row r="421" spans="7:7">
      <c r="G421" s="5" t="str">
        <f t="shared" si="41"/>
        <v/>
      </c>
    </row>
    <row r="422" spans="7:7">
      <c r="G422" s="5" t="str">
        <f t="shared" si="41"/>
        <v/>
      </c>
    </row>
    <row r="423" spans="7:7">
      <c r="G423" s="5" t="str">
        <f t="shared" si="41"/>
        <v/>
      </c>
    </row>
    <row r="424" spans="7:7">
      <c r="G424" s="5" t="str">
        <f t="shared" si="41"/>
        <v/>
      </c>
    </row>
    <row r="425" spans="7:7">
      <c r="G425" s="5" t="str">
        <f t="shared" si="41"/>
        <v/>
      </c>
    </row>
    <row r="426" spans="7:7">
      <c r="G426" s="5" t="str">
        <f t="shared" si="41"/>
        <v/>
      </c>
    </row>
    <row r="427" spans="7:7">
      <c r="G427" s="5" t="str">
        <f t="shared" si="41"/>
        <v/>
      </c>
    </row>
    <row r="428" spans="7:7">
      <c r="G428" s="5" t="str">
        <f t="shared" si="41"/>
        <v/>
      </c>
    </row>
    <row r="429" spans="7:7">
      <c r="G429" s="5" t="str">
        <f t="shared" si="41"/>
        <v/>
      </c>
    </row>
    <row r="430" spans="7:7">
      <c r="G430" s="5" t="str">
        <f t="shared" si="41"/>
        <v/>
      </c>
    </row>
    <row r="431" spans="7:7">
      <c r="G431" s="5" t="str">
        <f t="shared" si="41"/>
        <v/>
      </c>
    </row>
    <row r="432" spans="7:7">
      <c r="G432" s="5" t="str">
        <f t="shared" si="41"/>
        <v/>
      </c>
    </row>
  </sheetData>
  <sheetProtection sort="0" autoFilter="0" pivotTables="0"/>
  <autoFilter ref="B5:N67" xr:uid="{FF6CBB0D-2D52-4408-BF2A-63AFD3D5BFAC}">
    <filterColumn colId="6">
      <filters blank="1">
        <filter val="10"/>
        <filter val="120"/>
        <filter val="13.500"/>
        <filter val="224"/>
        <filter val="24"/>
        <filter val="380"/>
        <filter val="R$ 78.464,29"/>
      </filters>
    </filterColumn>
  </autoFilter>
  <sortState xmlns:xlrd2="http://schemas.microsoft.com/office/spreadsheetml/2017/richdata2" ref="B6:N65">
    <sortCondition ref="B6:B65"/>
  </sortState>
  <pageMargins left="0.78740157480314965" right="0.78740157480314965" top="0.78740157480314965" bottom="0.78740157480314965" header="0" footer="0"/>
  <pageSetup paperSize="9" scale="90" fitToHeight="0" orientation="landscape" horizontalDpi="4294967295" verticalDpi="4294967295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78019-90D4-494A-B82C-AF9B2D0D78C8}">
  <sheetPr codeName="Planilha36" filterMode="1">
    <tabColor rgb="FFFFC000"/>
    <pageSetUpPr fitToPage="1"/>
  </sheetPr>
  <dimension ref="B1:U502"/>
  <sheetViews>
    <sheetView workbookViewId="0">
      <pane ySplit="5" topLeftCell="A6" activePane="bottomLeft" state="frozen"/>
      <selection activeCell="H9" sqref="H9"/>
      <selection pane="bottomLeft" activeCell="D94" sqref="D94"/>
    </sheetView>
  </sheetViews>
  <sheetFormatPr defaultColWidth="9.140625" defaultRowHeight="15.75"/>
  <cols>
    <col min="1" max="1" width="0.5703125" style="1" customWidth="1"/>
    <col min="2" max="2" width="47.8554687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3" width="11.5703125" style="6" customWidth="1"/>
    <col min="14" max="14" width="6.85546875" style="6" customWidth="1"/>
    <col min="15" max="15" width="10.5703125" style="1" hidden="1" customWidth="1"/>
    <col min="16" max="16" width="11" style="1" hidden="1" customWidth="1"/>
    <col min="17" max="18" width="10.5703125" style="1" hidden="1" customWidth="1"/>
    <col min="19" max="19" width="12.140625" style="1" hidden="1" customWidth="1"/>
    <col min="20" max="20" width="11.5703125" style="1" hidden="1" customWidth="1"/>
    <col min="21" max="16384" width="9.140625" style="1"/>
  </cols>
  <sheetData>
    <row r="1" spans="2:21" ht="4.5" customHeight="1">
      <c r="B1" s="1"/>
      <c r="C1" s="4"/>
      <c r="D1" s="4"/>
      <c r="E1" s="4"/>
      <c r="F1" s="4"/>
      <c r="G1" s="4"/>
    </row>
    <row r="2" spans="2:21" ht="59.25" customHeight="1">
      <c r="B2" s="63" t="s">
        <v>37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  <c r="N2" s="1"/>
    </row>
    <row r="3" spans="2:21" ht="4.5" customHeight="1" thickBot="1">
      <c r="B3" s="1"/>
      <c r="C3" s="4"/>
      <c r="D3" s="4"/>
      <c r="E3" s="4"/>
      <c r="F3" s="4"/>
      <c r="G3" s="4"/>
    </row>
    <row r="4" spans="2:21">
      <c r="B4" s="370" t="s">
        <v>6</v>
      </c>
      <c r="C4" s="43"/>
      <c r="D4" s="43"/>
      <c r="E4" s="43"/>
      <c r="F4" s="44"/>
      <c r="G4" s="45"/>
      <c r="H4" s="371"/>
      <c r="I4" s="371" t="s">
        <v>48</v>
      </c>
      <c r="J4" s="372" t="s">
        <v>9</v>
      </c>
      <c r="K4" s="372" t="s">
        <v>9</v>
      </c>
      <c r="L4" s="410">
        <v>4.7619047619047616E-2</v>
      </c>
      <c r="M4" s="442"/>
      <c r="N4" s="373" t="s">
        <v>15</v>
      </c>
      <c r="O4" s="36"/>
      <c r="P4" s="19"/>
      <c r="Q4" s="19"/>
      <c r="R4" s="19"/>
      <c r="S4" s="19"/>
      <c r="T4" s="19"/>
    </row>
    <row r="5" spans="2:21" ht="16.5" thickBot="1">
      <c r="B5" s="365" t="s">
        <v>5</v>
      </c>
      <c r="C5" s="366" t="s">
        <v>0</v>
      </c>
      <c r="D5" s="366" t="s">
        <v>12</v>
      </c>
      <c r="E5" s="366" t="s">
        <v>2</v>
      </c>
      <c r="F5" s="366" t="s">
        <v>3</v>
      </c>
      <c r="G5" s="367" t="s">
        <v>1</v>
      </c>
      <c r="H5" s="368" t="s">
        <v>4</v>
      </c>
      <c r="I5" s="368" t="s">
        <v>7</v>
      </c>
      <c r="J5" s="369" t="s">
        <v>8</v>
      </c>
      <c r="K5" s="369" t="s">
        <v>10</v>
      </c>
      <c r="L5" s="378" t="s">
        <v>11</v>
      </c>
      <c r="M5" s="440"/>
      <c r="N5" s="389" t="s">
        <v>16</v>
      </c>
      <c r="O5" s="37" t="s">
        <v>0</v>
      </c>
      <c r="P5" s="20" t="s">
        <v>12</v>
      </c>
      <c r="Q5" s="20" t="s">
        <v>2</v>
      </c>
      <c r="R5" s="20" t="s">
        <v>3</v>
      </c>
      <c r="S5" s="21" t="s">
        <v>1</v>
      </c>
      <c r="T5" s="22" t="s">
        <v>4</v>
      </c>
    </row>
    <row r="6" spans="2:21" ht="17.25" hidden="1">
      <c r="B6" s="407" t="s">
        <v>470</v>
      </c>
      <c r="C6" s="151"/>
      <c r="D6" s="151"/>
      <c r="E6" s="151"/>
      <c r="F6" s="152"/>
      <c r="G6" s="153"/>
      <c r="H6" s="154">
        <f>SUM(C6:G6)</f>
        <v>0</v>
      </c>
      <c r="I6" s="401">
        <f t="shared" ref="I6:I70" si="0">L6-(L6*J6)</f>
        <v>409.08780000000002</v>
      </c>
      <c r="J6" s="155">
        <v>0.03</v>
      </c>
      <c r="K6" s="156"/>
      <c r="L6" s="408">
        <v>421.74</v>
      </c>
      <c r="M6" s="408"/>
      <c r="N6" s="165"/>
      <c r="O6" s="25">
        <f t="shared" ref="O6:O70" si="1">I6*C6</f>
        <v>0</v>
      </c>
      <c r="P6" s="25">
        <f t="shared" ref="P6:P70" si="2">I6*D6</f>
        <v>0</v>
      </c>
      <c r="Q6" s="25">
        <f t="shared" ref="Q6:Q70" si="3">I6*E6</f>
        <v>0</v>
      </c>
      <c r="R6" s="26">
        <f t="shared" ref="R6:R70" si="4">I6*F6</f>
        <v>0</v>
      </c>
      <c r="S6" s="27">
        <f t="shared" ref="S6:S70" si="5">I6*G6</f>
        <v>0</v>
      </c>
      <c r="T6" s="28">
        <f>SUM(O6:S6)</f>
        <v>0</v>
      </c>
    </row>
    <row r="7" spans="2:21" ht="17.25" hidden="1">
      <c r="B7" s="407" t="s">
        <v>471</v>
      </c>
      <c r="C7" s="157"/>
      <c r="D7" s="157"/>
      <c r="E7" s="157"/>
      <c r="F7" s="158"/>
      <c r="G7" s="159"/>
      <c r="H7" s="160">
        <f t="shared" ref="H7:H77" si="6">SUM(C7:G7)</f>
        <v>0</v>
      </c>
      <c r="I7" s="402">
        <f t="shared" si="0"/>
        <v>102.9849</v>
      </c>
      <c r="J7" s="155">
        <v>0.03</v>
      </c>
      <c r="K7" s="161"/>
      <c r="L7" s="408">
        <v>106.17</v>
      </c>
      <c r="M7" s="408"/>
      <c r="N7" s="165"/>
      <c r="O7" s="25">
        <f t="shared" si="1"/>
        <v>0</v>
      </c>
      <c r="P7" s="25">
        <f t="shared" si="2"/>
        <v>0</v>
      </c>
      <c r="Q7" s="25">
        <f t="shared" si="3"/>
        <v>0</v>
      </c>
      <c r="R7" s="26">
        <f t="shared" si="4"/>
        <v>0</v>
      </c>
      <c r="S7" s="27">
        <f t="shared" si="5"/>
        <v>0</v>
      </c>
      <c r="T7" s="28">
        <f t="shared" ref="T7:T71" si="7">SUM(O7:S7)</f>
        <v>0</v>
      </c>
    </row>
    <row r="8" spans="2:21" ht="17.25" hidden="1">
      <c r="B8" s="407" t="s">
        <v>472</v>
      </c>
      <c r="C8" s="157"/>
      <c r="D8" s="157"/>
      <c r="E8" s="157"/>
      <c r="F8" s="158"/>
      <c r="G8" s="159"/>
      <c r="H8" s="160">
        <f t="shared" si="6"/>
        <v>0</v>
      </c>
      <c r="I8" s="402">
        <f t="shared" si="0"/>
        <v>14.947699999999999</v>
      </c>
      <c r="J8" s="155">
        <v>0.03</v>
      </c>
      <c r="K8" s="161"/>
      <c r="L8" s="408">
        <v>15.41</v>
      </c>
      <c r="M8" s="408"/>
      <c r="N8" s="165"/>
      <c r="O8" s="25">
        <f t="shared" si="1"/>
        <v>0</v>
      </c>
      <c r="P8" s="25">
        <f t="shared" si="2"/>
        <v>0</v>
      </c>
      <c r="Q8" s="25">
        <f t="shared" si="3"/>
        <v>0</v>
      </c>
      <c r="R8" s="26">
        <f t="shared" si="4"/>
        <v>0</v>
      </c>
      <c r="S8" s="27">
        <f t="shared" si="5"/>
        <v>0</v>
      </c>
      <c r="T8" s="28">
        <f t="shared" si="7"/>
        <v>0</v>
      </c>
    </row>
    <row r="9" spans="2:21" ht="17.25" hidden="1">
      <c r="B9" s="407" t="s">
        <v>649</v>
      </c>
      <c r="C9" s="157"/>
      <c r="D9" s="157"/>
      <c r="E9" s="157"/>
      <c r="F9" s="158"/>
      <c r="G9" s="159"/>
      <c r="H9" s="160">
        <f t="shared" si="6"/>
        <v>0</v>
      </c>
      <c r="I9" s="402">
        <f t="shared" si="0"/>
        <v>380.65710000000001</v>
      </c>
      <c r="J9" s="155">
        <v>0.03</v>
      </c>
      <c r="K9" s="161"/>
      <c r="L9" s="408">
        <v>392.43</v>
      </c>
      <c r="M9" s="408"/>
      <c r="N9" s="165"/>
      <c r="O9" s="25">
        <f t="shared" si="1"/>
        <v>0</v>
      </c>
      <c r="P9" s="25">
        <f t="shared" si="2"/>
        <v>0</v>
      </c>
      <c r="Q9" s="25">
        <f t="shared" si="3"/>
        <v>0</v>
      </c>
      <c r="R9" s="26">
        <f t="shared" si="4"/>
        <v>0</v>
      </c>
      <c r="S9" s="27">
        <f t="shared" si="5"/>
        <v>0</v>
      </c>
      <c r="T9" s="28">
        <f t="shared" si="7"/>
        <v>0</v>
      </c>
    </row>
    <row r="10" spans="2:21" ht="17.25" hidden="1">
      <c r="B10" s="407" t="s">
        <v>473</v>
      </c>
      <c r="C10" s="157"/>
      <c r="D10" s="157"/>
      <c r="E10" s="157"/>
      <c r="F10" s="158"/>
      <c r="G10" s="159"/>
      <c r="H10" s="160">
        <f t="shared" si="6"/>
        <v>0</v>
      </c>
      <c r="I10" s="402">
        <f t="shared" si="0"/>
        <v>96.563499999999991</v>
      </c>
      <c r="J10" s="155">
        <v>0.03</v>
      </c>
      <c r="K10" s="161"/>
      <c r="L10" s="408">
        <v>99.55</v>
      </c>
      <c r="M10" s="408"/>
      <c r="N10" s="165"/>
      <c r="O10" s="25">
        <f t="shared" si="1"/>
        <v>0</v>
      </c>
      <c r="P10" s="25">
        <f t="shared" si="2"/>
        <v>0</v>
      </c>
      <c r="Q10" s="25">
        <f t="shared" si="3"/>
        <v>0</v>
      </c>
      <c r="R10" s="26">
        <f t="shared" si="4"/>
        <v>0</v>
      </c>
      <c r="S10" s="27">
        <f t="shared" si="5"/>
        <v>0</v>
      </c>
      <c r="T10" s="28">
        <f t="shared" si="7"/>
        <v>0</v>
      </c>
    </row>
    <row r="11" spans="2:21" ht="17.25" hidden="1">
      <c r="B11" s="407" t="s">
        <v>474</v>
      </c>
      <c r="C11" s="157"/>
      <c r="D11" s="157"/>
      <c r="E11" s="157"/>
      <c r="F11" s="158"/>
      <c r="G11" s="159"/>
      <c r="H11" s="160">
        <f t="shared" si="6"/>
        <v>0</v>
      </c>
      <c r="I11" s="402">
        <f t="shared" si="0"/>
        <v>28.876899999999999</v>
      </c>
      <c r="J11" s="155">
        <v>0.03</v>
      </c>
      <c r="K11" s="161"/>
      <c r="L11" s="408">
        <v>29.77</v>
      </c>
      <c r="M11" s="408"/>
      <c r="N11" s="165"/>
      <c r="O11" s="25">
        <f t="shared" si="1"/>
        <v>0</v>
      </c>
      <c r="P11" s="25">
        <f t="shared" si="2"/>
        <v>0</v>
      </c>
      <c r="Q11" s="25">
        <f t="shared" si="3"/>
        <v>0</v>
      </c>
      <c r="R11" s="26">
        <f t="shared" si="4"/>
        <v>0</v>
      </c>
      <c r="S11" s="27">
        <f t="shared" si="5"/>
        <v>0</v>
      </c>
      <c r="T11" s="28">
        <f t="shared" si="7"/>
        <v>0</v>
      </c>
    </row>
    <row r="12" spans="2:21" ht="17.25" hidden="1">
      <c r="B12" s="407" t="s">
        <v>475</v>
      </c>
      <c r="C12" s="157"/>
      <c r="D12" s="157"/>
      <c r="E12" s="157"/>
      <c r="F12" s="158"/>
      <c r="G12" s="159"/>
      <c r="H12" s="160">
        <f t="shared" si="6"/>
        <v>0</v>
      </c>
      <c r="I12" s="402">
        <f t="shared" si="0"/>
        <v>19.914100000000001</v>
      </c>
      <c r="J12" s="155">
        <v>0.03</v>
      </c>
      <c r="K12" s="161"/>
      <c r="L12" s="408">
        <v>20.53</v>
      </c>
      <c r="M12" s="408"/>
      <c r="N12" s="165"/>
      <c r="O12" s="25">
        <f t="shared" si="1"/>
        <v>0</v>
      </c>
      <c r="P12" s="25">
        <f t="shared" si="2"/>
        <v>0</v>
      </c>
      <c r="Q12" s="25">
        <f t="shared" si="3"/>
        <v>0</v>
      </c>
      <c r="R12" s="26">
        <f t="shared" si="4"/>
        <v>0</v>
      </c>
      <c r="S12" s="27">
        <f t="shared" si="5"/>
        <v>0</v>
      </c>
      <c r="T12" s="28">
        <f t="shared" si="7"/>
        <v>0</v>
      </c>
    </row>
    <row r="13" spans="2:21" ht="17.25" hidden="1">
      <c r="B13" s="407" t="s">
        <v>476</v>
      </c>
      <c r="C13" s="157"/>
      <c r="D13" s="157"/>
      <c r="E13" s="157"/>
      <c r="F13" s="158"/>
      <c r="G13" s="159"/>
      <c r="H13" s="160">
        <f t="shared" si="6"/>
        <v>0</v>
      </c>
      <c r="I13" s="402">
        <f t="shared" si="0"/>
        <v>79.617599999999996</v>
      </c>
      <c r="J13" s="155">
        <v>0.03</v>
      </c>
      <c r="K13" s="161"/>
      <c r="L13" s="408">
        <v>82.08</v>
      </c>
      <c r="M13" s="408"/>
      <c r="N13" s="165"/>
      <c r="O13" s="25">
        <f t="shared" si="1"/>
        <v>0</v>
      </c>
      <c r="P13" s="25">
        <f t="shared" si="2"/>
        <v>0</v>
      </c>
      <c r="Q13" s="25">
        <f t="shared" si="3"/>
        <v>0</v>
      </c>
      <c r="R13" s="26">
        <f t="shared" si="4"/>
        <v>0</v>
      </c>
      <c r="S13" s="27">
        <f t="shared" si="5"/>
        <v>0</v>
      </c>
      <c r="T13" s="28">
        <f t="shared" si="7"/>
        <v>0</v>
      </c>
    </row>
    <row r="14" spans="2:21" ht="17.25" hidden="1">
      <c r="B14" s="407" t="s">
        <v>477</v>
      </c>
      <c r="C14" s="157"/>
      <c r="D14" s="157"/>
      <c r="E14" s="157"/>
      <c r="F14" s="158"/>
      <c r="G14" s="159"/>
      <c r="H14" s="160">
        <f t="shared" si="6"/>
        <v>0</v>
      </c>
      <c r="I14" s="402">
        <f t="shared" si="0"/>
        <v>11.358700000000001</v>
      </c>
      <c r="J14" s="155">
        <v>0.03</v>
      </c>
      <c r="K14" s="161"/>
      <c r="L14" s="408">
        <v>11.71</v>
      </c>
      <c r="M14" s="408"/>
      <c r="N14" s="165"/>
      <c r="O14" s="25">
        <f t="shared" si="1"/>
        <v>0</v>
      </c>
      <c r="P14" s="25">
        <f t="shared" si="2"/>
        <v>0</v>
      </c>
      <c r="Q14" s="25">
        <f t="shared" si="3"/>
        <v>0</v>
      </c>
      <c r="R14" s="26">
        <f t="shared" si="4"/>
        <v>0</v>
      </c>
      <c r="S14" s="27">
        <f t="shared" si="5"/>
        <v>0</v>
      </c>
      <c r="T14" s="28">
        <f t="shared" si="7"/>
        <v>0</v>
      </c>
    </row>
    <row r="15" spans="2:21" ht="17.25">
      <c r="B15" s="407" t="s">
        <v>478</v>
      </c>
      <c r="C15" s="157">
        <v>3</v>
      </c>
      <c r="D15" s="157"/>
      <c r="E15" s="157"/>
      <c r="F15" s="158"/>
      <c r="G15" s="159">
        <v>60</v>
      </c>
      <c r="H15" s="160">
        <f t="shared" si="6"/>
        <v>63</v>
      </c>
      <c r="I15" s="402">
        <f t="shared" si="0"/>
        <v>26.8108</v>
      </c>
      <c r="J15" s="155">
        <v>0.03</v>
      </c>
      <c r="K15" s="161"/>
      <c r="L15" s="408">
        <v>27.64</v>
      </c>
      <c r="M15" s="408">
        <v>24.82</v>
      </c>
      <c r="N15" s="165"/>
      <c r="O15" s="25">
        <f t="shared" si="1"/>
        <v>80.432400000000001</v>
      </c>
      <c r="P15" s="25">
        <f t="shared" si="2"/>
        <v>0</v>
      </c>
      <c r="Q15" s="25">
        <f t="shared" si="3"/>
        <v>0</v>
      </c>
      <c r="R15" s="26">
        <f t="shared" si="4"/>
        <v>0</v>
      </c>
      <c r="S15" s="27">
        <f t="shared" si="5"/>
        <v>1608.6480000000001</v>
      </c>
      <c r="T15" s="28">
        <f t="shared" si="7"/>
        <v>1689.0804000000001</v>
      </c>
      <c r="U15" s="437">
        <f>1-M15/L15</f>
        <v>0.10202604920405212</v>
      </c>
    </row>
    <row r="16" spans="2:21" ht="17.25" hidden="1">
      <c r="B16" s="407" t="s">
        <v>479</v>
      </c>
      <c r="C16" s="157"/>
      <c r="D16" s="157"/>
      <c r="E16" s="157"/>
      <c r="F16" s="158"/>
      <c r="G16" s="159"/>
      <c r="H16" s="160">
        <f t="shared" si="6"/>
        <v>0</v>
      </c>
      <c r="I16" s="402">
        <f t="shared" si="0"/>
        <v>78.637899999999988</v>
      </c>
      <c r="J16" s="155">
        <v>0.03</v>
      </c>
      <c r="K16" s="161"/>
      <c r="L16" s="408">
        <v>81.069999999999993</v>
      </c>
      <c r="M16" s="408"/>
      <c r="N16" s="165"/>
      <c r="O16" s="25">
        <f t="shared" si="1"/>
        <v>0</v>
      </c>
      <c r="P16" s="25">
        <f t="shared" si="2"/>
        <v>0</v>
      </c>
      <c r="Q16" s="25">
        <f t="shared" si="3"/>
        <v>0</v>
      </c>
      <c r="R16" s="26">
        <f t="shared" si="4"/>
        <v>0</v>
      </c>
      <c r="S16" s="27">
        <f t="shared" si="5"/>
        <v>0</v>
      </c>
      <c r="T16" s="28">
        <f t="shared" si="7"/>
        <v>0</v>
      </c>
    </row>
    <row r="17" spans="2:20" ht="17.25" hidden="1">
      <c r="B17" s="407" t="s">
        <v>1076</v>
      </c>
      <c r="C17" s="157"/>
      <c r="D17" s="157"/>
      <c r="E17" s="157"/>
      <c r="F17" s="158"/>
      <c r="G17" s="159"/>
      <c r="H17" s="160">
        <f t="shared" si="6"/>
        <v>0</v>
      </c>
      <c r="I17" s="402">
        <f t="shared" si="0"/>
        <v>87.784999999999997</v>
      </c>
      <c r="J17" s="155">
        <v>0.03</v>
      </c>
      <c r="K17" s="161"/>
      <c r="L17" s="408">
        <v>90.5</v>
      </c>
      <c r="M17" s="408"/>
      <c r="N17" s="165"/>
      <c r="O17" s="25">
        <f t="shared" si="1"/>
        <v>0</v>
      </c>
      <c r="P17" s="25">
        <f t="shared" si="2"/>
        <v>0</v>
      </c>
      <c r="Q17" s="25">
        <f t="shared" si="3"/>
        <v>0</v>
      </c>
      <c r="R17" s="26">
        <f t="shared" si="4"/>
        <v>0</v>
      </c>
      <c r="S17" s="27">
        <f t="shared" si="5"/>
        <v>0</v>
      </c>
      <c r="T17" s="28">
        <f t="shared" si="7"/>
        <v>0</v>
      </c>
    </row>
    <row r="18" spans="2:20" ht="17.25" hidden="1">
      <c r="B18" s="407" t="s">
        <v>480</v>
      </c>
      <c r="C18" s="157"/>
      <c r="D18" s="157"/>
      <c r="E18" s="157"/>
      <c r="F18" s="158"/>
      <c r="G18" s="159"/>
      <c r="H18" s="160">
        <f t="shared" si="6"/>
        <v>0</v>
      </c>
      <c r="I18" s="402">
        <f t="shared" si="0"/>
        <v>9.3216999999999999</v>
      </c>
      <c r="J18" s="155">
        <v>0.03</v>
      </c>
      <c r="K18" s="161"/>
      <c r="L18" s="408">
        <v>9.61</v>
      </c>
      <c r="M18" s="408"/>
      <c r="N18" s="165"/>
      <c r="O18" s="25">
        <f t="shared" si="1"/>
        <v>0</v>
      </c>
      <c r="P18" s="25">
        <f t="shared" si="2"/>
        <v>0</v>
      </c>
      <c r="Q18" s="25">
        <f t="shared" si="3"/>
        <v>0</v>
      </c>
      <c r="R18" s="26">
        <f t="shared" si="4"/>
        <v>0</v>
      </c>
      <c r="S18" s="27">
        <f t="shared" si="5"/>
        <v>0</v>
      </c>
      <c r="T18" s="28">
        <f t="shared" si="7"/>
        <v>0</v>
      </c>
    </row>
    <row r="19" spans="2:20" ht="17.25" hidden="1">
      <c r="B19" s="407" t="s">
        <v>481</v>
      </c>
      <c r="C19" s="157"/>
      <c r="D19" s="157"/>
      <c r="E19" s="157"/>
      <c r="F19" s="158"/>
      <c r="G19" s="159"/>
      <c r="H19" s="160">
        <f t="shared" si="6"/>
        <v>0</v>
      </c>
      <c r="I19" s="402">
        <f t="shared" si="0"/>
        <v>21.048999999999999</v>
      </c>
      <c r="J19" s="155">
        <v>0.03</v>
      </c>
      <c r="K19" s="161"/>
      <c r="L19" s="408">
        <v>21.7</v>
      </c>
      <c r="M19" s="408"/>
      <c r="N19" s="165"/>
      <c r="O19" s="25">
        <f t="shared" si="1"/>
        <v>0</v>
      </c>
      <c r="P19" s="25">
        <f t="shared" si="2"/>
        <v>0</v>
      </c>
      <c r="Q19" s="25">
        <f t="shared" si="3"/>
        <v>0</v>
      </c>
      <c r="R19" s="26">
        <f t="shared" si="4"/>
        <v>0</v>
      </c>
      <c r="S19" s="27">
        <f t="shared" si="5"/>
        <v>0</v>
      </c>
      <c r="T19" s="28">
        <f t="shared" si="7"/>
        <v>0</v>
      </c>
    </row>
    <row r="20" spans="2:20" ht="17.25" hidden="1">
      <c r="B20" s="407" t="s">
        <v>482</v>
      </c>
      <c r="C20" s="157"/>
      <c r="D20" s="157"/>
      <c r="E20" s="157"/>
      <c r="F20" s="158"/>
      <c r="G20" s="159"/>
      <c r="H20" s="160">
        <f t="shared" si="6"/>
        <v>0</v>
      </c>
      <c r="I20" s="402">
        <f t="shared" si="0"/>
        <v>18.3233</v>
      </c>
      <c r="J20" s="155">
        <v>0.03</v>
      </c>
      <c r="K20" s="161"/>
      <c r="L20" s="408">
        <v>18.89</v>
      </c>
      <c r="M20" s="408"/>
      <c r="N20" s="165"/>
      <c r="O20" s="25">
        <f t="shared" si="1"/>
        <v>0</v>
      </c>
      <c r="P20" s="25">
        <f t="shared" si="2"/>
        <v>0</v>
      </c>
      <c r="Q20" s="25">
        <f t="shared" si="3"/>
        <v>0</v>
      </c>
      <c r="R20" s="26">
        <f t="shared" si="4"/>
        <v>0</v>
      </c>
      <c r="S20" s="27">
        <f t="shared" si="5"/>
        <v>0</v>
      </c>
      <c r="T20" s="28">
        <f t="shared" si="7"/>
        <v>0</v>
      </c>
    </row>
    <row r="21" spans="2:20" ht="17.25" hidden="1">
      <c r="B21" s="407" t="s">
        <v>483</v>
      </c>
      <c r="C21" s="157"/>
      <c r="D21" s="157"/>
      <c r="E21" s="157"/>
      <c r="F21" s="158"/>
      <c r="G21" s="159"/>
      <c r="H21" s="160">
        <f t="shared" si="6"/>
        <v>0</v>
      </c>
      <c r="I21" s="402">
        <f t="shared" si="0"/>
        <v>15.5588</v>
      </c>
      <c r="J21" s="155">
        <v>0.03</v>
      </c>
      <c r="K21" s="161"/>
      <c r="L21" s="408">
        <v>16.04</v>
      </c>
      <c r="M21" s="408"/>
      <c r="N21" s="165"/>
      <c r="O21" s="25">
        <f t="shared" si="1"/>
        <v>0</v>
      </c>
      <c r="P21" s="25">
        <f t="shared" si="2"/>
        <v>0</v>
      </c>
      <c r="Q21" s="25">
        <f t="shared" si="3"/>
        <v>0</v>
      </c>
      <c r="R21" s="26">
        <f t="shared" si="4"/>
        <v>0</v>
      </c>
      <c r="S21" s="27">
        <f t="shared" si="5"/>
        <v>0</v>
      </c>
      <c r="T21" s="28">
        <f t="shared" si="7"/>
        <v>0</v>
      </c>
    </row>
    <row r="22" spans="2:20" ht="17.25" hidden="1">
      <c r="B22" s="407" t="s">
        <v>1077</v>
      </c>
      <c r="C22" s="157"/>
      <c r="D22" s="157"/>
      <c r="E22" s="157"/>
      <c r="F22" s="158"/>
      <c r="G22" s="159"/>
      <c r="H22" s="160">
        <f t="shared" si="6"/>
        <v>0</v>
      </c>
      <c r="I22" s="402">
        <f t="shared" si="0"/>
        <v>79.520600000000002</v>
      </c>
      <c r="J22" s="155">
        <v>0.03</v>
      </c>
      <c r="K22" s="161"/>
      <c r="L22" s="408">
        <v>81.98</v>
      </c>
      <c r="M22" s="408"/>
      <c r="N22" s="165"/>
      <c r="O22" s="25">
        <f t="shared" si="1"/>
        <v>0</v>
      </c>
      <c r="P22" s="25">
        <f t="shared" si="2"/>
        <v>0</v>
      </c>
      <c r="Q22" s="25">
        <f t="shared" si="3"/>
        <v>0</v>
      </c>
      <c r="R22" s="26">
        <f t="shared" si="4"/>
        <v>0</v>
      </c>
      <c r="S22" s="27">
        <f t="shared" si="5"/>
        <v>0</v>
      </c>
      <c r="T22" s="28">
        <f t="shared" si="7"/>
        <v>0</v>
      </c>
    </row>
    <row r="23" spans="2:20" ht="17.25" hidden="1">
      <c r="B23" s="407" t="s">
        <v>484</v>
      </c>
      <c r="C23" s="157"/>
      <c r="D23" s="157"/>
      <c r="E23" s="157"/>
      <c r="F23" s="158"/>
      <c r="G23" s="159"/>
      <c r="H23" s="160">
        <f t="shared" si="6"/>
        <v>0</v>
      </c>
      <c r="I23" s="402">
        <f t="shared" si="0"/>
        <v>234.98249999999999</v>
      </c>
      <c r="J23" s="155">
        <v>0.03</v>
      </c>
      <c r="K23" s="161"/>
      <c r="L23" s="408">
        <v>242.25</v>
      </c>
      <c r="M23" s="408"/>
      <c r="N23" s="165"/>
      <c r="O23" s="25">
        <f t="shared" si="1"/>
        <v>0</v>
      </c>
      <c r="P23" s="25">
        <f t="shared" si="2"/>
        <v>0</v>
      </c>
      <c r="Q23" s="25">
        <f t="shared" si="3"/>
        <v>0</v>
      </c>
      <c r="R23" s="26">
        <f t="shared" si="4"/>
        <v>0</v>
      </c>
      <c r="S23" s="27">
        <f t="shared" si="5"/>
        <v>0</v>
      </c>
      <c r="T23" s="28">
        <f t="shared" si="7"/>
        <v>0</v>
      </c>
    </row>
    <row r="24" spans="2:20" ht="17.25" hidden="1">
      <c r="B24" s="407" t="s">
        <v>485</v>
      </c>
      <c r="C24" s="157"/>
      <c r="D24" s="157"/>
      <c r="E24" s="157"/>
      <c r="F24" s="158"/>
      <c r="G24" s="159"/>
      <c r="H24" s="160">
        <f t="shared" si="6"/>
        <v>0</v>
      </c>
      <c r="I24" s="402">
        <f t="shared" si="0"/>
        <v>77.396300000000011</v>
      </c>
      <c r="J24" s="155">
        <v>0.03</v>
      </c>
      <c r="K24" s="161"/>
      <c r="L24" s="408">
        <v>79.790000000000006</v>
      </c>
      <c r="M24" s="408"/>
      <c r="N24" s="165"/>
      <c r="O24" s="25">
        <f t="shared" si="1"/>
        <v>0</v>
      </c>
      <c r="P24" s="25">
        <f t="shared" si="2"/>
        <v>0</v>
      </c>
      <c r="Q24" s="25">
        <f t="shared" si="3"/>
        <v>0</v>
      </c>
      <c r="R24" s="26">
        <f t="shared" si="4"/>
        <v>0</v>
      </c>
      <c r="S24" s="27">
        <f t="shared" si="5"/>
        <v>0</v>
      </c>
      <c r="T24" s="28">
        <f t="shared" si="7"/>
        <v>0</v>
      </c>
    </row>
    <row r="25" spans="2:20" ht="17.25" hidden="1">
      <c r="B25" s="407" t="s">
        <v>486</v>
      </c>
      <c r="C25" s="157"/>
      <c r="D25" s="157"/>
      <c r="E25" s="157"/>
      <c r="F25" s="158"/>
      <c r="G25" s="159"/>
      <c r="H25" s="160">
        <f t="shared" si="6"/>
        <v>0</v>
      </c>
      <c r="I25" s="402">
        <f t="shared" si="0"/>
        <v>53.718600000000002</v>
      </c>
      <c r="J25" s="155">
        <v>0.03</v>
      </c>
      <c r="K25" s="161"/>
      <c r="L25" s="408">
        <v>55.38</v>
      </c>
      <c r="M25" s="408"/>
      <c r="N25" s="165"/>
      <c r="O25" s="25">
        <f t="shared" si="1"/>
        <v>0</v>
      </c>
      <c r="P25" s="25">
        <f t="shared" si="2"/>
        <v>0</v>
      </c>
      <c r="Q25" s="25">
        <f t="shared" si="3"/>
        <v>0</v>
      </c>
      <c r="R25" s="26">
        <f t="shared" si="4"/>
        <v>0</v>
      </c>
      <c r="S25" s="27">
        <f t="shared" si="5"/>
        <v>0</v>
      </c>
      <c r="T25" s="28">
        <f t="shared" si="7"/>
        <v>0</v>
      </c>
    </row>
    <row r="26" spans="2:20" ht="17.25" hidden="1">
      <c r="B26" s="407" t="s">
        <v>487</v>
      </c>
      <c r="C26" s="158"/>
      <c r="D26" s="158"/>
      <c r="E26" s="158"/>
      <c r="F26" s="158"/>
      <c r="G26" s="159"/>
      <c r="H26" s="160">
        <f t="shared" si="6"/>
        <v>0</v>
      </c>
      <c r="I26" s="402">
        <f t="shared" si="0"/>
        <v>873.31040000000007</v>
      </c>
      <c r="J26" s="155">
        <v>0.03</v>
      </c>
      <c r="K26" s="161"/>
      <c r="L26" s="408">
        <v>900.32</v>
      </c>
      <c r="M26" s="408"/>
      <c r="N26" s="165"/>
      <c r="O26" s="25">
        <f t="shared" si="1"/>
        <v>0</v>
      </c>
      <c r="P26" s="25">
        <f t="shared" si="2"/>
        <v>0</v>
      </c>
      <c r="Q26" s="25">
        <f t="shared" si="3"/>
        <v>0</v>
      </c>
      <c r="R26" s="26">
        <f t="shared" si="4"/>
        <v>0</v>
      </c>
      <c r="S26" s="27">
        <f t="shared" si="5"/>
        <v>0</v>
      </c>
      <c r="T26" s="28">
        <f t="shared" si="7"/>
        <v>0</v>
      </c>
    </row>
    <row r="27" spans="2:20" ht="17.25" hidden="1">
      <c r="B27" s="407" t="s">
        <v>488</v>
      </c>
      <c r="C27" s="158"/>
      <c r="D27" s="158"/>
      <c r="E27" s="158"/>
      <c r="F27" s="158"/>
      <c r="G27" s="159"/>
      <c r="H27" s="160">
        <f t="shared" si="6"/>
        <v>0</v>
      </c>
      <c r="I27" s="402">
        <f t="shared" si="0"/>
        <v>26.869</v>
      </c>
      <c r="J27" s="155">
        <v>0.03</v>
      </c>
      <c r="K27" s="161"/>
      <c r="L27" s="408">
        <v>27.7</v>
      </c>
      <c r="M27" s="408"/>
      <c r="N27" s="165"/>
      <c r="O27" s="25">
        <f t="shared" si="1"/>
        <v>0</v>
      </c>
      <c r="P27" s="25">
        <f t="shared" si="2"/>
        <v>0</v>
      </c>
      <c r="Q27" s="25">
        <f t="shared" si="3"/>
        <v>0</v>
      </c>
      <c r="R27" s="26">
        <f t="shared" si="4"/>
        <v>0</v>
      </c>
      <c r="S27" s="27">
        <f t="shared" si="5"/>
        <v>0</v>
      </c>
      <c r="T27" s="28">
        <f t="shared" si="7"/>
        <v>0</v>
      </c>
    </row>
    <row r="28" spans="2:20" ht="17.25" hidden="1">
      <c r="B28" s="407" t="s">
        <v>489</v>
      </c>
      <c r="C28" s="158"/>
      <c r="D28" s="158"/>
      <c r="E28" s="158"/>
      <c r="F28" s="158"/>
      <c r="G28" s="159"/>
      <c r="H28" s="160">
        <f t="shared" si="6"/>
        <v>0</v>
      </c>
      <c r="I28" s="402">
        <f t="shared" si="0"/>
        <v>506.49519999999995</v>
      </c>
      <c r="J28" s="155">
        <v>0.03</v>
      </c>
      <c r="K28" s="161"/>
      <c r="L28" s="408">
        <v>522.16</v>
      </c>
      <c r="M28" s="408"/>
      <c r="N28" s="165"/>
      <c r="O28" s="25">
        <f t="shared" si="1"/>
        <v>0</v>
      </c>
      <c r="P28" s="25">
        <f t="shared" si="2"/>
        <v>0</v>
      </c>
      <c r="Q28" s="25">
        <f t="shared" si="3"/>
        <v>0</v>
      </c>
      <c r="R28" s="26">
        <f t="shared" si="4"/>
        <v>0</v>
      </c>
      <c r="S28" s="27">
        <f t="shared" si="5"/>
        <v>0</v>
      </c>
      <c r="T28" s="28">
        <f t="shared" si="7"/>
        <v>0</v>
      </c>
    </row>
    <row r="29" spans="2:20" ht="17.25" hidden="1">
      <c r="B29" s="407" t="s">
        <v>490</v>
      </c>
      <c r="C29" s="158"/>
      <c r="D29" s="158"/>
      <c r="E29" s="158"/>
      <c r="F29" s="158"/>
      <c r="G29" s="159"/>
      <c r="H29" s="160">
        <f t="shared" si="6"/>
        <v>0</v>
      </c>
      <c r="I29" s="402">
        <f t="shared" si="0"/>
        <v>12.61</v>
      </c>
      <c r="J29" s="155">
        <v>0.03</v>
      </c>
      <c r="K29" s="161"/>
      <c r="L29" s="408">
        <v>13</v>
      </c>
      <c r="M29" s="408"/>
      <c r="N29" s="165"/>
      <c r="O29" s="25">
        <f t="shared" si="1"/>
        <v>0</v>
      </c>
      <c r="P29" s="25">
        <f t="shared" si="2"/>
        <v>0</v>
      </c>
      <c r="Q29" s="25">
        <f t="shared" si="3"/>
        <v>0</v>
      </c>
      <c r="R29" s="26">
        <f t="shared" si="4"/>
        <v>0</v>
      </c>
      <c r="S29" s="27">
        <f t="shared" si="5"/>
        <v>0</v>
      </c>
      <c r="T29" s="28">
        <f t="shared" si="7"/>
        <v>0</v>
      </c>
    </row>
    <row r="30" spans="2:20" ht="17.25" hidden="1">
      <c r="B30" s="407" t="s">
        <v>491</v>
      </c>
      <c r="C30" s="158"/>
      <c r="D30" s="158"/>
      <c r="E30" s="158"/>
      <c r="F30" s="158"/>
      <c r="G30" s="159"/>
      <c r="H30" s="160">
        <f t="shared" si="6"/>
        <v>0</v>
      </c>
      <c r="I30" s="402">
        <f t="shared" si="0"/>
        <v>82.382100000000008</v>
      </c>
      <c r="J30" s="155">
        <v>0.03</v>
      </c>
      <c r="K30" s="161"/>
      <c r="L30" s="408">
        <v>84.93</v>
      </c>
      <c r="M30" s="408"/>
      <c r="N30" s="165"/>
      <c r="O30" s="25">
        <f t="shared" si="1"/>
        <v>0</v>
      </c>
      <c r="P30" s="25">
        <f t="shared" si="2"/>
        <v>0</v>
      </c>
      <c r="Q30" s="25">
        <f t="shared" si="3"/>
        <v>0</v>
      </c>
      <c r="R30" s="26">
        <f t="shared" si="4"/>
        <v>0</v>
      </c>
      <c r="S30" s="27">
        <f t="shared" si="5"/>
        <v>0</v>
      </c>
      <c r="T30" s="28">
        <f t="shared" si="7"/>
        <v>0</v>
      </c>
    </row>
    <row r="31" spans="2:20" ht="17.25" hidden="1">
      <c r="B31" s="407" t="s">
        <v>492</v>
      </c>
      <c r="C31" s="158"/>
      <c r="D31" s="158"/>
      <c r="E31" s="158"/>
      <c r="F31" s="158"/>
      <c r="G31" s="159"/>
      <c r="H31" s="160">
        <f t="shared" si="6"/>
        <v>0</v>
      </c>
      <c r="I31" s="402">
        <f t="shared" si="0"/>
        <v>8.6233000000000004</v>
      </c>
      <c r="J31" s="155">
        <v>0.03</v>
      </c>
      <c r="K31" s="161"/>
      <c r="L31" s="408">
        <v>8.89</v>
      </c>
      <c r="M31" s="408"/>
      <c r="N31" s="165"/>
      <c r="O31" s="25">
        <f t="shared" si="1"/>
        <v>0</v>
      </c>
      <c r="P31" s="25">
        <f t="shared" si="2"/>
        <v>0</v>
      </c>
      <c r="Q31" s="25">
        <f t="shared" si="3"/>
        <v>0</v>
      </c>
      <c r="R31" s="26">
        <f t="shared" si="4"/>
        <v>0</v>
      </c>
      <c r="S31" s="27">
        <f t="shared" si="5"/>
        <v>0</v>
      </c>
      <c r="T31" s="28">
        <f t="shared" si="7"/>
        <v>0</v>
      </c>
    </row>
    <row r="32" spans="2:20" ht="17.25" hidden="1">
      <c r="B32" s="407" t="s">
        <v>493</v>
      </c>
      <c r="C32" s="158"/>
      <c r="D32" s="158"/>
      <c r="E32" s="158"/>
      <c r="F32" s="158"/>
      <c r="G32" s="159"/>
      <c r="H32" s="160">
        <f t="shared" si="6"/>
        <v>0</v>
      </c>
      <c r="I32" s="402">
        <f t="shared" si="0"/>
        <v>15.5006</v>
      </c>
      <c r="J32" s="155">
        <v>0.03</v>
      </c>
      <c r="K32" s="161"/>
      <c r="L32" s="408">
        <v>15.98</v>
      </c>
      <c r="M32" s="408"/>
      <c r="N32" s="165"/>
      <c r="O32" s="25">
        <f t="shared" si="1"/>
        <v>0</v>
      </c>
      <c r="P32" s="25">
        <f t="shared" si="2"/>
        <v>0</v>
      </c>
      <c r="Q32" s="25">
        <f t="shared" si="3"/>
        <v>0</v>
      </c>
      <c r="R32" s="26">
        <f t="shared" si="4"/>
        <v>0</v>
      </c>
      <c r="S32" s="27">
        <f t="shared" si="5"/>
        <v>0</v>
      </c>
      <c r="T32" s="28">
        <f t="shared" si="7"/>
        <v>0</v>
      </c>
    </row>
    <row r="33" spans="2:21" ht="17.25" hidden="1">
      <c r="B33" s="407" t="s">
        <v>494</v>
      </c>
      <c r="C33" s="158"/>
      <c r="D33" s="158"/>
      <c r="E33" s="158"/>
      <c r="F33" s="158"/>
      <c r="G33" s="159"/>
      <c r="H33" s="160">
        <f t="shared" si="6"/>
        <v>0</v>
      </c>
      <c r="I33" s="402">
        <f t="shared" si="0"/>
        <v>21.5825</v>
      </c>
      <c r="J33" s="155">
        <v>0.03</v>
      </c>
      <c r="K33" s="161"/>
      <c r="L33" s="408">
        <v>22.25</v>
      </c>
      <c r="M33" s="408"/>
      <c r="N33" s="165"/>
      <c r="O33" s="25">
        <f t="shared" si="1"/>
        <v>0</v>
      </c>
      <c r="P33" s="25">
        <f t="shared" si="2"/>
        <v>0</v>
      </c>
      <c r="Q33" s="25">
        <f t="shared" si="3"/>
        <v>0</v>
      </c>
      <c r="R33" s="26">
        <f t="shared" si="4"/>
        <v>0</v>
      </c>
      <c r="S33" s="27">
        <f t="shared" si="5"/>
        <v>0</v>
      </c>
      <c r="T33" s="28">
        <f t="shared" si="7"/>
        <v>0</v>
      </c>
    </row>
    <row r="34" spans="2:21" ht="17.25" hidden="1">
      <c r="B34" s="407" t="s">
        <v>650</v>
      </c>
      <c r="C34" s="158"/>
      <c r="D34" s="158"/>
      <c r="E34" s="158"/>
      <c r="F34" s="158"/>
      <c r="G34" s="159"/>
      <c r="H34" s="160">
        <f t="shared" si="6"/>
        <v>0</v>
      </c>
      <c r="I34" s="402">
        <f t="shared" si="0"/>
        <v>82.741</v>
      </c>
      <c r="J34" s="155">
        <v>0.03</v>
      </c>
      <c r="K34" s="161"/>
      <c r="L34" s="408">
        <v>85.3</v>
      </c>
      <c r="M34" s="408"/>
      <c r="N34" s="165"/>
      <c r="O34" s="25">
        <f t="shared" si="1"/>
        <v>0</v>
      </c>
      <c r="P34" s="25">
        <f t="shared" si="2"/>
        <v>0</v>
      </c>
      <c r="Q34" s="25">
        <f t="shared" si="3"/>
        <v>0</v>
      </c>
      <c r="R34" s="26">
        <f t="shared" si="4"/>
        <v>0</v>
      </c>
      <c r="S34" s="27">
        <f t="shared" si="5"/>
        <v>0</v>
      </c>
      <c r="T34" s="28">
        <f t="shared" si="7"/>
        <v>0</v>
      </c>
    </row>
    <row r="35" spans="2:21" ht="17.25" hidden="1">
      <c r="B35" s="407" t="s">
        <v>651</v>
      </c>
      <c r="C35" s="158"/>
      <c r="D35" s="158"/>
      <c r="E35" s="158"/>
      <c r="F35" s="158"/>
      <c r="G35" s="159"/>
      <c r="H35" s="160">
        <f t="shared" si="6"/>
        <v>0</v>
      </c>
      <c r="I35" s="402">
        <f t="shared" si="0"/>
        <v>48.674599999999998</v>
      </c>
      <c r="J35" s="155">
        <v>0.03</v>
      </c>
      <c r="K35" s="161"/>
      <c r="L35" s="408">
        <v>50.18</v>
      </c>
      <c r="M35" s="408"/>
      <c r="N35" s="165"/>
      <c r="O35" s="25">
        <f t="shared" si="1"/>
        <v>0</v>
      </c>
      <c r="P35" s="25">
        <f t="shared" si="2"/>
        <v>0</v>
      </c>
      <c r="Q35" s="25">
        <f t="shared" si="3"/>
        <v>0</v>
      </c>
      <c r="R35" s="26">
        <f t="shared" si="4"/>
        <v>0</v>
      </c>
      <c r="S35" s="27">
        <f t="shared" si="5"/>
        <v>0</v>
      </c>
      <c r="T35" s="28">
        <f t="shared" si="7"/>
        <v>0</v>
      </c>
    </row>
    <row r="36" spans="2:21" ht="17.25" hidden="1">
      <c r="B36" s="407" t="s">
        <v>652</v>
      </c>
      <c r="C36" s="158"/>
      <c r="D36" s="158"/>
      <c r="E36" s="158"/>
      <c r="F36" s="158"/>
      <c r="G36" s="159"/>
      <c r="H36" s="160">
        <f t="shared" si="6"/>
        <v>0</v>
      </c>
      <c r="I36" s="402">
        <f t="shared" si="0"/>
        <v>29.711099999999998</v>
      </c>
      <c r="J36" s="155">
        <v>0.03</v>
      </c>
      <c r="K36" s="161"/>
      <c r="L36" s="408">
        <v>30.63</v>
      </c>
      <c r="M36" s="408">
        <v>37.619999999999997</v>
      </c>
      <c r="N36" s="165"/>
      <c r="O36" s="25">
        <f t="shared" si="1"/>
        <v>0</v>
      </c>
      <c r="P36" s="25">
        <f t="shared" si="2"/>
        <v>0</v>
      </c>
      <c r="Q36" s="25">
        <f t="shared" si="3"/>
        <v>0</v>
      </c>
      <c r="R36" s="26">
        <f t="shared" si="4"/>
        <v>0</v>
      </c>
      <c r="S36" s="27">
        <f t="shared" si="5"/>
        <v>0</v>
      </c>
      <c r="T36" s="28">
        <f t="shared" si="7"/>
        <v>0</v>
      </c>
      <c r="U36" s="437">
        <f>1-M36/L36</f>
        <v>-0.22820763956904999</v>
      </c>
    </row>
    <row r="37" spans="2:21" ht="17.25" hidden="1">
      <c r="B37" s="407" t="s">
        <v>1078</v>
      </c>
      <c r="C37" s="158"/>
      <c r="D37" s="158"/>
      <c r="E37" s="158"/>
      <c r="F37" s="158"/>
      <c r="G37" s="159"/>
      <c r="H37" s="160">
        <f t="shared" si="6"/>
        <v>0</v>
      </c>
      <c r="I37" s="402">
        <f t="shared" si="0"/>
        <v>34.3962</v>
      </c>
      <c r="J37" s="155">
        <v>0.03</v>
      </c>
      <c r="K37" s="161"/>
      <c r="L37" s="408">
        <v>35.46</v>
      </c>
      <c r="M37" s="408"/>
      <c r="N37" s="165"/>
      <c r="O37" s="25">
        <f t="shared" si="1"/>
        <v>0</v>
      </c>
      <c r="P37" s="25">
        <f t="shared" si="2"/>
        <v>0</v>
      </c>
      <c r="Q37" s="25">
        <f t="shared" si="3"/>
        <v>0</v>
      </c>
      <c r="R37" s="26">
        <f t="shared" si="4"/>
        <v>0</v>
      </c>
      <c r="S37" s="27">
        <f t="shared" si="5"/>
        <v>0</v>
      </c>
      <c r="T37" s="28">
        <f t="shared" si="7"/>
        <v>0</v>
      </c>
    </row>
    <row r="38" spans="2:21" ht="17.25" hidden="1">
      <c r="B38" s="407" t="s">
        <v>1079</v>
      </c>
      <c r="C38" s="158"/>
      <c r="D38" s="158"/>
      <c r="E38" s="158"/>
      <c r="F38" s="158"/>
      <c r="G38" s="159"/>
      <c r="H38" s="160">
        <f t="shared" si="6"/>
        <v>0</v>
      </c>
      <c r="I38" s="402">
        <f t="shared" si="0"/>
        <v>13.376299999999999</v>
      </c>
      <c r="J38" s="155">
        <v>0.03</v>
      </c>
      <c r="K38" s="161"/>
      <c r="L38" s="408">
        <v>13.79</v>
      </c>
      <c r="M38" s="408"/>
      <c r="N38" s="165"/>
      <c r="O38" s="25">
        <f t="shared" si="1"/>
        <v>0</v>
      </c>
      <c r="P38" s="25">
        <f t="shared" si="2"/>
        <v>0</v>
      </c>
      <c r="Q38" s="25">
        <f t="shared" si="3"/>
        <v>0</v>
      </c>
      <c r="R38" s="26">
        <f t="shared" si="4"/>
        <v>0</v>
      </c>
      <c r="S38" s="27">
        <f t="shared" si="5"/>
        <v>0</v>
      </c>
      <c r="T38" s="28">
        <f t="shared" si="7"/>
        <v>0</v>
      </c>
    </row>
    <row r="39" spans="2:21" ht="17.25" hidden="1">
      <c r="B39" s="407" t="s">
        <v>653</v>
      </c>
      <c r="C39" s="158"/>
      <c r="D39" s="158"/>
      <c r="E39" s="158"/>
      <c r="F39" s="158"/>
      <c r="G39" s="159"/>
      <c r="H39" s="160">
        <f t="shared" si="6"/>
        <v>0</v>
      </c>
      <c r="I39" s="402">
        <f t="shared" si="0"/>
        <v>14.947699999999999</v>
      </c>
      <c r="J39" s="155">
        <v>0.03</v>
      </c>
      <c r="K39" s="161"/>
      <c r="L39" s="408">
        <v>15.41</v>
      </c>
      <c r="M39" s="408"/>
      <c r="N39" s="165"/>
      <c r="O39" s="25">
        <f t="shared" si="1"/>
        <v>0</v>
      </c>
      <c r="P39" s="25">
        <f t="shared" si="2"/>
        <v>0</v>
      </c>
      <c r="Q39" s="25">
        <f t="shared" si="3"/>
        <v>0</v>
      </c>
      <c r="R39" s="26">
        <f t="shared" si="4"/>
        <v>0</v>
      </c>
      <c r="S39" s="27">
        <f t="shared" si="5"/>
        <v>0</v>
      </c>
      <c r="T39" s="28">
        <f t="shared" si="7"/>
        <v>0</v>
      </c>
    </row>
    <row r="40" spans="2:21" ht="17.25" hidden="1">
      <c r="B40" s="407" t="s">
        <v>654</v>
      </c>
      <c r="C40" s="158"/>
      <c r="D40" s="158"/>
      <c r="E40" s="158"/>
      <c r="F40" s="158"/>
      <c r="G40" s="159"/>
      <c r="H40" s="160">
        <f t="shared" si="6"/>
        <v>0</v>
      </c>
      <c r="I40" s="402">
        <f t="shared" si="0"/>
        <v>32.058499999999995</v>
      </c>
      <c r="J40" s="155">
        <v>0.03</v>
      </c>
      <c r="K40" s="161"/>
      <c r="L40" s="408">
        <v>33.049999999999997</v>
      </c>
      <c r="M40" s="408"/>
      <c r="N40" s="165"/>
      <c r="O40" s="25">
        <f t="shared" si="1"/>
        <v>0</v>
      </c>
      <c r="P40" s="25">
        <f t="shared" si="2"/>
        <v>0</v>
      </c>
      <c r="Q40" s="25">
        <f t="shared" si="3"/>
        <v>0</v>
      </c>
      <c r="R40" s="26">
        <f t="shared" si="4"/>
        <v>0</v>
      </c>
      <c r="S40" s="27">
        <f t="shared" si="5"/>
        <v>0</v>
      </c>
      <c r="T40" s="28">
        <f t="shared" si="7"/>
        <v>0</v>
      </c>
    </row>
    <row r="41" spans="2:21" ht="17.25">
      <c r="B41" s="407" t="s">
        <v>655</v>
      </c>
      <c r="C41" s="158"/>
      <c r="D41" s="158"/>
      <c r="E41" s="158"/>
      <c r="F41" s="158">
        <v>24</v>
      </c>
      <c r="G41" s="159"/>
      <c r="H41" s="160">
        <f t="shared" si="6"/>
        <v>24</v>
      </c>
      <c r="I41" s="402">
        <f t="shared" si="0"/>
        <v>20.399100000000001</v>
      </c>
      <c r="J41" s="155">
        <v>0.03</v>
      </c>
      <c r="K41" s="161"/>
      <c r="L41" s="408">
        <v>21.03</v>
      </c>
      <c r="M41" s="408">
        <v>18.88</v>
      </c>
      <c r="N41" s="165"/>
      <c r="O41" s="25">
        <f t="shared" si="1"/>
        <v>0</v>
      </c>
      <c r="P41" s="25">
        <f t="shared" si="2"/>
        <v>0</v>
      </c>
      <c r="Q41" s="25">
        <f t="shared" si="3"/>
        <v>0</v>
      </c>
      <c r="R41" s="26">
        <f t="shared" si="4"/>
        <v>489.57839999999999</v>
      </c>
      <c r="S41" s="27">
        <f t="shared" si="5"/>
        <v>0</v>
      </c>
      <c r="T41" s="28">
        <f t="shared" si="7"/>
        <v>489.57839999999999</v>
      </c>
      <c r="U41" s="437">
        <f>1-M41/L41</f>
        <v>0.10223490252020928</v>
      </c>
    </row>
    <row r="42" spans="2:21" ht="17.25" hidden="1">
      <c r="B42" s="407" t="s">
        <v>656</v>
      </c>
      <c r="C42" s="158"/>
      <c r="D42" s="158"/>
      <c r="E42" s="158"/>
      <c r="F42" s="158"/>
      <c r="G42" s="159"/>
      <c r="H42" s="160">
        <f t="shared" si="6"/>
        <v>0</v>
      </c>
      <c r="I42" s="402">
        <f t="shared" si="0"/>
        <v>25.1327</v>
      </c>
      <c r="J42" s="155">
        <v>0.03</v>
      </c>
      <c r="K42" s="161"/>
      <c r="L42" s="408">
        <v>25.91</v>
      </c>
      <c r="M42" s="408"/>
      <c r="N42" s="165"/>
      <c r="O42" s="25">
        <f t="shared" si="1"/>
        <v>0</v>
      </c>
      <c r="P42" s="25">
        <f t="shared" si="2"/>
        <v>0</v>
      </c>
      <c r="Q42" s="25">
        <f t="shared" si="3"/>
        <v>0</v>
      </c>
      <c r="R42" s="26">
        <f t="shared" si="4"/>
        <v>0</v>
      </c>
      <c r="S42" s="27">
        <f t="shared" si="5"/>
        <v>0</v>
      </c>
      <c r="T42" s="28">
        <f t="shared" si="7"/>
        <v>0</v>
      </c>
    </row>
    <row r="43" spans="2:21" ht="17.25" hidden="1">
      <c r="B43" s="407" t="s">
        <v>657</v>
      </c>
      <c r="C43" s="158"/>
      <c r="D43" s="158"/>
      <c r="E43" s="158"/>
      <c r="F43" s="158"/>
      <c r="G43" s="159"/>
      <c r="H43" s="160">
        <f t="shared" si="6"/>
        <v>0</v>
      </c>
      <c r="I43" s="402">
        <f t="shared" si="0"/>
        <v>17.3048</v>
      </c>
      <c r="J43" s="155">
        <v>0.03</v>
      </c>
      <c r="K43" s="161"/>
      <c r="L43" s="408">
        <v>17.84</v>
      </c>
      <c r="M43" s="408"/>
      <c r="N43" s="165"/>
      <c r="O43" s="25">
        <f t="shared" si="1"/>
        <v>0</v>
      </c>
      <c r="P43" s="25">
        <f t="shared" si="2"/>
        <v>0</v>
      </c>
      <c r="Q43" s="25">
        <f t="shared" si="3"/>
        <v>0</v>
      </c>
      <c r="R43" s="26">
        <f t="shared" si="4"/>
        <v>0</v>
      </c>
      <c r="S43" s="27">
        <f t="shared" si="5"/>
        <v>0</v>
      </c>
      <c r="T43" s="28">
        <f t="shared" si="7"/>
        <v>0</v>
      </c>
    </row>
    <row r="44" spans="2:21" ht="17.25">
      <c r="B44" s="407" t="s">
        <v>658</v>
      </c>
      <c r="C44" s="158"/>
      <c r="D44" s="158"/>
      <c r="E44" s="158"/>
      <c r="F44" s="158"/>
      <c r="G44" s="159">
        <v>2</v>
      </c>
      <c r="H44" s="160">
        <f t="shared" si="6"/>
        <v>2</v>
      </c>
      <c r="I44" s="402">
        <f t="shared" si="0"/>
        <v>356.572</v>
      </c>
      <c r="J44" s="155">
        <v>0.03</v>
      </c>
      <c r="K44" s="161"/>
      <c r="L44" s="408">
        <v>367.6</v>
      </c>
      <c r="M44" s="408"/>
      <c r="N44" s="165"/>
      <c r="O44" s="25">
        <f t="shared" si="1"/>
        <v>0</v>
      </c>
      <c r="P44" s="25">
        <f t="shared" si="2"/>
        <v>0</v>
      </c>
      <c r="Q44" s="25">
        <f t="shared" si="3"/>
        <v>0</v>
      </c>
      <c r="R44" s="26">
        <f t="shared" si="4"/>
        <v>0</v>
      </c>
      <c r="S44" s="27">
        <f t="shared" si="5"/>
        <v>713.14400000000001</v>
      </c>
      <c r="T44" s="28">
        <f t="shared" si="7"/>
        <v>713.14400000000001</v>
      </c>
    </row>
    <row r="45" spans="2:21" ht="17.25" hidden="1">
      <c r="B45" s="407" t="s">
        <v>659</v>
      </c>
      <c r="C45" s="158"/>
      <c r="D45" s="158"/>
      <c r="E45" s="158"/>
      <c r="F45" s="158"/>
      <c r="G45" s="159"/>
      <c r="H45" s="160">
        <f t="shared" si="6"/>
        <v>0</v>
      </c>
      <c r="I45" s="402">
        <f t="shared" si="0"/>
        <v>51.021999999999998</v>
      </c>
      <c r="J45" s="155">
        <v>0.03</v>
      </c>
      <c r="K45" s="161"/>
      <c r="L45" s="408">
        <v>52.6</v>
      </c>
      <c r="M45" s="408">
        <v>47.23</v>
      </c>
      <c r="N45" s="165"/>
      <c r="O45" s="25">
        <f t="shared" si="1"/>
        <v>0</v>
      </c>
      <c r="P45" s="25">
        <f t="shared" si="2"/>
        <v>0</v>
      </c>
      <c r="Q45" s="25">
        <f t="shared" si="3"/>
        <v>0</v>
      </c>
      <c r="R45" s="26">
        <f t="shared" si="4"/>
        <v>0</v>
      </c>
      <c r="S45" s="27">
        <f t="shared" si="5"/>
        <v>0</v>
      </c>
      <c r="T45" s="28">
        <f t="shared" si="7"/>
        <v>0</v>
      </c>
      <c r="U45" s="437">
        <f>1-M45/L45</f>
        <v>0.10209125475285175</v>
      </c>
    </row>
    <row r="46" spans="2:21" ht="17.25" hidden="1">
      <c r="B46" s="407" t="s">
        <v>495</v>
      </c>
      <c r="C46" s="158"/>
      <c r="D46" s="158"/>
      <c r="E46" s="158"/>
      <c r="F46" s="158"/>
      <c r="G46" s="159"/>
      <c r="H46" s="160">
        <f t="shared" si="6"/>
        <v>0</v>
      </c>
      <c r="I46" s="402">
        <f t="shared" si="0"/>
        <v>58.355199999999996</v>
      </c>
      <c r="J46" s="155">
        <v>0.03</v>
      </c>
      <c r="K46" s="161"/>
      <c r="L46" s="408">
        <v>60.16</v>
      </c>
      <c r="M46" s="408"/>
      <c r="N46" s="165"/>
      <c r="O46" s="25">
        <f t="shared" si="1"/>
        <v>0</v>
      </c>
      <c r="P46" s="25">
        <f t="shared" si="2"/>
        <v>0</v>
      </c>
      <c r="Q46" s="25">
        <f t="shared" si="3"/>
        <v>0</v>
      </c>
      <c r="R46" s="26">
        <f t="shared" si="4"/>
        <v>0</v>
      </c>
      <c r="S46" s="27">
        <f t="shared" si="5"/>
        <v>0</v>
      </c>
      <c r="T46" s="28">
        <f t="shared" si="7"/>
        <v>0</v>
      </c>
    </row>
    <row r="47" spans="2:21" ht="17.25" hidden="1">
      <c r="B47" s="407" t="s">
        <v>496</v>
      </c>
      <c r="C47" s="158"/>
      <c r="D47" s="158"/>
      <c r="E47" s="158"/>
      <c r="F47" s="158"/>
      <c r="G47" s="159"/>
      <c r="H47" s="160">
        <f t="shared" si="6"/>
        <v>0</v>
      </c>
      <c r="I47" s="402">
        <f t="shared" si="0"/>
        <v>13.415100000000001</v>
      </c>
      <c r="J47" s="155">
        <v>0.03</v>
      </c>
      <c r="K47" s="161"/>
      <c r="L47" s="408">
        <v>13.83</v>
      </c>
      <c r="M47" s="408"/>
      <c r="N47" s="165"/>
      <c r="O47" s="25">
        <f t="shared" si="1"/>
        <v>0</v>
      </c>
      <c r="P47" s="25">
        <f t="shared" si="2"/>
        <v>0</v>
      </c>
      <c r="Q47" s="25">
        <f t="shared" si="3"/>
        <v>0</v>
      </c>
      <c r="R47" s="26">
        <f t="shared" si="4"/>
        <v>0</v>
      </c>
      <c r="S47" s="27">
        <f t="shared" si="5"/>
        <v>0</v>
      </c>
      <c r="T47" s="28">
        <f t="shared" si="7"/>
        <v>0</v>
      </c>
    </row>
    <row r="48" spans="2:21" ht="17.25" hidden="1">
      <c r="B48" s="407" t="s">
        <v>660</v>
      </c>
      <c r="C48" s="158"/>
      <c r="D48" s="158"/>
      <c r="E48" s="158"/>
      <c r="F48" s="158"/>
      <c r="G48" s="159"/>
      <c r="H48" s="160">
        <f t="shared" si="6"/>
        <v>0</v>
      </c>
      <c r="I48" s="402">
        <f t="shared" si="0"/>
        <v>17.935299999999998</v>
      </c>
      <c r="J48" s="155">
        <v>0.03</v>
      </c>
      <c r="K48" s="161"/>
      <c r="L48" s="408">
        <v>18.489999999999998</v>
      </c>
      <c r="M48" s="408"/>
      <c r="N48" s="165"/>
      <c r="O48" s="25">
        <f t="shared" si="1"/>
        <v>0</v>
      </c>
      <c r="P48" s="25">
        <f t="shared" si="2"/>
        <v>0</v>
      </c>
      <c r="Q48" s="25">
        <f t="shared" si="3"/>
        <v>0</v>
      </c>
      <c r="R48" s="26">
        <f t="shared" si="4"/>
        <v>0</v>
      </c>
      <c r="S48" s="27">
        <f t="shared" si="5"/>
        <v>0</v>
      </c>
      <c r="T48" s="28">
        <f t="shared" si="7"/>
        <v>0</v>
      </c>
    </row>
    <row r="49" spans="2:21" ht="17.25" hidden="1">
      <c r="B49" s="407" t="s">
        <v>661</v>
      </c>
      <c r="C49" s="158"/>
      <c r="D49" s="158"/>
      <c r="E49" s="158"/>
      <c r="F49" s="158"/>
      <c r="G49" s="159"/>
      <c r="H49" s="160">
        <f t="shared" si="6"/>
        <v>0</v>
      </c>
      <c r="I49" s="402">
        <f t="shared" si="0"/>
        <v>110.6382</v>
      </c>
      <c r="J49" s="155">
        <v>0.03</v>
      </c>
      <c r="K49" s="161"/>
      <c r="L49" s="408">
        <v>114.06</v>
      </c>
      <c r="M49" s="408"/>
      <c r="N49" s="165"/>
      <c r="O49" s="25">
        <f t="shared" si="1"/>
        <v>0</v>
      </c>
      <c r="P49" s="25">
        <f t="shared" si="2"/>
        <v>0</v>
      </c>
      <c r="Q49" s="25">
        <f t="shared" si="3"/>
        <v>0</v>
      </c>
      <c r="R49" s="26">
        <f t="shared" si="4"/>
        <v>0</v>
      </c>
      <c r="S49" s="27">
        <f t="shared" si="5"/>
        <v>0</v>
      </c>
      <c r="T49" s="28">
        <f t="shared" si="7"/>
        <v>0</v>
      </c>
    </row>
    <row r="50" spans="2:21" ht="17.25" hidden="1">
      <c r="B50" s="407" t="s">
        <v>1332</v>
      </c>
      <c r="C50" s="158"/>
      <c r="D50" s="158"/>
      <c r="E50" s="158"/>
      <c r="F50" s="158"/>
      <c r="G50" s="159"/>
      <c r="H50" s="160">
        <f t="shared" si="6"/>
        <v>0</v>
      </c>
      <c r="I50" s="402">
        <f t="shared" si="0"/>
        <v>0</v>
      </c>
      <c r="J50" s="155">
        <v>0.03</v>
      </c>
      <c r="K50" s="161"/>
      <c r="L50" s="408"/>
      <c r="M50" s="408"/>
      <c r="N50" s="165"/>
      <c r="O50" s="25"/>
      <c r="P50" s="25"/>
      <c r="Q50" s="25"/>
      <c r="R50" s="26"/>
      <c r="S50" s="27"/>
      <c r="T50" s="28"/>
    </row>
    <row r="51" spans="2:21" ht="17.25">
      <c r="B51" s="407" t="s">
        <v>662</v>
      </c>
      <c r="C51" s="158">
        <v>2004</v>
      </c>
      <c r="D51" s="158">
        <v>1200</v>
      </c>
      <c r="E51" s="158"/>
      <c r="F51" s="158">
        <v>1200</v>
      </c>
      <c r="G51" s="159"/>
      <c r="H51" s="160">
        <f t="shared" si="6"/>
        <v>4404</v>
      </c>
      <c r="I51" s="402">
        <f t="shared" si="0"/>
        <v>16.470600000000001</v>
      </c>
      <c r="J51" s="155">
        <v>0.03</v>
      </c>
      <c r="K51" s="161"/>
      <c r="L51" s="408">
        <v>16.98</v>
      </c>
      <c r="M51" s="408"/>
      <c r="N51" s="165"/>
      <c r="O51" s="25">
        <f t="shared" si="1"/>
        <v>33007.082399999999</v>
      </c>
      <c r="P51" s="25">
        <f t="shared" si="2"/>
        <v>19764.72</v>
      </c>
      <c r="Q51" s="25">
        <f t="shared" si="3"/>
        <v>0</v>
      </c>
      <c r="R51" s="26">
        <f t="shared" si="4"/>
        <v>19764.72</v>
      </c>
      <c r="S51" s="27">
        <f t="shared" si="5"/>
        <v>0</v>
      </c>
      <c r="T51" s="28">
        <f t="shared" si="7"/>
        <v>72536.522400000002</v>
      </c>
    </row>
    <row r="52" spans="2:21" ht="17.25" hidden="1">
      <c r="B52" s="407" t="s">
        <v>663</v>
      </c>
      <c r="C52" s="158"/>
      <c r="D52" s="158"/>
      <c r="E52" s="158"/>
      <c r="F52" s="158"/>
      <c r="G52" s="159"/>
      <c r="H52" s="160">
        <f t="shared" si="6"/>
        <v>0</v>
      </c>
      <c r="I52" s="402">
        <f t="shared" si="0"/>
        <v>48.121699999999997</v>
      </c>
      <c r="J52" s="155">
        <v>0.03</v>
      </c>
      <c r="K52" s="161"/>
      <c r="L52" s="408">
        <v>49.61</v>
      </c>
      <c r="M52" s="408"/>
      <c r="N52" s="165"/>
      <c r="O52" s="25">
        <f t="shared" si="1"/>
        <v>0</v>
      </c>
      <c r="P52" s="25">
        <f t="shared" si="2"/>
        <v>0</v>
      </c>
      <c r="Q52" s="25">
        <f t="shared" si="3"/>
        <v>0</v>
      </c>
      <c r="R52" s="26">
        <f t="shared" si="4"/>
        <v>0</v>
      </c>
      <c r="S52" s="27">
        <f t="shared" si="5"/>
        <v>0</v>
      </c>
      <c r="T52" s="28">
        <f t="shared" si="7"/>
        <v>0</v>
      </c>
    </row>
    <row r="53" spans="2:21" ht="17.25" hidden="1">
      <c r="B53" s="407" t="s">
        <v>664</v>
      </c>
      <c r="C53" s="158"/>
      <c r="D53" s="158"/>
      <c r="E53" s="158"/>
      <c r="F53" s="158"/>
      <c r="G53" s="159"/>
      <c r="H53" s="160">
        <f t="shared" si="6"/>
        <v>0</v>
      </c>
      <c r="I53" s="402">
        <f t="shared" si="0"/>
        <v>91.257599999999996</v>
      </c>
      <c r="J53" s="155">
        <v>0.03</v>
      </c>
      <c r="K53" s="161"/>
      <c r="L53" s="408">
        <v>94.08</v>
      </c>
      <c r="M53" s="408"/>
      <c r="N53" s="165"/>
      <c r="O53" s="25">
        <f t="shared" si="1"/>
        <v>0</v>
      </c>
      <c r="P53" s="25">
        <f t="shared" si="2"/>
        <v>0</v>
      </c>
      <c r="Q53" s="25">
        <f t="shared" si="3"/>
        <v>0</v>
      </c>
      <c r="R53" s="26">
        <f t="shared" si="4"/>
        <v>0</v>
      </c>
      <c r="S53" s="27">
        <f t="shared" si="5"/>
        <v>0</v>
      </c>
      <c r="T53" s="28">
        <f t="shared" si="7"/>
        <v>0</v>
      </c>
    </row>
    <row r="54" spans="2:21" ht="17.25" hidden="1">
      <c r="B54" s="407" t="s">
        <v>665</v>
      </c>
      <c r="C54" s="158"/>
      <c r="D54" s="158"/>
      <c r="E54" s="158"/>
      <c r="F54" s="158"/>
      <c r="G54" s="159"/>
      <c r="H54" s="160">
        <f t="shared" si="6"/>
        <v>0</v>
      </c>
      <c r="I54" s="402">
        <f t="shared" si="0"/>
        <v>15.529700000000002</v>
      </c>
      <c r="J54" s="155">
        <v>0.03</v>
      </c>
      <c r="K54" s="161"/>
      <c r="L54" s="408">
        <v>16.010000000000002</v>
      </c>
      <c r="M54" s="408"/>
      <c r="N54" s="165"/>
      <c r="O54" s="25">
        <f t="shared" si="1"/>
        <v>0</v>
      </c>
      <c r="P54" s="25">
        <f t="shared" si="2"/>
        <v>0</v>
      </c>
      <c r="Q54" s="25">
        <f t="shared" si="3"/>
        <v>0</v>
      </c>
      <c r="R54" s="26">
        <f t="shared" si="4"/>
        <v>0</v>
      </c>
      <c r="S54" s="27">
        <f t="shared" si="5"/>
        <v>0</v>
      </c>
      <c r="T54" s="28">
        <f t="shared" si="7"/>
        <v>0</v>
      </c>
    </row>
    <row r="55" spans="2:21" ht="17.25" hidden="1">
      <c r="B55" s="407" t="s">
        <v>666</v>
      </c>
      <c r="C55" s="158"/>
      <c r="D55" s="158"/>
      <c r="E55" s="158"/>
      <c r="F55" s="158"/>
      <c r="G55" s="159"/>
      <c r="H55" s="160">
        <f t="shared" si="6"/>
        <v>0</v>
      </c>
      <c r="I55" s="402">
        <f t="shared" si="0"/>
        <v>15.403600000000001</v>
      </c>
      <c r="J55" s="155">
        <v>0.03</v>
      </c>
      <c r="K55" s="161"/>
      <c r="L55" s="408">
        <v>15.88</v>
      </c>
      <c r="M55" s="408"/>
      <c r="N55" s="165"/>
      <c r="O55" s="25">
        <f t="shared" si="1"/>
        <v>0</v>
      </c>
      <c r="P55" s="25">
        <f t="shared" si="2"/>
        <v>0</v>
      </c>
      <c r="Q55" s="25">
        <f t="shared" si="3"/>
        <v>0</v>
      </c>
      <c r="R55" s="26">
        <f t="shared" si="4"/>
        <v>0</v>
      </c>
      <c r="S55" s="27">
        <f t="shared" si="5"/>
        <v>0</v>
      </c>
      <c r="T55" s="28">
        <f t="shared" si="7"/>
        <v>0</v>
      </c>
    </row>
    <row r="56" spans="2:21" ht="17.25" hidden="1">
      <c r="B56" s="407" t="s">
        <v>667</v>
      </c>
      <c r="C56" s="158"/>
      <c r="D56" s="158"/>
      <c r="E56" s="158"/>
      <c r="F56" s="158"/>
      <c r="G56" s="159"/>
      <c r="H56" s="160">
        <f t="shared" si="6"/>
        <v>0</v>
      </c>
      <c r="I56" s="402">
        <f t="shared" si="0"/>
        <v>44.561799999999998</v>
      </c>
      <c r="J56" s="155">
        <v>0.03</v>
      </c>
      <c r="K56" s="161"/>
      <c r="L56" s="408">
        <v>45.94</v>
      </c>
      <c r="M56" s="408"/>
      <c r="N56" s="165"/>
      <c r="O56" s="25">
        <f t="shared" si="1"/>
        <v>0</v>
      </c>
      <c r="P56" s="25">
        <f t="shared" si="2"/>
        <v>0</v>
      </c>
      <c r="Q56" s="25">
        <f t="shared" si="3"/>
        <v>0</v>
      </c>
      <c r="R56" s="26">
        <f t="shared" si="4"/>
        <v>0</v>
      </c>
      <c r="S56" s="27">
        <f t="shared" si="5"/>
        <v>0</v>
      </c>
      <c r="T56" s="28">
        <f t="shared" si="7"/>
        <v>0</v>
      </c>
    </row>
    <row r="57" spans="2:21" ht="17.25" hidden="1">
      <c r="B57" s="407" t="s">
        <v>668</v>
      </c>
      <c r="C57" s="158"/>
      <c r="D57" s="158"/>
      <c r="E57" s="158"/>
      <c r="F57" s="158"/>
      <c r="G57" s="159"/>
      <c r="H57" s="160">
        <f t="shared" si="6"/>
        <v>0</v>
      </c>
      <c r="I57" s="402">
        <f t="shared" si="0"/>
        <v>30.225200000000001</v>
      </c>
      <c r="J57" s="155">
        <v>0.03</v>
      </c>
      <c r="K57" s="161"/>
      <c r="L57" s="408">
        <v>31.16</v>
      </c>
      <c r="M57" s="408"/>
      <c r="N57" s="165"/>
      <c r="O57" s="25">
        <f t="shared" si="1"/>
        <v>0</v>
      </c>
      <c r="P57" s="25">
        <f t="shared" si="2"/>
        <v>0</v>
      </c>
      <c r="Q57" s="25">
        <f t="shared" si="3"/>
        <v>0</v>
      </c>
      <c r="R57" s="26">
        <f t="shared" si="4"/>
        <v>0</v>
      </c>
      <c r="S57" s="27">
        <f t="shared" si="5"/>
        <v>0</v>
      </c>
      <c r="T57" s="28">
        <f t="shared" si="7"/>
        <v>0</v>
      </c>
    </row>
    <row r="58" spans="2:21" ht="17.25" hidden="1">
      <c r="B58" s="407" t="s">
        <v>669</v>
      </c>
      <c r="C58" s="158"/>
      <c r="D58" s="158"/>
      <c r="E58" s="158"/>
      <c r="F58" s="158"/>
      <c r="G58" s="159"/>
      <c r="H58" s="160">
        <f t="shared" si="6"/>
        <v>0</v>
      </c>
      <c r="I58" s="402">
        <f t="shared" si="0"/>
        <v>54.009599999999999</v>
      </c>
      <c r="J58" s="155">
        <v>0.03</v>
      </c>
      <c r="K58" s="161"/>
      <c r="L58" s="408">
        <v>55.68</v>
      </c>
      <c r="M58" s="408"/>
      <c r="N58" s="165"/>
      <c r="O58" s="25">
        <f t="shared" si="1"/>
        <v>0</v>
      </c>
      <c r="P58" s="25">
        <f t="shared" si="2"/>
        <v>0</v>
      </c>
      <c r="Q58" s="25">
        <f t="shared" si="3"/>
        <v>0</v>
      </c>
      <c r="R58" s="26">
        <f t="shared" si="4"/>
        <v>0</v>
      </c>
      <c r="S58" s="27">
        <f t="shared" si="5"/>
        <v>0</v>
      </c>
      <c r="T58" s="28">
        <f t="shared" si="7"/>
        <v>0</v>
      </c>
    </row>
    <row r="59" spans="2:21" ht="17.25" hidden="1">
      <c r="B59" s="407" t="s">
        <v>670</v>
      </c>
      <c r="C59" s="158"/>
      <c r="D59" s="158"/>
      <c r="E59" s="158"/>
      <c r="F59" s="158"/>
      <c r="G59" s="159"/>
      <c r="H59" s="160">
        <f t="shared" si="6"/>
        <v>0</v>
      </c>
      <c r="I59" s="402">
        <f t="shared" si="0"/>
        <v>12.280200000000001</v>
      </c>
      <c r="J59" s="155">
        <v>0.03</v>
      </c>
      <c r="K59" s="161"/>
      <c r="L59" s="408">
        <v>12.66</v>
      </c>
      <c r="M59" s="408"/>
      <c r="N59" s="165"/>
      <c r="O59" s="25">
        <f t="shared" si="1"/>
        <v>0</v>
      </c>
      <c r="P59" s="25">
        <f t="shared" si="2"/>
        <v>0</v>
      </c>
      <c r="Q59" s="25">
        <f t="shared" si="3"/>
        <v>0</v>
      </c>
      <c r="R59" s="26">
        <f t="shared" si="4"/>
        <v>0</v>
      </c>
      <c r="S59" s="27">
        <f t="shared" si="5"/>
        <v>0</v>
      </c>
      <c r="T59" s="28">
        <f t="shared" si="7"/>
        <v>0</v>
      </c>
    </row>
    <row r="60" spans="2:21" ht="17.25" hidden="1">
      <c r="B60" s="407" t="s">
        <v>671</v>
      </c>
      <c r="C60" s="158"/>
      <c r="D60" s="158"/>
      <c r="E60" s="158"/>
      <c r="F60" s="158"/>
      <c r="G60" s="159"/>
      <c r="H60" s="160">
        <f t="shared" si="6"/>
        <v>0</v>
      </c>
      <c r="I60" s="402">
        <f t="shared" si="0"/>
        <v>52.1569</v>
      </c>
      <c r="J60" s="155">
        <v>0.03</v>
      </c>
      <c r="K60" s="161"/>
      <c r="L60" s="408">
        <v>53.77</v>
      </c>
      <c r="M60" s="408"/>
      <c r="N60" s="165"/>
      <c r="O60" s="25">
        <f t="shared" si="1"/>
        <v>0</v>
      </c>
      <c r="P60" s="25">
        <f t="shared" si="2"/>
        <v>0</v>
      </c>
      <c r="Q60" s="25">
        <f t="shared" si="3"/>
        <v>0</v>
      </c>
      <c r="R60" s="26">
        <f t="shared" si="4"/>
        <v>0</v>
      </c>
      <c r="S60" s="27">
        <f t="shared" si="5"/>
        <v>0</v>
      </c>
      <c r="T60" s="28">
        <f t="shared" si="7"/>
        <v>0</v>
      </c>
    </row>
    <row r="61" spans="2:21" ht="17.25" hidden="1">
      <c r="B61" s="407" t="s">
        <v>672</v>
      </c>
      <c r="C61" s="158"/>
      <c r="D61" s="158"/>
      <c r="E61" s="158"/>
      <c r="F61" s="158"/>
      <c r="G61" s="159"/>
      <c r="H61" s="160">
        <f t="shared" si="6"/>
        <v>0</v>
      </c>
      <c r="I61" s="402">
        <f t="shared" si="0"/>
        <v>173.1644</v>
      </c>
      <c r="J61" s="155">
        <v>0.03</v>
      </c>
      <c r="K61" s="161"/>
      <c r="L61" s="408">
        <v>178.52</v>
      </c>
      <c r="M61" s="408"/>
      <c r="N61" s="165"/>
      <c r="O61" s="25">
        <f t="shared" si="1"/>
        <v>0</v>
      </c>
      <c r="P61" s="25">
        <f t="shared" si="2"/>
        <v>0</v>
      </c>
      <c r="Q61" s="25">
        <f t="shared" si="3"/>
        <v>0</v>
      </c>
      <c r="R61" s="26">
        <f t="shared" si="4"/>
        <v>0</v>
      </c>
      <c r="S61" s="27">
        <f t="shared" si="5"/>
        <v>0</v>
      </c>
      <c r="T61" s="28">
        <f t="shared" si="7"/>
        <v>0</v>
      </c>
    </row>
    <row r="62" spans="2:21" ht="17.25" hidden="1">
      <c r="B62" s="407" t="s">
        <v>673</v>
      </c>
      <c r="C62" s="158"/>
      <c r="D62" s="158"/>
      <c r="E62" s="158"/>
      <c r="F62" s="158"/>
      <c r="G62" s="159"/>
      <c r="H62" s="160">
        <f t="shared" si="6"/>
        <v>0</v>
      </c>
      <c r="I62" s="402">
        <f t="shared" si="0"/>
        <v>10.582700000000001</v>
      </c>
      <c r="J62" s="155">
        <v>0.03</v>
      </c>
      <c r="K62" s="161"/>
      <c r="L62" s="408">
        <v>10.91</v>
      </c>
      <c r="M62" s="408"/>
      <c r="N62" s="165"/>
      <c r="O62" s="25">
        <f t="shared" si="1"/>
        <v>0</v>
      </c>
      <c r="P62" s="25">
        <f t="shared" si="2"/>
        <v>0</v>
      </c>
      <c r="Q62" s="25">
        <f t="shared" si="3"/>
        <v>0</v>
      </c>
      <c r="R62" s="26">
        <f t="shared" si="4"/>
        <v>0</v>
      </c>
      <c r="S62" s="27">
        <f t="shared" si="5"/>
        <v>0</v>
      </c>
      <c r="T62" s="28">
        <f t="shared" si="7"/>
        <v>0</v>
      </c>
    </row>
    <row r="63" spans="2:21" ht="17.25" hidden="1">
      <c r="B63" s="407" t="s">
        <v>674</v>
      </c>
      <c r="C63" s="158"/>
      <c r="D63" s="158"/>
      <c r="E63" s="158"/>
      <c r="F63" s="158"/>
      <c r="G63" s="159"/>
      <c r="H63" s="160">
        <f t="shared" si="6"/>
        <v>0</v>
      </c>
      <c r="I63" s="402">
        <f t="shared" si="0"/>
        <v>88.3476</v>
      </c>
      <c r="J63" s="155">
        <v>0.03</v>
      </c>
      <c r="K63" s="161"/>
      <c r="L63" s="408">
        <v>91.08</v>
      </c>
      <c r="M63" s="408"/>
      <c r="N63" s="165"/>
      <c r="O63" s="25">
        <f t="shared" si="1"/>
        <v>0</v>
      </c>
      <c r="P63" s="25">
        <f t="shared" si="2"/>
        <v>0</v>
      </c>
      <c r="Q63" s="25">
        <f t="shared" si="3"/>
        <v>0</v>
      </c>
      <c r="R63" s="26">
        <f t="shared" si="4"/>
        <v>0</v>
      </c>
      <c r="S63" s="27">
        <f t="shared" si="5"/>
        <v>0</v>
      </c>
      <c r="T63" s="28">
        <f t="shared" si="7"/>
        <v>0</v>
      </c>
    </row>
    <row r="64" spans="2:21" ht="17.25">
      <c r="B64" s="407" t="s">
        <v>675</v>
      </c>
      <c r="C64" s="158"/>
      <c r="D64" s="158"/>
      <c r="E64" s="158"/>
      <c r="F64" s="158">
        <v>12</v>
      </c>
      <c r="G64" s="159"/>
      <c r="H64" s="160">
        <f t="shared" si="6"/>
        <v>12</v>
      </c>
      <c r="I64" s="402">
        <f t="shared" si="0"/>
        <v>93.5274</v>
      </c>
      <c r="J64" s="155">
        <v>0.03</v>
      </c>
      <c r="K64" s="161"/>
      <c r="L64" s="408">
        <v>96.42</v>
      </c>
      <c r="M64" s="408">
        <v>86.57</v>
      </c>
      <c r="N64" s="165"/>
      <c r="O64" s="25">
        <f t="shared" si="1"/>
        <v>0</v>
      </c>
      <c r="P64" s="25">
        <f t="shared" si="2"/>
        <v>0</v>
      </c>
      <c r="Q64" s="25">
        <f t="shared" si="3"/>
        <v>0</v>
      </c>
      <c r="R64" s="26">
        <f t="shared" si="4"/>
        <v>1122.3288</v>
      </c>
      <c r="S64" s="27">
        <f t="shared" si="5"/>
        <v>0</v>
      </c>
      <c r="T64" s="28">
        <f t="shared" si="7"/>
        <v>1122.3288</v>
      </c>
      <c r="U64" s="437">
        <f>1-M64/L64</f>
        <v>0.10215722879070743</v>
      </c>
    </row>
    <row r="65" spans="2:21" ht="17.25" hidden="1">
      <c r="B65" s="407" t="s">
        <v>676</v>
      </c>
      <c r="C65" s="158"/>
      <c r="D65" s="158"/>
      <c r="E65" s="158"/>
      <c r="F65" s="158"/>
      <c r="G65" s="159"/>
      <c r="H65" s="160">
        <f t="shared" si="6"/>
        <v>0</v>
      </c>
      <c r="I65" s="402">
        <f t="shared" si="0"/>
        <v>319.0718</v>
      </c>
      <c r="J65" s="155">
        <v>0.03</v>
      </c>
      <c r="K65" s="161"/>
      <c r="L65" s="408">
        <v>328.94</v>
      </c>
      <c r="M65" s="408"/>
      <c r="N65" s="165"/>
      <c r="O65" s="25">
        <f t="shared" si="1"/>
        <v>0</v>
      </c>
      <c r="P65" s="25">
        <f t="shared" si="2"/>
        <v>0</v>
      </c>
      <c r="Q65" s="25">
        <f t="shared" si="3"/>
        <v>0</v>
      </c>
      <c r="R65" s="26">
        <f t="shared" si="4"/>
        <v>0</v>
      </c>
      <c r="S65" s="27">
        <f t="shared" si="5"/>
        <v>0</v>
      </c>
      <c r="T65" s="28">
        <f t="shared" si="7"/>
        <v>0</v>
      </c>
    </row>
    <row r="66" spans="2:21" ht="17.25" hidden="1">
      <c r="B66" s="407" t="s">
        <v>1080</v>
      </c>
      <c r="C66" s="158"/>
      <c r="D66" s="158"/>
      <c r="E66" s="158"/>
      <c r="F66" s="158"/>
      <c r="G66" s="159"/>
      <c r="H66" s="160">
        <f t="shared" si="6"/>
        <v>0</v>
      </c>
      <c r="I66" s="402">
        <f t="shared" si="0"/>
        <v>47.927699999999994</v>
      </c>
      <c r="J66" s="155">
        <v>0.03</v>
      </c>
      <c r="K66" s="161"/>
      <c r="L66" s="408">
        <v>49.41</v>
      </c>
      <c r="M66" s="408"/>
      <c r="N66" s="165"/>
      <c r="O66" s="25">
        <f t="shared" si="1"/>
        <v>0</v>
      </c>
      <c r="P66" s="25">
        <f t="shared" si="2"/>
        <v>0</v>
      </c>
      <c r="Q66" s="25">
        <f t="shared" si="3"/>
        <v>0</v>
      </c>
      <c r="R66" s="26">
        <f t="shared" si="4"/>
        <v>0</v>
      </c>
      <c r="S66" s="27">
        <f t="shared" si="5"/>
        <v>0</v>
      </c>
      <c r="T66" s="28">
        <f t="shared" si="7"/>
        <v>0</v>
      </c>
    </row>
    <row r="67" spans="2:21" ht="17.25" hidden="1">
      <c r="B67" s="407" t="s">
        <v>1081</v>
      </c>
      <c r="C67" s="158"/>
      <c r="D67" s="158"/>
      <c r="E67" s="158"/>
      <c r="F67" s="158"/>
      <c r="G67" s="159"/>
      <c r="H67" s="160">
        <f t="shared" si="6"/>
        <v>0</v>
      </c>
      <c r="I67" s="402">
        <f t="shared" si="0"/>
        <v>432.66849999999999</v>
      </c>
      <c r="J67" s="155">
        <v>0.03</v>
      </c>
      <c r="K67" s="161"/>
      <c r="L67" s="408">
        <v>446.05</v>
      </c>
      <c r="M67" s="408"/>
      <c r="N67" s="165"/>
      <c r="O67" s="25">
        <f t="shared" si="1"/>
        <v>0</v>
      </c>
      <c r="P67" s="25">
        <f t="shared" si="2"/>
        <v>0</v>
      </c>
      <c r="Q67" s="25">
        <f t="shared" si="3"/>
        <v>0</v>
      </c>
      <c r="R67" s="26">
        <f t="shared" si="4"/>
        <v>0</v>
      </c>
      <c r="S67" s="27">
        <f t="shared" si="5"/>
        <v>0</v>
      </c>
      <c r="T67" s="28">
        <f t="shared" si="7"/>
        <v>0</v>
      </c>
    </row>
    <row r="68" spans="2:21" ht="17.25">
      <c r="B68" s="407" t="s">
        <v>677</v>
      </c>
      <c r="C68" s="158">
        <v>56</v>
      </c>
      <c r="D68" s="158"/>
      <c r="E68" s="158"/>
      <c r="F68" s="158">
        <v>60</v>
      </c>
      <c r="G68" s="159">
        <v>360</v>
      </c>
      <c r="H68" s="160">
        <f t="shared" si="6"/>
        <v>476</v>
      </c>
      <c r="I68" s="402">
        <f t="shared" si="0"/>
        <v>15.9</v>
      </c>
      <c r="J68" s="155"/>
      <c r="K68" s="161"/>
      <c r="L68" s="408">
        <v>15.9</v>
      </c>
      <c r="M68" s="408">
        <v>18.809999999999999</v>
      </c>
      <c r="N68" s="165"/>
      <c r="O68" s="25">
        <f t="shared" si="1"/>
        <v>890.4</v>
      </c>
      <c r="P68" s="25">
        <f t="shared" si="2"/>
        <v>0</v>
      </c>
      <c r="Q68" s="25">
        <f t="shared" si="3"/>
        <v>0</v>
      </c>
      <c r="R68" s="26">
        <f t="shared" si="4"/>
        <v>954</v>
      </c>
      <c r="S68" s="27">
        <f t="shared" si="5"/>
        <v>5724</v>
      </c>
      <c r="T68" s="28">
        <f t="shared" si="7"/>
        <v>7568.4</v>
      </c>
      <c r="U68" s="437">
        <f t="shared" ref="U68:U69" si="8">1-M68/L68</f>
        <v>-0.18301886792452815</v>
      </c>
    </row>
    <row r="69" spans="2:21" ht="17.25">
      <c r="B69" s="407" t="s">
        <v>678</v>
      </c>
      <c r="C69" s="158">
        <v>12</v>
      </c>
      <c r="D69" s="158"/>
      <c r="E69" s="158"/>
      <c r="F69" s="158">
        <v>12</v>
      </c>
      <c r="G69" s="159"/>
      <c r="H69" s="160">
        <f t="shared" si="6"/>
        <v>24</v>
      </c>
      <c r="I69" s="402">
        <f t="shared" si="0"/>
        <v>126.9</v>
      </c>
      <c r="J69" s="155"/>
      <c r="K69" s="161"/>
      <c r="L69" s="408">
        <v>126.9</v>
      </c>
      <c r="M69" s="408">
        <v>151.55000000000001</v>
      </c>
      <c r="N69" s="165"/>
      <c r="O69" s="25">
        <f t="shared" si="1"/>
        <v>1522.8000000000002</v>
      </c>
      <c r="P69" s="25">
        <f t="shared" si="2"/>
        <v>0</v>
      </c>
      <c r="Q69" s="25">
        <f t="shared" si="3"/>
        <v>0</v>
      </c>
      <c r="R69" s="26">
        <f t="shared" si="4"/>
        <v>1522.8000000000002</v>
      </c>
      <c r="S69" s="27">
        <f t="shared" si="5"/>
        <v>0</v>
      </c>
      <c r="T69" s="28">
        <f t="shared" si="7"/>
        <v>3045.6000000000004</v>
      </c>
      <c r="U69" s="437">
        <f t="shared" si="8"/>
        <v>-0.19424743892828999</v>
      </c>
    </row>
    <row r="70" spans="2:21" ht="17.25" hidden="1">
      <c r="B70" s="407" t="s">
        <v>679</v>
      </c>
      <c r="C70" s="158"/>
      <c r="D70" s="158"/>
      <c r="E70" s="158"/>
      <c r="F70" s="158"/>
      <c r="G70" s="159"/>
      <c r="H70" s="160">
        <f t="shared" si="6"/>
        <v>0</v>
      </c>
      <c r="I70" s="402">
        <f t="shared" si="0"/>
        <v>30.3416</v>
      </c>
      <c r="J70" s="155">
        <v>0.03</v>
      </c>
      <c r="K70" s="161"/>
      <c r="L70" s="408">
        <v>31.28</v>
      </c>
      <c r="M70" s="408"/>
      <c r="N70" s="165"/>
      <c r="O70" s="25">
        <f t="shared" si="1"/>
        <v>0</v>
      </c>
      <c r="P70" s="25">
        <f t="shared" si="2"/>
        <v>0</v>
      </c>
      <c r="Q70" s="25">
        <f t="shared" si="3"/>
        <v>0</v>
      </c>
      <c r="R70" s="26">
        <f t="shared" si="4"/>
        <v>0</v>
      </c>
      <c r="S70" s="27">
        <f t="shared" si="5"/>
        <v>0</v>
      </c>
      <c r="T70" s="28">
        <f t="shared" si="7"/>
        <v>0</v>
      </c>
    </row>
    <row r="71" spans="2:21" ht="17.25">
      <c r="B71" s="407" t="s">
        <v>680</v>
      </c>
      <c r="C71" s="158">
        <v>3</v>
      </c>
      <c r="D71" s="158"/>
      <c r="E71" s="158"/>
      <c r="F71" s="158"/>
      <c r="G71" s="159">
        <v>6</v>
      </c>
      <c r="H71" s="160">
        <f t="shared" si="6"/>
        <v>9</v>
      </c>
      <c r="I71" s="402">
        <f t="shared" ref="I71:I85" si="9">L71-(L71*J71)</f>
        <v>128.9906</v>
      </c>
      <c r="J71" s="155">
        <v>0.03</v>
      </c>
      <c r="K71" s="161"/>
      <c r="L71" s="408">
        <v>132.97999999999999</v>
      </c>
      <c r="M71" s="408"/>
      <c r="N71" s="165"/>
      <c r="O71" s="25">
        <f t="shared" ref="O71:O85" si="10">I71*C71</f>
        <v>386.97180000000003</v>
      </c>
      <c r="P71" s="25">
        <f t="shared" ref="P71:P85" si="11">I71*D71</f>
        <v>0</v>
      </c>
      <c r="Q71" s="25">
        <f t="shared" ref="Q71:Q85" si="12">I71*E71</f>
        <v>0</v>
      </c>
      <c r="R71" s="26">
        <f t="shared" ref="R71:R85" si="13">I71*F71</f>
        <v>0</v>
      </c>
      <c r="S71" s="27">
        <f t="shared" ref="S71:S85" si="14">I71*G71</f>
        <v>773.94360000000006</v>
      </c>
      <c r="T71" s="28">
        <f t="shared" si="7"/>
        <v>1160.9154000000001</v>
      </c>
    </row>
    <row r="72" spans="2:21" ht="17.25" hidden="1">
      <c r="B72" s="407" t="s">
        <v>681</v>
      </c>
      <c r="C72" s="158"/>
      <c r="D72" s="158"/>
      <c r="E72" s="158"/>
      <c r="F72" s="158"/>
      <c r="G72" s="159"/>
      <c r="H72" s="160">
        <f t="shared" ref="H72:H85" si="15">SUM(C72:G72)</f>
        <v>0</v>
      </c>
      <c r="I72" s="402">
        <f t="shared" si="9"/>
        <v>81.596400000000003</v>
      </c>
      <c r="J72" s="155">
        <v>0.03</v>
      </c>
      <c r="K72" s="161"/>
      <c r="L72" s="408">
        <v>84.12</v>
      </c>
      <c r="M72" s="408"/>
      <c r="N72" s="165"/>
      <c r="O72" s="25">
        <f t="shared" si="10"/>
        <v>0</v>
      </c>
      <c r="P72" s="25">
        <f t="shared" si="11"/>
        <v>0</v>
      </c>
      <c r="Q72" s="25">
        <f t="shared" si="12"/>
        <v>0</v>
      </c>
      <c r="R72" s="26">
        <f t="shared" si="13"/>
        <v>0</v>
      </c>
      <c r="S72" s="27">
        <f t="shared" si="14"/>
        <v>0</v>
      </c>
      <c r="T72" s="28">
        <f t="shared" ref="T72:T85" si="16">SUM(O72:S72)</f>
        <v>0</v>
      </c>
    </row>
    <row r="73" spans="2:21" ht="17.25">
      <c r="B73" s="407" t="s">
        <v>682</v>
      </c>
      <c r="C73" s="158">
        <v>48</v>
      </c>
      <c r="D73" s="158"/>
      <c r="E73" s="158"/>
      <c r="F73" s="158">
        <v>240</v>
      </c>
      <c r="G73" s="159"/>
      <c r="H73" s="160">
        <f t="shared" si="6"/>
        <v>288</v>
      </c>
      <c r="I73" s="402">
        <f t="shared" si="9"/>
        <v>14.084399999999999</v>
      </c>
      <c r="J73" s="155">
        <v>0.03</v>
      </c>
      <c r="K73" s="161"/>
      <c r="L73" s="408">
        <v>14.52</v>
      </c>
      <c r="M73" s="408">
        <v>13.51</v>
      </c>
      <c r="N73" s="165"/>
      <c r="O73" s="25">
        <f t="shared" si="10"/>
        <v>676.05119999999988</v>
      </c>
      <c r="P73" s="25">
        <f t="shared" si="11"/>
        <v>0</v>
      </c>
      <c r="Q73" s="25">
        <f t="shared" si="12"/>
        <v>0</v>
      </c>
      <c r="R73" s="26">
        <f t="shared" si="13"/>
        <v>3380.2559999999999</v>
      </c>
      <c r="S73" s="27">
        <f t="shared" si="14"/>
        <v>0</v>
      </c>
      <c r="T73" s="28">
        <f t="shared" si="16"/>
        <v>4056.3071999999997</v>
      </c>
      <c r="U73" s="437">
        <f>1-M73/L73</f>
        <v>6.955922865013775E-2</v>
      </c>
    </row>
    <row r="74" spans="2:21" ht="17.25" hidden="1">
      <c r="B74" s="407" t="s">
        <v>683</v>
      </c>
      <c r="C74" s="158"/>
      <c r="D74" s="158"/>
      <c r="E74" s="158"/>
      <c r="F74" s="158"/>
      <c r="G74" s="159"/>
      <c r="H74" s="160">
        <f t="shared" si="15"/>
        <v>0</v>
      </c>
      <c r="I74" s="402">
        <f t="shared" si="9"/>
        <v>11.581799999999999</v>
      </c>
      <c r="J74" s="155">
        <v>0.03</v>
      </c>
      <c r="K74" s="161"/>
      <c r="L74" s="408">
        <v>11.94</v>
      </c>
      <c r="M74" s="408"/>
      <c r="N74" s="165"/>
      <c r="O74" s="25">
        <f t="shared" si="10"/>
        <v>0</v>
      </c>
      <c r="P74" s="25">
        <f t="shared" si="11"/>
        <v>0</v>
      </c>
      <c r="Q74" s="25">
        <f t="shared" si="12"/>
        <v>0</v>
      </c>
      <c r="R74" s="26">
        <f t="shared" si="13"/>
        <v>0</v>
      </c>
      <c r="S74" s="27">
        <f t="shared" si="14"/>
        <v>0</v>
      </c>
      <c r="T74" s="28">
        <f t="shared" si="16"/>
        <v>0</v>
      </c>
    </row>
    <row r="75" spans="2:21" ht="17.25" hidden="1">
      <c r="B75" s="407" t="s">
        <v>684</v>
      </c>
      <c r="C75" s="158"/>
      <c r="D75" s="158"/>
      <c r="E75" s="158"/>
      <c r="F75" s="158"/>
      <c r="G75" s="159"/>
      <c r="H75" s="160">
        <f t="shared" si="6"/>
        <v>0</v>
      </c>
      <c r="I75" s="402">
        <f t="shared" si="9"/>
        <v>145.24780000000001</v>
      </c>
      <c r="J75" s="155">
        <v>0.03</v>
      </c>
      <c r="K75" s="161"/>
      <c r="L75" s="408">
        <v>149.74</v>
      </c>
      <c r="M75" s="408">
        <v>135.61000000000001</v>
      </c>
      <c r="N75" s="165"/>
      <c r="O75" s="25">
        <f t="shared" si="10"/>
        <v>0</v>
      </c>
      <c r="P75" s="25">
        <f t="shared" si="11"/>
        <v>0</v>
      </c>
      <c r="Q75" s="25">
        <f t="shared" si="12"/>
        <v>0</v>
      </c>
      <c r="R75" s="26">
        <f t="shared" si="13"/>
        <v>0</v>
      </c>
      <c r="S75" s="27">
        <f t="shared" si="14"/>
        <v>0</v>
      </c>
      <c r="T75" s="28">
        <f t="shared" si="16"/>
        <v>0</v>
      </c>
      <c r="U75" s="437">
        <f>1-M75/L75</f>
        <v>9.4363563510084125E-2</v>
      </c>
    </row>
    <row r="76" spans="2:21" ht="17.25" hidden="1">
      <c r="B76" s="407" t="s">
        <v>685</v>
      </c>
      <c r="C76" s="158"/>
      <c r="D76" s="158"/>
      <c r="E76" s="158"/>
      <c r="F76" s="158"/>
      <c r="G76" s="159"/>
      <c r="H76" s="160">
        <f t="shared" si="15"/>
        <v>0</v>
      </c>
      <c r="I76" s="402">
        <f t="shared" si="9"/>
        <v>25.9087</v>
      </c>
      <c r="J76" s="155">
        <v>0.03</v>
      </c>
      <c r="K76" s="161"/>
      <c r="L76" s="408">
        <v>26.71</v>
      </c>
      <c r="M76" s="408"/>
      <c r="N76" s="165"/>
      <c r="O76" s="25">
        <f t="shared" si="10"/>
        <v>0</v>
      </c>
      <c r="P76" s="25">
        <f t="shared" si="11"/>
        <v>0</v>
      </c>
      <c r="Q76" s="25">
        <f t="shared" si="12"/>
        <v>0</v>
      </c>
      <c r="R76" s="26">
        <f t="shared" si="13"/>
        <v>0</v>
      </c>
      <c r="S76" s="27">
        <f t="shared" si="14"/>
        <v>0</v>
      </c>
      <c r="T76" s="28">
        <f t="shared" si="16"/>
        <v>0</v>
      </c>
    </row>
    <row r="77" spans="2:21" ht="17.25">
      <c r="B77" s="407" t="s">
        <v>686</v>
      </c>
      <c r="C77" s="158"/>
      <c r="D77" s="158">
        <v>48</v>
      </c>
      <c r="E77" s="158"/>
      <c r="F77" s="158">
        <v>24</v>
      </c>
      <c r="G77" s="159"/>
      <c r="H77" s="160">
        <f t="shared" si="6"/>
        <v>72</v>
      </c>
      <c r="I77" s="402">
        <f t="shared" si="9"/>
        <v>42.059199999999997</v>
      </c>
      <c r="J77" s="155">
        <v>0.03</v>
      </c>
      <c r="K77" s="161"/>
      <c r="L77" s="408">
        <v>43.36</v>
      </c>
      <c r="M77" s="408">
        <v>38.93</v>
      </c>
      <c r="N77" s="165"/>
      <c r="O77" s="25">
        <f t="shared" si="10"/>
        <v>0</v>
      </c>
      <c r="P77" s="25">
        <f t="shared" si="11"/>
        <v>2018.8415999999997</v>
      </c>
      <c r="Q77" s="25">
        <f t="shared" si="12"/>
        <v>0</v>
      </c>
      <c r="R77" s="26">
        <f t="shared" si="13"/>
        <v>1009.4207999999999</v>
      </c>
      <c r="S77" s="27">
        <f t="shared" si="14"/>
        <v>0</v>
      </c>
      <c r="T77" s="28">
        <f t="shared" si="16"/>
        <v>3028.2623999999996</v>
      </c>
      <c r="U77" s="437">
        <f>1-M77/L77</f>
        <v>0.10216789667896675</v>
      </c>
    </row>
    <row r="78" spans="2:21" ht="17.25" hidden="1">
      <c r="B78" s="407" t="s">
        <v>366</v>
      </c>
      <c r="C78" s="158"/>
      <c r="D78" s="158"/>
      <c r="E78" s="158"/>
      <c r="F78" s="158"/>
      <c r="G78" s="159"/>
      <c r="H78" s="160">
        <f t="shared" si="15"/>
        <v>0</v>
      </c>
      <c r="I78" s="402">
        <f t="shared" si="9"/>
        <v>25.161799999999999</v>
      </c>
      <c r="J78" s="155">
        <v>0.03</v>
      </c>
      <c r="K78" s="161"/>
      <c r="L78" s="408">
        <v>25.94</v>
      </c>
      <c r="M78" s="408"/>
      <c r="N78" s="165"/>
      <c r="O78" s="25">
        <f t="shared" si="10"/>
        <v>0</v>
      </c>
      <c r="P78" s="25">
        <f t="shared" si="11"/>
        <v>0</v>
      </c>
      <c r="Q78" s="25">
        <f t="shared" si="12"/>
        <v>0</v>
      </c>
      <c r="R78" s="26">
        <f t="shared" si="13"/>
        <v>0</v>
      </c>
      <c r="S78" s="27">
        <f t="shared" si="14"/>
        <v>0</v>
      </c>
      <c r="T78" s="28">
        <f t="shared" si="16"/>
        <v>0</v>
      </c>
    </row>
    <row r="79" spans="2:21" ht="17.25" hidden="1">
      <c r="B79" s="407" t="s">
        <v>690</v>
      </c>
      <c r="C79" s="158"/>
      <c r="D79" s="158"/>
      <c r="E79" s="158"/>
      <c r="F79" s="158"/>
      <c r="G79" s="159"/>
      <c r="H79" s="160">
        <f t="shared" si="15"/>
        <v>0</v>
      </c>
      <c r="I79" s="402">
        <f t="shared" si="9"/>
        <v>224.85570000000001</v>
      </c>
      <c r="J79" s="155">
        <v>0.03</v>
      </c>
      <c r="K79" s="161"/>
      <c r="L79" s="408">
        <v>231.81</v>
      </c>
      <c r="M79" s="408"/>
      <c r="N79" s="165"/>
      <c r="O79" s="25">
        <f t="shared" si="10"/>
        <v>0</v>
      </c>
      <c r="P79" s="25">
        <f t="shared" si="11"/>
        <v>0</v>
      </c>
      <c r="Q79" s="25">
        <f t="shared" si="12"/>
        <v>0</v>
      </c>
      <c r="R79" s="26">
        <f t="shared" si="13"/>
        <v>0</v>
      </c>
      <c r="S79" s="27">
        <f t="shared" si="14"/>
        <v>0</v>
      </c>
      <c r="T79" s="28">
        <f t="shared" si="16"/>
        <v>0</v>
      </c>
    </row>
    <row r="80" spans="2:21" ht="17.25" hidden="1">
      <c r="B80" s="407" t="s">
        <v>687</v>
      </c>
      <c r="C80" s="158"/>
      <c r="D80" s="158"/>
      <c r="E80" s="158"/>
      <c r="F80" s="158"/>
      <c r="G80" s="159"/>
      <c r="H80" s="160">
        <f t="shared" si="15"/>
        <v>0</v>
      </c>
      <c r="I80" s="402">
        <f t="shared" si="9"/>
        <v>12.803999999999998</v>
      </c>
      <c r="J80" s="155">
        <v>0.03</v>
      </c>
      <c r="K80" s="161"/>
      <c r="L80" s="408">
        <v>13.2</v>
      </c>
      <c r="M80" s="408"/>
      <c r="N80" s="165"/>
      <c r="O80" s="25">
        <f t="shared" si="10"/>
        <v>0</v>
      </c>
      <c r="P80" s="25">
        <f t="shared" si="11"/>
        <v>0</v>
      </c>
      <c r="Q80" s="25">
        <f t="shared" si="12"/>
        <v>0</v>
      </c>
      <c r="R80" s="26">
        <f t="shared" si="13"/>
        <v>0</v>
      </c>
      <c r="S80" s="27">
        <f t="shared" si="14"/>
        <v>0</v>
      </c>
      <c r="T80" s="28">
        <f t="shared" si="16"/>
        <v>0</v>
      </c>
    </row>
    <row r="81" spans="2:20" ht="17.25" hidden="1">
      <c r="B81" s="407" t="s">
        <v>688</v>
      </c>
      <c r="C81" s="158"/>
      <c r="D81" s="158"/>
      <c r="E81" s="158"/>
      <c r="F81" s="158"/>
      <c r="G81" s="159"/>
      <c r="H81" s="160">
        <f t="shared" si="15"/>
        <v>0</v>
      </c>
      <c r="I81" s="402">
        <f t="shared" si="9"/>
        <v>97.494700000000009</v>
      </c>
      <c r="J81" s="155">
        <v>0.03</v>
      </c>
      <c r="K81" s="161"/>
      <c r="L81" s="408">
        <v>100.51</v>
      </c>
      <c r="M81" s="408"/>
      <c r="N81" s="165"/>
      <c r="O81" s="25">
        <f t="shared" si="10"/>
        <v>0</v>
      </c>
      <c r="P81" s="25">
        <f t="shared" si="11"/>
        <v>0</v>
      </c>
      <c r="Q81" s="25">
        <f t="shared" si="12"/>
        <v>0</v>
      </c>
      <c r="R81" s="26">
        <f t="shared" si="13"/>
        <v>0</v>
      </c>
      <c r="S81" s="27">
        <f t="shared" si="14"/>
        <v>0</v>
      </c>
      <c r="T81" s="28">
        <f t="shared" si="16"/>
        <v>0</v>
      </c>
    </row>
    <row r="82" spans="2:20" ht="17.25" hidden="1">
      <c r="B82" s="407" t="s">
        <v>689</v>
      </c>
      <c r="C82" s="158"/>
      <c r="D82" s="158"/>
      <c r="E82" s="158"/>
      <c r="F82" s="158"/>
      <c r="G82" s="159"/>
      <c r="H82" s="160">
        <f t="shared" si="15"/>
        <v>0</v>
      </c>
      <c r="I82" s="402">
        <f t="shared" si="9"/>
        <v>25.976600000000001</v>
      </c>
      <c r="J82" s="155">
        <v>0.03</v>
      </c>
      <c r="K82" s="161"/>
      <c r="L82" s="408">
        <v>26.78</v>
      </c>
      <c r="M82" s="408"/>
      <c r="N82" s="165"/>
      <c r="O82" s="25">
        <f t="shared" si="10"/>
        <v>0</v>
      </c>
      <c r="P82" s="25">
        <f t="shared" si="11"/>
        <v>0</v>
      </c>
      <c r="Q82" s="25">
        <f t="shared" si="12"/>
        <v>0</v>
      </c>
      <c r="R82" s="26">
        <f t="shared" si="13"/>
        <v>0</v>
      </c>
      <c r="S82" s="27">
        <f t="shared" si="14"/>
        <v>0</v>
      </c>
      <c r="T82" s="28">
        <f t="shared" si="16"/>
        <v>0</v>
      </c>
    </row>
    <row r="83" spans="2:20" ht="17.25" hidden="1">
      <c r="B83" s="407" t="s">
        <v>691</v>
      </c>
      <c r="C83" s="158"/>
      <c r="D83" s="158"/>
      <c r="E83" s="158"/>
      <c r="F83" s="158"/>
      <c r="G83" s="159"/>
      <c r="H83" s="160">
        <f t="shared" si="15"/>
        <v>0</v>
      </c>
      <c r="I83" s="402">
        <f t="shared" si="9"/>
        <v>749.2183</v>
      </c>
      <c r="J83" s="155">
        <v>0.03</v>
      </c>
      <c r="K83" s="161"/>
      <c r="L83" s="408">
        <v>772.39</v>
      </c>
      <c r="M83" s="408"/>
      <c r="N83" s="166"/>
      <c r="O83" s="25">
        <f t="shared" si="10"/>
        <v>0</v>
      </c>
      <c r="P83" s="25">
        <f t="shared" si="11"/>
        <v>0</v>
      </c>
      <c r="Q83" s="25">
        <f t="shared" si="12"/>
        <v>0</v>
      </c>
      <c r="R83" s="26">
        <f t="shared" si="13"/>
        <v>0</v>
      </c>
      <c r="S83" s="27">
        <f t="shared" si="14"/>
        <v>0</v>
      </c>
      <c r="T83" s="28">
        <f t="shared" si="16"/>
        <v>0</v>
      </c>
    </row>
    <row r="84" spans="2:20" ht="17.25" hidden="1">
      <c r="B84" s="407" t="s">
        <v>692</v>
      </c>
      <c r="C84" s="158"/>
      <c r="D84" s="158"/>
      <c r="E84" s="158"/>
      <c r="F84" s="158"/>
      <c r="G84" s="159"/>
      <c r="H84" s="160">
        <f t="shared" si="15"/>
        <v>0</v>
      </c>
      <c r="I84" s="402">
        <f t="shared" si="9"/>
        <v>193.19489999999999</v>
      </c>
      <c r="J84" s="155">
        <v>0.03</v>
      </c>
      <c r="K84" s="161"/>
      <c r="L84" s="408">
        <v>199.17</v>
      </c>
      <c r="M84" s="408"/>
      <c r="N84" s="165"/>
      <c r="O84" s="25">
        <f t="shared" si="10"/>
        <v>0</v>
      </c>
      <c r="P84" s="25">
        <f t="shared" si="11"/>
        <v>0</v>
      </c>
      <c r="Q84" s="25">
        <f t="shared" si="12"/>
        <v>0</v>
      </c>
      <c r="R84" s="26">
        <f t="shared" si="13"/>
        <v>0</v>
      </c>
      <c r="S84" s="27">
        <f t="shared" si="14"/>
        <v>0</v>
      </c>
      <c r="T84" s="28">
        <f t="shared" si="16"/>
        <v>0</v>
      </c>
    </row>
    <row r="85" spans="2:20" ht="17.25" hidden="1">
      <c r="B85" s="407" t="s">
        <v>693</v>
      </c>
      <c r="C85" s="158"/>
      <c r="D85" s="158"/>
      <c r="E85" s="158"/>
      <c r="F85" s="158"/>
      <c r="G85" s="159"/>
      <c r="H85" s="160">
        <f t="shared" si="15"/>
        <v>0</v>
      </c>
      <c r="I85" s="402">
        <f t="shared" si="9"/>
        <v>168.74120000000002</v>
      </c>
      <c r="J85" s="155">
        <v>0.03</v>
      </c>
      <c r="K85" s="161"/>
      <c r="L85" s="409">
        <v>173.96</v>
      </c>
      <c r="M85" s="409"/>
      <c r="N85" s="165"/>
      <c r="O85" s="25">
        <f t="shared" si="10"/>
        <v>0</v>
      </c>
      <c r="P85" s="25">
        <f t="shared" si="11"/>
        <v>0</v>
      </c>
      <c r="Q85" s="25">
        <f t="shared" si="12"/>
        <v>0</v>
      </c>
      <c r="R85" s="26">
        <f t="shared" si="13"/>
        <v>0</v>
      </c>
      <c r="S85" s="27">
        <f t="shared" si="14"/>
        <v>0</v>
      </c>
      <c r="T85" s="28">
        <f t="shared" si="16"/>
        <v>0</v>
      </c>
    </row>
    <row r="86" spans="2:20">
      <c r="B86" s="58" t="s">
        <v>13</v>
      </c>
      <c r="C86" s="288">
        <v>36563.737800000003</v>
      </c>
      <c r="D86" s="288">
        <v>21783.561600000001</v>
      </c>
      <c r="E86" s="288">
        <f t="shared" ref="E86" si="17">Q86</f>
        <v>0</v>
      </c>
      <c r="F86" s="288">
        <v>28243.103999999999</v>
      </c>
      <c r="G86" s="288">
        <f t="shared" ref="G86" si="18">S86</f>
        <v>8819.7356</v>
      </c>
      <c r="H86" s="288">
        <f t="shared" ref="H86" si="19">T86</f>
        <v>95410.138999999996</v>
      </c>
      <c r="O86" s="29">
        <f t="shared" ref="O86:T86" si="20">SUM(O6:O85)</f>
        <v>36563.737800000003</v>
      </c>
      <c r="P86" s="29">
        <f t="shared" si="20"/>
        <v>21783.561600000001</v>
      </c>
      <c r="Q86" s="29">
        <f t="shared" si="20"/>
        <v>0</v>
      </c>
      <c r="R86" s="29">
        <f t="shared" si="20"/>
        <v>28243.103999999999</v>
      </c>
      <c r="S86" s="29">
        <f t="shared" si="20"/>
        <v>8819.7356</v>
      </c>
      <c r="T86" s="29">
        <f t="shared" si="20"/>
        <v>95410.138999999996</v>
      </c>
    </row>
    <row r="87" spans="2:20">
      <c r="G87" s="5" t="str">
        <f t="shared" ref="G87:G150" si="21">IF(B87&lt;&gt;"",SUM(C87:F87),"")</f>
        <v/>
      </c>
    </row>
    <row r="88" spans="2:20">
      <c r="B88" s="3" t="s">
        <v>2541</v>
      </c>
    </row>
    <row r="89" spans="2:20">
      <c r="B89" s="573" t="s">
        <v>2529</v>
      </c>
    </row>
    <row r="90" spans="2:20">
      <c r="B90" s="573" t="s">
        <v>2530</v>
      </c>
    </row>
    <row r="91" spans="2:20">
      <c r="B91" s="573" t="s">
        <v>2531</v>
      </c>
    </row>
    <row r="92" spans="2:20">
      <c r="B92" s="573" t="s">
        <v>2532</v>
      </c>
    </row>
    <row r="93" spans="2:20">
      <c r="B93" s="573" t="s">
        <v>2533</v>
      </c>
    </row>
    <row r="94" spans="2:20">
      <c r="B94" s="573" t="s">
        <v>2534</v>
      </c>
    </row>
    <row r="95" spans="2:20">
      <c r="B95" s="573" t="s">
        <v>2535</v>
      </c>
    </row>
    <row r="96" spans="2:20">
      <c r="B96" s="573" t="s">
        <v>2536</v>
      </c>
    </row>
    <row r="97" spans="2:7">
      <c r="B97" s="573" t="s">
        <v>2537</v>
      </c>
    </row>
    <row r="98" spans="2:7">
      <c r="B98" s="573" t="s">
        <v>2538</v>
      </c>
    </row>
    <row r="99" spans="2:7">
      <c r="B99" s="573" t="s">
        <v>2539</v>
      </c>
    </row>
    <row r="100" spans="2:7">
      <c r="B100" s="573" t="s">
        <v>2540</v>
      </c>
    </row>
    <row r="103" spans="2:7">
      <c r="G103" s="5" t="str">
        <f t="shared" si="21"/>
        <v/>
      </c>
    </row>
    <row r="104" spans="2:7">
      <c r="G104" s="5" t="str">
        <f t="shared" si="21"/>
        <v/>
      </c>
    </row>
    <row r="105" spans="2:7">
      <c r="G105" s="5" t="str">
        <f t="shared" si="21"/>
        <v/>
      </c>
    </row>
    <row r="106" spans="2:7">
      <c r="G106" s="5" t="str">
        <f t="shared" si="21"/>
        <v/>
      </c>
    </row>
    <row r="107" spans="2:7">
      <c r="G107" s="5" t="str">
        <f t="shared" si="21"/>
        <v/>
      </c>
    </row>
    <row r="108" spans="2:7">
      <c r="G108" s="5" t="str">
        <f t="shared" si="21"/>
        <v/>
      </c>
    </row>
    <row r="109" spans="2:7">
      <c r="G109" s="5" t="str">
        <f t="shared" si="21"/>
        <v/>
      </c>
    </row>
    <row r="110" spans="2:7">
      <c r="G110" s="5" t="str">
        <f t="shared" si="21"/>
        <v/>
      </c>
    </row>
    <row r="111" spans="2:7">
      <c r="G111" s="5" t="str">
        <f t="shared" si="21"/>
        <v/>
      </c>
    </row>
    <row r="112" spans="2:7">
      <c r="G112" s="5" t="str">
        <f t="shared" si="21"/>
        <v/>
      </c>
    </row>
    <row r="113" spans="7:7">
      <c r="G113" s="5" t="str">
        <f t="shared" si="21"/>
        <v/>
      </c>
    </row>
    <row r="114" spans="7:7">
      <c r="G114" s="5" t="str">
        <f t="shared" si="21"/>
        <v/>
      </c>
    </row>
    <row r="115" spans="7:7">
      <c r="G115" s="5" t="str">
        <f t="shared" si="21"/>
        <v/>
      </c>
    </row>
    <row r="116" spans="7:7">
      <c r="G116" s="5" t="str">
        <f t="shared" si="21"/>
        <v/>
      </c>
    </row>
    <row r="117" spans="7:7">
      <c r="G117" s="5" t="str">
        <f t="shared" si="21"/>
        <v/>
      </c>
    </row>
    <row r="118" spans="7:7">
      <c r="G118" s="5" t="str">
        <f t="shared" si="21"/>
        <v/>
      </c>
    </row>
    <row r="119" spans="7:7">
      <c r="G119" s="5" t="str">
        <f t="shared" si="21"/>
        <v/>
      </c>
    </row>
    <row r="120" spans="7:7">
      <c r="G120" s="5" t="str">
        <f t="shared" si="21"/>
        <v/>
      </c>
    </row>
    <row r="121" spans="7:7">
      <c r="G121" s="5" t="str">
        <f t="shared" si="21"/>
        <v/>
      </c>
    </row>
    <row r="122" spans="7:7">
      <c r="G122" s="5" t="str">
        <f t="shared" si="21"/>
        <v/>
      </c>
    </row>
    <row r="123" spans="7:7">
      <c r="G123" s="5" t="str">
        <f t="shared" si="21"/>
        <v/>
      </c>
    </row>
    <row r="124" spans="7:7">
      <c r="G124" s="5" t="str">
        <f t="shared" si="21"/>
        <v/>
      </c>
    </row>
    <row r="125" spans="7:7">
      <c r="G125" s="5" t="str">
        <f t="shared" si="21"/>
        <v/>
      </c>
    </row>
    <row r="126" spans="7:7">
      <c r="G126" s="5" t="str">
        <f t="shared" si="21"/>
        <v/>
      </c>
    </row>
    <row r="127" spans="7:7">
      <c r="G127" s="5" t="str">
        <f t="shared" si="21"/>
        <v/>
      </c>
    </row>
    <row r="128" spans="7:7">
      <c r="G128" s="5" t="str">
        <f t="shared" si="21"/>
        <v/>
      </c>
    </row>
    <row r="129" spans="7:7">
      <c r="G129" s="5" t="str">
        <f t="shared" si="21"/>
        <v/>
      </c>
    </row>
    <row r="130" spans="7:7">
      <c r="G130" s="5" t="str">
        <f t="shared" si="21"/>
        <v/>
      </c>
    </row>
    <row r="131" spans="7:7">
      <c r="G131" s="5" t="str">
        <f t="shared" si="21"/>
        <v/>
      </c>
    </row>
    <row r="132" spans="7:7">
      <c r="G132" s="5" t="str">
        <f t="shared" si="21"/>
        <v/>
      </c>
    </row>
    <row r="133" spans="7:7">
      <c r="G133" s="5" t="str">
        <f t="shared" si="21"/>
        <v/>
      </c>
    </row>
    <row r="134" spans="7:7">
      <c r="G134" s="5" t="str">
        <f t="shared" si="21"/>
        <v/>
      </c>
    </row>
    <row r="135" spans="7:7">
      <c r="G135" s="5" t="str">
        <f t="shared" si="21"/>
        <v/>
      </c>
    </row>
    <row r="136" spans="7:7">
      <c r="G136" s="5" t="str">
        <f t="shared" si="21"/>
        <v/>
      </c>
    </row>
    <row r="137" spans="7:7">
      <c r="G137" s="5" t="str">
        <f t="shared" si="21"/>
        <v/>
      </c>
    </row>
    <row r="138" spans="7:7">
      <c r="G138" s="5" t="str">
        <f t="shared" si="21"/>
        <v/>
      </c>
    </row>
    <row r="139" spans="7:7">
      <c r="G139" s="5" t="str">
        <f t="shared" si="21"/>
        <v/>
      </c>
    </row>
    <row r="140" spans="7:7">
      <c r="G140" s="5" t="str">
        <f t="shared" si="21"/>
        <v/>
      </c>
    </row>
    <row r="141" spans="7:7">
      <c r="G141" s="5" t="str">
        <f t="shared" si="21"/>
        <v/>
      </c>
    </row>
    <row r="142" spans="7:7">
      <c r="G142" s="5" t="str">
        <f t="shared" si="21"/>
        <v/>
      </c>
    </row>
    <row r="143" spans="7:7">
      <c r="G143" s="5" t="str">
        <f t="shared" si="21"/>
        <v/>
      </c>
    </row>
    <row r="144" spans="7:7">
      <c r="G144" s="5" t="str">
        <f t="shared" si="21"/>
        <v/>
      </c>
    </row>
    <row r="145" spans="7:7">
      <c r="G145" s="5" t="str">
        <f t="shared" si="21"/>
        <v/>
      </c>
    </row>
    <row r="146" spans="7:7">
      <c r="G146" s="5" t="str">
        <f t="shared" si="21"/>
        <v/>
      </c>
    </row>
    <row r="147" spans="7:7">
      <c r="G147" s="5" t="str">
        <f t="shared" si="21"/>
        <v/>
      </c>
    </row>
    <row r="148" spans="7:7">
      <c r="G148" s="5" t="str">
        <f t="shared" si="21"/>
        <v/>
      </c>
    </row>
    <row r="149" spans="7:7">
      <c r="G149" s="5" t="str">
        <f t="shared" si="21"/>
        <v/>
      </c>
    </row>
    <row r="150" spans="7:7">
      <c r="G150" s="5" t="str">
        <f t="shared" si="21"/>
        <v/>
      </c>
    </row>
    <row r="151" spans="7:7">
      <c r="G151" s="5" t="str">
        <f t="shared" ref="G151:G214" si="22">IF(B151&lt;&gt;"",SUM(C151:F151),"")</f>
        <v/>
      </c>
    </row>
    <row r="152" spans="7:7">
      <c r="G152" s="5" t="str">
        <f t="shared" si="22"/>
        <v/>
      </c>
    </row>
    <row r="153" spans="7:7">
      <c r="G153" s="5" t="str">
        <f t="shared" si="22"/>
        <v/>
      </c>
    </row>
    <row r="154" spans="7:7">
      <c r="G154" s="5" t="str">
        <f t="shared" si="22"/>
        <v/>
      </c>
    </row>
    <row r="155" spans="7:7">
      <c r="G155" s="5" t="str">
        <f t="shared" si="22"/>
        <v/>
      </c>
    </row>
    <row r="156" spans="7:7">
      <c r="G156" s="5" t="str">
        <f t="shared" si="22"/>
        <v/>
      </c>
    </row>
    <row r="157" spans="7:7">
      <c r="G157" s="5" t="str">
        <f t="shared" si="22"/>
        <v/>
      </c>
    </row>
    <row r="158" spans="7:7">
      <c r="G158" s="5" t="str">
        <f t="shared" si="22"/>
        <v/>
      </c>
    </row>
    <row r="159" spans="7:7">
      <c r="G159" s="5" t="str">
        <f t="shared" si="22"/>
        <v/>
      </c>
    </row>
    <row r="160" spans="7:7">
      <c r="G160" s="5" t="str">
        <f t="shared" si="22"/>
        <v/>
      </c>
    </row>
    <row r="161" spans="7:7">
      <c r="G161" s="5" t="str">
        <f t="shared" si="22"/>
        <v/>
      </c>
    </row>
    <row r="162" spans="7:7">
      <c r="G162" s="5" t="str">
        <f t="shared" si="22"/>
        <v/>
      </c>
    </row>
    <row r="163" spans="7:7">
      <c r="G163" s="5" t="str">
        <f t="shared" si="22"/>
        <v/>
      </c>
    </row>
    <row r="164" spans="7:7">
      <c r="G164" s="5" t="str">
        <f t="shared" si="22"/>
        <v/>
      </c>
    </row>
    <row r="165" spans="7:7">
      <c r="G165" s="5" t="str">
        <f t="shared" si="22"/>
        <v/>
      </c>
    </row>
    <row r="166" spans="7:7">
      <c r="G166" s="5" t="str">
        <f t="shared" si="22"/>
        <v/>
      </c>
    </row>
    <row r="167" spans="7:7">
      <c r="G167" s="5" t="str">
        <f t="shared" si="22"/>
        <v/>
      </c>
    </row>
    <row r="168" spans="7:7">
      <c r="G168" s="5" t="str">
        <f t="shared" si="22"/>
        <v/>
      </c>
    </row>
    <row r="169" spans="7:7">
      <c r="G169" s="5" t="str">
        <f t="shared" si="22"/>
        <v/>
      </c>
    </row>
    <row r="170" spans="7:7">
      <c r="G170" s="5" t="str">
        <f t="shared" si="22"/>
        <v/>
      </c>
    </row>
    <row r="171" spans="7:7">
      <c r="G171" s="5" t="str">
        <f t="shared" si="22"/>
        <v/>
      </c>
    </row>
    <row r="172" spans="7:7">
      <c r="G172" s="5" t="str">
        <f t="shared" si="22"/>
        <v/>
      </c>
    </row>
    <row r="173" spans="7:7">
      <c r="G173" s="5" t="str">
        <f t="shared" si="22"/>
        <v/>
      </c>
    </row>
    <row r="174" spans="7:7">
      <c r="G174" s="5" t="str">
        <f t="shared" si="22"/>
        <v/>
      </c>
    </row>
    <row r="175" spans="7:7">
      <c r="G175" s="5" t="str">
        <f t="shared" si="22"/>
        <v/>
      </c>
    </row>
    <row r="176" spans="7:7">
      <c r="G176" s="5" t="str">
        <f t="shared" si="22"/>
        <v/>
      </c>
    </row>
    <row r="177" spans="7:7">
      <c r="G177" s="5" t="str">
        <f t="shared" si="22"/>
        <v/>
      </c>
    </row>
    <row r="178" spans="7:7">
      <c r="G178" s="5" t="str">
        <f t="shared" si="22"/>
        <v/>
      </c>
    </row>
    <row r="179" spans="7:7">
      <c r="G179" s="5" t="str">
        <f t="shared" si="22"/>
        <v/>
      </c>
    </row>
    <row r="180" spans="7:7">
      <c r="G180" s="5" t="str">
        <f t="shared" si="22"/>
        <v/>
      </c>
    </row>
    <row r="181" spans="7:7">
      <c r="G181" s="5" t="str">
        <f t="shared" si="22"/>
        <v/>
      </c>
    </row>
    <row r="182" spans="7:7">
      <c r="G182" s="5" t="str">
        <f t="shared" si="22"/>
        <v/>
      </c>
    </row>
    <row r="183" spans="7:7">
      <c r="G183" s="5" t="str">
        <f t="shared" si="22"/>
        <v/>
      </c>
    </row>
    <row r="184" spans="7:7">
      <c r="G184" s="5" t="str">
        <f t="shared" si="22"/>
        <v/>
      </c>
    </row>
    <row r="185" spans="7:7">
      <c r="G185" s="5" t="str">
        <f t="shared" si="22"/>
        <v/>
      </c>
    </row>
    <row r="186" spans="7:7">
      <c r="G186" s="5" t="str">
        <f t="shared" si="22"/>
        <v/>
      </c>
    </row>
    <row r="187" spans="7:7">
      <c r="G187" s="5" t="str">
        <f t="shared" si="22"/>
        <v/>
      </c>
    </row>
    <row r="188" spans="7:7">
      <c r="G188" s="5" t="str">
        <f t="shared" si="22"/>
        <v/>
      </c>
    </row>
    <row r="189" spans="7:7">
      <c r="G189" s="5" t="str">
        <f t="shared" si="22"/>
        <v/>
      </c>
    </row>
    <row r="190" spans="7:7">
      <c r="G190" s="5" t="str">
        <f t="shared" si="22"/>
        <v/>
      </c>
    </row>
    <row r="191" spans="7:7">
      <c r="G191" s="5" t="str">
        <f t="shared" si="22"/>
        <v/>
      </c>
    </row>
    <row r="192" spans="7:7">
      <c r="G192" s="5" t="str">
        <f t="shared" si="22"/>
        <v/>
      </c>
    </row>
    <row r="193" spans="7:7">
      <c r="G193" s="5" t="str">
        <f t="shared" si="22"/>
        <v/>
      </c>
    </row>
    <row r="194" spans="7:7">
      <c r="G194" s="5" t="str">
        <f t="shared" si="22"/>
        <v/>
      </c>
    </row>
    <row r="195" spans="7:7">
      <c r="G195" s="5" t="str">
        <f t="shared" si="22"/>
        <v/>
      </c>
    </row>
    <row r="196" spans="7:7">
      <c r="G196" s="5" t="str">
        <f t="shared" si="22"/>
        <v/>
      </c>
    </row>
    <row r="197" spans="7:7">
      <c r="G197" s="5" t="str">
        <f t="shared" si="22"/>
        <v/>
      </c>
    </row>
    <row r="198" spans="7:7">
      <c r="G198" s="5" t="str">
        <f t="shared" si="22"/>
        <v/>
      </c>
    </row>
    <row r="199" spans="7:7">
      <c r="G199" s="5" t="str">
        <f t="shared" si="22"/>
        <v/>
      </c>
    </row>
    <row r="200" spans="7:7">
      <c r="G200" s="5" t="str">
        <f t="shared" si="22"/>
        <v/>
      </c>
    </row>
    <row r="201" spans="7:7">
      <c r="G201" s="5" t="str">
        <f t="shared" si="22"/>
        <v/>
      </c>
    </row>
    <row r="202" spans="7:7">
      <c r="G202" s="5" t="str">
        <f t="shared" si="22"/>
        <v/>
      </c>
    </row>
    <row r="203" spans="7:7">
      <c r="G203" s="5" t="str">
        <f t="shared" si="22"/>
        <v/>
      </c>
    </row>
    <row r="204" spans="7:7">
      <c r="G204" s="5" t="str">
        <f t="shared" si="22"/>
        <v/>
      </c>
    </row>
    <row r="205" spans="7:7">
      <c r="G205" s="5" t="str">
        <f t="shared" si="22"/>
        <v/>
      </c>
    </row>
    <row r="206" spans="7:7">
      <c r="G206" s="5" t="str">
        <f t="shared" si="22"/>
        <v/>
      </c>
    </row>
    <row r="207" spans="7:7">
      <c r="G207" s="5" t="str">
        <f t="shared" si="22"/>
        <v/>
      </c>
    </row>
    <row r="208" spans="7:7">
      <c r="G208" s="5" t="str">
        <f t="shared" si="22"/>
        <v/>
      </c>
    </row>
    <row r="209" spans="7:7">
      <c r="G209" s="5" t="str">
        <f t="shared" si="22"/>
        <v/>
      </c>
    </row>
    <row r="210" spans="7:7">
      <c r="G210" s="5" t="str">
        <f t="shared" si="22"/>
        <v/>
      </c>
    </row>
    <row r="211" spans="7:7">
      <c r="G211" s="5" t="str">
        <f t="shared" si="22"/>
        <v/>
      </c>
    </row>
    <row r="212" spans="7:7">
      <c r="G212" s="5" t="str">
        <f t="shared" si="22"/>
        <v/>
      </c>
    </row>
    <row r="213" spans="7:7">
      <c r="G213" s="5" t="str">
        <f t="shared" si="22"/>
        <v/>
      </c>
    </row>
    <row r="214" spans="7:7">
      <c r="G214" s="5" t="str">
        <f t="shared" si="22"/>
        <v/>
      </c>
    </row>
    <row r="215" spans="7:7">
      <c r="G215" s="5" t="str">
        <f t="shared" ref="G215:G278" si="23">IF(B215&lt;&gt;"",SUM(C215:F215),"")</f>
        <v/>
      </c>
    </row>
    <row r="216" spans="7:7">
      <c r="G216" s="5" t="str">
        <f t="shared" si="23"/>
        <v/>
      </c>
    </row>
    <row r="217" spans="7:7">
      <c r="G217" s="5" t="str">
        <f t="shared" si="23"/>
        <v/>
      </c>
    </row>
    <row r="218" spans="7:7">
      <c r="G218" s="5" t="str">
        <f t="shared" si="23"/>
        <v/>
      </c>
    </row>
    <row r="219" spans="7:7">
      <c r="G219" s="5" t="str">
        <f t="shared" si="23"/>
        <v/>
      </c>
    </row>
    <row r="220" spans="7:7">
      <c r="G220" s="5" t="str">
        <f t="shared" si="23"/>
        <v/>
      </c>
    </row>
    <row r="221" spans="7:7">
      <c r="G221" s="5" t="str">
        <f t="shared" si="23"/>
        <v/>
      </c>
    </row>
    <row r="222" spans="7:7">
      <c r="G222" s="5" t="str">
        <f t="shared" si="23"/>
        <v/>
      </c>
    </row>
    <row r="223" spans="7:7">
      <c r="G223" s="5" t="str">
        <f t="shared" si="23"/>
        <v/>
      </c>
    </row>
    <row r="224" spans="7:7">
      <c r="G224" s="5" t="str">
        <f t="shared" si="23"/>
        <v/>
      </c>
    </row>
    <row r="225" spans="7:7">
      <c r="G225" s="5" t="str">
        <f t="shared" si="23"/>
        <v/>
      </c>
    </row>
    <row r="226" spans="7:7">
      <c r="G226" s="5" t="str">
        <f t="shared" si="23"/>
        <v/>
      </c>
    </row>
    <row r="227" spans="7:7">
      <c r="G227" s="5" t="str">
        <f t="shared" si="23"/>
        <v/>
      </c>
    </row>
    <row r="228" spans="7:7">
      <c r="G228" s="5" t="str">
        <f t="shared" si="23"/>
        <v/>
      </c>
    </row>
    <row r="229" spans="7:7">
      <c r="G229" s="5" t="str">
        <f t="shared" si="23"/>
        <v/>
      </c>
    </row>
    <row r="230" spans="7:7">
      <c r="G230" s="5" t="str">
        <f t="shared" si="23"/>
        <v/>
      </c>
    </row>
    <row r="231" spans="7:7">
      <c r="G231" s="5" t="str">
        <f t="shared" si="23"/>
        <v/>
      </c>
    </row>
    <row r="232" spans="7:7">
      <c r="G232" s="5" t="str">
        <f t="shared" si="23"/>
        <v/>
      </c>
    </row>
    <row r="233" spans="7:7">
      <c r="G233" s="5" t="str">
        <f t="shared" si="23"/>
        <v/>
      </c>
    </row>
    <row r="234" spans="7:7">
      <c r="G234" s="5" t="str">
        <f t="shared" si="23"/>
        <v/>
      </c>
    </row>
    <row r="235" spans="7:7">
      <c r="G235" s="5" t="str">
        <f t="shared" si="23"/>
        <v/>
      </c>
    </row>
    <row r="236" spans="7:7">
      <c r="G236" s="5" t="str">
        <f t="shared" si="23"/>
        <v/>
      </c>
    </row>
    <row r="237" spans="7:7">
      <c r="G237" s="5" t="str">
        <f t="shared" si="23"/>
        <v/>
      </c>
    </row>
    <row r="238" spans="7:7">
      <c r="G238" s="5" t="str">
        <f t="shared" si="23"/>
        <v/>
      </c>
    </row>
    <row r="239" spans="7:7">
      <c r="G239" s="5" t="str">
        <f t="shared" si="23"/>
        <v/>
      </c>
    </row>
    <row r="240" spans="7:7">
      <c r="G240" s="5" t="str">
        <f t="shared" si="23"/>
        <v/>
      </c>
    </row>
    <row r="241" spans="7:7">
      <c r="G241" s="5" t="str">
        <f t="shared" si="23"/>
        <v/>
      </c>
    </row>
    <row r="242" spans="7:7">
      <c r="G242" s="5" t="str">
        <f t="shared" si="23"/>
        <v/>
      </c>
    </row>
    <row r="243" spans="7:7">
      <c r="G243" s="5" t="str">
        <f t="shared" si="23"/>
        <v/>
      </c>
    </row>
    <row r="244" spans="7:7">
      <c r="G244" s="5" t="str">
        <f t="shared" si="23"/>
        <v/>
      </c>
    </row>
    <row r="245" spans="7:7">
      <c r="G245" s="5" t="str">
        <f t="shared" si="23"/>
        <v/>
      </c>
    </row>
    <row r="246" spans="7:7">
      <c r="G246" s="5" t="str">
        <f t="shared" si="23"/>
        <v/>
      </c>
    </row>
    <row r="247" spans="7:7">
      <c r="G247" s="5" t="str">
        <f t="shared" si="23"/>
        <v/>
      </c>
    </row>
    <row r="248" spans="7:7">
      <c r="G248" s="5" t="str">
        <f t="shared" si="23"/>
        <v/>
      </c>
    </row>
    <row r="249" spans="7:7">
      <c r="G249" s="5" t="str">
        <f t="shared" si="23"/>
        <v/>
      </c>
    </row>
    <row r="250" spans="7:7">
      <c r="G250" s="5" t="str">
        <f t="shared" si="23"/>
        <v/>
      </c>
    </row>
    <row r="251" spans="7:7">
      <c r="G251" s="5" t="str">
        <f t="shared" si="23"/>
        <v/>
      </c>
    </row>
    <row r="252" spans="7:7">
      <c r="G252" s="5" t="str">
        <f t="shared" si="23"/>
        <v/>
      </c>
    </row>
    <row r="253" spans="7:7">
      <c r="G253" s="5" t="str">
        <f t="shared" si="23"/>
        <v/>
      </c>
    </row>
    <row r="254" spans="7:7">
      <c r="G254" s="5" t="str">
        <f t="shared" si="23"/>
        <v/>
      </c>
    </row>
    <row r="255" spans="7:7">
      <c r="G255" s="5" t="str">
        <f t="shared" si="23"/>
        <v/>
      </c>
    </row>
    <row r="256" spans="7:7">
      <c r="G256" s="5" t="str">
        <f t="shared" si="23"/>
        <v/>
      </c>
    </row>
    <row r="257" spans="7:7">
      <c r="G257" s="5" t="str">
        <f t="shared" si="23"/>
        <v/>
      </c>
    </row>
    <row r="258" spans="7:7">
      <c r="G258" s="5" t="str">
        <f t="shared" si="23"/>
        <v/>
      </c>
    </row>
    <row r="259" spans="7:7">
      <c r="G259" s="5" t="str">
        <f t="shared" si="23"/>
        <v/>
      </c>
    </row>
    <row r="260" spans="7:7">
      <c r="G260" s="5" t="str">
        <f t="shared" si="23"/>
        <v/>
      </c>
    </row>
    <row r="261" spans="7:7">
      <c r="G261" s="5" t="str">
        <f t="shared" si="23"/>
        <v/>
      </c>
    </row>
    <row r="262" spans="7:7">
      <c r="G262" s="5" t="str">
        <f t="shared" si="23"/>
        <v/>
      </c>
    </row>
    <row r="263" spans="7:7">
      <c r="G263" s="5" t="str">
        <f t="shared" si="23"/>
        <v/>
      </c>
    </row>
    <row r="264" spans="7:7">
      <c r="G264" s="5" t="str">
        <f t="shared" si="23"/>
        <v/>
      </c>
    </row>
    <row r="265" spans="7:7">
      <c r="G265" s="5" t="str">
        <f t="shared" si="23"/>
        <v/>
      </c>
    </row>
    <row r="266" spans="7:7">
      <c r="G266" s="5" t="str">
        <f t="shared" si="23"/>
        <v/>
      </c>
    </row>
    <row r="267" spans="7:7">
      <c r="G267" s="5" t="str">
        <f t="shared" si="23"/>
        <v/>
      </c>
    </row>
    <row r="268" spans="7:7">
      <c r="G268" s="5" t="str">
        <f t="shared" si="23"/>
        <v/>
      </c>
    </row>
    <row r="269" spans="7:7">
      <c r="G269" s="5" t="str">
        <f t="shared" si="23"/>
        <v/>
      </c>
    </row>
    <row r="270" spans="7:7">
      <c r="G270" s="5" t="str">
        <f t="shared" si="23"/>
        <v/>
      </c>
    </row>
    <row r="271" spans="7:7">
      <c r="G271" s="5" t="str">
        <f t="shared" si="23"/>
        <v/>
      </c>
    </row>
    <row r="272" spans="7:7">
      <c r="G272" s="5" t="str">
        <f t="shared" si="23"/>
        <v/>
      </c>
    </row>
    <row r="273" spans="7:7">
      <c r="G273" s="5" t="str">
        <f t="shared" si="23"/>
        <v/>
      </c>
    </row>
    <row r="274" spans="7:7">
      <c r="G274" s="5" t="str">
        <f t="shared" si="23"/>
        <v/>
      </c>
    </row>
    <row r="275" spans="7:7">
      <c r="G275" s="5" t="str">
        <f t="shared" si="23"/>
        <v/>
      </c>
    </row>
    <row r="276" spans="7:7">
      <c r="G276" s="5" t="str">
        <f t="shared" si="23"/>
        <v/>
      </c>
    </row>
    <row r="277" spans="7:7">
      <c r="G277" s="5" t="str">
        <f t="shared" si="23"/>
        <v/>
      </c>
    </row>
    <row r="278" spans="7:7">
      <c r="G278" s="5" t="str">
        <f t="shared" si="23"/>
        <v/>
      </c>
    </row>
    <row r="279" spans="7:7">
      <c r="G279" s="5" t="str">
        <f t="shared" ref="G279:G342" si="24">IF(B279&lt;&gt;"",SUM(C279:F279),"")</f>
        <v/>
      </c>
    </row>
    <row r="280" spans="7:7">
      <c r="G280" s="5" t="str">
        <f t="shared" si="24"/>
        <v/>
      </c>
    </row>
    <row r="281" spans="7:7">
      <c r="G281" s="5" t="str">
        <f t="shared" si="24"/>
        <v/>
      </c>
    </row>
    <row r="282" spans="7:7">
      <c r="G282" s="5" t="str">
        <f t="shared" si="24"/>
        <v/>
      </c>
    </row>
    <row r="283" spans="7:7">
      <c r="G283" s="5" t="str">
        <f t="shared" si="24"/>
        <v/>
      </c>
    </row>
    <row r="284" spans="7:7">
      <c r="G284" s="5" t="str">
        <f t="shared" si="24"/>
        <v/>
      </c>
    </row>
    <row r="285" spans="7:7">
      <c r="G285" s="5" t="str">
        <f t="shared" si="24"/>
        <v/>
      </c>
    </row>
    <row r="286" spans="7:7">
      <c r="G286" s="5" t="str">
        <f t="shared" si="24"/>
        <v/>
      </c>
    </row>
    <row r="287" spans="7:7">
      <c r="G287" s="5" t="str">
        <f t="shared" si="24"/>
        <v/>
      </c>
    </row>
    <row r="288" spans="7:7">
      <c r="G288" s="5" t="str">
        <f t="shared" si="24"/>
        <v/>
      </c>
    </row>
    <row r="289" spans="7:7">
      <c r="G289" s="5" t="str">
        <f t="shared" si="24"/>
        <v/>
      </c>
    </row>
    <row r="290" spans="7:7">
      <c r="G290" s="5" t="str">
        <f t="shared" si="24"/>
        <v/>
      </c>
    </row>
    <row r="291" spans="7:7">
      <c r="G291" s="5" t="str">
        <f t="shared" si="24"/>
        <v/>
      </c>
    </row>
    <row r="292" spans="7:7">
      <c r="G292" s="5" t="str">
        <f t="shared" si="24"/>
        <v/>
      </c>
    </row>
    <row r="293" spans="7:7">
      <c r="G293" s="5" t="str">
        <f t="shared" si="24"/>
        <v/>
      </c>
    </row>
    <row r="294" spans="7:7">
      <c r="G294" s="5" t="str">
        <f t="shared" si="24"/>
        <v/>
      </c>
    </row>
    <row r="295" spans="7:7">
      <c r="G295" s="5" t="str">
        <f t="shared" si="24"/>
        <v/>
      </c>
    </row>
    <row r="296" spans="7:7">
      <c r="G296" s="5" t="str">
        <f t="shared" si="24"/>
        <v/>
      </c>
    </row>
    <row r="297" spans="7:7">
      <c r="G297" s="5" t="str">
        <f t="shared" si="24"/>
        <v/>
      </c>
    </row>
    <row r="298" spans="7:7">
      <c r="G298" s="5" t="str">
        <f t="shared" si="24"/>
        <v/>
      </c>
    </row>
    <row r="299" spans="7:7">
      <c r="G299" s="5" t="str">
        <f t="shared" si="24"/>
        <v/>
      </c>
    </row>
    <row r="300" spans="7:7">
      <c r="G300" s="5" t="str">
        <f t="shared" si="24"/>
        <v/>
      </c>
    </row>
    <row r="301" spans="7:7">
      <c r="G301" s="5" t="str">
        <f t="shared" si="24"/>
        <v/>
      </c>
    </row>
    <row r="302" spans="7:7">
      <c r="G302" s="5" t="str">
        <f t="shared" si="24"/>
        <v/>
      </c>
    </row>
    <row r="303" spans="7:7">
      <c r="G303" s="5" t="str">
        <f t="shared" si="24"/>
        <v/>
      </c>
    </row>
    <row r="304" spans="7:7">
      <c r="G304" s="5" t="str">
        <f t="shared" si="24"/>
        <v/>
      </c>
    </row>
    <row r="305" spans="7:7">
      <c r="G305" s="5" t="str">
        <f t="shared" si="24"/>
        <v/>
      </c>
    </row>
    <row r="306" spans="7:7">
      <c r="G306" s="5" t="str">
        <f t="shared" si="24"/>
        <v/>
      </c>
    </row>
    <row r="307" spans="7:7">
      <c r="G307" s="5" t="str">
        <f t="shared" si="24"/>
        <v/>
      </c>
    </row>
    <row r="308" spans="7:7">
      <c r="G308" s="5" t="str">
        <f t="shared" si="24"/>
        <v/>
      </c>
    </row>
    <row r="309" spans="7:7">
      <c r="G309" s="5" t="str">
        <f t="shared" si="24"/>
        <v/>
      </c>
    </row>
    <row r="310" spans="7:7">
      <c r="G310" s="5" t="str">
        <f t="shared" si="24"/>
        <v/>
      </c>
    </row>
    <row r="311" spans="7:7">
      <c r="G311" s="5" t="str">
        <f t="shared" si="24"/>
        <v/>
      </c>
    </row>
    <row r="312" spans="7:7">
      <c r="G312" s="5" t="str">
        <f t="shared" si="24"/>
        <v/>
      </c>
    </row>
    <row r="313" spans="7:7">
      <c r="G313" s="5" t="str">
        <f t="shared" si="24"/>
        <v/>
      </c>
    </row>
    <row r="314" spans="7:7">
      <c r="G314" s="5" t="str">
        <f t="shared" si="24"/>
        <v/>
      </c>
    </row>
    <row r="315" spans="7:7">
      <c r="G315" s="5" t="str">
        <f t="shared" si="24"/>
        <v/>
      </c>
    </row>
    <row r="316" spans="7:7">
      <c r="G316" s="5" t="str">
        <f t="shared" si="24"/>
        <v/>
      </c>
    </row>
    <row r="317" spans="7:7">
      <c r="G317" s="5" t="str">
        <f t="shared" si="24"/>
        <v/>
      </c>
    </row>
    <row r="318" spans="7:7">
      <c r="G318" s="5" t="str">
        <f t="shared" si="24"/>
        <v/>
      </c>
    </row>
    <row r="319" spans="7:7">
      <c r="G319" s="5" t="str">
        <f t="shared" si="24"/>
        <v/>
      </c>
    </row>
    <row r="320" spans="7:7">
      <c r="G320" s="5" t="str">
        <f t="shared" si="24"/>
        <v/>
      </c>
    </row>
    <row r="321" spans="7:7">
      <c r="G321" s="5" t="str">
        <f t="shared" si="24"/>
        <v/>
      </c>
    </row>
    <row r="322" spans="7:7">
      <c r="G322" s="5" t="str">
        <f t="shared" si="24"/>
        <v/>
      </c>
    </row>
    <row r="323" spans="7:7">
      <c r="G323" s="5" t="str">
        <f t="shared" si="24"/>
        <v/>
      </c>
    </row>
    <row r="324" spans="7:7">
      <c r="G324" s="5" t="str">
        <f t="shared" si="24"/>
        <v/>
      </c>
    </row>
    <row r="325" spans="7:7">
      <c r="G325" s="5" t="str">
        <f t="shared" si="24"/>
        <v/>
      </c>
    </row>
    <row r="326" spans="7:7">
      <c r="G326" s="5" t="str">
        <f t="shared" si="24"/>
        <v/>
      </c>
    </row>
    <row r="327" spans="7:7">
      <c r="G327" s="5" t="str">
        <f t="shared" si="24"/>
        <v/>
      </c>
    </row>
    <row r="328" spans="7:7">
      <c r="G328" s="5" t="str">
        <f t="shared" si="24"/>
        <v/>
      </c>
    </row>
    <row r="329" spans="7:7">
      <c r="G329" s="5" t="str">
        <f t="shared" si="24"/>
        <v/>
      </c>
    </row>
    <row r="330" spans="7:7">
      <c r="G330" s="5" t="str">
        <f t="shared" si="24"/>
        <v/>
      </c>
    </row>
    <row r="331" spans="7:7">
      <c r="G331" s="5" t="str">
        <f t="shared" si="24"/>
        <v/>
      </c>
    </row>
    <row r="332" spans="7:7">
      <c r="G332" s="5" t="str">
        <f t="shared" si="24"/>
        <v/>
      </c>
    </row>
    <row r="333" spans="7:7">
      <c r="G333" s="5" t="str">
        <f t="shared" si="24"/>
        <v/>
      </c>
    </row>
    <row r="334" spans="7:7">
      <c r="G334" s="5" t="str">
        <f t="shared" si="24"/>
        <v/>
      </c>
    </row>
    <row r="335" spans="7:7">
      <c r="G335" s="5" t="str">
        <f t="shared" si="24"/>
        <v/>
      </c>
    </row>
    <row r="336" spans="7:7">
      <c r="G336" s="5" t="str">
        <f t="shared" si="24"/>
        <v/>
      </c>
    </row>
    <row r="337" spans="7:7">
      <c r="G337" s="5" t="str">
        <f t="shared" si="24"/>
        <v/>
      </c>
    </row>
    <row r="338" spans="7:7">
      <c r="G338" s="5" t="str">
        <f t="shared" si="24"/>
        <v/>
      </c>
    </row>
    <row r="339" spans="7:7">
      <c r="G339" s="5" t="str">
        <f t="shared" si="24"/>
        <v/>
      </c>
    </row>
    <row r="340" spans="7:7">
      <c r="G340" s="5" t="str">
        <f t="shared" si="24"/>
        <v/>
      </c>
    </row>
    <row r="341" spans="7:7">
      <c r="G341" s="5" t="str">
        <f t="shared" si="24"/>
        <v/>
      </c>
    </row>
    <row r="342" spans="7:7">
      <c r="G342" s="5" t="str">
        <f t="shared" si="24"/>
        <v/>
      </c>
    </row>
    <row r="343" spans="7:7">
      <c r="G343" s="5" t="str">
        <f t="shared" ref="G343:G406" si="25">IF(B343&lt;&gt;"",SUM(C343:F343),"")</f>
        <v/>
      </c>
    </row>
    <row r="344" spans="7:7">
      <c r="G344" s="5" t="str">
        <f t="shared" si="25"/>
        <v/>
      </c>
    </row>
    <row r="345" spans="7:7">
      <c r="G345" s="5" t="str">
        <f t="shared" si="25"/>
        <v/>
      </c>
    </row>
    <row r="346" spans="7:7">
      <c r="G346" s="5" t="str">
        <f t="shared" si="25"/>
        <v/>
      </c>
    </row>
    <row r="347" spans="7:7">
      <c r="G347" s="5" t="str">
        <f t="shared" si="25"/>
        <v/>
      </c>
    </row>
    <row r="348" spans="7:7">
      <c r="G348" s="5" t="str">
        <f t="shared" si="25"/>
        <v/>
      </c>
    </row>
    <row r="349" spans="7:7">
      <c r="G349" s="5" t="str">
        <f t="shared" si="25"/>
        <v/>
      </c>
    </row>
    <row r="350" spans="7:7">
      <c r="G350" s="5" t="str">
        <f t="shared" si="25"/>
        <v/>
      </c>
    </row>
    <row r="351" spans="7:7">
      <c r="G351" s="5" t="str">
        <f t="shared" si="25"/>
        <v/>
      </c>
    </row>
    <row r="352" spans="7:7">
      <c r="G352" s="5" t="str">
        <f t="shared" si="25"/>
        <v/>
      </c>
    </row>
    <row r="353" spans="7:7">
      <c r="G353" s="5" t="str">
        <f t="shared" si="25"/>
        <v/>
      </c>
    </row>
    <row r="354" spans="7:7">
      <c r="G354" s="5" t="str">
        <f t="shared" si="25"/>
        <v/>
      </c>
    </row>
    <row r="355" spans="7:7">
      <c r="G355" s="5" t="str">
        <f t="shared" si="25"/>
        <v/>
      </c>
    </row>
    <row r="356" spans="7:7">
      <c r="G356" s="5" t="str">
        <f t="shared" si="25"/>
        <v/>
      </c>
    </row>
    <row r="357" spans="7:7">
      <c r="G357" s="5" t="str">
        <f t="shared" si="25"/>
        <v/>
      </c>
    </row>
    <row r="358" spans="7:7">
      <c r="G358" s="5" t="str">
        <f t="shared" si="25"/>
        <v/>
      </c>
    </row>
    <row r="359" spans="7:7">
      <c r="G359" s="5" t="str">
        <f t="shared" si="25"/>
        <v/>
      </c>
    </row>
    <row r="360" spans="7:7">
      <c r="G360" s="5" t="str">
        <f t="shared" si="25"/>
        <v/>
      </c>
    </row>
    <row r="361" spans="7:7">
      <c r="G361" s="5" t="str">
        <f t="shared" si="25"/>
        <v/>
      </c>
    </row>
    <row r="362" spans="7:7">
      <c r="G362" s="5" t="str">
        <f t="shared" si="25"/>
        <v/>
      </c>
    </row>
    <row r="363" spans="7:7">
      <c r="G363" s="5" t="str">
        <f t="shared" si="25"/>
        <v/>
      </c>
    </row>
    <row r="364" spans="7:7">
      <c r="G364" s="5" t="str">
        <f t="shared" si="25"/>
        <v/>
      </c>
    </row>
    <row r="365" spans="7:7">
      <c r="G365" s="5" t="str">
        <f t="shared" si="25"/>
        <v/>
      </c>
    </row>
    <row r="366" spans="7:7">
      <c r="G366" s="5" t="str">
        <f t="shared" si="25"/>
        <v/>
      </c>
    </row>
    <row r="367" spans="7:7">
      <c r="G367" s="5" t="str">
        <f t="shared" si="25"/>
        <v/>
      </c>
    </row>
    <row r="368" spans="7:7">
      <c r="G368" s="5" t="str">
        <f t="shared" si="25"/>
        <v/>
      </c>
    </row>
    <row r="369" spans="7:7">
      <c r="G369" s="5" t="str">
        <f t="shared" si="25"/>
        <v/>
      </c>
    </row>
    <row r="370" spans="7:7">
      <c r="G370" s="5" t="str">
        <f t="shared" si="25"/>
        <v/>
      </c>
    </row>
    <row r="371" spans="7:7">
      <c r="G371" s="5" t="str">
        <f t="shared" si="25"/>
        <v/>
      </c>
    </row>
    <row r="372" spans="7:7">
      <c r="G372" s="5" t="str">
        <f t="shared" si="25"/>
        <v/>
      </c>
    </row>
    <row r="373" spans="7:7">
      <c r="G373" s="5" t="str">
        <f t="shared" si="25"/>
        <v/>
      </c>
    </row>
    <row r="374" spans="7:7">
      <c r="G374" s="5" t="str">
        <f t="shared" si="25"/>
        <v/>
      </c>
    </row>
    <row r="375" spans="7:7">
      <c r="G375" s="5" t="str">
        <f t="shared" si="25"/>
        <v/>
      </c>
    </row>
    <row r="376" spans="7:7">
      <c r="G376" s="5" t="str">
        <f t="shared" si="25"/>
        <v/>
      </c>
    </row>
    <row r="377" spans="7:7">
      <c r="G377" s="5" t="str">
        <f t="shared" si="25"/>
        <v/>
      </c>
    </row>
    <row r="378" spans="7:7">
      <c r="G378" s="5" t="str">
        <f t="shared" si="25"/>
        <v/>
      </c>
    </row>
    <row r="379" spans="7:7">
      <c r="G379" s="5" t="str">
        <f t="shared" si="25"/>
        <v/>
      </c>
    </row>
    <row r="380" spans="7:7">
      <c r="G380" s="5" t="str">
        <f t="shared" si="25"/>
        <v/>
      </c>
    </row>
    <row r="381" spans="7:7">
      <c r="G381" s="5" t="str">
        <f t="shared" si="25"/>
        <v/>
      </c>
    </row>
    <row r="382" spans="7:7">
      <c r="G382" s="5" t="str">
        <f t="shared" si="25"/>
        <v/>
      </c>
    </row>
    <row r="383" spans="7:7">
      <c r="G383" s="5" t="str">
        <f t="shared" si="25"/>
        <v/>
      </c>
    </row>
    <row r="384" spans="7:7">
      <c r="G384" s="5" t="str">
        <f t="shared" si="25"/>
        <v/>
      </c>
    </row>
    <row r="385" spans="7:7">
      <c r="G385" s="5" t="str">
        <f t="shared" si="25"/>
        <v/>
      </c>
    </row>
    <row r="386" spans="7:7">
      <c r="G386" s="5" t="str">
        <f t="shared" si="25"/>
        <v/>
      </c>
    </row>
    <row r="387" spans="7:7">
      <c r="G387" s="5" t="str">
        <f t="shared" si="25"/>
        <v/>
      </c>
    </row>
    <row r="388" spans="7:7">
      <c r="G388" s="5" t="str">
        <f t="shared" si="25"/>
        <v/>
      </c>
    </row>
    <row r="389" spans="7:7">
      <c r="G389" s="5" t="str">
        <f t="shared" si="25"/>
        <v/>
      </c>
    </row>
    <row r="390" spans="7:7">
      <c r="G390" s="5" t="str">
        <f t="shared" si="25"/>
        <v/>
      </c>
    </row>
    <row r="391" spans="7:7">
      <c r="G391" s="5" t="str">
        <f t="shared" si="25"/>
        <v/>
      </c>
    </row>
    <row r="392" spans="7:7">
      <c r="G392" s="5" t="str">
        <f t="shared" si="25"/>
        <v/>
      </c>
    </row>
    <row r="393" spans="7:7">
      <c r="G393" s="5" t="str">
        <f t="shared" si="25"/>
        <v/>
      </c>
    </row>
    <row r="394" spans="7:7">
      <c r="G394" s="5" t="str">
        <f t="shared" si="25"/>
        <v/>
      </c>
    </row>
    <row r="395" spans="7:7">
      <c r="G395" s="5" t="str">
        <f t="shared" si="25"/>
        <v/>
      </c>
    </row>
    <row r="396" spans="7:7">
      <c r="G396" s="5" t="str">
        <f t="shared" si="25"/>
        <v/>
      </c>
    </row>
    <row r="397" spans="7:7">
      <c r="G397" s="5" t="str">
        <f t="shared" si="25"/>
        <v/>
      </c>
    </row>
    <row r="398" spans="7:7">
      <c r="G398" s="5" t="str">
        <f t="shared" si="25"/>
        <v/>
      </c>
    </row>
    <row r="399" spans="7:7">
      <c r="G399" s="5" t="str">
        <f t="shared" si="25"/>
        <v/>
      </c>
    </row>
    <row r="400" spans="7:7">
      <c r="G400" s="5" t="str">
        <f t="shared" si="25"/>
        <v/>
      </c>
    </row>
    <row r="401" spans="7:7">
      <c r="G401" s="5" t="str">
        <f t="shared" si="25"/>
        <v/>
      </c>
    </row>
    <row r="402" spans="7:7">
      <c r="G402" s="5" t="str">
        <f t="shared" si="25"/>
        <v/>
      </c>
    </row>
    <row r="403" spans="7:7">
      <c r="G403" s="5" t="str">
        <f t="shared" si="25"/>
        <v/>
      </c>
    </row>
    <row r="404" spans="7:7">
      <c r="G404" s="5" t="str">
        <f t="shared" si="25"/>
        <v/>
      </c>
    </row>
    <row r="405" spans="7:7">
      <c r="G405" s="5" t="str">
        <f t="shared" si="25"/>
        <v/>
      </c>
    </row>
    <row r="406" spans="7:7">
      <c r="G406" s="5" t="str">
        <f t="shared" si="25"/>
        <v/>
      </c>
    </row>
    <row r="407" spans="7:7">
      <c r="G407" s="5" t="str">
        <f t="shared" ref="G407:G470" si="26">IF(B407&lt;&gt;"",SUM(C407:F407),"")</f>
        <v/>
      </c>
    </row>
    <row r="408" spans="7:7">
      <c r="G408" s="5" t="str">
        <f t="shared" si="26"/>
        <v/>
      </c>
    </row>
    <row r="409" spans="7:7">
      <c r="G409" s="5" t="str">
        <f t="shared" si="26"/>
        <v/>
      </c>
    </row>
    <row r="410" spans="7:7">
      <c r="G410" s="5" t="str">
        <f t="shared" si="26"/>
        <v/>
      </c>
    </row>
    <row r="411" spans="7:7">
      <c r="G411" s="5" t="str">
        <f t="shared" si="26"/>
        <v/>
      </c>
    </row>
    <row r="412" spans="7:7">
      <c r="G412" s="5" t="str">
        <f t="shared" si="26"/>
        <v/>
      </c>
    </row>
    <row r="413" spans="7:7">
      <c r="G413" s="5" t="str">
        <f t="shared" si="26"/>
        <v/>
      </c>
    </row>
    <row r="414" spans="7:7">
      <c r="G414" s="5" t="str">
        <f t="shared" si="26"/>
        <v/>
      </c>
    </row>
    <row r="415" spans="7:7">
      <c r="G415" s="5" t="str">
        <f t="shared" si="26"/>
        <v/>
      </c>
    </row>
    <row r="416" spans="7:7">
      <c r="G416" s="5" t="str">
        <f t="shared" si="26"/>
        <v/>
      </c>
    </row>
    <row r="417" spans="7:7">
      <c r="G417" s="5" t="str">
        <f t="shared" si="26"/>
        <v/>
      </c>
    </row>
    <row r="418" spans="7:7">
      <c r="G418" s="5" t="str">
        <f t="shared" si="26"/>
        <v/>
      </c>
    </row>
    <row r="419" spans="7:7">
      <c r="G419" s="5" t="str">
        <f t="shared" si="26"/>
        <v/>
      </c>
    </row>
    <row r="420" spans="7:7">
      <c r="G420" s="5" t="str">
        <f t="shared" si="26"/>
        <v/>
      </c>
    </row>
    <row r="421" spans="7:7">
      <c r="G421" s="5" t="str">
        <f t="shared" si="26"/>
        <v/>
      </c>
    </row>
    <row r="422" spans="7:7">
      <c r="G422" s="5" t="str">
        <f t="shared" si="26"/>
        <v/>
      </c>
    </row>
    <row r="423" spans="7:7">
      <c r="G423" s="5" t="str">
        <f t="shared" si="26"/>
        <v/>
      </c>
    </row>
    <row r="424" spans="7:7">
      <c r="G424" s="5" t="str">
        <f t="shared" si="26"/>
        <v/>
      </c>
    </row>
    <row r="425" spans="7:7">
      <c r="G425" s="5" t="str">
        <f t="shared" si="26"/>
        <v/>
      </c>
    </row>
    <row r="426" spans="7:7">
      <c r="G426" s="5" t="str">
        <f t="shared" si="26"/>
        <v/>
      </c>
    </row>
    <row r="427" spans="7:7">
      <c r="G427" s="5" t="str">
        <f t="shared" si="26"/>
        <v/>
      </c>
    </row>
    <row r="428" spans="7:7">
      <c r="G428" s="5" t="str">
        <f t="shared" si="26"/>
        <v/>
      </c>
    </row>
    <row r="429" spans="7:7">
      <c r="G429" s="5" t="str">
        <f t="shared" si="26"/>
        <v/>
      </c>
    </row>
    <row r="430" spans="7:7">
      <c r="G430" s="5" t="str">
        <f t="shared" si="26"/>
        <v/>
      </c>
    </row>
    <row r="431" spans="7:7">
      <c r="G431" s="5" t="str">
        <f t="shared" si="26"/>
        <v/>
      </c>
    </row>
    <row r="432" spans="7:7">
      <c r="G432" s="5" t="str">
        <f t="shared" si="26"/>
        <v/>
      </c>
    </row>
    <row r="433" spans="7:7">
      <c r="G433" s="5" t="str">
        <f t="shared" si="26"/>
        <v/>
      </c>
    </row>
    <row r="434" spans="7:7">
      <c r="G434" s="5" t="str">
        <f t="shared" si="26"/>
        <v/>
      </c>
    </row>
    <row r="435" spans="7:7">
      <c r="G435" s="5" t="str">
        <f t="shared" si="26"/>
        <v/>
      </c>
    </row>
    <row r="436" spans="7:7">
      <c r="G436" s="5" t="str">
        <f t="shared" si="26"/>
        <v/>
      </c>
    </row>
    <row r="437" spans="7:7">
      <c r="G437" s="5" t="str">
        <f t="shared" si="26"/>
        <v/>
      </c>
    </row>
    <row r="438" spans="7:7">
      <c r="G438" s="5" t="str">
        <f t="shared" si="26"/>
        <v/>
      </c>
    </row>
    <row r="439" spans="7:7">
      <c r="G439" s="5" t="str">
        <f t="shared" si="26"/>
        <v/>
      </c>
    </row>
    <row r="440" spans="7:7">
      <c r="G440" s="5" t="str">
        <f t="shared" si="26"/>
        <v/>
      </c>
    </row>
    <row r="441" spans="7:7">
      <c r="G441" s="5" t="str">
        <f t="shared" si="26"/>
        <v/>
      </c>
    </row>
    <row r="442" spans="7:7">
      <c r="G442" s="5" t="str">
        <f t="shared" si="26"/>
        <v/>
      </c>
    </row>
    <row r="443" spans="7:7">
      <c r="G443" s="5" t="str">
        <f t="shared" si="26"/>
        <v/>
      </c>
    </row>
    <row r="444" spans="7:7">
      <c r="G444" s="5" t="str">
        <f t="shared" si="26"/>
        <v/>
      </c>
    </row>
    <row r="445" spans="7:7">
      <c r="G445" s="5" t="str">
        <f t="shared" si="26"/>
        <v/>
      </c>
    </row>
    <row r="446" spans="7:7">
      <c r="G446" s="5" t="str">
        <f t="shared" si="26"/>
        <v/>
      </c>
    </row>
    <row r="447" spans="7:7">
      <c r="G447" s="5" t="str">
        <f t="shared" si="26"/>
        <v/>
      </c>
    </row>
    <row r="448" spans="7:7">
      <c r="G448" s="5" t="str">
        <f t="shared" si="26"/>
        <v/>
      </c>
    </row>
    <row r="449" spans="7:7">
      <c r="G449" s="5" t="str">
        <f t="shared" si="26"/>
        <v/>
      </c>
    </row>
    <row r="450" spans="7:7">
      <c r="G450" s="5" t="str">
        <f t="shared" si="26"/>
        <v/>
      </c>
    </row>
    <row r="451" spans="7:7">
      <c r="G451" s="5" t="str">
        <f t="shared" si="26"/>
        <v/>
      </c>
    </row>
    <row r="452" spans="7:7">
      <c r="G452" s="5" t="str">
        <f t="shared" si="26"/>
        <v/>
      </c>
    </row>
    <row r="453" spans="7:7">
      <c r="G453" s="5" t="str">
        <f t="shared" si="26"/>
        <v/>
      </c>
    </row>
    <row r="454" spans="7:7">
      <c r="G454" s="5" t="str">
        <f t="shared" si="26"/>
        <v/>
      </c>
    </row>
    <row r="455" spans="7:7">
      <c r="G455" s="5" t="str">
        <f t="shared" si="26"/>
        <v/>
      </c>
    </row>
    <row r="456" spans="7:7">
      <c r="G456" s="5" t="str">
        <f t="shared" si="26"/>
        <v/>
      </c>
    </row>
    <row r="457" spans="7:7">
      <c r="G457" s="5" t="str">
        <f t="shared" si="26"/>
        <v/>
      </c>
    </row>
    <row r="458" spans="7:7">
      <c r="G458" s="5" t="str">
        <f t="shared" si="26"/>
        <v/>
      </c>
    </row>
    <row r="459" spans="7:7">
      <c r="G459" s="5" t="str">
        <f t="shared" si="26"/>
        <v/>
      </c>
    </row>
    <row r="460" spans="7:7">
      <c r="G460" s="5" t="str">
        <f t="shared" si="26"/>
        <v/>
      </c>
    </row>
    <row r="461" spans="7:7">
      <c r="G461" s="5" t="str">
        <f t="shared" si="26"/>
        <v/>
      </c>
    </row>
    <row r="462" spans="7:7">
      <c r="G462" s="5" t="str">
        <f t="shared" si="26"/>
        <v/>
      </c>
    </row>
    <row r="463" spans="7:7">
      <c r="G463" s="5" t="str">
        <f t="shared" si="26"/>
        <v/>
      </c>
    </row>
    <row r="464" spans="7:7">
      <c r="G464" s="5" t="str">
        <f t="shared" si="26"/>
        <v/>
      </c>
    </row>
    <row r="465" spans="7:7">
      <c r="G465" s="5" t="str">
        <f t="shared" si="26"/>
        <v/>
      </c>
    </row>
    <row r="466" spans="7:7">
      <c r="G466" s="5" t="str">
        <f t="shared" si="26"/>
        <v/>
      </c>
    </row>
    <row r="467" spans="7:7">
      <c r="G467" s="5" t="str">
        <f t="shared" si="26"/>
        <v/>
      </c>
    </row>
    <row r="468" spans="7:7">
      <c r="G468" s="5" t="str">
        <f t="shared" si="26"/>
        <v/>
      </c>
    </row>
    <row r="469" spans="7:7">
      <c r="G469" s="5" t="str">
        <f t="shared" si="26"/>
        <v/>
      </c>
    </row>
    <row r="470" spans="7:7">
      <c r="G470" s="5" t="str">
        <f t="shared" si="26"/>
        <v/>
      </c>
    </row>
    <row r="471" spans="7:7">
      <c r="G471" s="5" t="str">
        <f t="shared" ref="G471:G502" si="27">IF(B471&lt;&gt;"",SUM(C471:F471),"")</f>
        <v/>
      </c>
    </row>
    <row r="472" spans="7:7">
      <c r="G472" s="5" t="str">
        <f t="shared" si="27"/>
        <v/>
      </c>
    </row>
    <row r="473" spans="7:7">
      <c r="G473" s="5" t="str">
        <f t="shared" si="27"/>
        <v/>
      </c>
    </row>
    <row r="474" spans="7:7">
      <c r="G474" s="5" t="str">
        <f t="shared" si="27"/>
        <v/>
      </c>
    </row>
    <row r="475" spans="7:7">
      <c r="G475" s="5" t="str">
        <f t="shared" si="27"/>
        <v/>
      </c>
    </row>
    <row r="476" spans="7:7">
      <c r="G476" s="5" t="str">
        <f t="shared" si="27"/>
        <v/>
      </c>
    </row>
    <row r="477" spans="7:7">
      <c r="G477" s="5" t="str">
        <f t="shared" si="27"/>
        <v/>
      </c>
    </row>
    <row r="478" spans="7:7">
      <c r="G478" s="5" t="str">
        <f t="shared" si="27"/>
        <v/>
      </c>
    </row>
    <row r="479" spans="7:7">
      <c r="G479" s="5" t="str">
        <f t="shared" si="27"/>
        <v/>
      </c>
    </row>
    <row r="480" spans="7:7">
      <c r="G480" s="5" t="str">
        <f t="shared" si="27"/>
        <v/>
      </c>
    </row>
    <row r="481" spans="7:7">
      <c r="G481" s="5" t="str">
        <f t="shared" si="27"/>
        <v/>
      </c>
    </row>
    <row r="482" spans="7:7">
      <c r="G482" s="5" t="str">
        <f t="shared" si="27"/>
        <v/>
      </c>
    </row>
    <row r="483" spans="7:7">
      <c r="G483" s="5" t="str">
        <f t="shared" si="27"/>
        <v/>
      </c>
    </row>
    <row r="484" spans="7:7">
      <c r="G484" s="5" t="str">
        <f t="shared" si="27"/>
        <v/>
      </c>
    </row>
    <row r="485" spans="7:7">
      <c r="G485" s="5" t="str">
        <f t="shared" si="27"/>
        <v/>
      </c>
    </row>
    <row r="486" spans="7:7">
      <c r="G486" s="5" t="str">
        <f t="shared" si="27"/>
        <v/>
      </c>
    </row>
    <row r="487" spans="7:7">
      <c r="G487" s="5" t="str">
        <f t="shared" si="27"/>
        <v/>
      </c>
    </row>
    <row r="488" spans="7:7">
      <c r="G488" s="5" t="str">
        <f t="shared" si="27"/>
        <v/>
      </c>
    </row>
    <row r="489" spans="7:7">
      <c r="G489" s="5" t="str">
        <f t="shared" si="27"/>
        <v/>
      </c>
    </row>
    <row r="490" spans="7:7">
      <c r="G490" s="5" t="str">
        <f t="shared" si="27"/>
        <v/>
      </c>
    </row>
    <row r="491" spans="7:7">
      <c r="G491" s="5" t="str">
        <f t="shared" si="27"/>
        <v/>
      </c>
    </row>
    <row r="492" spans="7:7">
      <c r="G492" s="5" t="str">
        <f t="shared" si="27"/>
        <v/>
      </c>
    </row>
    <row r="493" spans="7:7">
      <c r="G493" s="5" t="str">
        <f t="shared" si="27"/>
        <v/>
      </c>
    </row>
    <row r="494" spans="7:7">
      <c r="G494" s="5" t="str">
        <f t="shared" si="27"/>
        <v/>
      </c>
    </row>
    <row r="495" spans="7:7">
      <c r="G495" s="5" t="str">
        <f t="shared" si="27"/>
        <v/>
      </c>
    </row>
    <row r="496" spans="7:7">
      <c r="G496" s="5" t="str">
        <f t="shared" si="27"/>
        <v/>
      </c>
    </row>
    <row r="497" spans="7:7">
      <c r="G497" s="5" t="str">
        <f t="shared" si="27"/>
        <v/>
      </c>
    </row>
    <row r="498" spans="7:7">
      <c r="G498" s="5" t="str">
        <f t="shared" si="27"/>
        <v/>
      </c>
    </row>
    <row r="499" spans="7:7">
      <c r="G499" s="5" t="str">
        <f t="shared" si="27"/>
        <v/>
      </c>
    </row>
    <row r="500" spans="7:7">
      <c r="G500" s="5" t="str">
        <f t="shared" si="27"/>
        <v/>
      </c>
    </row>
    <row r="501" spans="7:7">
      <c r="G501" s="5" t="str">
        <f t="shared" si="27"/>
        <v/>
      </c>
    </row>
    <row r="502" spans="7:7">
      <c r="G502" s="5" t="str">
        <f t="shared" si="27"/>
        <v/>
      </c>
    </row>
  </sheetData>
  <sheetProtection sort="0" autoFilter="0" pivotTables="0"/>
  <autoFilter ref="H5:H100" xr:uid="{9863C277-2656-42FF-9105-85A78C34B4CE}">
    <filterColumn colId="0">
      <filters blank="1">
        <filter val="12"/>
        <filter val="2"/>
        <filter val="24"/>
        <filter val="288"/>
        <filter val="4.404"/>
        <filter val="476"/>
        <filter val="63"/>
        <filter val="72"/>
        <filter val="9"/>
        <filter val="R$ 95.410,14"/>
      </filters>
    </filterColumn>
  </autoFilter>
  <pageMargins left="0.78740157480314965" right="0.78740157480314965" top="0.78740157480314965" bottom="0.78740157480314965" header="0" footer="0"/>
  <pageSetup paperSize="9" scale="91" orientation="landscape" verticalDpi="4294967295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B829A-BA77-4D85-BD14-9599F8C808C6}">
  <sheetPr codeName="Planilha35" filterMode="1">
    <tabColor rgb="FF006600"/>
    <pageSetUpPr fitToPage="1"/>
  </sheetPr>
  <dimension ref="B1:T486"/>
  <sheetViews>
    <sheetView workbookViewId="0">
      <pane ySplit="5" topLeftCell="A6" activePane="bottomLeft" state="frozen"/>
      <selection activeCell="H9" sqref="H9"/>
      <selection pane="bottomLeft" activeCell="G66" sqref="G66"/>
    </sheetView>
  </sheetViews>
  <sheetFormatPr defaultColWidth="9.140625" defaultRowHeight="15.75"/>
  <cols>
    <col min="1" max="1" width="0.5703125" style="1" customWidth="1"/>
    <col min="2" max="2" width="57.85546875" style="3" customWidth="1"/>
    <col min="3" max="6" width="13.5703125" style="15" customWidth="1"/>
    <col min="7" max="7" width="13.5703125" style="5" customWidth="1"/>
    <col min="8" max="8" width="15.85546875" style="119" bestFit="1" customWidth="1"/>
    <col min="9" max="9" width="13" style="1" customWidth="1"/>
    <col min="10" max="11" width="9.5703125" style="9" customWidth="1"/>
    <col min="12" max="12" width="11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696</v>
      </c>
      <c r="C2" s="4"/>
      <c r="D2" s="4"/>
      <c r="E2" s="4"/>
      <c r="F2" s="4"/>
      <c r="G2" s="4"/>
      <c r="H2" s="175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6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527" t="s">
        <v>1746</v>
      </c>
      <c r="C6" s="350"/>
      <c r="D6" s="350"/>
      <c r="E6" s="350"/>
      <c r="F6" s="350"/>
      <c r="G6" s="351"/>
      <c r="H6" s="352">
        <f t="shared" ref="H6:H37" si="0">SUM(C6:G6)</f>
        <v>0</v>
      </c>
      <c r="I6" s="526">
        <f t="shared" ref="I6:I37" si="1">L6-(L6*J6)</f>
        <v>95.43</v>
      </c>
      <c r="J6" s="353"/>
      <c r="K6" s="353"/>
      <c r="L6" s="524">
        <v>95.43</v>
      </c>
      <c r="M6" s="354">
        <v>6</v>
      </c>
      <c r="N6" s="25">
        <f t="shared" ref="N6" si="2">I6*C6</f>
        <v>0</v>
      </c>
      <c r="O6" s="25">
        <f t="shared" ref="O6" si="3">I6*D6</f>
        <v>0</v>
      </c>
      <c r="P6" s="25">
        <f t="shared" ref="P6" si="4">I6*E6</f>
        <v>0</v>
      </c>
      <c r="Q6" s="26">
        <f t="shared" ref="Q6" si="5">I6*F6</f>
        <v>0</v>
      </c>
      <c r="R6" s="27">
        <f t="shared" ref="R6" si="6">I6*G6</f>
        <v>0</v>
      </c>
      <c r="S6" s="28">
        <f>SUM(N6:R6)</f>
        <v>0</v>
      </c>
    </row>
    <row r="7" spans="2:19" hidden="1">
      <c r="B7" s="527" t="s">
        <v>1747</v>
      </c>
      <c r="C7" s="355"/>
      <c r="D7" s="355"/>
      <c r="E7" s="355"/>
      <c r="F7" s="355"/>
      <c r="G7" s="356"/>
      <c r="H7" s="357">
        <f t="shared" si="0"/>
        <v>0</v>
      </c>
      <c r="I7" s="513">
        <f t="shared" si="1"/>
        <v>20.05</v>
      </c>
      <c r="J7" s="353"/>
      <c r="K7" s="358"/>
      <c r="L7" s="524">
        <v>20.05</v>
      </c>
      <c r="M7" s="354">
        <v>12</v>
      </c>
      <c r="N7" s="25">
        <f t="shared" ref="N7:N61" si="7">I7*C7</f>
        <v>0</v>
      </c>
      <c r="O7" s="25">
        <f t="shared" ref="O7:O61" si="8">I7*D7</f>
        <v>0</v>
      </c>
      <c r="P7" s="25">
        <f t="shared" ref="P7:P61" si="9">I7*E7</f>
        <v>0</v>
      </c>
      <c r="Q7" s="26">
        <f t="shared" ref="Q7:Q61" si="10">I7*F7</f>
        <v>0</v>
      </c>
      <c r="R7" s="27">
        <f t="shared" ref="R7:R61" si="11">I7*G7</f>
        <v>0</v>
      </c>
      <c r="S7" s="28">
        <f t="shared" ref="S7:S61" si="12">SUM(N7:R7)</f>
        <v>0</v>
      </c>
    </row>
    <row r="8" spans="2:19">
      <c r="B8" s="527" t="s">
        <v>1748</v>
      </c>
      <c r="C8" s="355"/>
      <c r="D8" s="355"/>
      <c r="E8" s="355"/>
      <c r="F8" s="355">
        <v>12</v>
      </c>
      <c r="G8" s="356"/>
      <c r="H8" s="357">
        <f t="shared" si="0"/>
        <v>12</v>
      </c>
      <c r="I8" s="513">
        <f t="shared" si="1"/>
        <v>63.1</v>
      </c>
      <c r="J8" s="353"/>
      <c r="K8" s="358"/>
      <c r="L8" s="524">
        <v>63.1</v>
      </c>
      <c r="M8" s="354">
        <v>4</v>
      </c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757.2</v>
      </c>
      <c r="R8" s="27">
        <f t="shared" si="11"/>
        <v>0</v>
      </c>
      <c r="S8" s="28">
        <f t="shared" si="12"/>
        <v>757.2</v>
      </c>
    </row>
    <row r="9" spans="2:19">
      <c r="B9" s="527" t="s">
        <v>1749</v>
      </c>
      <c r="C9" s="355"/>
      <c r="D9" s="355"/>
      <c r="E9" s="355"/>
      <c r="F9" s="355">
        <v>24</v>
      </c>
      <c r="G9" s="356"/>
      <c r="H9" s="357">
        <f t="shared" si="0"/>
        <v>24</v>
      </c>
      <c r="I9" s="513">
        <f t="shared" si="1"/>
        <v>17.649999999999999</v>
      </c>
      <c r="J9" s="353"/>
      <c r="K9" s="358"/>
      <c r="L9" s="524">
        <v>17.649999999999999</v>
      </c>
      <c r="M9" s="354">
        <v>4</v>
      </c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423.59999999999997</v>
      </c>
      <c r="R9" s="27">
        <f t="shared" si="11"/>
        <v>0</v>
      </c>
      <c r="S9" s="28">
        <f t="shared" si="12"/>
        <v>423.59999999999997</v>
      </c>
    </row>
    <row r="10" spans="2:19" hidden="1">
      <c r="B10" s="528" t="s">
        <v>1750</v>
      </c>
      <c r="C10" s="355"/>
      <c r="D10" s="355"/>
      <c r="E10" s="355"/>
      <c r="F10" s="355"/>
      <c r="G10" s="356"/>
      <c r="H10" s="357">
        <f t="shared" si="0"/>
        <v>0</v>
      </c>
      <c r="I10" s="513">
        <f t="shared" si="1"/>
        <v>11.63</v>
      </c>
      <c r="J10" s="353"/>
      <c r="K10" s="358"/>
      <c r="L10" s="525">
        <v>11.63</v>
      </c>
      <c r="M10" s="354">
        <v>6</v>
      </c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2:19">
      <c r="B11" s="528" t="s">
        <v>1751</v>
      </c>
      <c r="C11" s="359">
        <v>360</v>
      </c>
      <c r="D11" s="359"/>
      <c r="E11" s="359"/>
      <c r="F11" s="355"/>
      <c r="G11" s="356"/>
      <c r="H11" s="357">
        <f t="shared" si="0"/>
        <v>360</v>
      </c>
      <c r="I11" s="513">
        <f t="shared" si="1"/>
        <v>8.58</v>
      </c>
      <c r="J11" s="353"/>
      <c r="K11" s="358"/>
      <c r="L11" s="525">
        <v>8.58</v>
      </c>
      <c r="M11" s="354">
        <v>16</v>
      </c>
      <c r="N11" s="25">
        <f t="shared" si="7"/>
        <v>3088.8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3088.8</v>
      </c>
    </row>
    <row r="12" spans="2:19">
      <c r="B12" s="528" t="s">
        <v>1752</v>
      </c>
      <c r="C12" s="359"/>
      <c r="D12" s="359"/>
      <c r="E12" s="359"/>
      <c r="F12" s="355">
        <v>12</v>
      </c>
      <c r="G12" s="356"/>
      <c r="H12" s="357">
        <f t="shared" si="0"/>
        <v>12</v>
      </c>
      <c r="I12" s="513">
        <f t="shared" si="1"/>
        <v>17.760000000000002</v>
      </c>
      <c r="J12" s="353"/>
      <c r="K12" s="358"/>
      <c r="L12" s="525">
        <v>17.760000000000002</v>
      </c>
      <c r="M12" s="354">
        <v>30</v>
      </c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213.12</v>
      </c>
      <c r="R12" s="27">
        <f t="shared" si="11"/>
        <v>0</v>
      </c>
      <c r="S12" s="28">
        <f t="shared" si="12"/>
        <v>213.12</v>
      </c>
    </row>
    <row r="13" spans="2:19" hidden="1">
      <c r="B13" s="528" t="s">
        <v>1753</v>
      </c>
      <c r="C13" s="359"/>
      <c r="D13" s="359"/>
      <c r="E13" s="359"/>
      <c r="F13" s="355"/>
      <c r="G13" s="356"/>
      <c r="H13" s="357">
        <f t="shared" si="0"/>
        <v>0</v>
      </c>
      <c r="I13" s="513">
        <f t="shared" si="1"/>
        <v>66.11</v>
      </c>
      <c r="J13" s="353"/>
      <c r="K13" s="358"/>
      <c r="L13" s="525">
        <v>66.11</v>
      </c>
      <c r="M13" s="354">
        <v>12</v>
      </c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>
      <c r="B14" s="528" t="s">
        <v>1754</v>
      </c>
      <c r="C14" s="359"/>
      <c r="D14" s="359"/>
      <c r="E14" s="359"/>
      <c r="F14" s="355">
        <v>360</v>
      </c>
      <c r="G14" s="356"/>
      <c r="H14" s="357">
        <f t="shared" si="0"/>
        <v>360</v>
      </c>
      <c r="I14" s="513">
        <f t="shared" si="1"/>
        <v>21.3</v>
      </c>
      <c r="J14" s="353"/>
      <c r="K14" s="358"/>
      <c r="L14" s="525">
        <v>21.3</v>
      </c>
      <c r="M14" s="354">
        <v>30</v>
      </c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7668</v>
      </c>
      <c r="R14" s="27">
        <f t="shared" si="11"/>
        <v>0</v>
      </c>
      <c r="S14" s="28">
        <f t="shared" si="12"/>
        <v>7668</v>
      </c>
    </row>
    <row r="15" spans="2:19">
      <c r="B15" s="528" t="s">
        <v>1755</v>
      </c>
      <c r="C15" s="359"/>
      <c r="D15" s="359"/>
      <c r="E15" s="359"/>
      <c r="F15" s="355">
        <v>360</v>
      </c>
      <c r="G15" s="356"/>
      <c r="H15" s="357">
        <f t="shared" si="0"/>
        <v>360</v>
      </c>
      <c r="I15" s="513">
        <f t="shared" si="1"/>
        <v>102.33</v>
      </c>
      <c r="J15" s="353"/>
      <c r="K15" s="358"/>
      <c r="L15" s="525">
        <v>102.33</v>
      </c>
      <c r="M15" s="354">
        <v>9</v>
      </c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36838.800000000003</v>
      </c>
      <c r="R15" s="27">
        <f t="shared" si="11"/>
        <v>0</v>
      </c>
      <c r="S15" s="28">
        <f t="shared" si="12"/>
        <v>36838.800000000003</v>
      </c>
    </row>
    <row r="16" spans="2:19">
      <c r="B16" s="528" t="s">
        <v>1756</v>
      </c>
      <c r="C16" s="355">
        <v>48</v>
      </c>
      <c r="D16" s="355"/>
      <c r="E16" s="355"/>
      <c r="F16" s="355"/>
      <c r="G16" s="356"/>
      <c r="H16" s="357">
        <f t="shared" si="0"/>
        <v>48</v>
      </c>
      <c r="I16" s="513">
        <f t="shared" si="1"/>
        <v>22.1</v>
      </c>
      <c r="J16" s="353"/>
      <c r="K16" s="358"/>
      <c r="L16" s="525">
        <v>22.1</v>
      </c>
      <c r="M16" s="361">
        <v>30</v>
      </c>
      <c r="N16" s="25">
        <f t="shared" si="7"/>
        <v>1060.8000000000002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1060.8000000000002</v>
      </c>
    </row>
    <row r="17" spans="2:19" hidden="1">
      <c r="B17" s="527" t="s">
        <v>1757</v>
      </c>
      <c r="C17" s="359"/>
      <c r="D17" s="359"/>
      <c r="E17" s="359"/>
      <c r="F17" s="355"/>
      <c r="G17" s="356"/>
      <c r="H17" s="357">
        <f t="shared" si="0"/>
        <v>0</v>
      </c>
      <c r="I17" s="513">
        <f t="shared" si="1"/>
        <v>20.399999999999999</v>
      </c>
      <c r="J17" s="353"/>
      <c r="K17" s="358"/>
      <c r="L17" s="524">
        <v>20.399999999999999</v>
      </c>
      <c r="M17" s="363">
        <v>12</v>
      </c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 hidden="1">
      <c r="B18" s="528" t="s">
        <v>1758</v>
      </c>
      <c r="C18" s="359"/>
      <c r="D18" s="359"/>
      <c r="E18" s="359"/>
      <c r="F18" s="355"/>
      <c r="G18" s="356"/>
      <c r="H18" s="357">
        <f t="shared" si="0"/>
        <v>0</v>
      </c>
      <c r="I18" s="513">
        <f t="shared" si="1"/>
        <v>390.76</v>
      </c>
      <c r="J18" s="353"/>
      <c r="K18" s="358"/>
      <c r="L18" s="525">
        <v>390.76</v>
      </c>
      <c r="M18" s="363">
        <v>12</v>
      </c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 hidden="1">
      <c r="B19" s="528" t="s">
        <v>1759</v>
      </c>
      <c r="C19" s="359"/>
      <c r="D19" s="359"/>
      <c r="E19" s="359"/>
      <c r="F19" s="355"/>
      <c r="G19" s="356"/>
      <c r="H19" s="357">
        <f t="shared" si="0"/>
        <v>0</v>
      </c>
      <c r="I19" s="513">
        <f t="shared" si="1"/>
        <v>129.24</v>
      </c>
      <c r="J19" s="353"/>
      <c r="K19" s="358"/>
      <c r="L19" s="525">
        <v>129.24</v>
      </c>
      <c r="M19" s="363">
        <v>16</v>
      </c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>
      <c r="B20" s="528" t="s">
        <v>1760</v>
      </c>
      <c r="C20" s="355"/>
      <c r="D20" s="355"/>
      <c r="E20" s="355"/>
      <c r="F20" s="355">
        <v>12</v>
      </c>
      <c r="G20" s="356"/>
      <c r="H20" s="357">
        <f t="shared" si="0"/>
        <v>12</v>
      </c>
      <c r="I20" s="513">
        <f t="shared" si="1"/>
        <v>144.29</v>
      </c>
      <c r="J20" s="353"/>
      <c r="K20" s="358"/>
      <c r="L20" s="525">
        <v>144.29</v>
      </c>
      <c r="M20" s="363">
        <v>6</v>
      </c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1731.48</v>
      </c>
      <c r="R20" s="27">
        <f t="shared" si="11"/>
        <v>0</v>
      </c>
      <c r="S20" s="28">
        <f t="shared" si="12"/>
        <v>1731.48</v>
      </c>
    </row>
    <row r="21" spans="2:19" hidden="1">
      <c r="B21" s="528" t="s">
        <v>1761</v>
      </c>
      <c r="C21" s="359"/>
      <c r="D21" s="359"/>
      <c r="E21" s="359"/>
      <c r="F21" s="355"/>
      <c r="G21" s="356"/>
      <c r="H21" s="357">
        <f t="shared" si="0"/>
        <v>0</v>
      </c>
      <c r="I21" s="513">
        <f t="shared" si="1"/>
        <v>80.34</v>
      </c>
      <c r="J21" s="353"/>
      <c r="K21" s="358"/>
      <c r="L21" s="525">
        <v>80.34</v>
      </c>
      <c r="M21" s="362">
        <v>4</v>
      </c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>
      <c r="B22" s="527" t="s">
        <v>1762</v>
      </c>
      <c r="C22" s="359"/>
      <c r="D22" s="359"/>
      <c r="E22" s="359"/>
      <c r="F22" s="355">
        <v>60</v>
      </c>
      <c r="G22" s="356"/>
      <c r="H22" s="357">
        <f t="shared" si="0"/>
        <v>60</v>
      </c>
      <c r="I22" s="513">
        <f t="shared" si="1"/>
        <v>15.04</v>
      </c>
      <c r="J22" s="353"/>
      <c r="K22" s="358"/>
      <c r="L22" s="524">
        <v>15.04</v>
      </c>
      <c r="M22" s="354">
        <v>9</v>
      </c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902.4</v>
      </c>
      <c r="R22" s="27">
        <f t="shared" si="11"/>
        <v>0</v>
      </c>
      <c r="S22" s="28">
        <f t="shared" si="12"/>
        <v>902.4</v>
      </c>
    </row>
    <row r="23" spans="2:19" hidden="1">
      <c r="B23" s="527" t="s">
        <v>1763</v>
      </c>
      <c r="C23" s="359"/>
      <c r="D23" s="359"/>
      <c r="E23" s="359"/>
      <c r="F23" s="355"/>
      <c r="G23" s="356"/>
      <c r="H23" s="357">
        <f t="shared" si="0"/>
        <v>0</v>
      </c>
      <c r="I23" s="513">
        <f t="shared" si="1"/>
        <v>10.17</v>
      </c>
      <c r="J23" s="353"/>
      <c r="K23" s="358"/>
      <c r="L23" s="524">
        <v>10.17</v>
      </c>
      <c r="M23" s="354">
        <v>12</v>
      </c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2:19" hidden="1">
      <c r="B24" s="527" t="s">
        <v>1764</v>
      </c>
      <c r="C24" s="359"/>
      <c r="D24" s="359"/>
      <c r="E24" s="359"/>
      <c r="F24" s="355"/>
      <c r="G24" s="356"/>
      <c r="H24" s="357">
        <f t="shared" si="0"/>
        <v>0</v>
      </c>
      <c r="I24" s="513">
        <f t="shared" si="1"/>
        <v>18.309999999999999</v>
      </c>
      <c r="J24" s="353"/>
      <c r="K24" s="358"/>
      <c r="L24" s="524">
        <v>18.309999999999999</v>
      </c>
      <c r="M24" s="354">
        <v>12</v>
      </c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 hidden="1">
      <c r="B25" s="527" t="s">
        <v>1765</v>
      </c>
      <c r="C25" s="355"/>
      <c r="D25" s="355"/>
      <c r="E25" s="355"/>
      <c r="F25" s="355"/>
      <c r="G25" s="356"/>
      <c r="H25" s="357">
        <f t="shared" si="0"/>
        <v>0</v>
      </c>
      <c r="I25" s="513">
        <f t="shared" si="1"/>
        <v>15.93</v>
      </c>
      <c r="J25" s="353"/>
      <c r="K25" s="358"/>
      <c r="L25" s="524">
        <v>15.93</v>
      </c>
      <c r="M25" s="354">
        <v>12</v>
      </c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 hidden="1">
      <c r="B26" s="527" t="s">
        <v>1766</v>
      </c>
      <c r="C26" s="355"/>
      <c r="D26" s="355"/>
      <c r="E26" s="355"/>
      <c r="F26" s="355"/>
      <c r="G26" s="356"/>
      <c r="H26" s="357">
        <f t="shared" si="0"/>
        <v>0</v>
      </c>
      <c r="I26" s="513">
        <f t="shared" si="1"/>
        <v>8.6300000000000008</v>
      </c>
      <c r="J26" s="353"/>
      <c r="K26" s="358"/>
      <c r="L26" s="524">
        <v>8.6300000000000008</v>
      </c>
      <c r="M26" s="354">
        <v>6</v>
      </c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 hidden="1">
      <c r="B27" s="527" t="s">
        <v>1767</v>
      </c>
      <c r="C27" s="355"/>
      <c r="D27" s="355"/>
      <c r="E27" s="355"/>
      <c r="F27" s="355"/>
      <c r="G27" s="356"/>
      <c r="H27" s="357">
        <f t="shared" si="0"/>
        <v>0</v>
      </c>
      <c r="I27" s="513">
        <f t="shared" si="1"/>
        <v>21.69</v>
      </c>
      <c r="J27" s="353"/>
      <c r="K27" s="358"/>
      <c r="L27" s="524">
        <v>21.69</v>
      </c>
      <c r="M27" s="354">
        <v>6</v>
      </c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 hidden="1">
      <c r="B28" s="528" t="s">
        <v>1768</v>
      </c>
      <c r="C28" s="355"/>
      <c r="D28" s="355"/>
      <c r="E28" s="355"/>
      <c r="F28" s="355"/>
      <c r="G28" s="356"/>
      <c r="H28" s="357">
        <f t="shared" si="0"/>
        <v>0</v>
      </c>
      <c r="I28" s="513">
        <f t="shared" si="1"/>
        <v>66.010000000000005</v>
      </c>
      <c r="J28" s="353"/>
      <c r="K28" s="358"/>
      <c r="L28" s="525">
        <v>66.010000000000005</v>
      </c>
      <c r="M28" s="354">
        <v>12</v>
      </c>
      <c r="N28" s="25">
        <f t="shared" si="7"/>
        <v>0</v>
      </c>
      <c r="O28" s="25">
        <f t="shared" si="8"/>
        <v>0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0</v>
      </c>
    </row>
    <row r="29" spans="2:19">
      <c r="B29" s="528" t="s">
        <v>1769</v>
      </c>
      <c r="C29" s="355"/>
      <c r="D29" s="355"/>
      <c r="E29" s="355"/>
      <c r="F29" s="355">
        <v>18</v>
      </c>
      <c r="G29" s="356"/>
      <c r="H29" s="357">
        <f t="shared" si="0"/>
        <v>18</v>
      </c>
      <c r="I29" s="513">
        <f t="shared" si="1"/>
        <v>150.66</v>
      </c>
      <c r="J29" s="353"/>
      <c r="K29" s="358"/>
      <c r="L29" s="525">
        <v>150.66</v>
      </c>
      <c r="M29" s="354">
        <v>12</v>
      </c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2711.88</v>
      </c>
      <c r="R29" s="27">
        <f t="shared" si="11"/>
        <v>0</v>
      </c>
      <c r="S29" s="28">
        <f t="shared" si="12"/>
        <v>2711.88</v>
      </c>
    </row>
    <row r="30" spans="2:19" hidden="1">
      <c r="B30" s="528" t="s">
        <v>1770</v>
      </c>
      <c r="C30" s="355"/>
      <c r="D30" s="355"/>
      <c r="E30" s="355"/>
      <c r="F30" s="355"/>
      <c r="G30" s="356"/>
      <c r="H30" s="357">
        <f t="shared" si="0"/>
        <v>0</v>
      </c>
      <c r="I30" s="513">
        <f t="shared" si="1"/>
        <v>9.9</v>
      </c>
      <c r="J30" s="353"/>
      <c r="K30" s="358"/>
      <c r="L30" s="525">
        <v>9.9</v>
      </c>
      <c r="M30" s="354">
        <v>6</v>
      </c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0</v>
      </c>
    </row>
    <row r="31" spans="2:19" hidden="1">
      <c r="B31" s="528" t="s">
        <v>1771</v>
      </c>
      <c r="C31" s="355"/>
      <c r="D31" s="355"/>
      <c r="E31" s="355"/>
      <c r="F31" s="355"/>
      <c r="G31" s="356"/>
      <c r="H31" s="357">
        <f t="shared" si="0"/>
        <v>0</v>
      </c>
      <c r="I31" s="513">
        <f t="shared" si="1"/>
        <v>1.98</v>
      </c>
      <c r="J31" s="353"/>
      <c r="K31" s="358"/>
      <c r="L31" s="525">
        <v>1.98</v>
      </c>
      <c r="M31" s="354">
        <v>2</v>
      </c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2:19" hidden="1">
      <c r="B32" s="528" t="s">
        <v>1772</v>
      </c>
      <c r="C32" s="359"/>
      <c r="D32" s="359"/>
      <c r="E32" s="359"/>
      <c r="F32" s="355"/>
      <c r="G32" s="356"/>
      <c r="H32" s="357">
        <f t="shared" si="0"/>
        <v>0</v>
      </c>
      <c r="I32" s="513">
        <f t="shared" si="1"/>
        <v>36.22</v>
      </c>
      <c r="J32" s="353"/>
      <c r="K32" s="358"/>
      <c r="L32" s="525">
        <v>36.22</v>
      </c>
      <c r="M32" s="354">
        <v>5</v>
      </c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2:19" hidden="1">
      <c r="B33" s="528" t="s">
        <v>1773</v>
      </c>
      <c r="C33" s="359"/>
      <c r="D33" s="359"/>
      <c r="E33" s="359"/>
      <c r="F33" s="355"/>
      <c r="G33" s="356"/>
      <c r="H33" s="357">
        <f t="shared" si="0"/>
        <v>0</v>
      </c>
      <c r="I33" s="513">
        <f t="shared" si="1"/>
        <v>19.850000000000001</v>
      </c>
      <c r="J33" s="353"/>
      <c r="K33" s="358"/>
      <c r="L33" s="525">
        <v>19.850000000000001</v>
      </c>
      <c r="M33" s="354">
        <v>12</v>
      </c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2:19">
      <c r="B34" s="527" t="s">
        <v>1774</v>
      </c>
      <c r="C34" s="359"/>
      <c r="D34" s="359"/>
      <c r="E34" s="359"/>
      <c r="F34" s="355">
        <v>12</v>
      </c>
      <c r="G34" s="356"/>
      <c r="H34" s="357">
        <f t="shared" si="0"/>
        <v>12</v>
      </c>
      <c r="I34" s="513">
        <f t="shared" si="1"/>
        <v>16.2</v>
      </c>
      <c r="J34" s="353"/>
      <c r="K34" s="358"/>
      <c r="L34" s="524">
        <v>16.2</v>
      </c>
      <c r="M34" s="354">
        <v>4</v>
      </c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194.39999999999998</v>
      </c>
      <c r="R34" s="27">
        <f t="shared" si="11"/>
        <v>0</v>
      </c>
      <c r="S34" s="28">
        <f t="shared" si="12"/>
        <v>194.39999999999998</v>
      </c>
    </row>
    <row r="35" spans="2:19" hidden="1">
      <c r="B35" s="527" t="s">
        <v>1775</v>
      </c>
      <c r="C35" s="359"/>
      <c r="D35" s="359"/>
      <c r="E35" s="359"/>
      <c r="F35" s="355"/>
      <c r="G35" s="356"/>
      <c r="H35" s="357">
        <f t="shared" si="0"/>
        <v>0</v>
      </c>
      <c r="I35" s="513">
        <f t="shared" si="1"/>
        <v>52.29</v>
      </c>
      <c r="J35" s="353"/>
      <c r="K35" s="358"/>
      <c r="L35" s="524">
        <v>52.29</v>
      </c>
      <c r="M35" s="354">
        <v>16</v>
      </c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 hidden="1">
      <c r="B36" s="527" t="s">
        <v>1776</v>
      </c>
      <c r="C36" s="359"/>
      <c r="D36" s="359"/>
      <c r="E36" s="359"/>
      <c r="F36" s="355"/>
      <c r="G36" s="356"/>
      <c r="H36" s="357">
        <f t="shared" si="0"/>
        <v>0</v>
      </c>
      <c r="I36" s="513">
        <f t="shared" si="1"/>
        <v>24.26</v>
      </c>
      <c r="J36" s="353"/>
      <c r="K36" s="358"/>
      <c r="L36" s="524">
        <v>24.26</v>
      </c>
      <c r="M36" s="354">
        <v>45</v>
      </c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2:19" hidden="1">
      <c r="B37" s="527" t="s">
        <v>1777</v>
      </c>
      <c r="C37" s="359"/>
      <c r="D37" s="359"/>
      <c r="E37" s="359"/>
      <c r="F37" s="355"/>
      <c r="G37" s="356"/>
      <c r="H37" s="357">
        <f t="shared" si="0"/>
        <v>0</v>
      </c>
      <c r="I37" s="513">
        <f t="shared" si="1"/>
        <v>92.02</v>
      </c>
      <c r="J37" s="353"/>
      <c r="K37" s="358"/>
      <c r="L37" s="524">
        <v>92.02</v>
      </c>
      <c r="M37" s="354">
        <v>12</v>
      </c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2:19" hidden="1">
      <c r="B38" s="528" t="s">
        <v>1778</v>
      </c>
      <c r="C38" s="355"/>
      <c r="D38" s="355"/>
      <c r="E38" s="355"/>
      <c r="F38" s="355"/>
      <c r="G38" s="356"/>
      <c r="H38" s="357">
        <f t="shared" ref="H38:H61" si="13">SUM(C38:G38)</f>
        <v>0</v>
      </c>
      <c r="I38" s="513">
        <f t="shared" ref="I38:I61" si="14">L38-(L38*J38)</f>
        <v>177.82</v>
      </c>
      <c r="J38" s="353"/>
      <c r="K38" s="358"/>
      <c r="L38" s="525">
        <v>177.82</v>
      </c>
      <c r="M38" s="354">
        <v>12</v>
      </c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2:19">
      <c r="B39" s="528" t="s">
        <v>1779</v>
      </c>
      <c r="C39" s="359">
        <v>12</v>
      </c>
      <c r="D39" s="359"/>
      <c r="E39" s="359"/>
      <c r="F39" s="355"/>
      <c r="G39" s="356">
        <v>96</v>
      </c>
      <c r="H39" s="357">
        <f t="shared" si="13"/>
        <v>108</v>
      </c>
      <c r="I39" s="513">
        <f t="shared" si="14"/>
        <v>132.65</v>
      </c>
      <c r="J39" s="353"/>
      <c r="K39" s="358"/>
      <c r="L39" s="525">
        <v>132.65</v>
      </c>
      <c r="M39" s="354">
        <v>12</v>
      </c>
      <c r="N39" s="25">
        <f t="shared" si="7"/>
        <v>1591.8000000000002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12734.400000000001</v>
      </c>
      <c r="S39" s="28">
        <f t="shared" si="12"/>
        <v>14326.2</v>
      </c>
    </row>
    <row r="40" spans="2:19" hidden="1">
      <c r="B40" s="528" t="s">
        <v>1780</v>
      </c>
      <c r="C40" s="359"/>
      <c r="D40" s="359"/>
      <c r="E40" s="359"/>
      <c r="F40" s="355"/>
      <c r="G40" s="356"/>
      <c r="H40" s="357">
        <f t="shared" si="13"/>
        <v>0</v>
      </c>
      <c r="I40" s="513">
        <f t="shared" si="14"/>
        <v>19.41</v>
      </c>
      <c r="J40" s="353"/>
      <c r="K40" s="358"/>
      <c r="L40" s="525">
        <v>19.41</v>
      </c>
      <c r="M40" s="354">
        <v>12</v>
      </c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2:19" hidden="1">
      <c r="B41" s="527" t="s">
        <v>1781</v>
      </c>
      <c r="C41" s="355"/>
      <c r="D41" s="355"/>
      <c r="E41" s="355"/>
      <c r="F41" s="355"/>
      <c r="G41" s="356"/>
      <c r="H41" s="357">
        <f t="shared" si="13"/>
        <v>0</v>
      </c>
      <c r="I41" s="513">
        <f t="shared" si="14"/>
        <v>7.33</v>
      </c>
      <c r="J41" s="353"/>
      <c r="K41" s="358"/>
      <c r="L41" s="524">
        <v>7.33</v>
      </c>
      <c r="M41" s="354">
        <v>12</v>
      </c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2:19" hidden="1">
      <c r="B42" s="527" t="s">
        <v>1782</v>
      </c>
      <c r="C42" s="355"/>
      <c r="D42" s="355"/>
      <c r="E42" s="355"/>
      <c r="F42" s="355"/>
      <c r="G42" s="356"/>
      <c r="H42" s="357">
        <f t="shared" si="13"/>
        <v>0</v>
      </c>
      <c r="I42" s="513">
        <f t="shared" si="14"/>
        <v>4.54</v>
      </c>
      <c r="J42" s="353"/>
      <c r="K42" s="358"/>
      <c r="L42" s="524">
        <v>4.54</v>
      </c>
      <c r="M42" s="354">
        <v>15</v>
      </c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2:19" hidden="1">
      <c r="B43" s="527" t="s">
        <v>1783</v>
      </c>
      <c r="C43" s="355"/>
      <c r="D43" s="355"/>
      <c r="E43" s="355"/>
      <c r="F43" s="355"/>
      <c r="G43" s="356"/>
      <c r="H43" s="357">
        <f t="shared" si="13"/>
        <v>0</v>
      </c>
      <c r="I43" s="513">
        <f t="shared" si="14"/>
        <v>20.190000000000001</v>
      </c>
      <c r="J43" s="353"/>
      <c r="K43" s="358"/>
      <c r="L43" s="524">
        <v>20.190000000000001</v>
      </c>
      <c r="M43" s="354">
        <v>12</v>
      </c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2:19" hidden="1">
      <c r="B44" s="527" t="s">
        <v>1784</v>
      </c>
      <c r="C44" s="355"/>
      <c r="D44" s="355"/>
      <c r="E44" s="355"/>
      <c r="F44" s="355"/>
      <c r="G44" s="356"/>
      <c r="H44" s="357">
        <f t="shared" si="13"/>
        <v>0</v>
      </c>
      <c r="I44" s="513">
        <f t="shared" si="14"/>
        <v>11.19</v>
      </c>
      <c r="J44" s="353"/>
      <c r="K44" s="358"/>
      <c r="L44" s="524">
        <v>11.19</v>
      </c>
      <c r="M44" s="354">
        <v>4</v>
      </c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>
      <c r="B45" s="527" t="s">
        <v>1785</v>
      </c>
      <c r="C45" s="355">
        <v>3</v>
      </c>
      <c r="D45" s="355"/>
      <c r="E45" s="355"/>
      <c r="F45" s="355"/>
      <c r="G45" s="356">
        <v>10</v>
      </c>
      <c r="H45" s="357">
        <f t="shared" si="13"/>
        <v>13</v>
      </c>
      <c r="I45" s="513">
        <f t="shared" si="14"/>
        <v>271.04000000000002</v>
      </c>
      <c r="J45" s="353"/>
      <c r="K45" s="358"/>
      <c r="L45" s="524">
        <v>271.04000000000002</v>
      </c>
      <c r="M45" s="354">
        <v>5</v>
      </c>
      <c r="N45" s="25">
        <f t="shared" si="7"/>
        <v>813.12000000000012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2710.4</v>
      </c>
      <c r="S45" s="28">
        <f t="shared" si="12"/>
        <v>3523.5200000000004</v>
      </c>
    </row>
    <row r="46" spans="2:19" hidden="1">
      <c r="B46" s="528" t="s">
        <v>1786</v>
      </c>
      <c r="C46" s="355"/>
      <c r="D46" s="355"/>
      <c r="E46" s="355"/>
      <c r="F46" s="355"/>
      <c r="G46" s="356"/>
      <c r="H46" s="357">
        <f t="shared" si="13"/>
        <v>0</v>
      </c>
      <c r="I46" s="513">
        <f t="shared" si="14"/>
        <v>13.87</v>
      </c>
      <c r="J46" s="353"/>
      <c r="K46" s="358"/>
      <c r="L46" s="525">
        <v>13.87</v>
      </c>
      <c r="M46" s="354">
        <v>12</v>
      </c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 hidden="1">
      <c r="B47" s="527" t="s">
        <v>1787</v>
      </c>
      <c r="C47" s="355"/>
      <c r="D47" s="355"/>
      <c r="E47" s="355"/>
      <c r="F47" s="355"/>
      <c r="G47" s="356"/>
      <c r="H47" s="357">
        <f t="shared" si="13"/>
        <v>0</v>
      </c>
      <c r="I47" s="513">
        <f t="shared" si="14"/>
        <v>260.72000000000003</v>
      </c>
      <c r="J47" s="353"/>
      <c r="K47" s="358"/>
      <c r="L47" s="524">
        <v>260.72000000000003</v>
      </c>
      <c r="M47" s="354">
        <v>6</v>
      </c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2:19">
      <c r="B48" s="527" t="s">
        <v>1788</v>
      </c>
      <c r="C48" s="355"/>
      <c r="D48" s="355"/>
      <c r="E48" s="355"/>
      <c r="F48" s="355">
        <v>24</v>
      </c>
      <c r="G48" s="356"/>
      <c r="H48" s="357">
        <f t="shared" si="13"/>
        <v>24</v>
      </c>
      <c r="I48" s="513">
        <f t="shared" si="14"/>
        <v>11.96</v>
      </c>
      <c r="J48" s="353"/>
      <c r="K48" s="358"/>
      <c r="L48" s="524">
        <v>11.96</v>
      </c>
      <c r="M48" s="354">
        <v>20</v>
      </c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287.04000000000002</v>
      </c>
      <c r="R48" s="27">
        <f t="shared" si="11"/>
        <v>0</v>
      </c>
      <c r="S48" s="28">
        <f t="shared" si="12"/>
        <v>287.04000000000002</v>
      </c>
    </row>
    <row r="49" spans="2:20" hidden="1">
      <c r="B49" s="527" t="s">
        <v>1789</v>
      </c>
      <c r="C49" s="355"/>
      <c r="D49" s="355"/>
      <c r="E49" s="355"/>
      <c r="F49" s="355"/>
      <c r="G49" s="356"/>
      <c r="H49" s="357">
        <f t="shared" si="13"/>
        <v>0</v>
      </c>
      <c r="I49" s="513">
        <f t="shared" si="14"/>
        <v>32.020000000000003</v>
      </c>
      <c r="J49" s="353"/>
      <c r="K49" s="358"/>
      <c r="L49" s="524">
        <v>32.020000000000003</v>
      </c>
      <c r="M49" s="354">
        <v>20</v>
      </c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20" hidden="1">
      <c r="B50" s="527" t="s">
        <v>1790</v>
      </c>
      <c r="C50" s="355"/>
      <c r="D50" s="355"/>
      <c r="E50" s="355"/>
      <c r="F50" s="355"/>
      <c r="G50" s="356"/>
      <c r="H50" s="357">
        <f t="shared" si="13"/>
        <v>0</v>
      </c>
      <c r="I50" s="513">
        <f t="shared" si="14"/>
        <v>61.51</v>
      </c>
      <c r="J50" s="353"/>
      <c r="K50" s="358"/>
      <c r="L50" s="524">
        <v>61.51</v>
      </c>
      <c r="M50" s="354">
        <v>20</v>
      </c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20" hidden="1">
      <c r="B51" s="527" t="s">
        <v>1791</v>
      </c>
      <c r="C51" s="355"/>
      <c r="D51" s="355"/>
      <c r="E51" s="355"/>
      <c r="F51" s="355"/>
      <c r="G51" s="356"/>
      <c r="H51" s="357">
        <f t="shared" si="13"/>
        <v>0</v>
      </c>
      <c r="I51" s="513">
        <f t="shared" si="14"/>
        <v>32.61</v>
      </c>
      <c r="J51" s="353"/>
      <c r="K51" s="358"/>
      <c r="L51" s="524">
        <v>32.61</v>
      </c>
      <c r="M51" s="354">
        <v>20</v>
      </c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</row>
    <row r="52" spans="2:20" hidden="1">
      <c r="B52" s="527" t="s">
        <v>1792</v>
      </c>
      <c r="C52" s="355"/>
      <c r="D52" s="355"/>
      <c r="E52" s="355"/>
      <c r="F52" s="355"/>
      <c r="G52" s="356"/>
      <c r="H52" s="357">
        <f t="shared" si="13"/>
        <v>0</v>
      </c>
      <c r="I52" s="513">
        <f t="shared" si="14"/>
        <v>7.55</v>
      </c>
      <c r="J52" s="353"/>
      <c r="K52" s="358"/>
      <c r="L52" s="524">
        <v>7.55</v>
      </c>
      <c r="M52" s="360">
        <v>32</v>
      </c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20" hidden="1">
      <c r="B53" s="527" t="s">
        <v>1793</v>
      </c>
      <c r="C53" s="355"/>
      <c r="D53" s="355"/>
      <c r="E53" s="355"/>
      <c r="F53" s="355"/>
      <c r="G53" s="356"/>
      <c r="H53" s="357">
        <f t="shared" si="13"/>
        <v>0</v>
      </c>
      <c r="I53" s="513">
        <f t="shared" si="14"/>
        <v>240.17</v>
      </c>
      <c r="J53" s="353"/>
      <c r="K53" s="358"/>
      <c r="L53" s="524">
        <v>240.17</v>
      </c>
      <c r="M53" s="360">
        <v>5</v>
      </c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2:20" hidden="1">
      <c r="B54" s="527" t="s">
        <v>1794</v>
      </c>
      <c r="C54" s="355"/>
      <c r="D54" s="355"/>
      <c r="E54" s="355"/>
      <c r="F54" s="355"/>
      <c r="G54" s="356"/>
      <c r="H54" s="357">
        <f t="shared" si="13"/>
        <v>0</v>
      </c>
      <c r="I54" s="513">
        <f t="shared" si="14"/>
        <v>132.08000000000001</v>
      </c>
      <c r="J54" s="353"/>
      <c r="K54" s="358"/>
      <c r="L54" s="524">
        <v>132.08000000000001</v>
      </c>
      <c r="M54" s="360">
        <v>16</v>
      </c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20" hidden="1">
      <c r="B55" s="527" t="s">
        <v>1795</v>
      </c>
      <c r="C55" s="355"/>
      <c r="D55" s="355"/>
      <c r="E55" s="355"/>
      <c r="F55" s="355"/>
      <c r="G55" s="356"/>
      <c r="H55" s="357">
        <f t="shared" si="13"/>
        <v>0</v>
      </c>
      <c r="I55" s="513">
        <f t="shared" si="14"/>
        <v>24.48</v>
      </c>
      <c r="J55" s="353"/>
      <c r="K55" s="358"/>
      <c r="L55" s="524">
        <v>24.48</v>
      </c>
      <c r="M55" s="354">
        <v>12</v>
      </c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</row>
    <row r="56" spans="2:20" hidden="1">
      <c r="B56" s="528" t="s">
        <v>1796</v>
      </c>
      <c r="C56" s="355"/>
      <c r="D56" s="355"/>
      <c r="E56" s="355"/>
      <c r="F56" s="355"/>
      <c r="G56" s="356"/>
      <c r="H56" s="357">
        <f t="shared" si="13"/>
        <v>0</v>
      </c>
      <c r="I56" s="513">
        <f t="shared" si="14"/>
        <v>80.819999999999993</v>
      </c>
      <c r="J56" s="353"/>
      <c r="K56" s="358"/>
      <c r="L56" s="525">
        <v>80.819999999999993</v>
      </c>
      <c r="M56" s="354">
        <v>12</v>
      </c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2:20" hidden="1">
      <c r="B57" s="528" t="s">
        <v>1797</v>
      </c>
      <c r="C57" s="355"/>
      <c r="D57" s="355"/>
      <c r="E57" s="355"/>
      <c r="F57" s="355"/>
      <c r="G57" s="356"/>
      <c r="H57" s="357">
        <f t="shared" si="13"/>
        <v>0</v>
      </c>
      <c r="I57" s="513">
        <f t="shared" si="14"/>
        <v>124.68</v>
      </c>
      <c r="J57" s="353"/>
      <c r="K57" s="358"/>
      <c r="L57" s="525">
        <v>124.68</v>
      </c>
      <c r="M57" s="354">
        <v>12</v>
      </c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0</v>
      </c>
    </row>
    <row r="58" spans="2:20" hidden="1">
      <c r="B58" s="528" t="s">
        <v>1798</v>
      </c>
      <c r="C58" s="355"/>
      <c r="D58" s="355"/>
      <c r="E58" s="355"/>
      <c r="F58" s="355"/>
      <c r="G58" s="356"/>
      <c r="H58" s="357">
        <f t="shared" si="13"/>
        <v>0</v>
      </c>
      <c r="I58" s="513">
        <f t="shared" si="14"/>
        <v>471.63</v>
      </c>
      <c r="J58" s="353"/>
      <c r="K58" s="358"/>
      <c r="L58" s="525">
        <v>471.63</v>
      </c>
      <c r="M58" s="354">
        <v>12</v>
      </c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</row>
    <row r="59" spans="2:20" hidden="1">
      <c r="B59" s="528" t="s">
        <v>1799</v>
      </c>
      <c r="C59" s="355"/>
      <c r="D59" s="355"/>
      <c r="E59" s="355"/>
      <c r="F59" s="355"/>
      <c r="G59" s="356"/>
      <c r="H59" s="357">
        <f t="shared" si="13"/>
        <v>0</v>
      </c>
      <c r="I59" s="513">
        <f t="shared" si="14"/>
        <v>55.07</v>
      </c>
      <c r="J59" s="353"/>
      <c r="K59" s="358"/>
      <c r="L59" s="525">
        <v>55.07</v>
      </c>
      <c r="M59" s="354">
        <v>12</v>
      </c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2:20" hidden="1">
      <c r="B60" s="528" t="s">
        <v>1800</v>
      </c>
      <c r="C60" s="355"/>
      <c r="D60" s="355"/>
      <c r="E60" s="355"/>
      <c r="F60" s="355"/>
      <c r="G60" s="356"/>
      <c r="H60" s="357">
        <f t="shared" si="13"/>
        <v>0</v>
      </c>
      <c r="I60" s="513">
        <f t="shared" si="14"/>
        <v>13.98</v>
      </c>
      <c r="J60" s="353"/>
      <c r="K60" s="358"/>
      <c r="L60" s="525">
        <v>13.98</v>
      </c>
      <c r="M60" s="354">
        <v>2</v>
      </c>
      <c r="N60" s="25">
        <f t="shared" si="7"/>
        <v>0</v>
      </c>
      <c r="O60" s="25">
        <f t="shared" si="8"/>
        <v>0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0</v>
      </c>
    </row>
    <row r="61" spans="2:20" ht="15" customHeight="1">
      <c r="B61" s="528" t="s">
        <v>1801</v>
      </c>
      <c r="C61" s="355"/>
      <c r="D61" s="355"/>
      <c r="E61" s="355"/>
      <c r="F61" s="355">
        <v>24</v>
      </c>
      <c r="G61" s="356"/>
      <c r="H61" s="357">
        <f t="shared" si="13"/>
        <v>24</v>
      </c>
      <c r="I61" s="513">
        <f t="shared" si="14"/>
        <v>57.23</v>
      </c>
      <c r="J61" s="353"/>
      <c r="K61" s="358"/>
      <c r="L61" s="525">
        <v>57.23</v>
      </c>
      <c r="M61" s="354">
        <v>16</v>
      </c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1373.52</v>
      </c>
      <c r="R61" s="27">
        <f t="shared" si="11"/>
        <v>0</v>
      </c>
      <c r="S61" s="28">
        <f t="shared" si="12"/>
        <v>1373.52</v>
      </c>
    </row>
    <row r="62" spans="2:20">
      <c r="B62" s="58" t="s">
        <v>13</v>
      </c>
      <c r="C62" s="288">
        <v>24460.38</v>
      </c>
      <c r="D62" s="288">
        <v>75256.399999999994</v>
      </c>
      <c r="E62" s="288">
        <f t="shared" ref="E62:G62" si="15">P62</f>
        <v>0</v>
      </c>
      <c r="F62" s="288">
        <v>53101.440000000002</v>
      </c>
      <c r="G62" s="288">
        <f t="shared" si="15"/>
        <v>15444.800000000001</v>
      </c>
      <c r="H62" s="288">
        <f>S62</f>
        <v>75100.760000000009</v>
      </c>
      <c r="L62" s="9"/>
      <c r="M62" s="9"/>
      <c r="N62" s="349">
        <f t="shared" ref="N62:S62" si="16">SUM(N6:N61)</f>
        <v>6554.52</v>
      </c>
      <c r="O62" s="349">
        <f t="shared" si="16"/>
        <v>0</v>
      </c>
      <c r="P62" s="349">
        <f t="shared" si="16"/>
        <v>0</v>
      </c>
      <c r="Q62" s="349">
        <f t="shared" si="16"/>
        <v>53101.440000000002</v>
      </c>
      <c r="R62" s="349">
        <f t="shared" si="16"/>
        <v>15444.800000000001</v>
      </c>
      <c r="S62" s="349">
        <f t="shared" si="16"/>
        <v>75100.760000000009</v>
      </c>
      <c r="T62" s="9"/>
    </row>
    <row r="63" spans="2:20">
      <c r="B63" s="59" t="s">
        <v>46</v>
      </c>
      <c r="L63" s="9"/>
      <c r="M63" s="9"/>
      <c r="N63" s="9"/>
      <c r="O63" s="9"/>
      <c r="P63" s="9"/>
      <c r="Q63" s="9"/>
      <c r="R63" s="9"/>
      <c r="S63" s="9"/>
      <c r="T63" s="9"/>
    </row>
    <row r="64" spans="2:20" ht="16.5" thickBot="1">
      <c r="B64" s="2"/>
    </row>
    <row r="65" spans="2:9">
      <c r="B65" s="60" t="s">
        <v>47</v>
      </c>
    </row>
    <row r="66" spans="2:9">
      <c r="B66" s="61" t="s">
        <v>19</v>
      </c>
    </row>
    <row r="67" spans="2:9">
      <c r="B67" s="61" t="s">
        <v>697</v>
      </c>
    </row>
    <row r="68" spans="2:9" ht="16.5" thickBot="1">
      <c r="B68" s="62" t="s">
        <v>18</v>
      </c>
    </row>
    <row r="69" spans="2:9">
      <c r="B69" s="2"/>
      <c r="I69" s="6"/>
    </row>
    <row r="70" spans="2:9">
      <c r="B70" s="30" t="s">
        <v>20</v>
      </c>
      <c r="I70" s="6"/>
    </row>
    <row r="71" spans="2:9">
      <c r="B71" s="35"/>
      <c r="I71" s="6"/>
    </row>
    <row r="72" spans="2:9">
      <c r="B72" s="35"/>
      <c r="I72" s="6"/>
    </row>
    <row r="73" spans="2:9">
      <c r="B73" s="2"/>
      <c r="G73" s="5" t="str">
        <f>IF(B73&lt;&gt;"",SUM(C73:F73),"")</f>
        <v/>
      </c>
    </row>
    <row r="74" spans="2:9">
      <c r="G74" s="5" t="str">
        <f>IF(B74&lt;&gt;"",SUM(C74:F74),"")</f>
        <v/>
      </c>
    </row>
    <row r="75" spans="2:9">
      <c r="G75" s="5" t="str">
        <f t="shared" ref="G75:G134" si="17">IF(B75&lt;&gt;"",SUM(C75:F75),"")</f>
        <v/>
      </c>
    </row>
    <row r="76" spans="2:9">
      <c r="G76" s="5" t="str">
        <f t="shared" si="17"/>
        <v/>
      </c>
    </row>
    <row r="77" spans="2:9">
      <c r="G77" s="5" t="str">
        <f t="shared" si="17"/>
        <v/>
      </c>
    </row>
    <row r="78" spans="2:9">
      <c r="G78" s="5" t="str">
        <f t="shared" si="17"/>
        <v/>
      </c>
    </row>
    <row r="79" spans="2:9">
      <c r="G79" s="5" t="str">
        <f t="shared" si="17"/>
        <v/>
      </c>
    </row>
    <row r="80" spans="2:9">
      <c r="G80" s="5" t="str">
        <f t="shared" si="17"/>
        <v/>
      </c>
    </row>
    <row r="81" spans="7:7">
      <c r="G81" s="5" t="str">
        <f t="shared" si="17"/>
        <v/>
      </c>
    </row>
    <row r="82" spans="7:7">
      <c r="G82" s="5" t="str">
        <f t="shared" si="17"/>
        <v/>
      </c>
    </row>
    <row r="83" spans="7:7">
      <c r="G83" s="5" t="str">
        <f t="shared" si="17"/>
        <v/>
      </c>
    </row>
    <row r="84" spans="7:7">
      <c r="G84" s="5" t="str">
        <f t="shared" si="17"/>
        <v/>
      </c>
    </row>
    <row r="85" spans="7:7">
      <c r="G85" s="5" t="str">
        <f t="shared" si="17"/>
        <v/>
      </c>
    </row>
    <row r="86" spans="7:7">
      <c r="G86" s="5" t="str">
        <f t="shared" si="17"/>
        <v/>
      </c>
    </row>
    <row r="87" spans="7:7">
      <c r="G87" s="5" t="str">
        <f t="shared" si="17"/>
        <v/>
      </c>
    </row>
    <row r="88" spans="7:7">
      <c r="G88" s="5" t="str">
        <f t="shared" si="17"/>
        <v/>
      </c>
    </row>
    <row r="89" spans="7:7">
      <c r="G89" s="5" t="str">
        <f t="shared" si="17"/>
        <v/>
      </c>
    </row>
    <row r="90" spans="7:7">
      <c r="G90" s="5" t="str">
        <f t="shared" si="17"/>
        <v/>
      </c>
    </row>
    <row r="91" spans="7:7">
      <c r="G91" s="5" t="str">
        <f t="shared" si="17"/>
        <v/>
      </c>
    </row>
    <row r="92" spans="7:7">
      <c r="G92" s="5" t="str">
        <f t="shared" si="17"/>
        <v/>
      </c>
    </row>
    <row r="93" spans="7:7">
      <c r="G93" s="5" t="str">
        <f t="shared" si="17"/>
        <v/>
      </c>
    </row>
    <row r="94" spans="7:7">
      <c r="G94" s="5" t="str">
        <f t="shared" si="17"/>
        <v/>
      </c>
    </row>
    <row r="95" spans="7:7">
      <c r="G95" s="5" t="str">
        <f t="shared" si="17"/>
        <v/>
      </c>
    </row>
    <row r="96" spans="7:7">
      <c r="G96" s="5" t="str">
        <f t="shared" si="17"/>
        <v/>
      </c>
    </row>
    <row r="97" spans="7:7">
      <c r="G97" s="5" t="str">
        <f t="shared" si="17"/>
        <v/>
      </c>
    </row>
    <row r="98" spans="7:7">
      <c r="G98" s="5" t="str">
        <f t="shared" si="17"/>
        <v/>
      </c>
    </row>
    <row r="99" spans="7:7">
      <c r="G99" s="5" t="str">
        <f t="shared" si="17"/>
        <v/>
      </c>
    </row>
    <row r="100" spans="7:7">
      <c r="G100" s="5" t="str">
        <f t="shared" si="17"/>
        <v/>
      </c>
    </row>
    <row r="101" spans="7:7">
      <c r="G101" s="5" t="str">
        <f t="shared" si="17"/>
        <v/>
      </c>
    </row>
    <row r="102" spans="7:7">
      <c r="G102" s="5" t="str">
        <f t="shared" si="17"/>
        <v/>
      </c>
    </row>
    <row r="103" spans="7:7">
      <c r="G103" s="5" t="str">
        <f t="shared" si="17"/>
        <v/>
      </c>
    </row>
    <row r="104" spans="7:7">
      <c r="G104" s="5" t="str">
        <f t="shared" si="17"/>
        <v/>
      </c>
    </row>
    <row r="105" spans="7:7">
      <c r="G105" s="5" t="str">
        <f t="shared" si="17"/>
        <v/>
      </c>
    </row>
    <row r="106" spans="7:7">
      <c r="G106" s="5" t="str">
        <f t="shared" si="17"/>
        <v/>
      </c>
    </row>
    <row r="107" spans="7:7">
      <c r="G107" s="5" t="str">
        <f t="shared" si="17"/>
        <v/>
      </c>
    </row>
    <row r="108" spans="7:7">
      <c r="G108" s="5" t="str">
        <f t="shared" si="17"/>
        <v/>
      </c>
    </row>
    <row r="109" spans="7:7">
      <c r="G109" s="5" t="str">
        <f t="shared" si="17"/>
        <v/>
      </c>
    </row>
    <row r="110" spans="7:7">
      <c r="G110" s="5" t="str">
        <f t="shared" si="17"/>
        <v/>
      </c>
    </row>
    <row r="111" spans="7:7">
      <c r="G111" s="5" t="str">
        <f t="shared" si="17"/>
        <v/>
      </c>
    </row>
    <row r="112" spans="7:7">
      <c r="G112" s="5" t="str">
        <f t="shared" si="17"/>
        <v/>
      </c>
    </row>
    <row r="113" spans="7:7">
      <c r="G113" s="5" t="str">
        <f t="shared" si="17"/>
        <v/>
      </c>
    </row>
    <row r="114" spans="7:7">
      <c r="G114" s="5" t="str">
        <f t="shared" si="17"/>
        <v/>
      </c>
    </row>
    <row r="115" spans="7:7">
      <c r="G115" s="5" t="str">
        <f t="shared" si="17"/>
        <v/>
      </c>
    </row>
    <row r="116" spans="7:7">
      <c r="G116" s="5" t="str">
        <f t="shared" si="17"/>
        <v/>
      </c>
    </row>
    <row r="117" spans="7:7">
      <c r="G117" s="5" t="str">
        <f t="shared" si="17"/>
        <v/>
      </c>
    </row>
    <row r="118" spans="7:7">
      <c r="G118" s="5" t="str">
        <f t="shared" si="17"/>
        <v/>
      </c>
    </row>
    <row r="119" spans="7:7">
      <c r="G119" s="5" t="str">
        <f t="shared" si="17"/>
        <v/>
      </c>
    </row>
    <row r="120" spans="7:7">
      <c r="G120" s="5" t="str">
        <f t="shared" si="17"/>
        <v/>
      </c>
    </row>
    <row r="121" spans="7:7">
      <c r="G121" s="5" t="str">
        <f t="shared" si="17"/>
        <v/>
      </c>
    </row>
    <row r="122" spans="7:7">
      <c r="G122" s="5" t="str">
        <f t="shared" si="17"/>
        <v/>
      </c>
    </row>
    <row r="123" spans="7:7">
      <c r="G123" s="5" t="str">
        <f t="shared" si="17"/>
        <v/>
      </c>
    </row>
    <row r="124" spans="7:7">
      <c r="G124" s="5" t="str">
        <f t="shared" si="17"/>
        <v/>
      </c>
    </row>
    <row r="125" spans="7:7">
      <c r="G125" s="5" t="str">
        <f t="shared" si="17"/>
        <v/>
      </c>
    </row>
    <row r="126" spans="7:7">
      <c r="G126" s="5" t="str">
        <f t="shared" si="17"/>
        <v/>
      </c>
    </row>
    <row r="127" spans="7:7">
      <c r="G127" s="5" t="str">
        <f t="shared" si="17"/>
        <v/>
      </c>
    </row>
    <row r="128" spans="7:7">
      <c r="G128" s="5" t="str">
        <f t="shared" si="17"/>
        <v/>
      </c>
    </row>
    <row r="129" spans="7:7">
      <c r="G129" s="5" t="str">
        <f t="shared" si="17"/>
        <v/>
      </c>
    </row>
    <row r="130" spans="7:7">
      <c r="G130" s="5" t="str">
        <f t="shared" si="17"/>
        <v/>
      </c>
    </row>
    <row r="131" spans="7:7">
      <c r="G131" s="5" t="str">
        <f t="shared" si="17"/>
        <v/>
      </c>
    </row>
    <row r="132" spans="7:7">
      <c r="G132" s="5" t="str">
        <f t="shared" si="17"/>
        <v/>
      </c>
    </row>
    <row r="133" spans="7:7">
      <c r="G133" s="5" t="str">
        <f t="shared" si="17"/>
        <v/>
      </c>
    </row>
    <row r="134" spans="7:7">
      <c r="G134" s="5" t="str">
        <f t="shared" si="17"/>
        <v/>
      </c>
    </row>
    <row r="135" spans="7:7">
      <c r="G135" s="5" t="str">
        <f t="shared" ref="G135:G198" si="18">IF(B135&lt;&gt;"",SUM(C135:F135),"")</f>
        <v/>
      </c>
    </row>
    <row r="136" spans="7:7">
      <c r="G136" s="5" t="str">
        <f t="shared" si="18"/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si="18"/>
        <v/>
      </c>
    </row>
    <row r="155" spans="7:7">
      <c r="G155" s="5" t="str">
        <f t="shared" si="18"/>
        <v/>
      </c>
    </row>
    <row r="156" spans="7:7">
      <c r="G156" s="5" t="str">
        <f t="shared" si="18"/>
        <v/>
      </c>
    </row>
    <row r="157" spans="7:7">
      <c r="G157" s="5" t="str">
        <f t="shared" si="18"/>
        <v/>
      </c>
    </row>
    <row r="158" spans="7:7">
      <c r="G158" s="5" t="str">
        <f t="shared" si="18"/>
        <v/>
      </c>
    </row>
    <row r="159" spans="7:7">
      <c r="G159" s="5" t="str">
        <f t="shared" si="18"/>
        <v/>
      </c>
    </row>
    <row r="160" spans="7:7">
      <c r="G160" s="5" t="str">
        <f t="shared" si="18"/>
        <v/>
      </c>
    </row>
    <row r="161" spans="7:7">
      <c r="G161" s="5" t="str">
        <f t="shared" si="18"/>
        <v/>
      </c>
    </row>
    <row r="162" spans="7:7">
      <c r="G162" s="5" t="str">
        <f t="shared" si="18"/>
        <v/>
      </c>
    </row>
    <row r="163" spans="7:7">
      <c r="G163" s="5" t="str">
        <f t="shared" si="18"/>
        <v/>
      </c>
    </row>
    <row r="164" spans="7:7">
      <c r="G164" s="5" t="str">
        <f t="shared" si="18"/>
        <v/>
      </c>
    </row>
    <row r="165" spans="7:7">
      <c r="G165" s="5" t="str">
        <f t="shared" si="18"/>
        <v/>
      </c>
    </row>
    <row r="166" spans="7:7">
      <c r="G166" s="5" t="str">
        <f t="shared" si="18"/>
        <v/>
      </c>
    </row>
    <row r="167" spans="7:7">
      <c r="G167" s="5" t="str">
        <f t="shared" si="18"/>
        <v/>
      </c>
    </row>
    <row r="168" spans="7:7">
      <c r="G168" s="5" t="str">
        <f t="shared" si="18"/>
        <v/>
      </c>
    </row>
    <row r="169" spans="7:7">
      <c r="G169" s="5" t="str">
        <f t="shared" si="18"/>
        <v/>
      </c>
    </row>
    <row r="170" spans="7:7">
      <c r="G170" s="5" t="str">
        <f t="shared" si="18"/>
        <v/>
      </c>
    </row>
    <row r="171" spans="7:7">
      <c r="G171" s="5" t="str">
        <f t="shared" si="18"/>
        <v/>
      </c>
    </row>
    <row r="172" spans="7:7">
      <c r="G172" s="5" t="str">
        <f t="shared" si="18"/>
        <v/>
      </c>
    </row>
    <row r="173" spans="7:7">
      <c r="G173" s="5" t="str">
        <f t="shared" si="18"/>
        <v/>
      </c>
    </row>
    <row r="174" spans="7:7">
      <c r="G174" s="5" t="str">
        <f t="shared" si="18"/>
        <v/>
      </c>
    </row>
    <row r="175" spans="7:7">
      <c r="G175" s="5" t="str">
        <f t="shared" si="18"/>
        <v/>
      </c>
    </row>
    <row r="176" spans="7:7">
      <c r="G176" s="5" t="str">
        <f t="shared" si="18"/>
        <v/>
      </c>
    </row>
    <row r="177" spans="7:7">
      <c r="G177" s="5" t="str">
        <f t="shared" si="18"/>
        <v/>
      </c>
    </row>
    <row r="178" spans="7:7">
      <c r="G178" s="5" t="str">
        <f t="shared" si="18"/>
        <v/>
      </c>
    </row>
    <row r="179" spans="7:7">
      <c r="G179" s="5" t="str">
        <f t="shared" si="18"/>
        <v/>
      </c>
    </row>
    <row r="180" spans="7:7">
      <c r="G180" s="5" t="str">
        <f t="shared" si="18"/>
        <v/>
      </c>
    </row>
    <row r="181" spans="7:7">
      <c r="G181" s="5" t="str">
        <f t="shared" si="18"/>
        <v/>
      </c>
    </row>
    <row r="182" spans="7:7">
      <c r="G182" s="5" t="str">
        <f t="shared" si="18"/>
        <v/>
      </c>
    </row>
    <row r="183" spans="7:7">
      <c r="G183" s="5" t="str">
        <f t="shared" si="18"/>
        <v/>
      </c>
    </row>
    <row r="184" spans="7:7">
      <c r="G184" s="5" t="str">
        <f t="shared" si="18"/>
        <v/>
      </c>
    </row>
    <row r="185" spans="7:7">
      <c r="G185" s="5" t="str">
        <f t="shared" si="18"/>
        <v/>
      </c>
    </row>
    <row r="186" spans="7:7">
      <c r="G186" s="5" t="str">
        <f t="shared" si="18"/>
        <v/>
      </c>
    </row>
    <row r="187" spans="7:7">
      <c r="G187" s="5" t="str">
        <f t="shared" si="18"/>
        <v/>
      </c>
    </row>
    <row r="188" spans="7:7">
      <c r="G188" s="5" t="str">
        <f t="shared" si="18"/>
        <v/>
      </c>
    </row>
    <row r="189" spans="7:7">
      <c r="G189" s="5" t="str">
        <f t="shared" si="18"/>
        <v/>
      </c>
    </row>
    <row r="190" spans="7:7">
      <c r="G190" s="5" t="str">
        <f t="shared" si="18"/>
        <v/>
      </c>
    </row>
    <row r="191" spans="7:7">
      <c r="G191" s="5" t="str">
        <f t="shared" si="18"/>
        <v/>
      </c>
    </row>
    <row r="192" spans="7:7">
      <c r="G192" s="5" t="str">
        <f t="shared" si="18"/>
        <v/>
      </c>
    </row>
    <row r="193" spans="7:7">
      <c r="G193" s="5" t="str">
        <f t="shared" si="18"/>
        <v/>
      </c>
    </row>
    <row r="194" spans="7:7">
      <c r="G194" s="5" t="str">
        <f t="shared" si="18"/>
        <v/>
      </c>
    </row>
    <row r="195" spans="7:7">
      <c r="G195" s="5" t="str">
        <f t="shared" si="18"/>
        <v/>
      </c>
    </row>
    <row r="196" spans="7:7">
      <c r="G196" s="5" t="str">
        <f t="shared" si="18"/>
        <v/>
      </c>
    </row>
    <row r="197" spans="7:7">
      <c r="G197" s="5" t="str">
        <f t="shared" si="18"/>
        <v/>
      </c>
    </row>
    <row r="198" spans="7:7">
      <c r="G198" s="5" t="str">
        <f t="shared" si="18"/>
        <v/>
      </c>
    </row>
    <row r="199" spans="7:7">
      <c r="G199" s="5" t="str">
        <f t="shared" ref="G199:G262" si="19">IF(B199&lt;&gt;"",SUM(C199:F199),"")</f>
        <v/>
      </c>
    </row>
    <row r="200" spans="7:7">
      <c r="G200" s="5" t="str">
        <f t="shared" si="19"/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si="19"/>
        <v/>
      </c>
    </row>
    <row r="219" spans="7:7">
      <c r="G219" s="5" t="str">
        <f t="shared" si="19"/>
        <v/>
      </c>
    </row>
    <row r="220" spans="7:7">
      <c r="G220" s="5" t="str">
        <f t="shared" si="19"/>
        <v/>
      </c>
    </row>
    <row r="221" spans="7:7">
      <c r="G221" s="5" t="str">
        <f t="shared" si="19"/>
        <v/>
      </c>
    </row>
    <row r="222" spans="7:7">
      <c r="G222" s="5" t="str">
        <f t="shared" si="19"/>
        <v/>
      </c>
    </row>
    <row r="223" spans="7:7">
      <c r="G223" s="5" t="str">
        <f t="shared" si="19"/>
        <v/>
      </c>
    </row>
    <row r="224" spans="7:7">
      <c r="G224" s="5" t="str">
        <f t="shared" si="19"/>
        <v/>
      </c>
    </row>
    <row r="225" spans="7:7">
      <c r="G225" s="5" t="str">
        <f t="shared" si="19"/>
        <v/>
      </c>
    </row>
    <row r="226" spans="7:7">
      <c r="G226" s="5" t="str">
        <f t="shared" si="19"/>
        <v/>
      </c>
    </row>
    <row r="227" spans="7:7">
      <c r="G227" s="5" t="str">
        <f t="shared" si="19"/>
        <v/>
      </c>
    </row>
    <row r="228" spans="7:7">
      <c r="G228" s="5" t="str">
        <f t="shared" si="19"/>
        <v/>
      </c>
    </row>
    <row r="229" spans="7:7">
      <c r="G229" s="5" t="str">
        <f t="shared" si="19"/>
        <v/>
      </c>
    </row>
    <row r="230" spans="7:7">
      <c r="G230" s="5" t="str">
        <f t="shared" si="19"/>
        <v/>
      </c>
    </row>
    <row r="231" spans="7:7">
      <c r="G231" s="5" t="str">
        <f t="shared" si="19"/>
        <v/>
      </c>
    </row>
    <row r="232" spans="7:7">
      <c r="G232" s="5" t="str">
        <f t="shared" si="19"/>
        <v/>
      </c>
    </row>
    <row r="233" spans="7:7">
      <c r="G233" s="5" t="str">
        <f t="shared" si="19"/>
        <v/>
      </c>
    </row>
    <row r="234" spans="7:7">
      <c r="G234" s="5" t="str">
        <f t="shared" si="19"/>
        <v/>
      </c>
    </row>
    <row r="235" spans="7:7">
      <c r="G235" s="5" t="str">
        <f t="shared" si="19"/>
        <v/>
      </c>
    </row>
    <row r="236" spans="7:7">
      <c r="G236" s="5" t="str">
        <f t="shared" si="19"/>
        <v/>
      </c>
    </row>
    <row r="237" spans="7:7">
      <c r="G237" s="5" t="str">
        <f t="shared" si="19"/>
        <v/>
      </c>
    </row>
    <row r="238" spans="7:7">
      <c r="G238" s="5" t="str">
        <f t="shared" si="19"/>
        <v/>
      </c>
    </row>
    <row r="239" spans="7:7">
      <c r="G239" s="5" t="str">
        <f t="shared" si="19"/>
        <v/>
      </c>
    </row>
    <row r="240" spans="7:7">
      <c r="G240" s="5" t="str">
        <f t="shared" si="19"/>
        <v/>
      </c>
    </row>
    <row r="241" spans="7:7">
      <c r="G241" s="5" t="str">
        <f t="shared" si="19"/>
        <v/>
      </c>
    </row>
    <row r="242" spans="7:7">
      <c r="G242" s="5" t="str">
        <f t="shared" si="19"/>
        <v/>
      </c>
    </row>
    <row r="243" spans="7:7">
      <c r="G243" s="5" t="str">
        <f t="shared" si="19"/>
        <v/>
      </c>
    </row>
    <row r="244" spans="7:7">
      <c r="G244" s="5" t="str">
        <f t="shared" si="19"/>
        <v/>
      </c>
    </row>
    <row r="245" spans="7:7">
      <c r="G245" s="5" t="str">
        <f t="shared" si="19"/>
        <v/>
      </c>
    </row>
    <row r="246" spans="7:7">
      <c r="G246" s="5" t="str">
        <f t="shared" si="19"/>
        <v/>
      </c>
    </row>
    <row r="247" spans="7:7">
      <c r="G247" s="5" t="str">
        <f t="shared" si="19"/>
        <v/>
      </c>
    </row>
    <row r="248" spans="7:7">
      <c r="G248" s="5" t="str">
        <f t="shared" si="19"/>
        <v/>
      </c>
    </row>
    <row r="249" spans="7:7">
      <c r="G249" s="5" t="str">
        <f t="shared" si="19"/>
        <v/>
      </c>
    </row>
    <row r="250" spans="7:7">
      <c r="G250" s="5" t="str">
        <f t="shared" si="19"/>
        <v/>
      </c>
    </row>
    <row r="251" spans="7:7">
      <c r="G251" s="5" t="str">
        <f t="shared" si="19"/>
        <v/>
      </c>
    </row>
    <row r="252" spans="7:7">
      <c r="G252" s="5" t="str">
        <f t="shared" si="19"/>
        <v/>
      </c>
    </row>
    <row r="253" spans="7:7">
      <c r="G253" s="5" t="str">
        <f t="shared" si="19"/>
        <v/>
      </c>
    </row>
    <row r="254" spans="7:7">
      <c r="G254" s="5" t="str">
        <f t="shared" si="19"/>
        <v/>
      </c>
    </row>
    <row r="255" spans="7:7">
      <c r="G255" s="5" t="str">
        <f t="shared" si="19"/>
        <v/>
      </c>
    </row>
    <row r="256" spans="7:7">
      <c r="G256" s="5" t="str">
        <f t="shared" si="19"/>
        <v/>
      </c>
    </row>
    <row r="257" spans="7:7">
      <c r="G257" s="5" t="str">
        <f t="shared" si="19"/>
        <v/>
      </c>
    </row>
    <row r="258" spans="7:7">
      <c r="G258" s="5" t="str">
        <f t="shared" si="19"/>
        <v/>
      </c>
    </row>
    <row r="259" spans="7:7">
      <c r="G259" s="5" t="str">
        <f t="shared" si="19"/>
        <v/>
      </c>
    </row>
    <row r="260" spans="7:7">
      <c r="G260" s="5" t="str">
        <f t="shared" si="19"/>
        <v/>
      </c>
    </row>
    <row r="261" spans="7:7">
      <c r="G261" s="5" t="str">
        <f t="shared" si="19"/>
        <v/>
      </c>
    </row>
    <row r="262" spans="7:7">
      <c r="G262" s="5" t="str">
        <f t="shared" si="19"/>
        <v/>
      </c>
    </row>
    <row r="263" spans="7:7">
      <c r="G263" s="5" t="str">
        <f t="shared" ref="G263:G326" si="20">IF(B263&lt;&gt;"",SUM(C263:F263),"")</f>
        <v/>
      </c>
    </row>
    <row r="264" spans="7:7">
      <c r="G264" s="5" t="str">
        <f t="shared" si="20"/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si="20"/>
        <v/>
      </c>
    </row>
    <row r="283" spans="7:7">
      <c r="G283" s="5" t="str">
        <f t="shared" si="20"/>
        <v/>
      </c>
    </row>
    <row r="284" spans="7:7">
      <c r="G284" s="5" t="str">
        <f t="shared" si="20"/>
        <v/>
      </c>
    </row>
    <row r="285" spans="7:7">
      <c r="G285" s="5" t="str">
        <f t="shared" si="20"/>
        <v/>
      </c>
    </row>
    <row r="286" spans="7:7">
      <c r="G286" s="5" t="str">
        <f t="shared" si="20"/>
        <v/>
      </c>
    </row>
    <row r="287" spans="7:7">
      <c r="G287" s="5" t="str">
        <f t="shared" si="20"/>
        <v/>
      </c>
    </row>
    <row r="288" spans="7:7">
      <c r="G288" s="5" t="str">
        <f t="shared" si="20"/>
        <v/>
      </c>
    </row>
    <row r="289" spans="7:7">
      <c r="G289" s="5" t="str">
        <f t="shared" si="20"/>
        <v/>
      </c>
    </row>
    <row r="290" spans="7:7">
      <c r="G290" s="5" t="str">
        <f t="shared" si="20"/>
        <v/>
      </c>
    </row>
    <row r="291" spans="7:7">
      <c r="G291" s="5" t="str">
        <f t="shared" si="20"/>
        <v/>
      </c>
    </row>
    <row r="292" spans="7:7">
      <c r="G292" s="5" t="str">
        <f t="shared" si="20"/>
        <v/>
      </c>
    </row>
    <row r="293" spans="7:7">
      <c r="G293" s="5" t="str">
        <f t="shared" si="20"/>
        <v/>
      </c>
    </row>
    <row r="294" spans="7:7">
      <c r="G294" s="5" t="str">
        <f t="shared" si="20"/>
        <v/>
      </c>
    </row>
    <row r="295" spans="7:7">
      <c r="G295" s="5" t="str">
        <f t="shared" si="20"/>
        <v/>
      </c>
    </row>
    <row r="296" spans="7:7">
      <c r="G296" s="5" t="str">
        <f t="shared" si="20"/>
        <v/>
      </c>
    </row>
    <row r="297" spans="7:7">
      <c r="G297" s="5" t="str">
        <f t="shared" si="20"/>
        <v/>
      </c>
    </row>
    <row r="298" spans="7:7">
      <c r="G298" s="5" t="str">
        <f t="shared" si="20"/>
        <v/>
      </c>
    </row>
    <row r="299" spans="7:7">
      <c r="G299" s="5" t="str">
        <f t="shared" si="20"/>
        <v/>
      </c>
    </row>
    <row r="300" spans="7:7">
      <c r="G300" s="5" t="str">
        <f t="shared" si="20"/>
        <v/>
      </c>
    </row>
    <row r="301" spans="7:7">
      <c r="G301" s="5" t="str">
        <f t="shared" si="20"/>
        <v/>
      </c>
    </row>
    <row r="302" spans="7:7">
      <c r="G302" s="5" t="str">
        <f t="shared" si="20"/>
        <v/>
      </c>
    </row>
    <row r="303" spans="7:7">
      <c r="G303" s="5" t="str">
        <f t="shared" si="20"/>
        <v/>
      </c>
    </row>
    <row r="304" spans="7:7">
      <c r="G304" s="5" t="str">
        <f t="shared" si="20"/>
        <v/>
      </c>
    </row>
    <row r="305" spans="7:7">
      <c r="G305" s="5" t="str">
        <f t="shared" si="20"/>
        <v/>
      </c>
    </row>
    <row r="306" spans="7:7">
      <c r="G306" s="5" t="str">
        <f t="shared" si="20"/>
        <v/>
      </c>
    </row>
    <row r="307" spans="7:7">
      <c r="G307" s="5" t="str">
        <f t="shared" si="20"/>
        <v/>
      </c>
    </row>
    <row r="308" spans="7:7">
      <c r="G308" s="5" t="str">
        <f t="shared" si="20"/>
        <v/>
      </c>
    </row>
    <row r="309" spans="7:7">
      <c r="G309" s="5" t="str">
        <f t="shared" si="20"/>
        <v/>
      </c>
    </row>
    <row r="310" spans="7:7">
      <c r="G310" s="5" t="str">
        <f t="shared" si="20"/>
        <v/>
      </c>
    </row>
    <row r="311" spans="7:7">
      <c r="G311" s="5" t="str">
        <f t="shared" si="20"/>
        <v/>
      </c>
    </row>
    <row r="312" spans="7:7">
      <c r="G312" s="5" t="str">
        <f t="shared" si="20"/>
        <v/>
      </c>
    </row>
    <row r="313" spans="7:7">
      <c r="G313" s="5" t="str">
        <f t="shared" si="20"/>
        <v/>
      </c>
    </row>
    <row r="314" spans="7:7">
      <c r="G314" s="5" t="str">
        <f t="shared" si="20"/>
        <v/>
      </c>
    </row>
    <row r="315" spans="7:7">
      <c r="G315" s="5" t="str">
        <f t="shared" si="20"/>
        <v/>
      </c>
    </row>
    <row r="316" spans="7:7">
      <c r="G316" s="5" t="str">
        <f t="shared" si="20"/>
        <v/>
      </c>
    </row>
    <row r="317" spans="7:7">
      <c r="G317" s="5" t="str">
        <f t="shared" si="20"/>
        <v/>
      </c>
    </row>
    <row r="318" spans="7:7">
      <c r="G318" s="5" t="str">
        <f t="shared" si="20"/>
        <v/>
      </c>
    </row>
    <row r="319" spans="7:7">
      <c r="G319" s="5" t="str">
        <f t="shared" si="20"/>
        <v/>
      </c>
    </row>
    <row r="320" spans="7:7">
      <c r="G320" s="5" t="str">
        <f t="shared" si="20"/>
        <v/>
      </c>
    </row>
    <row r="321" spans="7:7">
      <c r="G321" s="5" t="str">
        <f t="shared" si="20"/>
        <v/>
      </c>
    </row>
    <row r="322" spans="7:7">
      <c r="G322" s="5" t="str">
        <f t="shared" si="20"/>
        <v/>
      </c>
    </row>
    <row r="323" spans="7:7">
      <c r="G323" s="5" t="str">
        <f t="shared" si="20"/>
        <v/>
      </c>
    </row>
    <row r="324" spans="7:7">
      <c r="G324" s="5" t="str">
        <f t="shared" si="20"/>
        <v/>
      </c>
    </row>
    <row r="325" spans="7:7">
      <c r="G325" s="5" t="str">
        <f t="shared" si="20"/>
        <v/>
      </c>
    </row>
    <row r="326" spans="7:7">
      <c r="G326" s="5" t="str">
        <f t="shared" si="20"/>
        <v/>
      </c>
    </row>
    <row r="327" spans="7:7">
      <c r="G327" s="5" t="str">
        <f t="shared" ref="G327:G390" si="21">IF(B327&lt;&gt;"",SUM(C327:F327),"")</f>
        <v/>
      </c>
    </row>
    <row r="328" spans="7:7">
      <c r="G328" s="5" t="str">
        <f t="shared" si="21"/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si="21"/>
        <v/>
      </c>
    </row>
    <row r="347" spans="7:7">
      <c r="G347" s="5" t="str">
        <f t="shared" si="21"/>
        <v/>
      </c>
    </row>
    <row r="348" spans="7:7">
      <c r="G348" s="5" t="str">
        <f t="shared" si="21"/>
        <v/>
      </c>
    </row>
    <row r="349" spans="7:7">
      <c r="G349" s="5" t="str">
        <f t="shared" si="21"/>
        <v/>
      </c>
    </row>
    <row r="350" spans="7:7">
      <c r="G350" s="5" t="str">
        <f t="shared" si="21"/>
        <v/>
      </c>
    </row>
    <row r="351" spans="7:7">
      <c r="G351" s="5" t="str">
        <f t="shared" si="21"/>
        <v/>
      </c>
    </row>
    <row r="352" spans="7:7">
      <c r="G352" s="5" t="str">
        <f t="shared" si="21"/>
        <v/>
      </c>
    </row>
    <row r="353" spans="7:7">
      <c r="G353" s="5" t="str">
        <f t="shared" si="21"/>
        <v/>
      </c>
    </row>
    <row r="354" spans="7:7">
      <c r="G354" s="5" t="str">
        <f t="shared" si="21"/>
        <v/>
      </c>
    </row>
    <row r="355" spans="7:7">
      <c r="G355" s="5" t="str">
        <f t="shared" si="21"/>
        <v/>
      </c>
    </row>
    <row r="356" spans="7:7">
      <c r="G356" s="5" t="str">
        <f t="shared" si="21"/>
        <v/>
      </c>
    </row>
    <row r="357" spans="7:7">
      <c r="G357" s="5" t="str">
        <f t="shared" si="21"/>
        <v/>
      </c>
    </row>
    <row r="358" spans="7:7">
      <c r="G358" s="5" t="str">
        <f t="shared" si="21"/>
        <v/>
      </c>
    </row>
    <row r="359" spans="7:7">
      <c r="G359" s="5" t="str">
        <f t="shared" si="21"/>
        <v/>
      </c>
    </row>
    <row r="360" spans="7:7">
      <c r="G360" s="5" t="str">
        <f t="shared" si="21"/>
        <v/>
      </c>
    </row>
    <row r="361" spans="7:7">
      <c r="G361" s="5" t="str">
        <f t="shared" si="21"/>
        <v/>
      </c>
    </row>
    <row r="362" spans="7:7">
      <c r="G362" s="5" t="str">
        <f t="shared" si="21"/>
        <v/>
      </c>
    </row>
    <row r="363" spans="7:7">
      <c r="G363" s="5" t="str">
        <f t="shared" si="21"/>
        <v/>
      </c>
    </row>
    <row r="364" spans="7:7">
      <c r="G364" s="5" t="str">
        <f t="shared" si="21"/>
        <v/>
      </c>
    </row>
    <row r="365" spans="7:7">
      <c r="G365" s="5" t="str">
        <f t="shared" si="21"/>
        <v/>
      </c>
    </row>
    <row r="366" spans="7:7">
      <c r="G366" s="5" t="str">
        <f t="shared" si="21"/>
        <v/>
      </c>
    </row>
    <row r="367" spans="7:7">
      <c r="G367" s="5" t="str">
        <f t="shared" si="21"/>
        <v/>
      </c>
    </row>
    <row r="368" spans="7:7">
      <c r="G368" s="5" t="str">
        <f t="shared" si="21"/>
        <v/>
      </c>
    </row>
    <row r="369" spans="7:7">
      <c r="G369" s="5" t="str">
        <f t="shared" si="21"/>
        <v/>
      </c>
    </row>
    <row r="370" spans="7:7">
      <c r="G370" s="5" t="str">
        <f t="shared" si="21"/>
        <v/>
      </c>
    </row>
    <row r="371" spans="7:7">
      <c r="G371" s="5" t="str">
        <f t="shared" si="21"/>
        <v/>
      </c>
    </row>
    <row r="372" spans="7:7">
      <c r="G372" s="5" t="str">
        <f t="shared" si="21"/>
        <v/>
      </c>
    </row>
    <row r="373" spans="7:7">
      <c r="G373" s="5" t="str">
        <f t="shared" si="21"/>
        <v/>
      </c>
    </row>
    <row r="374" spans="7:7">
      <c r="G374" s="5" t="str">
        <f t="shared" si="21"/>
        <v/>
      </c>
    </row>
    <row r="375" spans="7:7">
      <c r="G375" s="5" t="str">
        <f t="shared" si="21"/>
        <v/>
      </c>
    </row>
    <row r="376" spans="7:7">
      <c r="G376" s="5" t="str">
        <f t="shared" si="21"/>
        <v/>
      </c>
    </row>
    <row r="377" spans="7:7">
      <c r="G377" s="5" t="str">
        <f t="shared" si="21"/>
        <v/>
      </c>
    </row>
    <row r="378" spans="7:7">
      <c r="G378" s="5" t="str">
        <f t="shared" si="21"/>
        <v/>
      </c>
    </row>
    <row r="379" spans="7:7">
      <c r="G379" s="5" t="str">
        <f t="shared" si="21"/>
        <v/>
      </c>
    </row>
    <row r="380" spans="7:7">
      <c r="G380" s="5" t="str">
        <f t="shared" si="21"/>
        <v/>
      </c>
    </row>
    <row r="381" spans="7:7">
      <c r="G381" s="5" t="str">
        <f t="shared" si="21"/>
        <v/>
      </c>
    </row>
    <row r="382" spans="7:7">
      <c r="G382" s="5" t="str">
        <f t="shared" si="21"/>
        <v/>
      </c>
    </row>
    <row r="383" spans="7:7">
      <c r="G383" s="5" t="str">
        <f t="shared" si="21"/>
        <v/>
      </c>
    </row>
    <row r="384" spans="7:7">
      <c r="G384" s="5" t="str">
        <f t="shared" si="21"/>
        <v/>
      </c>
    </row>
    <row r="385" spans="7:7">
      <c r="G385" s="5" t="str">
        <f t="shared" si="21"/>
        <v/>
      </c>
    </row>
    <row r="386" spans="7:7">
      <c r="G386" s="5" t="str">
        <f t="shared" si="21"/>
        <v/>
      </c>
    </row>
    <row r="387" spans="7:7">
      <c r="G387" s="5" t="str">
        <f t="shared" si="21"/>
        <v/>
      </c>
    </row>
    <row r="388" spans="7:7">
      <c r="G388" s="5" t="str">
        <f t="shared" si="21"/>
        <v/>
      </c>
    </row>
    <row r="389" spans="7:7">
      <c r="G389" s="5" t="str">
        <f t="shared" si="21"/>
        <v/>
      </c>
    </row>
    <row r="390" spans="7:7">
      <c r="G390" s="5" t="str">
        <f t="shared" si="21"/>
        <v/>
      </c>
    </row>
    <row r="391" spans="7:7">
      <c r="G391" s="5" t="str">
        <f t="shared" ref="G391:G454" si="22">IF(B391&lt;&gt;"",SUM(C391:F391),"")</f>
        <v/>
      </c>
    </row>
    <row r="392" spans="7:7">
      <c r="G392" s="5" t="str">
        <f t="shared" si="22"/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si="22"/>
        <v/>
      </c>
    </row>
    <row r="411" spans="7:7">
      <c r="G411" s="5" t="str">
        <f t="shared" si="22"/>
        <v/>
      </c>
    </row>
    <row r="412" spans="7:7">
      <c r="G412" s="5" t="str">
        <f t="shared" si="22"/>
        <v/>
      </c>
    </row>
    <row r="413" spans="7:7">
      <c r="G413" s="5" t="str">
        <f t="shared" si="22"/>
        <v/>
      </c>
    </row>
    <row r="414" spans="7:7">
      <c r="G414" s="5" t="str">
        <f t="shared" si="22"/>
        <v/>
      </c>
    </row>
    <row r="415" spans="7:7">
      <c r="G415" s="5" t="str">
        <f t="shared" si="22"/>
        <v/>
      </c>
    </row>
    <row r="416" spans="7:7">
      <c r="G416" s="5" t="str">
        <f t="shared" si="22"/>
        <v/>
      </c>
    </row>
    <row r="417" spans="7:7">
      <c r="G417" s="5" t="str">
        <f t="shared" si="22"/>
        <v/>
      </c>
    </row>
    <row r="418" spans="7:7">
      <c r="G418" s="5" t="str">
        <f t="shared" si="22"/>
        <v/>
      </c>
    </row>
    <row r="419" spans="7:7">
      <c r="G419" s="5" t="str">
        <f t="shared" si="22"/>
        <v/>
      </c>
    </row>
    <row r="420" spans="7:7">
      <c r="G420" s="5" t="str">
        <f t="shared" si="22"/>
        <v/>
      </c>
    </row>
    <row r="421" spans="7:7">
      <c r="G421" s="5" t="str">
        <f t="shared" si="22"/>
        <v/>
      </c>
    </row>
    <row r="422" spans="7:7">
      <c r="G422" s="5" t="str">
        <f t="shared" si="22"/>
        <v/>
      </c>
    </row>
    <row r="423" spans="7:7">
      <c r="G423" s="5" t="str">
        <f t="shared" si="22"/>
        <v/>
      </c>
    </row>
    <row r="424" spans="7:7">
      <c r="G424" s="5" t="str">
        <f t="shared" si="22"/>
        <v/>
      </c>
    </row>
    <row r="425" spans="7:7">
      <c r="G425" s="5" t="str">
        <f t="shared" si="22"/>
        <v/>
      </c>
    </row>
    <row r="426" spans="7:7">
      <c r="G426" s="5" t="str">
        <f t="shared" si="22"/>
        <v/>
      </c>
    </row>
    <row r="427" spans="7:7">
      <c r="G427" s="5" t="str">
        <f t="shared" si="22"/>
        <v/>
      </c>
    </row>
    <row r="428" spans="7:7">
      <c r="G428" s="5" t="str">
        <f t="shared" si="22"/>
        <v/>
      </c>
    </row>
    <row r="429" spans="7:7">
      <c r="G429" s="5" t="str">
        <f t="shared" si="22"/>
        <v/>
      </c>
    </row>
    <row r="430" spans="7:7">
      <c r="G430" s="5" t="str">
        <f t="shared" si="22"/>
        <v/>
      </c>
    </row>
    <row r="431" spans="7:7">
      <c r="G431" s="5" t="str">
        <f t="shared" si="22"/>
        <v/>
      </c>
    </row>
    <row r="432" spans="7:7">
      <c r="G432" s="5" t="str">
        <f t="shared" si="22"/>
        <v/>
      </c>
    </row>
    <row r="433" spans="7:7">
      <c r="G433" s="5" t="str">
        <f t="shared" si="22"/>
        <v/>
      </c>
    </row>
    <row r="434" spans="7:7">
      <c r="G434" s="5" t="str">
        <f t="shared" si="22"/>
        <v/>
      </c>
    </row>
    <row r="435" spans="7:7">
      <c r="G435" s="5" t="str">
        <f t="shared" si="22"/>
        <v/>
      </c>
    </row>
    <row r="436" spans="7:7">
      <c r="G436" s="5" t="str">
        <f t="shared" si="22"/>
        <v/>
      </c>
    </row>
    <row r="437" spans="7:7">
      <c r="G437" s="5" t="str">
        <f t="shared" si="22"/>
        <v/>
      </c>
    </row>
    <row r="438" spans="7:7">
      <c r="G438" s="5" t="str">
        <f t="shared" si="22"/>
        <v/>
      </c>
    </row>
    <row r="439" spans="7:7">
      <c r="G439" s="5" t="str">
        <f t="shared" si="22"/>
        <v/>
      </c>
    </row>
    <row r="440" spans="7:7">
      <c r="G440" s="5" t="str">
        <f t="shared" si="22"/>
        <v/>
      </c>
    </row>
    <row r="441" spans="7:7">
      <c r="G441" s="5" t="str">
        <f t="shared" si="22"/>
        <v/>
      </c>
    </row>
    <row r="442" spans="7:7">
      <c r="G442" s="5" t="str">
        <f t="shared" si="22"/>
        <v/>
      </c>
    </row>
    <row r="443" spans="7:7">
      <c r="G443" s="5" t="str">
        <f t="shared" si="22"/>
        <v/>
      </c>
    </row>
    <row r="444" spans="7:7">
      <c r="G444" s="5" t="str">
        <f t="shared" si="22"/>
        <v/>
      </c>
    </row>
    <row r="445" spans="7:7">
      <c r="G445" s="5" t="str">
        <f t="shared" si="22"/>
        <v/>
      </c>
    </row>
    <row r="446" spans="7:7">
      <c r="G446" s="5" t="str">
        <f t="shared" si="22"/>
        <v/>
      </c>
    </row>
    <row r="447" spans="7:7">
      <c r="G447" s="5" t="str">
        <f t="shared" si="22"/>
        <v/>
      </c>
    </row>
    <row r="448" spans="7:7">
      <c r="G448" s="5" t="str">
        <f t="shared" si="22"/>
        <v/>
      </c>
    </row>
    <row r="449" spans="7:7">
      <c r="G449" s="5" t="str">
        <f t="shared" si="22"/>
        <v/>
      </c>
    </row>
    <row r="450" spans="7:7">
      <c r="G450" s="5" t="str">
        <f t="shared" si="22"/>
        <v/>
      </c>
    </row>
    <row r="451" spans="7:7">
      <c r="G451" s="5" t="str">
        <f t="shared" si="22"/>
        <v/>
      </c>
    </row>
    <row r="452" spans="7:7">
      <c r="G452" s="5" t="str">
        <f t="shared" si="22"/>
        <v/>
      </c>
    </row>
    <row r="453" spans="7:7">
      <c r="G453" s="5" t="str">
        <f t="shared" si="22"/>
        <v/>
      </c>
    </row>
    <row r="454" spans="7:7">
      <c r="G454" s="5" t="str">
        <f t="shared" si="22"/>
        <v/>
      </c>
    </row>
    <row r="455" spans="7:7">
      <c r="G455" s="5" t="str">
        <f t="shared" ref="G455:G486" si="23">IF(B455&lt;&gt;"",SUM(C455:F455),"")</f>
        <v/>
      </c>
    </row>
    <row r="456" spans="7:7">
      <c r="G456" s="5" t="str">
        <f t="shared" si="23"/>
        <v/>
      </c>
    </row>
    <row r="457" spans="7:7">
      <c r="G457" s="5" t="str">
        <f t="shared" si="23"/>
        <v/>
      </c>
    </row>
    <row r="458" spans="7:7">
      <c r="G458" s="5" t="str">
        <f t="shared" si="23"/>
        <v/>
      </c>
    </row>
    <row r="459" spans="7:7">
      <c r="G459" s="5" t="str">
        <f t="shared" si="23"/>
        <v/>
      </c>
    </row>
    <row r="460" spans="7:7">
      <c r="G460" s="5" t="str">
        <f t="shared" si="23"/>
        <v/>
      </c>
    </row>
    <row r="461" spans="7:7">
      <c r="G461" s="5" t="str">
        <f t="shared" si="23"/>
        <v/>
      </c>
    </row>
    <row r="462" spans="7:7">
      <c r="G462" s="5" t="str">
        <f t="shared" si="23"/>
        <v/>
      </c>
    </row>
    <row r="463" spans="7:7">
      <c r="G463" s="5" t="str">
        <f t="shared" si="23"/>
        <v/>
      </c>
    </row>
    <row r="464" spans="7:7">
      <c r="G464" s="5" t="str">
        <f t="shared" si="23"/>
        <v/>
      </c>
    </row>
    <row r="465" spans="7:7">
      <c r="G465" s="5" t="str">
        <f t="shared" si="23"/>
        <v/>
      </c>
    </row>
    <row r="466" spans="7:7">
      <c r="G466" s="5" t="str">
        <f t="shared" si="23"/>
        <v/>
      </c>
    </row>
    <row r="467" spans="7:7">
      <c r="G467" s="5" t="str">
        <f t="shared" si="23"/>
        <v/>
      </c>
    </row>
    <row r="468" spans="7:7">
      <c r="G468" s="5" t="str">
        <f t="shared" si="23"/>
        <v/>
      </c>
    </row>
    <row r="469" spans="7:7">
      <c r="G469" s="5" t="str">
        <f t="shared" si="23"/>
        <v/>
      </c>
    </row>
    <row r="470" spans="7:7">
      <c r="G470" s="5" t="str">
        <f t="shared" si="23"/>
        <v/>
      </c>
    </row>
    <row r="471" spans="7:7">
      <c r="G471" s="5" t="str">
        <f t="shared" si="23"/>
        <v/>
      </c>
    </row>
    <row r="472" spans="7:7">
      <c r="G472" s="5" t="str">
        <f t="shared" si="23"/>
        <v/>
      </c>
    </row>
    <row r="473" spans="7:7">
      <c r="G473" s="5" t="str">
        <f t="shared" si="23"/>
        <v/>
      </c>
    </row>
    <row r="474" spans="7:7">
      <c r="G474" s="5" t="str">
        <f t="shared" si="23"/>
        <v/>
      </c>
    </row>
    <row r="475" spans="7:7">
      <c r="G475" s="5" t="str">
        <f t="shared" si="23"/>
        <v/>
      </c>
    </row>
    <row r="476" spans="7:7">
      <c r="G476" s="5" t="str">
        <f t="shared" si="23"/>
        <v/>
      </c>
    </row>
    <row r="477" spans="7:7">
      <c r="G477" s="5" t="str">
        <f t="shared" si="23"/>
        <v/>
      </c>
    </row>
    <row r="478" spans="7:7">
      <c r="G478" s="5" t="str">
        <f t="shared" si="23"/>
        <v/>
      </c>
    </row>
    <row r="479" spans="7:7">
      <c r="G479" s="5" t="str">
        <f t="shared" si="23"/>
        <v/>
      </c>
    </row>
    <row r="480" spans="7:7">
      <c r="G480" s="5" t="str">
        <f t="shared" si="23"/>
        <v/>
      </c>
    </row>
    <row r="481" spans="7:7">
      <c r="G481" s="5" t="str">
        <f t="shared" si="23"/>
        <v/>
      </c>
    </row>
    <row r="482" spans="7:7">
      <c r="G482" s="5" t="str">
        <f t="shared" si="23"/>
        <v/>
      </c>
    </row>
    <row r="483" spans="7:7">
      <c r="G483" s="5" t="str">
        <f t="shared" si="23"/>
        <v/>
      </c>
    </row>
    <row r="484" spans="7:7">
      <c r="G484" s="5" t="str">
        <f t="shared" si="23"/>
        <v/>
      </c>
    </row>
    <row r="485" spans="7:7">
      <c r="G485" s="5" t="str">
        <f t="shared" si="23"/>
        <v/>
      </c>
    </row>
    <row r="486" spans="7:7">
      <c r="G486" s="5" t="str">
        <f t="shared" si="23"/>
        <v/>
      </c>
    </row>
  </sheetData>
  <sheetProtection sort="0" autoFilter="0" pivotTables="0"/>
  <autoFilter ref="H5:H63" xr:uid="{9863C277-2656-42FF-9105-85A78C34B4CE}">
    <filterColumn colId="0">
      <filters blank="1">
        <filter val="102"/>
        <filter val="12"/>
        <filter val="148"/>
        <filter val="18"/>
        <filter val="24"/>
        <filter val="312"/>
        <filter val="440"/>
        <filter val="510"/>
        <filter val="60"/>
        <filter val="72"/>
        <filter val="960"/>
        <filter val="R$ 230.602,22"/>
      </filters>
    </filterColumn>
  </autoFilter>
  <sortState xmlns:xlrd2="http://schemas.microsoft.com/office/spreadsheetml/2017/richdata2" ref="B6:M61">
    <sortCondition ref="B6:B61"/>
  </sortState>
  <pageMargins left="0.78740157480314965" right="0.78740157480314965" top="0.78740157480314965" bottom="0.78740157480314965" header="0" footer="0"/>
  <pageSetup paperSize="9" scale="85" fitToHeight="0" orientation="landscape" horizontalDpi="4294967295" verticalDpi="4294967295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B4FED-09D8-4AD3-A348-3ECBAC0623B8}">
  <sheetPr codeName="Planilha49" filterMode="1">
    <tabColor rgb="FF006600"/>
    <pageSetUpPr fitToPage="1"/>
  </sheetPr>
  <dimension ref="B1:S483"/>
  <sheetViews>
    <sheetView workbookViewId="0">
      <pane ySplit="5" topLeftCell="A6" activePane="bottomLeft" state="frozen"/>
      <selection activeCell="H9" sqref="H9"/>
      <selection pane="bottomLeft" activeCell="M50" sqref="M50"/>
    </sheetView>
  </sheetViews>
  <sheetFormatPr defaultColWidth="9.140625" defaultRowHeight="15.75"/>
  <cols>
    <col min="1" max="1" width="0.5703125" style="1" customWidth="1"/>
    <col min="2" max="2" width="57.85546875" style="3" customWidth="1"/>
    <col min="3" max="6" width="13.5703125" style="15" customWidth="1"/>
    <col min="7" max="7" width="13.5703125" style="5" customWidth="1"/>
    <col min="8" max="8" width="14.5703125" style="119" customWidth="1"/>
    <col min="9" max="9" width="13" style="1" customWidth="1"/>
    <col min="10" max="11" width="9.5703125" style="9" customWidth="1"/>
    <col min="12" max="12" width="11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1070</v>
      </c>
      <c r="C2" s="4"/>
      <c r="D2" s="4"/>
      <c r="E2" s="4"/>
      <c r="F2" s="4"/>
      <c r="G2" s="4"/>
      <c r="H2" s="175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370" t="s">
        <v>6</v>
      </c>
      <c r="C4" s="43"/>
      <c r="D4" s="43"/>
      <c r="E4" s="43"/>
      <c r="F4" s="44"/>
      <c r="G4" s="45"/>
      <c r="H4" s="371"/>
      <c r="I4" s="371" t="s">
        <v>48</v>
      </c>
      <c r="J4" s="372" t="s">
        <v>9</v>
      </c>
      <c r="K4" s="372" t="s">
        <v>9</v>
      </c>
      <c r="L4" s="172">
        <v>4.7619047619047616E-2</v>
      </c>
      <c r="M4" s="373" t="s">
        <v>15</v>
      </c>
      <c r="N4" s="36"/>
      <c r="O4" s="19"/>
      <c r="P4" s="19"/>
      <c r="Q4" s="19"/>
      <c r="R4" s="19"/>
      <c r="S4" s="19"/>
    </row>
    <row r="5" spans="2:19" ht="16.5" thickBot="1">
      <c r="B5" s="365" t="s">
        <v>5</v>
      </c>
      <c r="C5" s="366" t="s">
        <v>0</v>
      </c>
      <c r="D5" s="366" t="s">
        <v>12</v>
      </c>
      <c r="E5" s="366" t="s">
        <v>2</v>
      </c>
      <c r="F5" s="366" t="s">
        <v>3</v>
      </c>
      <c r="G5" s="367" t="s">
        <v>1</v>
      </c>
      <c r="H5" s="368" t="s">
        <v>4</v>
      </c>
      <c r="I5" s="368" t="s">
        <v>7</v>
      </c>
      <c r="J5" s="369" t="s">
        <v>8</v>
      </c>
      <c r="K5" s="369" t="s">
        <v>10</v>
      </c>
      <c r="L5" s="378" t="s">
        <v>11</v>
      </c>
      <c r="M5" s="389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211" t="s">
        <v>1028</v>
      </c>
      <c r="C6" s="151"/>
      <c r="D6" s="151"/>
      <c r="E6" s="151"/>
      <c r="F6" s="152"/>
      <c r="G6" s="153"/>
      <c r="H6" s="154">
        <f>SUM(C6:G6)</f>
        <v>0</v>
      </c>
      <c r="I6" s="401">
        <f t="shared" ref="I6:I58" si="0">L6-(L6*J6)</f>
        <v>7.72</v>
      </c>
      <c r="J6" s="155"/>
      <c r="K6" s="156"/>
      <c r="L6" s="224">
        <v>7.72</v>
      </c>
      <c r="M6" s="226">
        <v>30</v>
      </c>
      <c r="N6" s="25">
        <f t="shared" ref="N6:N58" si="1">I6*C6</f>
        <v>0</v>
      </c>
      <c r="O6" s="25">
        <f t="shared" ref="O6:O58" si="2">I6*D6</f>
        <v>0</v>
      </c>
      <c r="P6" s="25">
        <f t="shared" ref="P6:P58" si="3">I6*E6</f>
        <v>0</v>
      </c>
      <c r="Q6" s="26">
        <f t="shared" ref="Q6:Q58" si="4">I6*F6</f>
        <v>0</v>
      </c>
      <c r="R6" s="27">
        <f t="shared" ref="R6:R58" si="5">I6*G6</f>
        <v>0</v>
      </c>
      <c r="S6" s="28">
        <f>SUM(N6:R6)</f>
        <v>0</v>
      </c>
    </row>
    <row r="7" spans="2:19" hidden="1">
      <c r="B7" s="211" t="s">
        <v>1029</v>
      </c>
      <c r="C7" s="157"/>
      <c r="D7" s="157"/>
      <c r="E7" s="157"/>
      <c r="F7" s="158"/>
      <c r="G7" s="159"/>
      <c r="H7" s="160">
        <f t="shared" ref="H7:H58" si="6">SUM(C7:G7)</f>
        <v>0</v>
      </c>
      <c r="I7" s="402">
        <f t="shared" si="0"/>
        <v>14.08</v>
      </c>
      <c r="J7" s="155"/>
      <c r="K7" s="161"/>
      <c r="L7" s="224">
        <v>14.08</v>
      </c>
      <c r="M7" s="226">
        <v>30</v>
      </c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58" si="7">SUM(N7:R7)</f>
        <v>0</v>
      </c>
    </row>
    <row r="8" spans="2:19" hidden="1">
      <c r="B8" s="211" t="s">
        <v>791</v>
      </c>
      <c r="C8" s="157"/>
      <c r="D8" s="157"/>
      <c r="E8" s="157"/>
      <c r="F8" s="158"/>
      <c r="G8" s="159"/>
      <c r="H8" s="160">
        <f t="shared" si="6"/>
        <v>0</v>
      </c>
      <c r="I8" s="402">
        <f t="shared" si="0"/>
        <v>16.54</v>
      </c>
      <c r="J8" s="155"/>
      <c r="K8" s="161"/>
      <c r="L8" s="224">
        <v>16.54</v>
      </c>
      <c r="M8" s="226">
        <v>12</v>
      </c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 hidden="1">
      <c r="B9" s="211" t="s">
        <v>1030</v>
      </c>
      <c r="C9" s="157"/>
      <c r="D9" s="157"/>
      <c r="E9" s="157"/>
      <c r="F9" s="158"/>
      <c r="G9" s="159"/>
      <c r="H9" s="160">
        <f t="shared" si="6"/>
        <v>0</v>
      </c>
      <c r="I9" s="402">
        <f t="shared" si="0"/>
        <v>13.88</v>
      </c>
      <c r="J9" s="155"/>
      <c r="K9" s="161"/>
      <c r="L9" s="224">
        <v>13.88</v>
      </c>
      <c r="M9" s="226">
        <v>30</v>
      </c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 hidden="1">
      <c r="B10" s="211" t="s">
        <v>1031</v>
      </c>
      <c r="C10" s="157"/>
      <c r="D10" s="157"/>
      <c r="E10" s="157"/>
      <c r="F10" s="158"/>
      <c r="G10" s="159"/>
      <c r="H10" s="160">
        <f t="shared" si="6"/>
        <v>0</v>
      </c>
      <c r="I10" s="402">
        <f t="shared" si="0"/>
        <v>15.98</v>
      </c>
      <c r="J10" s="155"/>
      <c r="K10" s="161"/>
      <c r="L10" s="224">
        <v>15.98</v>
      </c>
      <c r="M10" s="226">
        <v>30</v>
      </c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 hidden="1">
      <c r="B11" s="211" t="s">
        <v>1032</v>
      </c>
      <c r="C11" s="157"/>
      <c r="D11" s="157"/>
      <c r="E11" s="157"/>
      <c r="F11" s="158"/>
      <c r="G11" s="159"/>
      <c r="H11" s="160">
        <f t="shared" si="6"/>
        <v>0</v>
      </c>
      <c r="I11" s="402">
        <f t="shared" si="0"/>
        <v>14.19</v>
      </c>
      <c r="J11" s="155"/>
      <c r="K11" s="161"/>
      <c r="L11" s="225">
        <v>14.19</v>
      </c>
      <c r="M11" s="226">
        <v>30</v>
      </c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0</v>
      </c>
      <c r="R11" s="27">
        <f t="shared" si="5"/>
        <v>0</v>
      </c>
      <c r="S11" s="28">
        <f t="shared" si="7"/>
        <v>0</v>
      </c>
    </row>
    <row r="12" spans="2:19" hidden="1">
      <c r="B12" s="211" t="s">
        <v>497</v>
      </c>
      <c r="C12" s="157"/>
      <c r="D12" s="157"/>
      <c r="E12" s="157"/>
      <c r="F12" s="158"/>
      <c r="G12" s="159"/>
      <c r="H12" s="160">
        <f t="shared" si="6"/>
        <v>0</v>
      </c>
      <c r="I12" s="402">
        <f t="shared" si="0"/>
        <v>15.83</v>
      </c>
      <c r="J12" s="155"/>
      <c r="K12" s="161"/>
      <c r="L12" s="225">
        <v>15.83</v>
      </c>
      <c r="M12" s="226">
        <v>30</v>
      </c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>
      <c r="B13" s="211" t="s">
        <v>1033</v>
      </c>
      <c r="C13" s="157"/>
      <c r="D13" s="157"/>
      <c r="E13" s="157"/>
      <c r="F13" s="158"/>
      <c r="G13" s="159">
        <v>96</v>
      </c>
      <c r="H13" s="160">
        <f t="shared" si="6"/>
        <v>96</v>
      </c>
      <c r="I13" s="402"/>
      <c r="J13" s="671" t="s">
        <v>2547</v>
      </c>
      <c r="K13" s="672"/>
      <c r="L13" s="225">
        <v>11.69</v>
      </c>
      <c r="M13" s="226">
        <v>12</v>
      </c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 hidden="1">
      <c r="B14" s="211" t="s">
        <v>498</v>
      </c>
      <c r="C14" s="157"/>
      <c r="D14" s="157"/>
      <c r="E14" s="157"/>
      <c r="F14" s="158"/>
      <c r="G14" s="159"/>
      <c r="H14" s="160">
        <f t="shared" si="6"/>
        <v>0</v>
      </c>
      <c r="I14" s="402">
        <f t="shared" si="0"/>
        <v>18.98</v>
      </c>
      <c r="J14" s="155"/>
      <c r="K14" s="161"/>
      <c r="L14" s="225">
        <v>18.98</v>
      </c>
      <c r="M14" s="226">
        <v>30</v>
      </c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 hidden="1">
      <c r="B15" s="211" t="s">
        <v>1034</v>
      </c>
      <c r="C15" s="157"/>
      <c r="D15" s="157"/>
      <c r="E15" s="157"/>
      <c r="F15" s="158"/>
      <c r="G15" s="159"/>
      <c r="H15" s="160">
        <f t="shared" si="6"/>
        <v>0</v>
      </c>
      <c r="I15" s="402">
        <f t="shared" si="0"/>
        <v>91.13</v>
      </c>
      <c r="J15" s="155"/>
      <c r="K15" s="161"/>
      <c r="L15" s="225">
        <v>91.13</v>
      </c>
      <c r="M15" s="226">
        <v>12</v>
      </c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 hidden="1">
      <c r="B16" s="211" t="s">
        <v>792</v>
      </c>
      <c r="C16" s="157"/>
      <c r="D16" s="157"/>
      <c r="E16" s="157"/>
      <c r="F16" s="158"/>
      <c r="G16" s="159"/>
      <c r="H16" s="160">
        <f t="shared" si="6"/>
        <v>0</v>
      </c>
      <c r="I16" s="402">
        <f t="shared" si="0"/>
        <v>19.23</v>
      </c>
      <c r="J16" s="155"/>
      <c r="K16" s="161"/>
      <c r="L16" s="224">
        <v>19.23</v>
      </c>
      <c r="M16" s="226">
        <v>16</v>
      </c>
      <c r="N16" s="25">
        <f t="shared" si="1"/>
        <v>0</v>
      </c>
      <c r="O16" s="25">
        <f t="shared" si="2"/>
        <v>0</v>
      </c>
      <c r="P16" s="25">
        <f t="shared" si="3"/>
        <v>0</v>
      </c>
      <c r="Q16" s="26">
        <f t="shared" si="4"/>
        <v>0</v>
      </c>
      <c r="R16" s="27">
        <f t="shared" si="5"/>
        <v>0</v>
      </c>
      <c r="S16" s="28">
        <f t="shared" si="7"/>
        <v>0</v>
      </c>
    </row>
    <row r="17" spans="2:19" hidden="1">
      <c r="B17" s="211" t="s">
        <v>1035</v>
      </c>
      <c r="C17" s="157"/>
      <c r="D17" s="157"/>
      <c r="E17" s="157"/>
      <c r="F17" s="158"/>
      <c r="G17" s="159"/>
      <c r="H17" s="160">
        <f t="shared" si="6"/>
        <v>0</v>
      </c>
      <c r="I17" s="402">
        <f t="shared" si="0"/>
        <v>34.58</v>
      </c>
      <c r="J17" s="155"/>
      <c r="K17" s="161"/>
      <c r="L17" s="225">
        <v>34.58</v>
      </c>
      <c r="M17" s="226">
        <v>30</v>
      </c>
      <c r="N17" s="25">
        <f t="shared" si="1"/>
        <v>0</v>
      </c>
      <c r="O17" s="25">
        <f t="shared" si="2"/>
        <v>0</v>
      </c>
      <c r="P17" s="25">
        <f t="shared" si="3"/>
        <v>0</v>
      </c>
      <c r="Q17" s="26">
        <f t="shared" si="4"/>
        <v>0</v>
      </c>
      <c r="R17" s="27">
        <f t="shared" si="5"/>
        <v>0</v>
      </c>
      <c r="S17" s="28">
        <f t="shared" si="7"/>
        <v>0</v>
      </c>
    </row>
    <row r="18" spans="2:19" hidden="1">
      <c r="B18" s="211" t="s">
        <v>1036</v>
      </c>
      <c r="C18" s="157"/>
      <c r="D18" s="157"/>
      <c r="E18" s="157"/>
      <c r="F18" s="158"/>
      <c r="G18" s="159"/>
      <c r="H18" s="160">
        <f t="shared" si="6"/>
        <v>0</v>
      </c>
      <c r="I18" s="402">
        <f t="shared" si="0"/>
        <v>39.520000000000003</v>
      </c>
      <c r="J18" s="155"/>
      <c r="K18" s="161"/>
      <c r="L18" s="225">
        <v>39.520000000000003</v>
      </c>
      <c r="M18" s="226">
        <v>12</v>
      </c>
      <c r="N18" s="25">
        <f t="shared" si="1"/>
        <v>0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0</v>
      </c>
      <c r="S18" s="28">
        <f t="shared" si="7"/>
        <v>0</v>
      </c>
    </row>
    <row r="19" spans="2:19" hidden="1">
      <c r="B19" s="211" t="s">
        <v>1037</v>
      </c>
      <c r="C19" s="157"/>
      <c r="D19" s="157"/>
      <c r="E19" s="157"/>
      <c r="F19" s="158"/>
      <c r="G19" s="159"/>
      <c r="H19" s="160">
        <f t="shared" si="6"/>
        <v>0</v>
      </c>
      <c r="I19" s="402">
        <f t="shared" si="0"/>
        <v>57.85</v>
      </c>
      <c r="J19" s="155"/>
      <c r="K19" s="161"/>
      <c r="L19" s="225">
        <v>57.85</v>
      </c>
      <c r="M19" s="226">
        <v>12</v>
      </c>
      <c r="N19" s="25">
        <f t="shared" si="1"/>
        <v>0</v>
      </c>
      <c r="O19" s="25">
        <f t="shared" si="2"/>
        <v>0</v>
      </c>
      <c r="P19" s="25">
        <f t="shared" si="3"/>
        <v>0</v>
      </c>
      <c r="Q19" s="26">
        <f t="shared" si="4"/>
        <v>0</v>
      </c>
      <c r="R19" s="27">
        <f t="shared" si="5"/>
        <v>0</v>
      </c>
      <c r="S19" s="28">
        <f t="shared" si="7"/>
        <v>0</v>
      </c>
    </row>
    <row r="20" spans="2:19" hidden="1">
      <c r="B20" s="211" t="s">
        <v>1038</v>
      </c>
      <c r="C20" s="157"/>
      <c r="D20" s="157"/>
      <c r="E20" s="157"/>
      <c r="F20" s="158"/>
      <c r="G20" s="159"/>
      <c r="H20" s="160">
        <f t="shared" si="6"/>
        <v>0</v>
      </c>
      <c r="I20" s="402">
        <f t="shared" si="0"/>
        <v>15.36</v>
      </c>
      <c r="J20" s="155"/>
      <c r="K20" s="161"/>
      <c r="L20" s="224">
        <v>15.36</v>
      </c>
      <c r="M20" s="226">
        <v>30</v>
      </c>
      <c r="N20" s="25">
        <f t="shared" si="1"/>
        <v>0</v>
      </c>
      <c r="O20" s="25">
        <f t="shared" si="2"/>
        <v>0</v>
      </c>
      <c r="P20" s="25">
        <f t="shared" si="3"/>
        <v>0</v>
      </c>
      <c r="Q20" s="26">
        <f t="shared" si="4"/>
        <v>0</v>
      </c>
      <c r="R20" s="27">
        <f t="shared" si="5"/>
        <v>0</v>
      </c>
      <c r="S20" s="28">
        <f t="shared" si="7"/>
        <v>0</v>
      </c>
    </row>
    <row r="21" spans="2:19" hidden="1">
      <c r="B21" s="211" t="s">
        <v>1039</v>
      </c>
      <c r="C21" s="157"/>
      <c r="D21" s="157"/>
      <c r="E21" s="157"/>
      <c r="F21" s="158"/>
      <c r="G21" s="159"/>
      <c r="H21" s="160">
        <f t="shared" si="6"/>
        <v>0</v>
      </c>
      <c r="I21" s="402">
        <f t="shared" si="0"/>
        <v>18.100000000000001</v>
      </c>
      <c r="J21" s="155"/>
      <c r="K21" s="161"/>
      <c r="L21" s="225">
        <v>18.100000000000001</v>
      </c>
      <c r="M21" s="226">
        <v>45</v>
      </c>
      <c r="N21" s="25">
        <f t="shared" si="1"/>
        <v>0</v>
      </c>
      <c r="O21" s="25">
        <f t="shared" si="2"/>
        <v>0</v>
      </c>
      <c r="P21" s="25">
        <f t="shared" si="3"/>
        <v>0</v>
      </c>
      <c r="Q21" s="26">
        <f t="shared" si="4"/>
        <v>0</v>
      </c>
      <c r="R21" s="27">
        <f t="shared" si="5"/>
        <v>0</v>
      </c>
      <c r="S21" s="28">
        <f t="shared" si="7"/>
        <v>0</v>
      </c>
    </row>
    <row r="22" spans="2:19" hidden="1">
      <c r="B22" s="211" t="s">
        <v>1040</v>
      </c>
      <c r="C22" s="157"/>
      <c r="D22" s="157"/>
      <c r="E22" s="157"/>
      <c r="F22" s="158"/>
      <c r="G22" s="159"/>
      <c r="H22" s="160">
        <f t="shared" si="6"/>
        <v>0</v>
      </c>
      <c r="I22" s="402">
        <f t="shared" si="0"/>
        <v>24.7</v>
      </c>
      <c r="J22" s="155"/>
      <c r="K22" s="161"/>
      <c r="L22" s="225">
        <v>24.7</v>
      </c>
      <c r="M22" s="226">
        <v>45</v>
      </c>
      <c r="N22" s="25">
        <f t="shared" si="1"/>
        <v>0</v>
      </c>
      <c r="O22" s="25">
        <f t="shared" si="2"/>
        <v>0</v>
      </c>
      <c r="P22" s="25">
        <f t="shared" si="3"/>
        <v>0</v>
      </c>
      <c r="Q22" s="26">
        <f t="shared" si="4"/>
        <v>0</v>
      </c>
      <c r="R22" s="27">
        <f t="shared" si="5"/>
        <v>0</v>
      </c>
      <c r="S22" s="28">
        <f t="shared" si="7"/>
        <v>0</v>
      </c>
    </row>
    <row r="23" spans="2:19" hidden="1">
      <c r="B23" s="211" t="s">
        <v>1041</v>
      </c>
      <c r="C23" s="157"/>
      <c r="D23" s="157"/>
      <c r="E23" s="157"/>
      <c r="F23" s="158"/>
      <c r="G23" s="159"/>
      <c r="H23" s="160">
        <f t="shared" si="6"/>
        <v>0</v>
      </c>
      <c r="I23" s="402">
        <f t="shared" si="0"/>
        <v>15.82</v>
      </c>
      <c r="J23" s="155"/>
      <c r="K23" s="161"/>
      <c r="L23" s="225">
        <v>15.82</v>
      </c>
      <c r="M23" s="226">
        <v>45</v>
      </c>
      <c r="N23" s="25">
        <f t="shared" si="1"/>
        <v>0</v>
      </c>
      <c r="O23" s="25">
        <f t="shared" si="2"/>
        <v>0</v>
      </c>
      <c r="P23" s="25">
        <f t="shared" si="3"/>
        <v>0</v>
      </c>
      <c r="Q23" s="26">
        <f t="shared" si="4"/>
        <v>0</v>
      </c>
      <c r="R23" s="27">
        <f t="shared" si="5"/>
        <v>0</v>
      </c>
      <c r="S23" s="28">
        <f t="shared" si="7"/>
        <v>0</v>
      </c>
    </row>
    <row r="24" spans="2:19" hidden="1">
      <c r="B24" s="211" t="s">
        <v>793</v>
      </c>
      <c r="C24" s="157"/>
      <c r="D24" s="157"/>
      <c r="E24" s="157"/>
      <c r="F24" s="158"/>
      <c r="G24" s="159"/>
      <c r="H24" s="160">
        <f t="shared" si="6"/>
        <v>0</v>
      </c>
      <c r="I24" s="402">
        <f t="shared" si="0"/>
        <v>5.49</v>
      </c>
      <c r="J24" s="155"/>
      <c r="K24" s="161"/>
      <c r="L24" s="225">
        <v>5.49</v>
      </c>
      <c r="M24" s="226">
        <v>12</v>
      </c>
      <c r="N24" s="25">
        <f t="shared" si="1"/>
        <v>0</v>
      </c>
      <c r="O24" s="25">
        <f t="shared" si="2"/>
        <v>0</v>
      </c>
      <c r="P24" s="25">
        <f t="shared" si="3"/>
        <v>0</v>
      </c>
      <c r="Q24" s="26">
        <f t="shared" si="4"/>
        <v>0</v>
      </c>
      <c r="R24" s="27">
        <f t="shared" si="5"/>
        <v>0</v>
      </c>
      <c r="S24" s="28">
        <f t="shared" si="7"/>
        <v>0</v>
      </c>
    </row>
    <row r="25" spans="2:19" hidden="1">
      <c r="B25" s="211" t="s">
        <v>1042</v>
      </c>
      <c r="C25" s="157"/>
      <c r="D25" s="157"/>
      <c r="E25" s="157"/>
      <c r="F25" s="158"/>
      <c r="G25" s="159"/>
      <c r="H25" s="160">
        <f t="shared" si="6"/>
        <v>0</v>
      </c>
      <c r="I25" s="402">
        <f t="shared" si="0"/>
        <v>12.91</v>
      </c>
      <c r="J25" s="155"/>
      <c r="K25" s="161"/>
      <c r="L25" s="224">
        <v>12.91</v>
      </c>
      <c r="M25" s="226">
        <v>30</v>
      </c>
      <c r="N25" s="25">
        <f t="shared" si="1"/>
        <v>0</v>
      </c>
      <c r="O25" s="25">
        <f t="shared" si="2"/>
        <v>0</v>
      </c>
      <c r="P25" s="25">
        <f t="shared" si="3"/>
        <v>0</v>
      </c>
      <c r="Q25" s="26">
        <f t="shared" si="4"/>
        <v>0</v>
      </c>
      <c r="R25" s="27">
        <f t="shared" si="5"/>
        <v>0</v>
      </c>
      <c r="S25" s="28">
        <f t="shared" si="7"/>
        <v>0</v>
      </c>
    </row>
    <row r="26" spans="2:19" hidden="1">
      <c r="B26" s="211" t="s">
        <v>1043</v>
      </c>
      <c r="C26" s="158"/>
      <c r="D26" s="158"/>
      <c r="E26" s="158"/>
      <c r="F26" s="158"/>
      <c r="G26" s="159"/>
      <c r="H26" s="160">
        <f t="shared" si="6"/>
        <v>0</v>
      </c>
      <c r="I26" s="402">
        <f t="shared" si="0"/>
        <v>17.559999999999999</v>
      </c>
      <c r="J26" s="155"/>
      <c r="K26" s="161"/>
      <c r="L26" s="224">
        <v>17.559999999999999</v>
      </c>
      <c r="M26" s="226">
        <v>45</v>
      </c>
      <c r="N26" s="25">
        <f t="shared" si="1"/>
        <v>0</v>
      </c>
      <c r="O26" s="25">
        <f t="shared" si="2"/>
        <v>0</v>
      </c>
      <c r="P26" s="25">
        <f t="shared" si="3"/>
        <v>0</v>
      </c>
      <c r="Q26" s="26">
        <f t="shared" si="4"/>
        <v>0</v>
      </c>
      <c r="R26" s="27">
        <f t="shared" si="5"/>
        <v>0</v>
      </c>
      <c r="S26" s="28">
        <f t="shared" si="7"/>
        <v>0</v>
      </c>
    </row>
    <row r="27" spans="2:19" hidden="1">
      <c r="B27" s="211" t="s">
        <v>1044</v>
      </c>
      <c r="C27" s="158"/>
      <c r="D27" s="158"/>
      <c r="E27" s="158"/>
      <c r="F27" s="158"/>
      <c r="G27" s="159"/>
      <c r="H27" s="160">
        <f t="shared" si="6"/>
        <v>0</v>
      </c>
      <c r="I27" s="402">
        <f t="shared" si="0"/>
        <v>23.66</v>
      </c>
      <c r="J27" s="155"/>
      <c r="K27" s="161"/>
      <c r="L27" s="224">
        <v>23.66</v>
      </c>
      <c r="M27" s="226">
        <v>45</v>
      </c>
      <c r="N27" s="25">
        <f t="shared" si="1"/>
        <v>0</v>
      </c>
      <c r="O27" s="25">
        <f t="shared" si="2"/>
        <v>0</v>
      </c>
      <c r="P27" s="25">
        <f t="shared" si="3"/>
        <v>0</v>
      </c>
      <c r="Q27" s="26">
        <f t="shared" si="4"/>
        <v>0</v>
      </c>
      <c r="R27" s="27">
        <f t="shared" si="5"/>
        <v>0</v>
      </c>
      <c r="S27" s="28">
        <f t="shared" si="7"/>
        <v>0</v>
      </c>
    </row>
    <row r="28" spans="2:19" hidden="1">
      <c r="B28" s="211" t="s">
        <v>1045</v>
      </c>
      <c r="C28" s="158"/>
      <c r="D28" s="158"/>
      <c r="E28" s="158"/>
      <c r="F28" s="158"/>
      <c r="G28" s="159"/>
      <c r="H28" s="160">
        <f t="shared" si="6"/>
        <v>0</v>
      </c>
      <c r="I28" s="402">
        <f t="shared" si="0"/>
        <v>8.77</v>
      </c>
      <c r="J28" s="155"/>
      <c r="K28" s="161"/>
      <c r="L28" s="224">
        <v>8.77</v>
      </c>
      <c r="M28" s="226">
        <v>45</v>
      </c>
      <c r="N28" s="25">
        <f t="shared" si="1"/>
        <v>0</v>
      </c>
      <c r="O28" s="25">
        <f t="shared" si="2"/>
        <v>0</v>
      </c>
      <c r="P28" s="25">
        <f t="shared" si="3"/>
        <v>0</v>
      </c>
      <c r="Q28" s="26">
        <f t="shared" si="4"/>
        <v>0</v>
      </c>
      <c r="R28" s="27">
        <f t="shared" si="5"/>
        <v>0</v>
      </c>
      <c r="S28" s="28">
        <f t="shared" si="7"/>
        <v>0</v>
      </c>
    </row>
    <row r="29" spans="2:19" hidden="1">
      <c r="B29" s="211" t="s">
        <v>1046</v>
      </c>
      <c r="C29" s="158"/>
      <c r="D29" s="158"/>
      <c r="E29" s="158"/>
      <c r="F29" s="158"/>
      <c r="G29" s="159"/>
      <c r="H29" s="160">
        <f t="shared" si="6"/>
        <v>0</v>
      </c>
      <c r="I29" s="402">
        <f t="shared" si="0"/>
        <v>14.32</v>
      </c>
      <c r="J29" s="155"/>
      <c r="K29" s="161"/>
      <c r="L29" s="224">
        <v>14.32</v>
      </c>
      <c r="M29" s="226">
        <v>30</v>
      </c>
      <c r="N29" s="25">
        <f t="shared" si="1"/>
        <v>0</v>
      </c>
      <c r="O29" s="25">
        <f t="shared" si="2"/>
        <v>0</v>
      </c>
      <c r="P29" s="25">
        <f t="shared" si="3"/>
        <v>0</v>
      </c>
      <c r="Q29" s="26">
        <f t="shared" si="4"/>
        <v>0</v>
      </c>
      <c r="R29" s="27">
        <f t="shared" si="5"/>
        <v>0</v>
      </c>
      <c r="S29" s="28">
        <f t="shared" si="7"/>
        <v>0</v>
      </c>
    </row>
    <row r="30" spans="2:19" hidden="1">
      <c r="B30" s="211" t="s">
        <v>1047</v>
      </c>
      <c r="C30" s="158"/>
      <c r="D30" s="158"/>
      <c r="E30" s="158"/>
      <c r="F30" s="158"/>
      <c r="G30" s="159"/>
      <c r="H30" s="160">
        <f t="shared" si="6"/>
        <v>0</v>
      </c>
      <c r="I30" s="402">
        <f t="shared" si="0"/>
        <v>31.37</v>
      </c>
      <c r="J30" s="155"/>
      <c r="K30" s="161"/>
      <c r="L30" s="224">
        <v>31.37</v>
      </c>
      <c r="M30" s="226">
        <v>6</v>
      </c>
      <c r="N30" s="25">
        <f t="shared" si="1"/>
        <v>0</v>
      </c>
      <c r="O30" s="25">
        <f t="shared" si="2"/>
        <v>0</v>
      </c>
      <c r="P30" s="25">
        <f t="shared" si="3"/>
        <v>0</v>
      </c>
      <c r="Q30" s="26">
        <f t="shared" si="4"/>
        <v>0</v>
      </c>
      <c r="R30" s="27">
        <f t="shared" si="5"/>
        <v>0</v>
      </c>
      <c r="S30" s="28">
        <f t="shared" si="7"/>
        <v>0</v>
      </c>
    </row>
    <row r="31" spans="2:19" hidden="1">
      <c r="B31" s="211" t="s">
        <v>1048</v>
      </c>
      <c r="C31" s="158"/>
      <c r="D31" s="158"/>
      <c r="E31" s="158"/>
      <c r="F31" s="158"/>
      <c r="G31" s="159"/>
      <c r="H31" s="160">
        <f t="shared" si="6"/>
        <v>0</v>
      </c>
      <c r="I31" s="402">
        <f t="shared" si="0"/>
        <v>103.82</v>
      </c>
      <c r="J31" s="155"/>
      <c r="K31" s="161"/>
      <c r="L31" s="224">
        <v>103.82</v>
      </c>
      <c r="M31" s="226">
        <v>12</v>
      </c>
      <c r="N31" s="25">
        <f t="shared" si="1"/>
        <v>0</v>
      </c>
      <c r="O31" s="25">
        <f t="shared" si="2"/>
        <v>0</v>
      </c>
      <c r="P31" s="25">
        <f t="shared" si="3"/>
        <v>0</v>
      </c>
      <c r="Q31" s="26">
        <f t="shared" si="4"/>
        <v>0</v>
      </c>
      <c r="R31" s="27">
        <f t="shared" si="5"/>
        <v>0</v>
      </c>
      <c r="S31" s="28">
        <f t="shared" si="7"/>
        <v>0</v>
      </c>
    </row>
    <row r="32" spans="2:19" hidden="1">
      <c r="B32" s="211" t="s">
        <v>1049</v>
      </c>
      <c r="C32" s="158"/>
      <c r="D32" s="158"/>
      <c r="E32" s="158"/>
      <c r="F32" s="158"/>
      <c r="G32" s="159"/>
      <c r="H32" s="160">
        <f t="shared" si="6"/>
        <v>0</v>
      </c>
      <c r="I32" s="402">
        <f t="shared" si="0"/>
        <v>18.09</v>
      </c>
      <c r="J32" s="155"/>
      <c r="K32" s="161"/>
      <c r="L32" s="225">
        <v>18.09</v>
      </c>
      <c r="M32" s="226">
        <v>30</v>
      </c>
      <c r="N32" s="25">
        <f t="shared" si="1"/>
        <v>0</v>
      </c>
      <c r="O32" s="25">
        <f t="shared" si="2"/>
        <v>0</v>
      </c>
      <c r="P32" s="25">
        <f t="shared" si="3"/>
        <v>0</v>
      </c>
      <c r="Q32" s="26">
        <f t="shared" si="4"/>
        <v>0</v>
      </c>
      <c r="R32" s="27">
        <f t="shared" si="5"/>
        <v>0</v>
      </c>
      <c r="S32" s="28">
        <f t="shared" si="7"/>
        <v>0</v>
      </c>
    </row>
    <row r="33" spans="2:19" hidden="1">
      <c r="B33" s="211" t="s">
        <v>1050</v>
      </c>
      <c r="C33" s="158"/>
      <c r="D33" s="158"/>
      <c r="E33" s="158"/>
      <c r="F33" s="158"/>
      <c r="G33" s="159"/>
      <c r="H33" s="160">
        <f t="shared" si="6"/>
        <v>0</v>
      </c>
      <c r="I33" s="402">
        <f t="shared" si="0"/>
        <v>14.32</v>
      </c>
      <c r="J33" s="155"/>
      <c r="K33" s="161"/>
      <c r="L33" s="225">
        <v>14.32</v>
      </c>
      <c r="M33" s="226">
        <v>30</v>
      </c>
      <c r="N33" s="25">
        <f t="shared" si="1"/>
        <v>0</v>
      </c>
      <c r="O33" s="25">
        <f t="shared" si="2"/>
        <v>0</v>
      </c>
      <c r="P33" s="25">
        <f t="shared" si="3"/>
        <v>0</v>
      </c>
      <c r="Q33" s="26">
        <f t="shared" si="4"/>
        <v>0</v>
      </c>
      <c r="R33" s="27">
        <f t="shared" si="5"/>
        <v>0</v>
      </c>
      <c r="S33" s="28">
        <f t="shared" si="7"/>
        <v>0</v>
      </c>
    </row>
    <row r="34" spans="2:19" hidden="1">
      <c r="B34" s="211" t="s">
        <v>1051</v>
      </c>
      <c r="C34" s="158"/>
      <c r="D34" s="158"/>
      <c r="E34" s="158"/>
      <c r="F34" s="158"/>
      <c r="G34" s="159"/>
      <c r="H34" s="160">
        <f t="shared" si="6"/>
        <v>0</v>
      </c>
      <c r="I34" s="402">
        <f t="shared" si="0"/>
        <v>38.43</v>
      </c>
      <c r="J34" s="155"/>
      <c r="K34" s="161"/>
      <c r="L34" s="225">
        <v>38.43</v>
      </c>
      <c r="M34" s="226">
        <v>15</v>
      </c>
      <c r="N34" s="25">
        <f t="shared" si="1"/>
        <v>0</v>
      </c>
      <c r="O34" s="25">
        <f t="shared" si="2"/>
        <v>0</v>
      </c>
      <c r="P34" s="25">
        <f t="shared" si="3"/>
        <v>0</v>
      </c>
      <c r="Q34" s="26">
        <f t="shared" si="4"/>
        <v>0</v>
      </c>
      <c r="R34" s="27">
        <f t="shared" si="5"/>
        <v>0</v>
      </c>
      <c r="S34" s="28">
        <f t="shared" si="7"/>
        <v>0</v>
      </c>
    </row>
    <row r="35" spans="2:19" hidden="1">
      <c r="B35" s="211" t="s">
        <v>794</v>
      </c>
      <c r="C35" s="158"/>
      <c r="D35" s="158"/>
      <c r="E35" s="158"/>
      <c r="F35" s="158"/>
      <c r="G35" s="159"/>
      <c r="H35" s="160">
        <f t="shared" si="6"/>
        <v>0</v>
      </c>
      <c r="I35" s="402">
        <f t="shared" si="0"/>
        <v>7.29</v>
      </c>
      <c r="J35" s="155"/>
      <c r="K35" s="161"/>
      <c r="L35" s="225">
        <v>7.29</v>
      </c>
      <c r="M35" s="226">
        <v>20</v>
      </c>
      <c r="N35" s="25">
        <f t="shared" si="1"/>
        <v>0</v>
      </c>
      <c r="O35" s="25">
        <f t="shared" si="2"/>
        <v>0</v>
      </c>
      <c r="P35" s="25">
        <f t="shared" si="3"/>
        <v>0</v>
      </c>
      <c r="Q35" s="26">
        <f t="shared" si="4"/>
        <v>0</v>
      </c>
      <c r="R35" s="27">
        <f t="shared" si="5"/>
        <v>0</v>
      </c>
      <c r="S35" s="28">
        <f t="shared" si="7"/>
        <v>0</v>
      </c>
    </row>
    <row r="36" spans="2:19" hidden="1">
      <c r="B36" s="211" t="s">
        <v>795</v>
      </c>
      <c r="C36" s="158"/>
      <c r="D36" s="158"/>
      <c r="E36" s="158"/>
      <c r="F36" s="158"/>
      <c r="G36" s="159"/>
      <c r="H36" s="160">
        <f t="shared" si="6"/>
        <v>0</v>
      </c>
      <c r="I36" s="402">
        <f t="shared" si="0"/>
        <v>8.7899999999999991</v>
      </c>
      <c r="J36" s="155"/>
      <c r="K36" s="161"/>
      <c r="L36" s="225">
        <v>8.7899999999999991</v>
      </c>
      <c r="M36" s="226">
        <v>20</v>
      </c>
      <c r="N36" s="25">
        <f t="shared" si="1"/>
        <v>0</v>
      </c>
      <c r="O36" s="25">
        <f t="shared" si="2"/>
        <v>0</v>
      </c>
      <c r="P36" s="25">
        <f t="shared" si="3"/>
        <v>0</v>
      </c>
      <c r="Q36" s="26">
        <f t="shared" si="4"/>
        <v>0</v>
      </c>
      <c r="R36" s="27">
        <f t="shared" si="5"/>
        <v>0</v>
      </c>
      <c r="S36" s="28">
        <f t="shared" si="7"/>
        <v>0</v>
      </c>
    </row>
    <row r="37" spans="2:19" hidden="1">
      <c r="B37" s="211" t="s">
        <v>796</v>
      </c>
      <c r="C37" s="158"/>
      <c r="D37" s="158"/>
      <c r="E37" s="158"/>
      <c r="F37" s="158"/>
      <c r="G37" s="159"/>
      <c r="H37" s="160">
        <f t="shared" si="6"/>
        <v>0</v>
      </c>
      <c r="I37" s="402">
        <f t="shared" si="0"/>
        <v>10.18</v>
      </c>
      <c r="J37" s="155"/>
      <c r="K37" s="161"/>
      <c r="L37" s="225">
        <v>10.18</v>
      </c>
      <c r="M37" s="226">
        <v>20</v>
      </c>
      <c r="N37" s="25">
        <f t="shared" si="1"/>
        <v>0</v>
      </c>
      <c r="O37" s="25">
        <f t="shared" si="2"/>
        <v>0</v>
      </c>
      <c r="P37" s="25">
        <f t="shared" si="3"/>
        <v>0</v>
      </c>
      <c r="Q37" s="26">
        <f t="shared" si="4"/>
        <v>0</v>
      </c>
      <c r="R37" s="27">
        <f t="shared" si="5"/>
        <v>0</v>
      </c>
      <c r="S37" s="28">
        <f t="shared" si="7"/>
        <v>0</v>
      </c>
    </row>
    <row r="38" spans="2:19" hidden="1">
      <c r="B38" s="211" t="s">
        <v>797</v>
      </c>
      <c r="C38" s="158"/>
      <c r="D38" s="158"/>
      <c r="E38" s="158"/>
      <c r="F38" s="158"/>
      <c r="G38" s="159"/>
      <c r="H38" s="160">
        <f t="shared" si="6"/>
        <v>0</v>
      </c>
      <c r="I38" s="402">
        <f t="shared" si="0"/>
        <v>11.98</v>
      </c>
      <c r="J38" s="155"/>
      <c r="K38" s="161"/>
      <c r="L38" s="224">
        <v>11.98</v>
      </c>
      <c r="M38" s="226">
        <v>20</v>
      </c>
      <c r="N38" s="25">
        <f t="shared" si="1"/>
        <v>0</v>
      </c>
      <c r="O38" s="25">
        <f t="shared" si="2"/>
        <v>0</v>
      </c>
      <c r="P38" s="25">
        <f t="shared" si="3"/>
        <v>0</v>
      </c>
      <c r="Q38" s="26">
        <f t="shared" si="4"/>
        <v>0</v>
      </c>
      <c r="R38" s="27">
        <f t="shared" si="5"/>
        <v>0</v>
      </c>
      <c r="S38" s="28">
        <f t="shared" si="7"/>
        <v>0</v>
      </c>
    </row>
    <row r="39" spans="2:19" hidden="1">
      <c r="B39" s="211" t="s">
        <v>1052</v>
      </c>
      <c r="C39" s="158"/>
      <c r="D39" s="158"/>
      <c r="E39" s="158"/>
      <c r="F39" s="158"/>
      <c r="G39" s="159"/>
      <c r="H39" s="160">
        <f t="shared" si="6"/>
        <v>0</v>
      </c>
      <c r="I39" s="402">
        <f t="shared" si="0"/>
        <v>20.5</v>
      </c>
      <c r="J39" s="155"/>
      <c r="K39" s="161"/>
      <c r="L39" s="225">
        <v>20.5</v>
      </c>
      <c r="M39" s="226">
        <v>30</v>
      </c>
      <c r="N39" s="25">
        <f t="shared" si="1"/>
        <v>0</v>
      </c>
      <c r="O39" s="25">
        <f t="shared" si="2"/>
        <v>0</v>
      </c>
      <c r="P39" s="25">
        <f t="shared" si="3"/>
        <v>0</v>
      </c>
      <c r="Q39" s="26">
        <f t="shared" si="4"/>
        <v>0</v>
      </c>
      <c r="R39" s="27">
        <f t="shared" si="5"/>
        <v>0</v>
      </c>
      <c r="S39" s="28">
        <f t="shared" si="7"/>
        <v>0</v>
      </c>
    </row>
    <row r="40" spans="2:19" hidden="1">
      <c r="B40" s="211" t="s">
        <v>1053</v>
      </c>
      <c r="C40" s="158"/>
      <c r="D40" s="158"/>
      <c r="E40" s="158"/>
      <c r="F40" s="158"/>
      <c r="G40" s="159"/>
      <c r="H40" s="160">
        <f t="shared" si="6"/>
        <v>0</v>
      </c>
      <c r="I40" s="402">
        <f t="shared" si="0"/>
        <v>84.77</v>
      </c>
      <c r="J40" s="155"/>
      <c r="K40" s="161"/>
      <c r="L40" s="225">
        <v>84.77</v>
      </c>
      <c r="M40" s="226">
        <v>6</v>
      </c>
      <c r="N40" s="25">
        <f t="shared" si="1"/>
        <v>0</v>
      </c>
      <c r="O40" s="25">
        <f t="shared" si="2"/>
        <v>0</v>
      </c>
      <c r="P40" s="25">
        <f t="shared" si="3"/>
        <v>0</v>
      </c>
      <c r="Q40" s="26">
        <f t="shared" si="4"/>
        <v>0</v>
      </c>
      <c r="R40" s="27">
        <f t="shared" si="5"/>
        <v>0</v>
      </c>
      <c r="S40" s="28">
        <f t="shared" si="7"/>
        <v>0</v>
      </c>
    </row>
    <row r="41" spans="2:19" hidden="1">
      <c r="B41" s="211" t="s">
        <v>1054</v>
      </c>
      <c r="C41" s="158"/>
      <c r="D41" s="158"/>
      <c r="E41" s="158"/>
      <c r="F41" s="158"/>
      <c r="G41" s="159"/>
      <c r="H41" s="160">
        <f t="shared" si="6"/>
        <v>0</v>
      </c>
      <c r="I41" s="402">
        <f t="shared" si="0"/>
        <v>35.86</v>
      </c>
      <c r="J41" s="155"/>
      <c r="K41" s="161"/>
      <c r="L41" s="224">
        <v>35.86</v>
      </c>
      <c r="M41" s="226">
        <v>30</v>
      </c>
      <c r="N41" s="25">
        <f t="shared" si="1"/>
        <v>0</v>
      </c>
      <c r="O41" s="25">
        <f t="shared" si="2"/>
        <v>0</v>
      </c>
      <c r="P41" s="25">
        <f t="shared" si="3"/>
        <v>0</v>
      </c>
      <c r="Q41" s="26">
        <f t="shared" si="4"/>
        <v>0</v>
      </c>
      <c r="R41" s="27">
        <f t="shared" si="5"/>
        <v>0</v>
      </c>
      <c r="S41" s="28">
        <f t="shared" si="7"/>
        <v>0</v>
      </c>
    </row>
    <row r="42" spans="2:19">
      <c r="B42" s="211" t="s">
        <v>1055</v>
      </c>
      <c r="C42" s="158"/>
      <c r="D42" s="158">
        <v>36</v>
      </c>
      <c r="E42" s="158"/>
      <c r="F42" s="158"/>
      <c r="G42" s="159"/>
      <c r="H42" s="160">
        <f t="shared" si="6"/>
        <v>36</v>
      </c>
      <c r="I42" s="402">
        <f t="shared" si="0"/>
        <v>55.99</v>
      </c>
      <c r="J42" s="155"/>
      <c r="K42" s="161"/>
      <c r="L42" s="224">
        <v>55.99</v>
      </c>
      <c r="M42" s="226">
        <v>12</v>
      </c>
      <c r="N42" s="25">
        <f t="shared" si="1"/>
        <v>0</v>
      </c>
      <c r="O42" s="25">
        <f t="shared" si="2"/>
        <v>2015.64</v>
      </c>
      <c r="P42" s="25">
        <f t="shared" si="3"/>
        <v>0</v>
      </c>
      <c r="Q42" s="26">
        <f t="shared" si="4"/>
        <v>0</v>
      </c>
      <c r="R42" s="27">
        <f t="shared" si="5"/>
        <v>0</v>
      </c>
      <c r="S42" s="28">
        <f t="shared" si="7"/>
        <v>2015.64</v>
      </c>
    </row>
    <row r="43" spans="2:19" hidden="1">
      <c r="B43" s="211" t="s">
        <v>1056</v>
      </c>
      <c r="C43" s="158"/>
      <c r="D43" s="158"/>
      <c r="E43" s="158"/>
      <c r="F43" s="158"/>
      <c r="G43" s="159"/>
      <c r="H43" s="160">
        <f t="shared" si="6"/>
        <v>0</v>
      </c>
      <c r="I43" s="402">
        <f t="shared" si="0"/>
        <v>296.41000000000003</v>
      </c>
      <c r="J43" s="155"/>
      <c r="K43" s="161"/>
      <c r="L43" s="224">
        <v>296.41000000000003</v>
      </c>
      <c r="M43" s="226">
        <v>2</v>
      </c>
      <c r="N43" s="25">
        <f t="shared" si="1"/>
        <v>0</v>
      </c>
      <c r="O43" s="25">
        <f t="shared" si="2"/>
        <v>0</v>
      </c>
      <c r="P43" s="25">
        <f t="shared" si="3"/>
        <v>0</v>
      </c>
      <c r="Q43" s="26">
        <f t="shared" si="4"/>
        <v>0</v>
      </c>
      <c r="R43" s="27">
        <f t="shared" si="5"/>
        <v>0</v>
      </c>
      <c r="S43" s="28">
        <f t="shared" si="7"/>
        <v>0</v>
      </c>
    </row>
    <row r="44" spans="2:19" hidden="1">
      <c r="B44" s="211" t="s">
        <v>1057</v>
      </c>
      <c r="C44" s="158"/>
      <c r="D44" s="158"/>
      <c r="E44" s="158"/>
      <c r="F44" s="158"/>
      <c r="G44" s="159"/>
      <c r="H44" s="160">
        <f t="shared" si="6"/>
        <v>0</v>
      </c>
      <c r="I44" s="402">
        <f t="shared" si="0"/>
        <v>80.489999999999995</v>
      </c>
      <c r="J44" s="155"/>
      <c r="K44" s="161"/>
      <c r="L44" s="224">
        <v>80.489999999999995</v>
      </c>
      <c r="M44" s="226">
        <v>16</v>
      </c>
      <c r="N44" s="25">
        <f t="shared" si="1"/>
        <v>0</v>
      </c>
      <c r="O44" s="25">
        <f t="shared" si="2"/>
        <v>0</v>
      </c>
      <c r="P44" s="25">
        <f t="shared" si="3"/>
        <v>0</v>
      </c>
      <c r="Q44" s="26">
        <f t="shared" si="4"/>
        <v>0</v>
      </c>
      <c r="R44" s="27">
        <f t="shared" si="5"/>
        <v>0</v>
      </c>
      <c r="S44" s="28">
        <f t="shared" si="7"/>
        <v>0</v>
      </c>
    </row>
    <row r="45" spans="2:19" hidden="1">
      <c r="B45" s="211" t="s">
        <v>1058</v>
      </c>
      <c r="C45" s="158"/>
      <c r="D45" s="158"/>
      <c r="E45" s="158"/>
      <c r="F45" s="158"/>
      <c r="G45" s="159"/>
      <c r="H45" s="160">
        <f t="shared" si="6"/>
        <v>0</v>
      </c>
      <c r="I45" s="402">
        <f t="shared" si="0"/>
        <v>49.33</v>
      </c>
      <c r="J45" s="155"/>
      <c r="K45" s="161"/>
      <c r="L45" s="225">
        <v>49.33</v>
      </c>
      <c r="M45" s="226">
        <v>16</v>
      </c>
      <c r="N45" s="25">
        <f t="shared" si="1"/>
        <v>0</v>
      </c>
      <c r="O45" s="25">
        <f t="shared" si="2"/>
        <v>0</v>
      </c>
      <c r="P45" s="25">
        <f t="shared" si="3"/>
        <v>0</v>
      </c>
      <c r="Q45" s="26">
        <f t="shared" si="4"/>
        <v>0</v>
      </c>
      <c r="R45" s="27">
        <f t="shared" si="5"/>
        <v>0</v>
      </c>
      <c r="S45" s="28">
        <f t="shared" si="7"/>
        <v>0</v>
      </c>
    </row>
    <row r="46" spans="2:19" hidden="1">
      <c r="B46" s="211" t="s">
        <v>1059</v>
      </c>
      <c r="C46" s="158"/>
      <c r="D46" s="158"/>
      <c r="E46" s="158"/>
      <c r="F46" s="158"/>
      <c r="G46" s="159"/>
      <c r="H46" s="160">
        <f t="shared" si="6"/>
        <v>0</v>
      </c>
      <c r="I46" s="402">
        <f t="shared" si="0"/>
        <v>69.16</v>
      </c>
      <c r="J46" s="155"/>
      <c r="K46" s="161"/>
      <c r="L46" s="224">
        <v>69.16</v>
      </c>
      <c r="M46" s="226">
        <v>16</v>
      </c>
      <c r="N46" s="25">
        <f t="shared" si="1"/>
        <v>0</v>
      </c>
      <c r="O46" s="25">
        <f t="shared" si="2"/>
        <v>0</v>
      </c>
      <c r="P46" s="25">
        <f t="shared" si="3"/>
        <v>0</v>
      </c>
      <c r="Q46" s="26">
        <f t="shared" si="4"/>
        <v>0</v>
      </c>
      <c r="R46" s="27">
        <f t="shared" si="5"/>
        <v>0</v>
      </c>
      <c r="S46" s="28">
        <f t="shared" si="7"/>
        <v>0</v>
      </c>
    </row>
    <row r="47" spans="2:19" hidden="1">
      <c r="B47" s="211" t="s">
        <v>1060</v>
      </c>
      <c r="C47" s="158"/>
      <c r="D47" s="158"/>
      <c r="E47" s="158"/>
      <c r="F47" s="158"/>
      <c r="G47" s="159"/>
      <c r="H47" s="160">
        <f t="shared" si="6"/>
        <v>0</v>
      </c>
      <c r="I47" s="402">
        <f t="shared" si="0"/>
        <v>24.1</v>
      </c>
      <c r="J47" s="155"/>
      <c r="K47" s="161"/>
      <c r="L47" s="224">
        <v>24.1</v>
      </c>
      <c r="M47" s="226">
        <v>12</v>
      </c>
      <c r="N47" s="25">
        <f t="shared" si="1"/>
        <v>0</v>
      </c>
      <c r="O47" s="25">
        <f t="shared" si="2"/>
        <v>0</v>
      </c>
      <c r="P47" s="25">
        <f t="shared" si="3"/>
        <v>0</v>
      </c>
      <c r="Q47" s="26">
        <f t="shared" si="4"/>
        <v>0</v>
      </c>
      <c r="R47" s="27">
        <f t="shared" si="5"/>
        <v>0</v>
      </c>
      <c r="S47" s="28">
        <f t="shared" si="7"/>
        <v>0</v>
      </c>
    </row>
    <row r="48" spans="2:19">
      <c r="B48" s="211" t="s">
        <v>1061</v>
      </c>
      <c r="C48" s="158"/>
      <c r="D48" s="158"/>
      <c r="E48" s="158"/>
      <c r="F48" s="158"/>
      <c r="G48" s="159">
        <v>24</v>
      </c>
      <c r="H48" s="160">
        <f t="shared" si="6"/>
        <v>24</v>
      </c>
      <c r="I48" s="402">
        <f t="shared" si="0"/>
        <v>19.329999999999998</v>
      </c>
      <c r="J48" s="155"/>
      <c r="K48" s="161"/>
      <c r="L48" s="224">
        <v>19.329999999999998</v>
      </c>
      <c r="M48" s="226">
        <v>30</v>
      </c>
      <c r="N48" s="25">
        <f t="shared" si="1"/>
        <v>0</v>
      </c>
      <c r="O48" s="25">
        <f t="shared" si="2"/>
        <v>0</v>
      </c>
      <c r="P48" s="25">
        <f t="shared" si="3"/>
        <v>0</v>
      </c>
      <c r="Q48" s="26">
        <f t="shared" si="4"/>
        <v>0</v>
      </c>
      <c r="R48" s="27">
        <f t="shared" si="5"/>
        <v>463.91999999999996</v>
      </c>
      <c r="S48" s="28">
        <f t="shared" si="7"/>
        <v>463.91999999999996</v>
      </c>
    </row>
    <row r="49" spans="2:19" hidden="1">
      <c r="B49" s="211" t="s">
        <v>1062</v>
      </c>
      <c r="C49" s="158"/>
      <c r="D49" s="158"/>
      <c r="E49" s="158"/>
      <c r="F49" s="158"/>
      <c r="G49" s="159"/>
      <c r="H49" s="160">
        <f t="shared" si="6"/>
        <v>0</v>
      </c>
      <c r="I49" s="402">
        <f t="shared" si="0"/>
        <v>37.619999999999997</v>
      </c>
      <c r="J49" s="155"/>
      <c r="K49" s="161"/>
      <c r="L49" s="225">
        <v>37.619999999999997</v>
      </c>
      <c r="M49" s="615">
        <v>12</v>
      </c>
      <c r="N49" s="25">
        <f t="shared" si="1"/>
        <v>0</v>
      </c>
      <c r="O49" s="25">
        <f t="shared" si="2"/>
        <v>0</v>
      </c>
      <c r="P49" s="25">
        <f t="shared" si="3"/>
        <v>0</v>
      </c>
      <c r="Q49" s="26">
        <f t="shared" si="4"/>
        <v>0</v>
      </c>
      <c r="R49" s="27">
        <f t="shared" si="5"/>
        <v>0</v>
      </c>
      <c r="S49" s="28">
        <f t="shared" si="7"/>
        <v>0</v>
      </c>
    </row>
    <row r="50" spans="2:19">
      <c r="B50" s="211" t="s">
        <v>1063</v>
      </c>
      <c r="C50" s="158"/>
      <c r="D50" s="158">
        <v>50</v>
      </c>
      <c r="E50" s="158"/>
      <c r="F50" s="158"/>
      <c r="G50" s="159">
        <v>90</v>
      </c>
      <c r="H50" s="160">
        <f t="shared" si="6"/>
        <v>140</v>
      </c>
      <c r="I50" s="402">
        <f t="shared" si="0"/>
        <v>12.07</v>
      </c>
      <c r="J50" s="155"/>
      <c r="K50" s="161"/>
      <c r="L50" s="614">
        <v>12.07</v>
      </c>
      <c r="M50" s="617">
        <v>45</v>
      </c>
      <c r="N50" s="25">
        <f t="shared" si="1"/>
        <v>0</v>
      </c>
      <c r="O50" s="25">
        <f t="shared" si="2"/>
        <v>603.5</v>
      </c>
      <c r="P50" s="25">
        <f t="shared" si="3"/>
        <v>0</v>
      </c>
      <c r="Q50" s="26">
        <f t="shared" si="4"/>
        <v>0</v>
      </c>
      <c r="R50" s="27">
        <f t="shared" si="5"/>
        <v>1086.3</v>
      </c>
      <c r="S50" s="28">
        <f t="shared" si="7"/>
        <v>1689.8</v>
      </c>
    </row>
    <row r="51" spans="2:19" hidden="1">
      <c r="B51" s="211" t="s">
        <v>1064</v>
      </c>
      <c r="C51" s="158"/>
      <c r="D51" s="158"/>
      <c r="E51" s="158"/>
      <c r="F51" s="158"/>
      <c r="G51" s="159"/>
      <c r="H51" s="160">
        <f t="shared" si="6"/>
        <v>0</v>
      </c>
      <c r="I51" s="402">
        <f t="shared" si="0"/>
        <v>31.2</v>
      </c>
      <c r="J51" s="155"/>
      <c r="K51" s="161"/>
      <c r="L51" s="225">
        <v>31.2</v>
      </c>
      <c r="M51" s="616">
        <v>12</v>
      </c>
      <c r="N51" s="25">
        <f t="shared" si="1"/>
        <v>0</v>
      </c>
      <c r="O51" s="25">
        <f t="shared" si="2"/>
        <v>0</v>
      </c>
      <c r="P51" s="25">
        <f t="shared" si="3"/>
        <v>0</v>
      </c>
      <c r="Q51" s="26">
        <f t="shared" si="4"/>
        <v>0</v>
      </c>
      <c r="R51" s="27">
        <f t="shared" si="5"/>
        <v>0</v>
      </c>
      <c r="S51" s="28">
        <f t="shared" si="7"/>
        <v>0</v>
      </c>
    </row>
    <row r="52" spans="2:19" hidden="1">
      <c r="B52" s="211" t="s">
        <v>1065</v>
      </c>
      <c r="C52" s="158"/>
      <c r="D52" s="158"/>
      <c r="E52" s="158"/>
      <c r="F52" s="158"/>
      <c r="G52" s="159"/>
      <c r="H52" s="160">
        <f t="shared" si="6"/>
        <v>0</v>
      </c>
      <c r="I52" s="402">
        <f t="shared" si="0"/>
        <v>45.01</v>
      </c>
      <c r="J52" s="155"/>
      <c r="K52" s="161"/>
      <c r="L52" s="225">
        <v>45.01</v>
      </c>
      <c r="M52" s="227">
        <v>3</v>
      </c>
      <c r="N52" s="25">
        <f t="shared" si="1"/>
        <v>0</v>
      </c>
      <c r="O52" s="25">
        <f t="shared" si="2"/>
        <v>0</v>
      </c>
      <c r="P52" s="25">
        <f t="shared" si="3"/>
        <v>0</v>
      </c>
      <c r="Q52" s="26">
        <f t="shared" si="4"/>
        <v>0</v>
      </c>
      <c r="R52" s="27">
        <f t="shared" si="5"/>
        <v>0</v>
      </c>
      <c r="S52" s="28">
        <f t="shared" si="7"/>
        <v>0</v>
      </c>
    </row>
    <row r="53" spans="2:19" hidden="1">
      <c r="B53" s="211" t="s">
        <v>1066</v>
      </c>
      <c r="C53" s="158"/>
      <c r="D53" s="158"/>
      <c r="E53" s="158"/>
      <c r="F53" s="158"/>
      <c r="G53" s="159"/>
      <c r="H53" s="160">
        <f t="shared" si="6"/>
        <v>0</v>
      </c>
      <c r="I53" s="402">
        <f t="shared" si="0"/>
        <v>27.44</v>
      </c>
      <c r="J53" s="155"/>
      <c r="K53" s="161"/>
      <c r="L53" s="225">
        <v>27.44</v>
      </c>
      <c r="M53" s="226">
        <v>30</v>
      </c>
      <c r="N53" s="25">
        <f t="shared" si="1"/>
        <v>0</v>
      </c>
      <c r="O53" s="25">
        <f t="shared" si="2"/>
        <v>0</v>
      </c>
      <c r="P53" s="25">
        <f t="shared" si="3"/>
        <v>0</v>
      </c>
      <c r="Q53" s="26">
        <f t="shared" si="4"/>
        <v>0</v>
      </c>
      <c r="R53" s="27">
        <f t="shared" si="5"/>
        <v>0</v>
      </c>
      <c r="S53" s="28">
        <f t="shared" si="7"/>
        <v>0</v>
      </c>
    </row>
    <row r="54" spans="2:19" hidden="1">
      <c r="B54" s="211" t="s">
        <v>1067</v>
      </c>
      <c r="C54" s="158"/>
      <c r="D54" s="158"/>
      <c r="E54" s="158"/>
      <c r="F54" s="158"/>
      <c r="G54" s="159"/>
      <c r="H54" s="160">
        <f t="shared" si="6"/>
        <v>0</v>
      </c>
      <c r="I54" s="402">
        <f t="shared" si="0"/>
        <v>88.6</v>
      </c>
      <c r="J54" s="155"/>
      <c r="K54" s="161"/>
      <c r="L54" s="225">
        <v>88.6</v>
      </c>
      <c r="M54" s="226">
        <v>45</v>
      </c>
      <c r="N54" s="25">
        <f t="shared" si="1"/>
        <v>0</v>
      </c>
      <c r="O54" s="25">
        <f t="shared" si="2"/>
        <v>0</v>
      </c>
      <c r="P54" s="25">
        <f t="shared" si="3"/>
        <v>0</v>
      </c>
      <c r="Q54" s="26">
        <f t="shared" si="4"/>
        <v>0</v>
      </c>
      <c r="R54" s="27">
        <f t="shared" si="5"/>
        <v>0</v>
      </c>
      <c r="S54" s="28">
        <f t="shared" si="7"/>
        <v>0</v>
      </c>
    </row>
    <row r="55" spans="2:19" hidden="1">
      <c r="B55" s="211" t="s">
        <v>1068</v>
      </c>
      <c r="C55" s="158"/>
      <c r="D55" s="158"/>
      <c r="E55" s="158"/>
      <c r="F55" s="158"/>
      <c r="G55" s="159"/>
      <c r="H55" s="160">
        <f t="shared" si="6"/>
        <v>0</v>
      </c>
      <c r="I55" s="402">
        <f t="shared" si="0"/>
        <v>54.75</v>
      </c>
      <c r="J55" s="155"/>
      <c r="K55" s="161"/>
      <c r="L55" s="224">
        <v>54.75</v>
      </c>
      <c r="M55" s="226">
        <v>45</v>
      </c>
      <c r="N55" s="25">
        <f t="shared" si="1"/>
        <v>0</v>
      </c>
      <c r="O55" s="25">
        <f t="shared" si="2"/>
        <v>0</v>
      </c>
      <c r="P55" s="25">
        <f t="shared" si="3"/>
        <v>0</v>
      </c>
      <c r="Q55" s="26">
        <f t="shared" si="4"/>
        <v>0</v>
      </c>
      <c r="R55" s="27">
        <f t="shared" si="5"/>
        <v>0</v>
      </c>
      <c r="S55" s="28">
        <f t="shared" si="7"/>
        <v>0</v>
      </c>
    </row>
    <row r="56" spans="2:19">
      <c r="B56" s="211" t="s">
        <v>1069</v>
      </c>
      <c r="C56" s="158"/>
      <c r="D56" s="158"/>
      <c r="E56" s="158"/>
      <c r="F56" s="158"/>
      <c r="G56" s="159">
        <v>60</v>
      </c>
      <c r="H56" s="160">
        <f t="shared" si="6"/>
        <v>60</v>
      </c>
      <c r="I56" s="402">
        <f t="shared" si="0"/>
        <v>30.98</v>
      </c>
      <c r="J56" s="155"/>
      <c r="K56" s="161"/>
      <c r="L56" s="224">
        <v>30.98</v>
      </c>
      <c r="M56" s="226">
        <v>30</v>
      </c>
      <c r="N56" s="25">
        <f t="shared" si="1"/>
        <v>0</v>
      </c>
      <c r="O56" s="25">
        <f t="shared" si="2"/>
        <v>0</v>
      </c>
      <c r="P56" s="25">
        <f t="shared" si="3"/>
        <v>0</v>
      </c>
      <c r="Q56" s="26">
        <f t="shared" si="4"/>
        <v>0</v>
      </c>
      <c r="R56" s="27">
        <f t="shared" si="5"/>
        <v>1858.8</v>
      </c>
      <c r="S56" s="28">
        <f t="shared" si="7"/>
        <v>1858.8</v>
      </c>
    </row>
    <row r="57" spans="2:19" ht="15" hidden="1" customHeight="1">
      <c r="B57" s="211" t="s">
        <v>499</v>
      </c>
      <c r="C57" s="158"/>
      <c r="D57" s="158"/>
      <c r="E57" s="158"/>
      <c r="F57" s="158"/>
      <c r="G57" s="159"/>
      <c r="H57" s="160">
        <f t="shared" si="6"/>
        <v>0</v>
      </c>
      <c r="I57" s="402">
        <f t="shared" si="0"/>
        <v>11.64</v>
      </c>
      <c r="J57" s="155"/>
      <c r="K57" s="161"/>
      <c r="L57" s="224">
        <v>11.64</v>
      </c>
      <c r="M57" s="226">
        <v>30</v>
      </c>
      <c r="N57" s="25">
        <f t="shared" si="1"/>
        <v>0</v>
      </c>
      <c r="O57" s="25">
        <f t="shared" si="2"/>
        <v>0</v>
      </c>
      <c r="P57" s="25">
        <f t="shared" si="3"/>
        <v>0</v>
      </c>
      <c r="Q57" s="26">
        <f t="shared" si="4"/>
        <v>0</v>
      </c>
      <c r="R57" s="27">
        <f t="shared" si="5"/>
        <v>0</v>
      </c>
      <c r="S57" s="28">
        <f t="shared" si="7"/>
        <v>0</v>
      </c>
    </row>
    <row r="58" spans="2:19" ht="15" customHeight="1">
      <c r="B58" s="211" t="s">
        <v>500</v>
      </c>
      <c r="C58" s="158"/>
      <c r="D58" s="158">
        <v>60</v>
      </c>
      <c r="E58" s="158"/>
      <c r="F58" s="158"/>
      <c r="G58" s="159"/>
      <c r="H58" s="160">
        <f t="shared" si="6"/>
        <v>60</v>
      </c>
      <c r="I58" s="402">
        <f t="shared" si="0"/>
        <v>50.97</v>
      </c>
      <c r="J58" s="155"/>
      <c r="K58" s="161"/>
      <c r="L58" s="224">
        <v>50.97</v>
      </c>
      <c r="M58" s="226">
        <v>12</v>
      </c>
      <c r="N58" s="25">
        <f t="shared" si="1"/>
        <v>0</v>
      </c>
      <c r="O58" s="25">
        <f t="shared" si="2"/>
        <v>3058.2</v>
      </c>
      <c r="P58" s="25">
        <f t="shared" si="3"/>
        <v>0</v>
      </c>
      <c r="Q58" s="26">
        <f t="shared" si="4"/>
        <v>0</v>
      </c>
      <c r="R58" s="27">
        <f t="shared" si="5"/>
        <v>0</v>
      </c>
      <c r="S58" s="28">
        <f t="shared" si="7"/>
        <v>3058.2</v>
      </c>
    </row>
    <row r="59" spans="2:19">
      <c r="B59" s="58" t="s">
        <v>13</v>
      </c>
      <c r="C59" s="288">
        <f t="shared" ref="C59:G59" si="8">N59</f>
        <v>0</v>
      </c>
      <c r="D59" s="288">
        <f t="shared" si="8"/>
        <v>5677.34</v>
      </c>
      <c r="E59" s="288">
        <f t="shared" si="8"/>
        <v>0</v>
      </c>
      <c r="F59" s="288">
        <f t="shared" si="8"/>
        <v>0</v>
      </c>
      <c r="G59" s="288">
        <f t="shared" si="8"/>
        <v>3409.0199999999995</v>
      </c>
      <c r="H59" s="288">
        <f>S59</f>
        <v>9086.36</v>
      </c>
      <c r="N59" s="29">
        <f t="shared" ref="N59:S59" si="9">SUM(N6:N58)</f>
        <v>0</v>
      </c>
      <c r="O59" s="29">
        <f t="shared" si="9"/>
        <v>5677.34</v>
      </c>
      <c r="P59" s="29">
        <f t="shared" si="9"/>
        <v>0</v>
      </c>
      <c r="Q59" s="29">
        <f t="shared" si="9"/>
        <v>0</v>
      </c>
      <c r="R59" s="29">
        <f t="shared" si="9"/>
        <v>3409.0199999999995</v>
      </c>
      <c r="S59" s="29">
        <f t="shared" si="9"/>
        <v>9086.36</v>
      </c>
    </row>
    <row r="60" spans="2:19">
      <c r="B60" s="59" t="s">
        <v>46</v>
      </c>
    </row>
    <row r="61" spans="2:19" ht="16.5" thickBot="1">
      <c r="B61" s="2"/>
    </row>
    <row r="62" spans="2:19">
      <c r="B62" s="60" t="s">
        <v>47</v>
      </c>
    </row>
    <row r="63" spans="2:19">
      <c r="B63" s="61" t="s">
        <v>19</v>
      </c>
    </row>
    <row r="64" spans="2:19">
      <c r="B64" s="61" t="s">
        <v>697</v>
      </c>
    </row>
    <row r="65" spans="2:7" ht="16.5" thickBot="1">
      <c r="B65" s="62" t="s">
        <v>18</v>
      </c>
    </row>
    <row r="66" spans="2:7">
      <c r="B66" s="2"/>
    </row>
    <row r="67" spans="2:7">
      <c r="B67" s="30" t="s">
        <v>20</v>
      </c>
    </row>
    <row r="68" spans="2:7">
      <c r="B68" s="35"/>
    </row>
    <row r="69" spans="2:7">
      <c r="B69" s="35"/>
    </row>
    <row r="70" spans="2:7">
      <c r="B70" s="2"/>
      <c r="G70" s="5" t="str">
        <f>IF(B70&lt;&gt;"",SUM(C70:F70),"")</f>
        <v/>
      </c>
    </row>
    <row r="71" spans="2:7">
      <c r="G71" s="5" t="str">
        <f>IF(B71&lt;&gt;"",SUM(C71:F71),"")</f>
        <v/>
      </c>
    </row>
    <row r="72" spans="2:7">
      <c r="G72" s="5" t="str">
        <f t="shared" ref="G72:G135" si="10">IF(B72&lt;&gt;"",SUM(C72:F72),"")</f>
        <v/>
      </c>
    </row>
    <row r="73" spans="2:7">
      <c r="G73" s="5" t="str">
        <f t="shared" si="10"/>
        <v/>
      </c>
    </row>
    <row r="74" spans="2:7">
      <c r="G74" s="5" t="str">
        <f t="shared" si="10"/>
        <v/>
      </c>
    </row>
    <row r="75" spans="2:7">
      <c r="G75" s="5" t="str">
        <f t="shared" si="10"/>
        <v/>
      </c>
    </row>
    <row r="76" spans="2:7">
      <c r="G76" s="5" t="str">
        <f t="shared" si="10"/>
        <v/>
      </c>
    </row>
    <row r="77" spans="2:7">
      <c r="G77" s="5" t="str">
        <f t="shared" si="10"/>
        <v/>
      </c>
    </row>
    <row r="78" spans="2:7">
      <c r="G78" s="5" t="str">
        <f t="shared" si="10"/>
        <v/>
      </c>
    </row>
    <row r="79" spans="2:7">
      <c r="G79" s="5" t="str">
        <f t="shared" si="10"/>
        <v/>
      </c>
    </row>
    <row r="80" spans="2:7">
      <c r="G80" s="5" t="str">
        <f t="shared" si="10"/>
        <v/>
      </c>
    </row>
    <row r="81" spans="7:7">
      <c r="G81" s="5" t="str">
        <f t="shared" si="10"/>
        <v/>
      </c>
    </row>
    <row r="82" spans="7:7">
      <c r="G82" s="5" t="str">
        <f t="shared" si="10"/>
        <v/>
      </c>
    </row>
    <row r="83" spans="7:7">
      <c r="G83" s="5" t="str">
        <f t="shared" si="10"/>
        <v/>
      </c>
    </row>
    <row r="84" spans="7:7">
      <c r="G84" s="5" t="str">
        <f t="shared" si="10"/>
        <v/>
      </c>
    </row>
    <row r="85" spans="7:7">
      <c r="G85" s="5" t="str">
        <f t="shared" si="10"/>
        <v/>
      </c>
    </row>
    <row r="86" spans="7:7">
      <c r="G86" s="5" t="str">
        <f t="shared" si="10"/>
        <v/>
      </c>
    </row>
    <row r="87" spans="7:7">
      <c r="G87" s="5" t="str">
        <f t="shared" si="10"/>
        <v/>
      </c>
    </row>
    <row r="88" spans="7:7">
      <c r="G88" s="5" t="str">
        <f t="shared" si="10"/>
        <v/>
      </c>
    </row>
    <row r="89" spans="7:7">
      <c r="G89" s="5" t="str">
        <f t="shared" si="10"/>
        <v/>
      </c>
    </row>
    <row r="90" spans="7:7">
      <c r="G90" s="5" t="str">
        <f t="shared" si="10"/>
        <v/>
      </c>
    </row>
    <row r="91" spans="7:7">
      <c r="G91" s="5" t="str">
        <f t="shared" si="10"/>
        <v/>
      </c>
    </row>
    <row r="92" spans="7:7">
      <c r="G92" s="5" t="str">
        <f t="shared" si="10"/>
        <v/>
      </c>
    </row>
    <row r="93" spans="7:7">
      <c r="G93" s="5" t="str">
        <f t="shared" si="10"/>
        <v/>
      </c>
    </row>
    <row r="94" spans="7:7">
      <c r="G94" s="5" t="str">
        <f t="shared" si="10"/>
        <v/>
      </c>
    </row>
    <row r="95" spans="7:7">
      <c r="G95" s="5" t="str">
        <f t="shared" si="10"/>
        <v/>
      </c>
    </row>
    <row r="96" spans="7:7">
      <c r="G96" s="5" t="str">
        <f t="shared" si="10"/>
        <v/>
      </c>
    </row>
    <row r="97" spans="7:7">
      <c r="G97" s="5" t="str">
        <f t="shared" si="10"/>
        <v/>
      </c>
    </row>
    <row r="98" spans="7:7">
      <c r="G98" s="5" t="str">
        <f t="shared" si="10"/>
        <v/>
      </c>
    </row>
    <row r="99" spans="7:7">
      <c r="G99" s="5" t="str">
        <f t="shared" si="10"/>
        <v/>
      </c>
    </row>
    <row r="100" spans="7:7">
      <c r="G100" s="5" t="str">
        <f t="shared" si="10"/>
        <v/>
      </c>
    </row>
    <row r="101" spans="7:7">
      <c r="G101" s="5" t="str">
        <f t="shared" si="10"/>
        <v/>
      </c>
    </row>
    <row r="102" spans="7:7">
      <c r="G102" s="5" t="str">
        <f t="shared" si="10"/>
        <v/>
      </c>
    </row>
    <row r="103" spans="7:7">
      <c r="G103" s="5" t="str">
        <f t="shared" si="10"/>
        <v/>
      </c>
    </row>
    <row r="104" spans="7:7">
      <c r="G104" s="5" t="str">
        <f t="shared" si="10"/>
        <v/>
      </c>
    </row>
    <row r="105" spans="7:7">
      <c r="G105" s="5" t="str">
        <f t="shared" si="10"/>
        <v/>
      </c>
    </row>
    <row r="106" spans="7:7">
      <c r="G106" s="5" t="str">
        <f t="shared" si="10"/>
        <v/>
      </c>
    </row>
    <row r="107" spans="7:7">
      <c r="G107" s="5" t="str">
        <f t="shared" si="10"/>
        <v/>
      </c>
    </row>
    <row r="108" spans="7:7">
      <c r="G108" s="5" t="str">
        <f t="shared" si="10"/>
        <v/>
      </c>
    </row>
    <row r="109" spans="7:7">
      <c r="G109" s="5" t="str">
        <f t="shared" si="10"/>
        <v/>
      </c>
    </row>
    <row r="110" spans="7:7">
      <c r="G110" s="5" t="str">
        <f t="shared" si="10"/>
        <v/>
      </c>
    </row>
    <row r="111" spans="7:7">
      <c r="G111" s="5" t="str">
        <f t="shared" si="10"/>
        <v/>
      </c>
    </row>
    <row r="112" spans="7:7">
      <c r="G112" s="5" t="str">
        <f t="shared" si="10"/>
        <v/>
      </c>
    </row>
    <row r="113" spans="7:7">
      <c r="G113" s="5" t="str">
        <f t="shared" si="10"/>
        <v/>
      </c>
    </row>
    <row r="114" spans="7:7">
      <c r="G114" s="5" t="str">
        <f t="shared" si="10"/>
        <v/>
      </c>
    </row>
    <row r="115" spans="7:7">
      <c r="G115" s="5" t="str">
        <f t="shared" si="10"/>
        <v/>
      </c>
    </row>
    <row r="116" spans="7:7">
      <c r="G116" s="5" t="str">
        <f t="shared" si="10"/>
        <v/>
      </c>
    </row>
    <row r="117" spans="7:7">
      <c r="G117" s="5" t="str">
        <f t="shared" si="10"/>
        <v/>
      </c>
    </row>
    <row r="118" spans="7:7">
      <c r="G118" s="5" t="str">
        <f t="shared" si="10"/>
        <v/>
      </c>
    </row>
    <row r="119" spans="7:7">
      <c r="G119" s="5" t="str">
        <f t="shared" si="10"/>
        <v/>
      </c>
    </row>
    <row r="120" spans="7:7">
      <c r="G120" s="5" t="str">
        <f t="shared" si="10"/>
        <v/>
      </c>
    </row>
    <row r="121" spans="7:7">
      <c r="G121" s="5" t="str">
        <f t="shared" si="10"/>
        <v/>
      </c>
    </row>
    <row r="122" spans="7:7">
      <c r="G122" s="5" t="str">
        <f t="shared" si="10"/>
        <v/>
      </c>
    </row>
    <row r="123" spans="7:7">
      <c r="G123" s="5" t="str">
        <f t="shared" si="10"/>
        <v/>
      </c>
    </row>
    <row r="124" spans="7:7">
      <c r="G124" s="5" t="str">
        <f t="shared" si="10"/>
        <v/>
      </c>
    </row>
    <row r="125" spans="7:7">
      <c r="G125" s="5" t="str">
        <f t="shared" si="10"/>
        <v/>
      </c>
    </row>
    <row r="126" spans="7:7">
      <c r="G126" s="5" t="str">
        <f t="shared" si="10"/>
        <v/>
      </c>
    </row>
    <row r="127" spans="7:7">
      <c r="G127" s="5" t="str">
        <f t="shared" si="10"/>
        <v/>
      </c>
    </row>
    <row r="128" spans="7:7">
      <c r="G128" s="5" t="str">
        <f t="shared" si="10"/>
        <v/>
      </c>
    </row>
    <row r="129" spans="7:7">
      <c r="G129" s="5" t="str">
        <f t="shared" si="10"/>
        <v/>
      </c>
    </row>
    <row r="130" spans="7:7">
      <c r="G130" s="5" t="str">
        <f t="shared" si="10"/>
        <v/>
      </c>
    </row>
    <row r="131" spans="7:7">
      <c r="G131" s="5" t="str">
        <f t="shared" si="10"/>
        <v/>
      </c>
    </row>
    <row r="132" spans="7:7">
      <c r="G132" s="5" t="str">
        <f t="shared" si="10"/>
        <v/>
      </c>
    </row>
    <row r="133" spans="7:7">
      <c r="G133" s="5" t="str">
        <f t="shared" si="10"/>
        <v/>
      </c>
    </row>
    <row r="134" spans="7:7">
      <c r="G134" s="5" t="str">
        <f t="shared" si="10"/>
        <v/>
      </c>
    </row>
    <row r="135" spans="7:7">
      <c r="G135" s="5" t="str">
        <f t="shared" si="10"/>
        <v/>
      </c>
    </row>
    <row r="136" spans="7:7">
      <c r="G136" s="5" t="str">
        <f t="shared" ref="G136:G199" si="11">IF(B136&lt;&gt;"",SUM(C136:F136),"")</f>
        <v/>
      </c>
    </row>
    <row r="137" spans="7:7">
      <c r="G137" s="5" t="str">
        <f t="shared" si="11"/>
        <v/>
      </c>
    </row>
    <row r="138" spans="7:7">
      <c r="G138" s="5" t="str">
        <f t="shared" si="11"/>
        <v/>
      </c>
    </row>
    <row r="139" spans="7:7">
      <c r="G139" s="5" t="str">
        <f t="shared" si="11"/>
        <v/>
      </c>
    </row>
    <row r="140" spans="7:7">
      <c r="G140" s="5" t="str">
        <f t="shared" si="11"/>
        <v/>
      </c>
    </row>
    <row r="141" spans="7:7">
      <c r="G141" s="5" t="str">
        <f t="shared" si="11"/>
        <v/>
      </c>
    </row>
    <row r="142" spans="7:7">
      <c r="G142" s="5" t="str">
        <f t="shared" si="11"/>
        <v/>
      </c>
    </row>
    <row r="143" spans="7:7">
      <c r="G143" s="5" t="str">
        <f t="shared" si="11"/>
        <v/>
      </c>
    </row>
    <row r="144" spans="7:7">
      <c r="G144" s="5" t="str">
        <f t="shared" si="11"/>
        <v/>
      </c>
    </row>
    <row r="145" spans="7:7">
      <c r="G145" s="5" t="str">
        <f t="shared" si="11"/>
        <v/>
      </c>
    </row>
    <row r="146" spans="7:7">
      <c r="G146" s="5" t="str">
        <f t="shared" si="11"/>
        <v/>
      </c>
    </row>
    <row r="147" spans="7:7">
      <c r="G147" s="5" t="str">
        <f t="shared" si="11"/>
        <v/>
      </c>
    </row>
    <row r="148" spans="7:7">
      <c r="G148" s="5" t="str">
        <f t="shared" si="11"/>
        <v/>
      </c>
    </row>
    <row r="149" spans="7:7">
      <c r="G149" s="5" t="str">
        <f t="shared" si="11"/>
        <v/>
      </c>
    </row>
    <row r="150" spans="7:7">
      <c r="G150" s="5" t="str">
        <f t="shared" si="11"/>
        <v/>
      </c>
    </row>
    <row r="151" spans="7:7">
      <c r="G151" s="5" t="str">
        <f t="shared" si="11"/>
        <v/>
      </c>
    </row>
    <row r="152" spans="7:7">
      <c r="G152" s="5" t="str">
        <f t="shared" si="11"/>
        <v/>
      </c>
    </row>
    <row r="153" spans="7:7">
      <c r="G153" s="5" t="str">
        <f t="shared" si="11"/>
        <v/>
      </c>
    </row>
    <row r="154" spans="7:7">
      <c r="G154" s="5" t="str">
        <f t="shared" si="11"/>
        <v/>
      </c>
    </row>
    <row r="155" spans="7:7">
      <c r="G155" s="5" t="str">
        <f t="shared" si="11"/>
        <v/>
      </c>
    </row>
    <row r="156" spans="7:7">
      <c r="G156" s="5" t="str">
        <f t="shared" si="11"/>
        <v/>
      </c>
    </row>
    <row r="157" spans="7:7">
      <c r="G157" s="5" t="str">
        <f t="shared" si="11"/>
        <v/>
      </c>
    </row>
    <row r="158" spans="7:7">
      <c r="G158" s="5" t="str">
        <f t="shared" si="11"/>
        <v/>
      </c>
    </row>
    <row r="159" spans="7:7">
      <c r="G159" s="5" t="str">
        <f t="shared" si="11"/>
        <v/>
      </c>
    </row>
    <row r="160" spans="7:7">
      <c r="G160" s="5" t="str">
        <f t="shared" si="11"/>
        <v/>
      </c>
    </row>
    <row r="161" spans="7:7">
      <c r="G161" s="5" t="str">
        <f t="shared" si="11"/>
        <v/>
      </c>
    </row>
    <row r="162" spans="7:7">
      <c r="G162" s="5" t="str">
        <f t="shared" si="11"/>
        <v/>
      </c>
    </row>
    <row r="163" spans="7:7">
      <c r="G163" s="5" t="str">
        <f t="shared" si="11"/>
        <v/>
      </c>
    </row>
    <row r="164" spans="7:7">
      <c r="G164" s="5" t="str">
        <f t="shared" si="11"/>
        <v/>
      </c>
    </row>
    <row r="165" spans="7:7">
      <c r="G165" s="5" t="str">
        <f t="shared" si="11"/>
        <v/>
      </c>
    </row>
    <row r="166" spans="7:7">
      <c r="G166" s="5" t="str">
        <f t="shared" si="11"/>
        <v/>
      </c>
    </row>
    <row r="167" spans="7:7">
      <c r="G167" s="5" t="str">
        <f t="shared" si="11"/>
        <v/>
      </c>
    </row>
    <row r="168" spans="7:7">
      <c r="G168" s="5" t="str">
        <f t="shared" si="11"/>
        <v/>
      </c>
    </row>
    <row r="169" spans="7:7">
      <c r="G169" s="5" t="str">
        <f t="shared" si="11"/>
        <v/>
      </c>
    </row>
    <row r="170" spans="7:7">
      <c r="G170" s="5" t="str">
        <f t="shared" si="11"/>
        <v/>
      </c>
    </row>
    <row r="171" spans="7:7">
      <c r="G171" s="5" t="str">
        <f t="shared" si="11"/>
        <v/>
      </c>
    </row>
    <row r="172" spans="7:7">
      <c r="G172" s="5" t="str">
        <f t="shared" si="11"/>
        <v/>
      </c>
    </row>
    <row r="173" spans="7:7">
      <c r="G173" s="5" t="str">
        <f t="shared" si="11"/>
        <v/>
      </c>
    </row>
    <row r="174" spans="7:7">
      <c r="G174" s="5" t="str">
        <f t="shared" si="11"/>
        <v/>
      </c>
    </row>
    <row r="175" spans="7:7">
      <c r="G175" s="5" t="str">
        <f t="shared" si="11"/>
        <v/>
      </c>
    </row>
    <row r="176" spans="7:7">
      <c r="G176" s="5" t="str">
        <f t="shared" si="11"/>
        <v/>
      </c>
    </row>
    <row r="177" spans="7:7">
      <c r="G177" s="5" t="str">
        <f t="shared" si="11"/>
        <v/>
      </c>
    </row>
    <row r="178" spans="7:7">
      <c r="G178" s="5" t="str">
        <f t="shared" si="11"/>
        <v/>
      </c>
    </row>
    <row r="179" spans="7:7">
      <c r="G179" s="5" t="str">
        <f t="shared" si="11"/>
        <v/>
      </c>
    </row>
    <row r="180" spans="7:7">
      <c r="G180" s="5" t="str">
        <f t="shared" si="11"/>
        <v/>
      </c>
    </row>
    <row r="181" spans="7:7">
      <c r="G181" s="5" t="str">
        <f t="shared" si="11"/>
        <v/>
      </c>
    </row>
    <row r="182" spans="7:7">
      <c r="G182" s="5" t="str">
        <f t="shared" si="11"/>
        <v/>
      </c>
    </row>
    <row r="183" spans="7:7">
      <c r="G183" s="5" t="str">
        <f t="shared" si="11"/>
        <v/>
      </c>
    </row>
    <row r="184" spans="7:7">
      <c r="G184" s="5" t="str">
        <f t="shared" si="11"/>
        <v/>
      </c>
    </row>
    <row r="185" spans="7:7">
      <c r="G185" s="5" t="str">
        <f t="shared" si="11"/>
        <v/>
      </c>
    </row>
    <row r="186" spans="7:7">
      <c r="G186" s="5" t="str">
        <f t="shared" si="11"/>
        <v/>
      </c>
    </row>
    <row r="187" spans="7:7">
      <c r="G187" s="5" t="str">
        <f t="shared" si="11"/>
        <v/>
      </c>
    </row>
    <row r="188" spans="7:7">
      <c r="G188" s="5" t="str">
        <f t="shared" si="11"/>
        <v/>
      </c>
    </row>
    <row r="189" spans="7:7">
      <c r="G189" s="5" t="str">
        <f t="shared" si="11"/>
        <v/>
      </c>
    </row>
    <row r="190" spans="7:7">
      <c r="G190" s="5" t="str">
        <f t="shared" si="11"/>
        <v/>
      </c>
    </row>
    <row r="191" spans="7:7">
      <c r="G191" s="5" t="str">
        <f t="shared" si="11"/>
        <v/>
      </c>
    </row>
    <row r="192" spans="7:7">
      <c r="G192" s="5" t="str">
        <f t="shared" si="11"/>
        <v/>
      </c>
    </row>
    <row r="193" spans="7:7">
      <c r="G193" s="5" t="str">
        <f t="shared" si="11"/>
        <v/>
      </c>
    </row>
    <row r="194" spans="7:7">
      <c r="G194" s="5" t="str">
        <f t="shared" si="11"/>
        <v/>
      </c>
    </row>
    <row r="195" spans="7:7">
      <c r="G195" s="5" t="str">
        <f t="shared" si="11"/>
        <v/>
      </c>
    </row>
    <row r="196" spans="7:7">
      <c r="G196" s="5" t="str">
        <f t="shared" si="11"/>
        <v/>
      </c>
    </row>
    <row r="197" spans="7:7">
      <c r="G197" s="5" t="str">
        <f t="shared" si="11"/>
        <v/>
      </c>
    </row>
    <row r="198" spans="7:7">
      <c r="G198" s="5" t="str">
        <f t="shared" si="11"/>
        <v/>
      </c>
    </row>
    <row r="199" spans="7:7">
      <c r="G199" s="5" t="str">
        <f t="shared" si="11"/>
        <v/>
      </c>
    </row>
    <row r="200" spans="7:7">
      <c r="G200" s="5" t="str">
        <f t="shared" ref="G200:G263" si="12">IF(B200&lt;&gt;"",SUM(C200:F200),"")</f>
        <v/>
      </c>
    </row>
    <row r="201" spans="7:7">
      <c r="G201" s="5" t="str">
        <f t="shared" si="12"/>
        <v/>
      </c>
    </row>
    <row r="202" spans="7:7">
      <c r="G202" s="5" t="str">
        <f t="shared" si="12"/>
        <v/>
      </c>
    </row>
    <row r="203" spans="7:7">
      <c r="G203" s="5" t="str">
        <f t="shared" si="12"/>
        <v/>
      </c>
    </row>
    <row r="204" spans="7:7">
      <c r="G204" s="5" t="str">
        <f t="shared" si="12"/>
        <v/>
      </c>
    </row>
    <row r="205" spans="7:7">
      <c r="G205" s="5" t="str">
        <f t="shared" si="12"/>
        <v/>
      </c>
    </row>
    <row r="206" spans="7:7">
      <c r="G206" s="5" t="str">
        <f t="shared" si="12"/>
        <v/>
      </c>
    </row>
    <row r="207" spans="7:7">
      <c r="G207" s="5" t="str">
        <f t="shared" si="12"/>
        <v/>
      </c>
    </row>
    <row r="208" spans="7:7">
      <c r="G208" s="5" t="str">
        <f t="shared" si="12"/>
        <v/>
      </c>
    </row>
    <row r="209" spans="7:7">
      <c r="G209" s="5" t="str">
        <f t="shared" si="12"/>
        <v/>
      </c>
    </row>
    <row r="210" spans="7:7">
      <c r="G210" s="5" t="str">
        <f t="shared" si="12"/>
        <v/>
      </c>
    </row>
    <row r="211" spans="7:7">
      <c r="G211" s="5" t="str">
        <f t="shared" si="12"/>
        <v/>
      </c>
    </row>
    <row r="212" spans="7:7">
      <c r="G212" s="5" t="str">
        <f t="shared" si="12"/>
        <v/>
      </c>
    </row>
    <row r="213" spans="7:7">
      <c r="G213" s="5" t="str">
        <f t="shared" si="12"/>
        <v/>
      </c>
    </row>
    <row r="214" spans="7:7">
      <c r="G214" s="5" t="str">
        <f t="shared" si="12"/>
        <v/>
      </c>
    </row>
    <row r="215" spans="7:7">
      <c r="G215" s="5" t="str">
        <f t="shared" si="12"/>
        <v/>
      </c>
    </row>
    <row r="216" spans="7:7">
      <c r="G216" s="5" t="str">
        <f t="shared" si="12"/>
        <v/>
      </c>
    </row>
    <row r="217" spans="7:7">
      <c r="G217" s="5" t="str">
        <f t="shared" si="12"/>
        <v/>
      </c>
    </row>
    <row r="218" spans="7:7">
      <c r="G218" s="5" t="str">
        <f t="shared" si="12"/>
        <v/>
      </c>
    </row>
    <row r="219" spans="7:7">
      <c r="G219" s="5" t="str">
        <f t="shared" si="12"/>
        <v/>
      </c>
    </row>
    <row r="220" spans="7:7">
      <c r="G220" s="5" t="str">
        <f t="shared" si="12"/>
        <v/>
      </c>
    </row>
    <row r="221" spans="7:7">
      <c r="G221" s="5" t="str">
        <f t="shared" si="12"/>
        <v/>
      </c>
    </row>
    <row r="222" spans="7:7">
      <c r="G222" s="5" t="str">
        <f t="shared" si="12"/>
        <v/>
      </c>
    </row>
    <row r="223" spans="7:7">
      <c r="G223" s="5" t="str">
        <f t="shared" si="12"/>
        <v/>
      </c>
    </row>
    <row r="224" spans="7:7">
      <c r="G224" s="5" t="str">
        <f t="shared" si="12"/>
        <v/>
      </c>
    </row>
    <row r="225" spans="7:7">
      <c r="G225" s="5" t="str">
        <f t="shared" si="12"/>
        <v/>
      </c>
    </row>
    <row r="226" spans="7:7">
      <c r="G226" s="5" t="str">
        <f t="shared" si="12"/>
        <v/>
      </c>
    </row>
    <row r="227" spans="7:7">
      <c r="G227" s="5" t="str">
        <f t="shared" si="12"/>
        <v/>
      </c>
    </row>
    <row r="228" spans="7:7">
      <c r="G228" s="5" t="str">
        <f t="shared" si="12"/>
        <v/>
      </c>
    </row>
    <row r="229" spans="7:7">
      <c r="G229" s="5" t="str">
        <f t="shared" si="12"/>
        <v/>
      </c>
    </row>
    <row r="230" spans="7:7">
      <c r="G230" s="5" t="str">
        <f t="shared" si="12"/>
        <v/>
      </c>
    </row>
    <row r="231" spans="7:7">
      <c r="G231" s="5" t="str">
        <f t="shared" si="12"/>
        <v/>
      </c>
    </row>
    <row r="232" spans="7:7">
      <c r="G232" s="5" t="str">
        <f t="shared" si="12"/>
        <v/>
      </c>
    </row>
    <row r="233" spans="7:7">
      <c r="G233" s="5" t="str">
        <f t="shared" si="12"/>
        <v/>
      </c>
    </row>
    <row r="234" spans="7:7">
      <c r="G234" s="5" t="str">
        <f t="shared" si="12"/>
        <v/>
      </c>
    </row>
    <row r="235" spans="7:7">
      <c r="G235" s="5" t="str">
        <f t="shared" si="12"/>
        <v/>
      </c>
    </row>
    <row r="236" spans="7:7">
      <c r="G236" s="5" t="str">
        <f t="shared" si="12"/>
        <v/>
      </c>
    </row>
    <row r="237" spans="7:7">
      <c r="G237" s="5" t="str">
        <f t="shared" si="12"/>
        <v/>
      </c>
    </row>
    <row r="238" spans="7:7">
      <c r="G238" s="5" t="str">
        <f t="shared" si="12"/>
        <v/>
      </c>
    </row>
    <row r="239" spans="7:7">
      <c r="G239" s="5" t="str">
        <f t="shared" si="12"/>
        <v/>
      </c>
    </row>
    <row r="240" spans="7:7">
      <c r="G240" s="5" t="str">
        <f t="shared" si="12"/>
        <v/>
      </c>
    </row>
    <row r="241" spans="7:7">
      <c r="G241" s="5" t="str">
        <f t="shared" si="12"/>
        <v/>
      </c>
    </row>
    <row r="242" spans="7:7">
      <c r="G242" s="5" t="str">
        <f t="shared" si="12"/>
        <v/>
      </c>
    </row>
    <row r="243" spans="7:7">
      <c r="G243" s="5" t="str">
        <f t="shared" si="12"/>
        <v/>
      </c>
    </row>
    <row r="244" spans="7:7">
      <c r="G244" s="5" t="str">
        <f t="shared" si="12"/>
        <v/>
      </c>
    </row>
    <row r="245" spans="7:7">
      <c r="G245" s="5" t="str">
        <f t="shared" si="12"/>
        <v/>
      </c>
    </row>
    <row r="246" spans="7:7">
      <c r="G246" s="5" t="str">
        <f t="shared" si="12"/>
        <v/>
      </c>
    </row>
    <row r="247" spans="7:7">
      <c r="G247" s="5" t="str">
        <f t="shared" si="12"/>
        <v/>
      </c>
    </row>
    <row r="248" spans="7:7">
      <c r="G248" s="5" t="str">
        <f t="shared" si="12"/>
        <v/>
      </c>
    </row>
    <row r="249" spans="7:7">
      <c r="G249" s="5" t="str">
        <f t="shared" si="12"/>
        <v/>
      </c>
    </row>
    <row r="250" spans="7:7">
      <c r="G250" s="5" t="str">
        <f t="shared" si="12"/>
        <v/>
      </c>
    </row>
    <row r="251" spans="7:7">
      <c r="G251" s="5" t="str">
        <f t="shared" si="12"/>
        <v/>
      </c>
    </row>
    <row r="252" spans="7:7">
      <c r="G252" s="5" t="str">
        <f t="shared" si="12"/>
        <v/>
      </c>
    </row>
    <row r="253" spans="7:7">
      <c r="G253" s="5" t="str">
        <f t="shared" si="12"/>
        <v/>
      </c>
    </row>
    <row r="254" spans="7:7">
      <c r="G254" s="5" t="str">
        <f t="shared" si="12"/>
        <v/>
      </c>
    </row>
    <row r="255" spans="7:7">
      <c r="G255" s="5" t="str">
        <f t="shared" si="12"/>
        <v/>
      </c>
    </row>
    <row r="256" spans="7:7">
      <c r="G256" s="5" t="str">
        <f t="shared" si="12"/>
        <v/>
      </c>
    </row>
    <row r="257" spans="7:7">
      <c r="G257" s="5" t="str">
        <f t="shared" si="12"/>
        <v/>
      </c>
    </row>
    <row r="258" spans="7:7">
      <c r="G258" s="5" t="str">
        <f t="shared" si="12"/>
        <v/>
      </c>
    </row>
    <row r="259" spans="7:7">
      <c r="G259" s="5" t="str">
        <f t="shared" si="12"/>
        <v/>
      </c>
    </row>
    <row r="260" spans="7:7">
      <c r="G260" s="5" t="str">
        <f t="shared" si="12"/>
        <v/>
      </c>
    </row>
    <row r="261" spans="7:7">
      <c r="G261" s="5" t="str">
        <f t="shared" si="12"/>
        <v/>
      </c>
    </row>
    <row r="262" spans="7:7">
      <c r="G262" s="5" t="str">
        <f t="shared" si="12"/>
        <v/>
      </c>
    </row>
    <row r="263" spans="7:7">
      <c r="G263" s="5" t="str">
        <f t="shared" si="12"/>
        <v/>
      </c>
    </row>
    <row r="264" spans="7:7">
      <c r="G264" s="5" t="str">
        <f t="shared" ref="G264:G327" si="13">IF(B264&lt;&gt;"",SUM(C264:F264),"")</f>
        <v/>
      </c>
    </row>
    <row r="265" spans="7:7">
      <c r="G265" s="5" t="str">
        <f t="shared" si="13"/>
        <v/>
      </c>
    </row>
    <row r="266" spans="7:7">
      <c r="G266" s="5" t="str">
        <f t="shared" si="13"/>
        <v/>
      </c>
    </row>
    <row r="267" spans="7:7">
      <c r="G267" s="5" t="str">
        <f t="shared" si="13"/>
        <v/>
      </c>
    </row>
    <row r="268" spans="7:7">
      <c r="G268" s="5" t="str">
        <f t="shared" si="13"/>
        <v/>
      </c>
    </row>
    <row r="269" spans="7:7">
      <c r="G269" s="5" t="str">
        <f t="shared" si="13"/>
        <v/>
      </c>
    </row>
    <row r="270" spans="7:7">
      <c r="G270" s="5" t="str">
        <f t="shared" si="13"/>
        <v/>
      </c>
    </row>
    <row r="271" spans="7:7">
      <c r="G271" s="5" t="str">
        <f t="shared" si="13"/>
        <v/>
      </c>
    </row>
    <row r="272" spans="7:7">
      <c r="G272" s="5" t="str">
        <f t="shared" si="13"/>
        <v/>
      </c>
    </row>
    <row r="273" spans="7:7">
      <c r="G273" s="5" t="str">
        <f t="shared" si="13"/>
        <v/>
      </c>
    </row>
    <row r="274" spans="7:7">
      <c r="G274" s="5" t="str">
        <f t="shared" si="13"/>
        <v/>
      </c>
    </row>
    <row r="275" spans="7:7">
      <c r="G275" s="5" t="str">
        <f t="shared" si="13"/>
        <v/>
      </c>
    </row>
    <row r="276" spans="7:7">
      <c r="G276" s="5" t="str">
        <f t="shared" si="13"/>
        <v/>
      </c>
    </row>
    <row r="277" spans="7:7">
      <c r="G277" s="5" t="str">
        <f t="shared" si="13"/>
        <v/>
      </c>
    </row>
    <row r="278" spans="7:7">
      <c r="G278" s="5" t="str">
        <f t="shared" si="13"/>
        <v/>
      </c>
    </row>
    <row r="279" spans="7:7">
      <c r="G279" s="5" t="str">
        <f t="shared" si="13"/>
        <v/>
      </c>
    </row>
    <row r="280" spans="7:7">
      <c r="G280" s="5" t="str">
        <f t="shared" si="13"/>
        <v/>
      </c>
    </row>
    <row r="281" spans="7:7">
      <c r="G281" s="5" t="str">
        <f t="shared" si="13"/>
        <v/>
      </c>
    </row>
    <row r="282" spans="7:7">
      <c r="G282" s="5" t="str">
        <f t="shared" si="13"/>
        <v/>
      </c>
    </row>
    <row r="283" spans="7:7">
      <c r="G283" s="5" t="str">
        <f t="shared" si="13"/>
        <v/>
      </c>
    </row>
    <row r="284" spans="7:7">
      <c r="G284" s="5" t="str">
        <f t="shared" si="13"/>
        <v/>
      </c>
    </row>
    <row r="285" spans="7:7">
      <c r="G285" s="5" t="str">
        <f t="shared" si="13"/>
        <v/>
      </c>
    </row>
    <row r="286" spans="7:7">
      <c r="G286" s="5" t="str">
        <f t="shared" si="13"/>
        <v/>
      </c>
    </row>
    <row r="287" spans="7:7">
      <c r="G287" s="5" t="str">
        <f t="shared" si="13"/>
        <v/>
      </c>
    </row>
    <row r="288" spans="7:7">
      <c r="G288" s="5" t="str">
        <f t="shared" si="13"/>
        <v/>
      </c>
    </row>
    <row r="289" spans="7:7">
      <c r="G289" s="5" t="str">
        <f t="shared" si="13"/>
        <v/>
      </c>
    </row>
    <row r="290" spans="7:7">
      <c r="G290" s="5" t="str">
        <f t="shared" si="13"/>
        <v/>
      </c>
    </row>
    <row r="291" spans="7:7">
      <c r="G291" s="5" t="str">
        <f t="shared" si="13"/>
        <v/>
      </c>
    </row>
    <row r="292" spans="7:7">
      <c r="G292" s="5" t="str">
        <f t="shared" si="13"/>
        <v/>
      </c>
    </row>
    <row r="293" spans="7:7">
      <c r="G293" s="5" t="str">
        <f t="shared" si="13"/>
        <v/>
      </c>
    </row>
    <row r="294" spans="7:7">
      <c r="G294" s="5" t="str">
        <f t="shared" si="13"/>
        <v/>
      </c>
    </row>
    <row r="295" spans="7:7">
      <c r="G295" s="5" t="str">
        <f t="shared" si="13"/>
        <v/>
      </c>
    </row>
    <row r="296" spans="7:7">
      <c r="G296" s="5" t="str">
        <f t="shared" si="13"/>
        <v/>
      </c>
    </row>
    <row r="297" spans="7:7">
      <c r="G297" s="5" t="str">
        <f t="shared" si="13"/>
        <v/>
      </c>
    </row>
    <row r="298" spans="7:7">
      <c r="G298" s="5" t="str">
        <f t="shared" si="13"/>
        <v/>
      </c>
    </row>
    <row r="299" spans="7:7">
      <c r="G299" s="5" t="str">
        <f t="shared" si="13"/>
        <v/>
      </c>
    </row>
    <row r="300" spans="7:7">
      <c r="G300" s="5" t="str">
        <f t="shared" si="13"/>
        <v/>
      </c>
    </row>
    <row r="301" spans="7:7">
      <c r="G301" s="5" t="str">
        <f t="shared" si="13"/>
        <v/>
      </c>
    </row>
    <row r="302" spans="7:7">
      <c r="G302" s="5" t="str">
        <f t="shared" si="13"/>
        <v/>
      </c>
    </row>
    <row r="303" spans="7:7">
      <c r="G303" s="5" t="str">
        <f t="shared" si="13"/>
        <v/>
      </c>
    </row>
    <row r="304" spans="7:7">
      <c r="G304" s="5" t="str">
        <f t="shared" si="13"/>
        <v/>
      </c>
    </row>
    <row r="305" spans="7:7">
      <c r="G305" s="5" t="str">
        <f t="shared" si="13"/>
        <v/>
      </c>
    </row>
    <row r="306" spans="7:7">
      <c r="G306" s="5" t="str">
        <f t="shared" si="13"/>
        <v/>
      </c>
    </row>
    <row r="307" spans="7:7">
      <c r="G307" s="5" t="str">
        <f t="shared" si="13"/>
        <v/>
      </c>
    </row>
    <row r="308" spans="7:7">
      <c r="G308" s="5" t="str">
        <f t="shared" si="13"/>
        <v/>
      </c>
    </row>
    <row r="309" spans="7:7">
      <c r="G309" s="5" t="str">
        <f t="shared" si="13"/>
        <v/>
      </c>
    </row>
    <row r="310" spans="7:7">
      <c r="G310" s="5" t="str">
        <f t="shared" si="13"/>
        <v/>
      </c>
    </row>
    <row r="311" spans="7:7">
      <c r="G311" s="5" t="str">
        <f t="shared" si="13"/>
        <v/>
      </c>
    </row>
    <row r="312" spans="7:7">
      <c r="G312" s="5" t="str">
        <f t="shared" si="13"/>
        <v/>
      </c>
    </row>
    <row r="313" spans="7:7">
      <c r="G313" s="5" t="str">
        <f t="shared" si="13"/>
        <v/>
      </c>
    </row>
    <row r="314" spans="7:7">
      <c r="G314" s="5" t="str">
        <f t="shared" si="13"/>
        <v/>
      </c>
    </row>
    <row r="315" spans="7:7">
      <c r="G315" s="5" t="str">
        <f t="shared" si="13"/>
        <v/>
      </c>
    </row>
    <row r="316" spans="7:7">
      <c r="G316" s="5" t="str">
        <f t="shared" si="13"/>
        <v/>
      </c>
    </row>
    <row r="317" spans="7:7">
      <c r="G317" s="5" t="str">
        <f t="shared" si="13"/>
        <v/>
      </c>
    </row>
    <row r="318" spans="7:7">
      <c r="G318" s="5" t="str">
        <f t="shared" si="13"/>
        <v/>
      </c>
    </row>
    <row r="319" spans="7:7">
      <c r="G319" s="5" t="str">
        <f t="shared" si="13"/>
        <v/>
      </c>
    </row>
    <row r="320" spans="7:7">
      <c r="G320" s="5" t="str">
        <f t="shared" si="13"/>
        <v/>
      </c>
    </row>
    <row r="321" spans="7:7">
      <c r="G321" s="5" t="str">
        <f t="shared" si="13"/>
        <v/>
      </c>
    </row>
    <row r="322" spans="7:7">
      <c r="G322" s="5" t="str">
        <f t="shared" si="13"/>
        <v/>
      </c>
    </row>
    <row r="323" spans="7:7">
      <c r="G323" s="5" t="str">
        <f t="shared" si="13"/>
        <v/>
      </c>
    </row>
    <row r="324" spans="7:7">
      <c r="G324" s="5" t="str">
        <f t="shared" si="13"/>
        <v/>
      </c>
    </row>
    <row r="325" spans="7:7">
      <c r="G325" s="5" t="str">
        <f t="shared" si="13"/>
        <v/>
      </c>
    </row>
    <row r="326" spans="7:7">
      <c r="G326" s="5" t="str">
        <f t="shared" si="13"/>
        <v/>
      </c>
    </row>
    <row r="327" spans="7:7">
      <c r="G327" s="5" t="str">
        <f t="shared" si="13"/>
        <v/>
      </c>
    </row>
    <row r="328" spans="7:7">
      <c r="G328" s="5" t="str">
        <f t="shared" ref="G328:G391" si="14">IF(B328&lt;&gt;"",SUM(C328:F328),"")</f>
        <v/>
      </c>
    </row>
    <row r="329" spans="7:7">
      <c r="G329" s="5" t="str">
        <f t="shared" si="14"/>
        <v/>
      </c>
    </row>
    <row r="330" spans="7:7">
      <c r="G330" s="5" t="str">
        <f t="shared" si="14"/>
        <v/>
      </c>
    </row>
    <row r="331" spans="7:7">
      <c r="G331" s="5" t="str">
        <f t="shared" si="14"/>
        <v/>
      </c>
    </row>
    <row r="332" spans="7:7">
      <c r="G332" s="5" t="str">
        <f t="shared" si="14"/>
        <v/>
      </c>
    </row>
    <row r="333" spans="7:7">
      <c r="G333" s="5" t="str">
        <f t="shared" si="14"/>
        <v/>
      </c>
    </row>
    <row r="334" spans="7:7">
      <c r="G334" s="5" t="str">
        <f t="shared" si="14"/>
        <v/>
      </c>
    </row>
    <row r="335" spans="7:7">
      <c r="G335" s="5" t="str">
        <f t="shared" si="14"/>
        <v/>
      </c>
    </row>
    <row r="336" spans="7:7">
      <c r="G336" s="5" t="str">
        <f t="shared" si="14"/>
        <v/>
      </c>
    </row>
    <row r="337" spans="7:7">
      <c r="G337" s="5" t="str">
        <f t="shared" si="14"/>
        <v/>
      </c>
    </row>
    <row r="338" spans="7:7">
      <c r="G338" s="5" t="str">
        <f t="shared" si="14"/>
        <v/>
      </c>
    </row>
    <row r="339" spans="7:7">
      <c r="G339" s="5" t="str">
        <f t="shared" si="14"/>
        <v/>
      </c>
    </row>
    <row r="340" spans="7:7">
      <c r="G340" s="5" t="str">
        <f t="shared" si="14"/>
        <v/>
      </c>
    </row>
    <row r="341" spans="7:7">
      <c r="G341" s="5" t="str">
        <f t="shared" si="14"/>
        <v/>
      </c>
    </row>
    <row r="342" spans="7:7">
      <c r="G342" s="5" t="str">
        <f t="shared" si="14"/>
        <v/>
      </c>
    </row>
    <row r="343" spans="7:7">
      <c r="G343" s="5" t="str">
        <f t="shared" si="14"/>
        <v/>
      </c>
    </row>
    <row r="344" spans="7:7">
      <c r="G344" s="5" t="str">
        <f t="shared" si="14"/>
        <v/>
      </c>
    </row>
    <row r="345" spans="7:7">
      <c r="G345" s="5" t="str">
        <f t="shared" si="14"/>
        <v/>
      </c>
    </row>
    <row r="346" spans="7:7">
      <c r="G346" s="5" t="str">
        <f t="shared" si="14"/>
        <v/>
      </c>
    </row>
    <row r="347" spans="7:7">
      <c r="G347" s="5" t="str">
        <f t="shared" si="14"/>
        <v/>
      </c>
    </row>
    <row r="348" spans="7:7">
      <c r="G348" s="5" t="str">
        <f t="shared" si="14"/>
        <v/>
      </c>
    </row>
    <row r="349" spans="7:7">
      <c r="G349" s="5" t="str">
        <f t="shared" si="14"/>
        <v/>
      </c>
    </row>
    <row r="350" spans="7:7">
      <c r="G350" s="5" t="str">
        <f t="shared" si="14"/>
        <v/>
      </c>
    </row>
    <row r="351" spans="7:7">
      <c r="G351" s="5" t="str">
        <f t="shared" si="14"/>
        <v/>
      </c>
    </row>
    <row r="352" spans="7:7">
      <c r="G352" s="5" t="str">
        <f t="shared" si="14"/>
        <v/>
      </c>
    </row>
    <row r="353" spans="7:7">
      <c r="G353" s="5" t="str">
        <f t="shared" si="14"/>
        <v/>
      </c>
    </row>
    <row r="354" spans="7:7">
      <c r="G354" s="5" t="str">
        <f t="shared" si="14"/>
        <v/>
      </c>
    </row>
    <row r="355" spans="7:7">
      <c r="G355" s="5" t="str">
        <f t="shared" si="14"/>
        <v/>
      </c>
    </row>
    <row r="356" spans="7:7">
      <c r="G356" s="5" t="str">
        <f t="shared" si="14"/>
        <v/>
      </c>
    </row>
    <row r="357" spans="7:7">
      <c r="G357" s="5" t="str">
        <f t="shared" si="14"/>
        <v/>
      </c>
    </row>
    <row r="358" spans="7:7">
      <c r="G358" s="5" t="str">
        <f t="shared" si="14"/>
        <v/>
      </c>
    </row>
    <row r="359" spans="7:7">
      <c r="G359" s="5" t="str">
        <f t="shared" si="14"/>
        <v/>
      </c>
    </row>
    <row r="360" spans="7:7">
      <c r="G360" s="5" t="str">
        <f t="shared" si="14"/>
        <v/>
      </c>
    </row>
    <row r="361" spans="7:7">
      <c r="G361" s="5" t="str">
        <f t="shared" si="14"/>
        <v/>
      </c>
    </row>
    <row r="362" spans="7:7">
      <c r="G362" s="5" t="str">
        <f t="shared" si="14"/>
        <v/>
      </c>
    </row>
    <row r="363" spans="7:7">
      <c r="G363" s="5" t="str">
        <f t="shared" si="14"/>
        <v/>
      </c>
    </row>
    <row r="364" spans="7:7">
      <c r="G364" s="5" t="str">
        <f t="shared" si="14"/>
        <v/>
      </c>
    </row>
    <row r="365" spans="7:7">
      <c r="G365" s="5" t="str">
        <f t="shared" si="14"/>
        <v/>
      </c>
    </row>
    <row r="366" spans="7:7">
      <c r="G366" s="5" t="str">
        <f t="shared" si="14"/>
        <v/>
      </c>
    </row>
    <row r="367" spans="7:7">
      <c r="G367" s="5" t="str">
        <f t="shared" si="14"/>
        <v/>
      </c>
    </row>
    <row r="368" spans="7:7">
      <c r="G368" s="5" t="str">
        <f t="shared" si="14"/>
        <v/>
      </c>
    </row>
    <row r="369" spans="7:7">
      <c r="G369" s="5" t="str">
        <f t="shared" si="14"/>
        <v/>
      </c>
    </row>
    <row r="370" spans="7:7">
      <c r="G370" s="5" t="str">
        <f t="shared" si="14"/>
        <v/>
      </c>
    </row>
    <row r="371" spans="7:7">
      <c r="G371" s="5" t="str">
        <f t="shared" si="14"/>
        <v/>
      </c>
    </row>
    <row r="372" spans="7:7">
      <c r="G372" s="5" t="str">
        <f t="shared" si="14"/>
        <v/>
      </c>
    </row>
    <row r="373" spans="7:7">
      <c r="G373" s="5" t="str">
        <f t="shared" si="14"/>
        <v/>
      </c>
    </row>
    <row r="374" spans="7:7">
      <c r="G374" s="5" t="str">
        <f t="shared" si="14"/>
        <v/>
      </c>
    </row>
    <row r="375" spans="7:7">
      <c r="G375" s="5" t="str">
        <f t="shared" si="14"/>
        <v/>
      </c>
    </row>
    <row r="376" spans="7:7">
      <c r="G376" s="5" t="str">
        <f t="shared" si="14"/>
        <v/>
      </c>
    </row>
    <row r="377" spans="7:7">
      <c r="G377" s="5" t="str">
        <f t="shared" si="14"/>
        <v/>
      </c>
    </row>
    <row r="378" spans="7:7">
      <c r="G378" s="5" t="str">
        <f t="shared" si="14"/>
        <v/>
      </c>
    </row>
    <row r="379" spans="7:7">
      <c r="G379" s="5" t="str">
        <f t="shared" si="14"/>
        <v/>
      </c>
    </row>
    <row r="380" spans="7:7">
      <c r="G380" s="5" t="str">
        <f t="shared" si="14"/>
        <v/>
      </c>
    </row>
    <row r="381" spans="7:7">
      <c r="G381" s="5" t="str">
        <f t="shared" si="14"/>
        <v/>
      </c>
    </row>
    <row r="382" spans="7:7">
      <c r="G382" s="5" t="str">
        <f t="shared" si="14"/>
        <v/>
      </c>
    </row>
    <row r="383" spans="7:7">
      <c r="G383" s="5" t="str">
        <f t="shared" si="14"/>
        <v/>
      </c>
    </row>
    <row r="384" spans="7:7">
      <c r="G384" s="5" t="str">
        <f t="shared" si="14"/>
        <v/>
      </c>
    </row>
    <row r="385" spans="7:7">
      <c r="G385" s="5" t="str">
        <f t="shared" si="14"/>
        <v/>
      </c>
    </row>
    <row r="386" spans="7:7">
      <c r="G386" s="5" t="str">
        <f t="shared" si="14"/>
        <v/>
      </c>
    </row>
    <row r="387" spans="7:7">
      <c r="G387" s="5" t="str">
        <f t="shared" si="14"/>
        <v/>
      </c>
    </row>
    <row r="388" spans="7:7">
      <c r="G388" s="5" t="str">
        <f t="shared" si="14"/>
        <v/>
      </c>
    </row>
    <row r="389" spans="7:7">
      <c r="G389" s="5" t="str">
        <f t="shared" si="14"/>
        <v/>
      </c>
    </row>
    <row r="390" spans="7:7">
      <c r="G390" s="5" t="str">
        <f t="shared" si="14"/>
        <v/>
      </c>
    </row>
    <row r="391" spans="7:7">
      <c r="G391" s="5" t="str">
        <f t="shared" si="14"/>
        <v/>
      </c>
    </row>
    <row r="392" spans="7:7">
      <c r="G392" s="5" t="str">
        <f t="shared" ref="G392:G455" si="15">IF(B392&lt;&gt;"",SUM(C392:F392),"")</f>
        <v/>
      </c>
    </row>
    <row r="393" spans="7:7">
      <c r="G393" s="5" t="str">
        <f t="shared" si="15"/>
        <v/>
      </c>
    </row>
    <row r="394" spans="7:7">
      <c r="G394" s="5" t="str">
        <f t="shared" si="15"/>
        <v/>
      </c>
    </row>
    <row r="395" spans="7:7">
      <c r="G395" s="5" t="str">
        <f t="shared" si="15"/>
        <v/>
      </c>
    </row>
    <row r="396" spans="7:7">
      <c r="G396" s="5" t="str">
        <f t="shared" si="15"/>
        <v/>
      </c>
    </row>
    <row r="397" spans="7:7">
      <c r="G397" s="5" t="str">
        <f t="shared" si="15"/>
        <v/>
      </c>
    </row>
    <row r="398" spans="7:7">
      <c r="G398" s="5" t="str">
        <f t="shared" si="15"/>
        <v/>
      </c>
    </row>
    <row r="399" spans="7:7">
      <c r="G399" s="5" t="str">
        <f t="shared" si="15"/>
        <v/>
      </c>
    </row>
    <row r="400" spans="7:7">
      <c r="G400" s="5" t="str">
        <f t="shared" si="15"/>
        <v/>
      </c>
    </row>
    <row r="401" spans="7:7">
      <c r="G401" s="5" t="str">
        <f t="shared" si="15"/>
        <v/>
      </c>
    </row>
    <row r="402" spans="7:7">
      <c r="G402" s="5" t="str">
        <f t="shared" si="15"/>
        <v/>
      </c>
    </row>
    <row r="403" spans="7:7">
      <c r="G403" s="5" t="str">
        <f t="shared" si="15"/>
        <v/>
      </c>
    </row>
    <row r="404" spans="7:7">
      <c r="G404" s="5" t="str">
        <f t="shared" si="15"/>
        <v/>
      </c>
    </row>
    <row r="405" spans="7:7">
      <c r="G405" s="5" t="str">
        <f t="shared" si="15"/>
        <v/>
      </c>
    </row>
    <row r="406" spans="7:7">
      <c r="G406" s="5" t="str">
        <f t="shared" si="15"/>
        <v/>
      </c>
    </row>
    <row r="407" spans="7:7">
      <c r="G407" s="5" t="str">
        <f t="shared" si="15"/>
        <v/>
      </c>
    </row>
    <row r="408" spans="7:7">
      <c r="G408" s="5" t="str">
        <f t="shared" si="15"/>
        <v/>
      </c>
    </row>
    <row r="409" spans="7:7">
      <c r="G409" s="5" t="str">
        <f t="shared" si="15"/>
        <v/>
      </c>
    </row>
    <row r="410" spans="7:7">
      <c r="G410" s="5" t="str">
        <f t="shared" si="15"/>
        <v/>
      </c>
    </row>
    <row r="411" spans="7:7">
      <c r="G411" s="5" t="str">
        <f t="shared" si="15"/>
        <v/>
      </c>
    </row>
    <row r="412" spans="7:7">
      <c r="G412" s="5" t="str">
        <f t="shared" si="15"/>
        <v/>
      </c>
    </row>
    <row r="413" spans="7:7">
      <c r="G413" s="5" t="str">
        <f t="shared" si="15"/>
        <v/>
      </c>
    </row>
    <row r="414" spans="7:7">
      <c r="G414" s="5" t="str">
        <f t="shared" si="15"/>
        <v/>
      </c>
    </row>
    <row r="415" spans="7:7">
      <c r="G415" s="5" t="str">
        <f t="shared" si="15"/>
        <v/>
      </c>
    </row>
    <row r="416" spans="7:7">
      <c r="G416" s="5" t="str">
        <f t="shared" si="15"/>
        <v/>
      </c>
    </row>
    <row r="417" spans="7:7">
      <c r="G417" s="5" t="str">
        <f t="shared" si="15"/>
        <v/>
      </c>
    </row>
    <row r="418" spans="7:7">
      <c r="G418" s="5" t="str">
        <f t="shared" si="15"/>
        <v/>
      </c>
    </row>
    <row r="419" spans="7:7">
      <c r="G419" s="5" t="str">
        <f t="shared" si="15"/>
        <v/>
      </c>
    </row>
    <row r="420" spans="7:7">
      <c r="G420" s="5" t="str">
        <f t="shared" si="15"/>
        <v/>
      </c>
    </row>
    <row r="421" spans="7:7">
      <c r="G421" s="5" t="str">
        <f t="shared" si="15"/>
        <v/>
      </c>
    </row>
    <row r="422" spans="7:7">
      <c r="G422" s="5" t="str">
        <f t="shared" si="15"/>
        <v/>
      </c>
    </row>
    <row r="423" spans="7:7">
      <c r="G423" s="5" t="str">
        <f t="shared" si="15"/>
        <v/>
      </c>
    </row>
    <row r="424" spans="7:7">
      <c r="G424" s="5" t="str">
        <f t="shared" si="15"/>
        <v/>
      </c>
    </row>
    <row r="425" spans="7:7">
      <c r="G425" s="5" t="str">
        <f t="shared" si="15"/>
        <v/>
      </c>
    </row>
    <row r="426" spans="7:7">
      <c r="G426" s="5" t="str">
        <f t="shared" si="15"/>
        <v/>
      </c>
    </row>
    <row r="427" spans="7:7">
      <c r="G427" s="5" t="str">
        <f t="shared" si="15"/>
        <v/>
      </c>
    </row>
    <row r="428" spans="7:7">
      <c r="G428" s="5" t="str">
        <f t="shared" si="15"/>
        <v/>
      </c>
    </row>
    <row r="429" spans="7:7">
      <c r="G429" s="5" t="str">
        <f t="shared" si="15"/>
        <v/>
      </c>
    </row>
    <row r="430" spans="7:7">
      <c r="G430" s="5" t="str">
        <f t="shared" si="15"/>
        <v/>
      </c>
    </row>
    <row r="431" spans="7:7">
      <c r="G431" s="5" t="str">
        <f t="shared" si="15"/>
        <v/>
      </c>
    </row>
    <row r="432" spans="7:7">
      <c r="G432" s="5" t="str">
        <f t="shared" si="15"/>
        <v/>
      </c>
    </row>
    <row r="433" spans="7:7">
      <c r="G433" s="5" t="str">
        <f t="shared" si="15"/>
        <v/>
      </c>
    </row>
    <row r="434" spans="7:7">
      <c r="G434" s="5" t="str">
        <f t="shared" si="15"/>
        <v/>
      </c>
    </row>
    <row r="435" spans="7:7">
      <c r="G435" s="5" t="str">
        <f t="shared" si="15"/>
        <v/>
      </c>
    </row>
    <row r="436" spans="7:7">
      <c r="G436" s="5" t="str">
        <f t="shared" si="15"/>
        <v/>
      </c>
    </row>
    <row r="437" spans="7:7">
      <c r="G437" s="5" t="str">
        <f t="shared" si="15"/>
        <v/>
      </c>
    </row>
    <row r="438" spans="7:7">
      <c r="G438" s="5" t="str">
        <f t="shared" si="15"/>
        <v/>
      </c>
    </row>
    <row r="439" spans="7:7">
      <c r="G439" s="5" t="str">
        <f t="shared" si="15"/>
        <v/>
      </c>
    </row>
    <row r="440" spans="7:7">
      <c r="G440" s="5" t="str">
        <f t="shared" si="15"/>
        <v/>
      </c>
    </row>
    <row r="441" spans="7:7">
      <c r="G441" s="5" t="str">
        <f t="shared" si="15"/>
        <v/>
      </c>
    </row>
    <row r="442" spans="7:7">
      <c r="G442" s="5" t="str">
        <f t="shared" si="15"/>
        <v/>
      </c>
    </row>
    <row r="443" spans="7:7">
      <c r="G443" s="5" t="str">
        <f t="shared" si="15"/>
        <v/>
      </c>
    </row>
    <row r="444" spans="7:7">
      <c r="G444" s="5" t="str">
        <f t="shared" si="15"/>
        <v/>
      </c>
    </row>
    <row r="445" spans="7:7">
      <c r="G445" s="5" t="str">
        <f t="shared" si="15"/>
        <v/>
      </c>
    </row>
    <row r="446" spans="7:7">
      <c r="G446" s="5" t="str">
        <f t="shared" si="15"/>
        <v/>
      </c>
    </row>
    <row r="447" spans="7:7">
      <c r="G447" s="5" t="str">
        <f t="shared" si="15"/>
        <v/>
      </c>
    </row>
    <row r="448" spans="7:7">
      <c r="G448" s="5" t="str">
        <f t="shared" si="15"/>
        <v/>
      </c>
    </row>
    <row r="449" spans="7:7">
      <c r="G449" s="5" t="str">
        <f t="shared" si="15"/>
        <v/>
      </c>
    </row>
    <row r="450" spans="7:7">
      <c r="G450" s="5" t="str">
        <f t="shared" si="15"/>
        <v/>
      </c>
    </row>
    <row r="451" spans="7:7">
      <c r="G451" s="5" t="str">
        <f t="shared" si="15"/>
        <v/>
      </c>
    </row>
    <row r="452" spans="7:7">
      <c r="G452" s="5" t="str">
        <f t="shared" si="15"/>
        <v/>
      </c>
    </row>
    <row r="453" spans="7:7">
      <c r="G453" s="5" t="str">
        <f t="shared" si="15"/>
        <v/>
      </c>
    </row>
    <row r="454" spans="7:7">
      <c r="G454" s="5" t="str">
        <f t="shared" si="15"/>
        <v/>
      </c>
    </row>
    <row r="455" spans="7:7">
      <c r="G455" s="5" t="str">
        <f t="shared" si="15"/>
        <v/>
      </c>
    </row>
    <row r="456" spans="7:7">
      <c r="G456" s="5" t="str">
        <f t="shared" ref="G456:G483" si="16">IF(B456&lt;&gt;"",SUM(C456:F456),"")</f>
        <v/>
      </c>
    </row>
    <row r="457" spans="7:7">
      <c r="G457" s="5" t="str">
        <f t="shared" si="16"/>
        <v/>
      </c>
    </row>
    <row r="458" spans="7:7">
      <c r="G458" s="5" t="str">
        <f t="shared" si="16"/>
        <v/>
      </c>
    </row>
    <row r="459" spans="7:7">
      <c r="G459" s="5" t="str">
        <f t="shared" si="16"/>
        <v/>
      </c>
    </row>
    <row r="460" spans="7:7">
      <c r="G460" s="5" t="str">
        <f t="shared" si="16"/>
        <v/>
      </c>
    </row>
    <row r="461" spans="7:7">
      <c r="G461" s="5" t="str">
        <f t="shared" si="16"/>
        <v/>
      </c>
    </row>
    <row r="462" spans="7:7">
      <c r="G462" s="5" t="str">
        <f t="shared" si="16"/>
        <v/>
      </c>
    </row>
    <row r="463" spans="7:7">
      <c r="G463" s="5" t="str">
        <f t="shared" si="16"/>
        <v/>
      </c>
    </row>
    <row r="464" spans="7:7">
      <c r="G464" s="5" t="str">
        <f t="shared" si="16"/>
        <v/>
      </c>
    </row>
    <row r="465" spans="7:7">
      <c r="G465" s="5" t="str">
        <f t="shared" si="16"/>
        <v/>
      </c>
    </row>
    <row r="466" spans="7:7">
      <c r="G466" s="5" t="str">
        <f t="shared" si="16"/>
        <v/>
      </c>
    </row>
    <row r="467" spans="7:7">
      <c r="G467" s="5" t="str">
        <f t="shared" si="16"/>
        <v/>
      </c>
    </row>
    <row r="468" spans="7:7">
      <c r="G468" s="5" t="str">
        <f t="shared" si="16"/>
        <v/>
      </c>
    </row>
    <row r="469" spans="7:7">
      <c r="G469" s="5" t="str">
        <f t="shared" si="16"/>
        <v/>
      </c>
    </row>
    <row r="470" spans="7:7">
      <c r="G470" s="5" t="str">
        <f t="shared" si="16"/>
        <v/>
      </c>
    </row>
    <row r="471" spans="7:7">
      <c r="G471" s="5" t="str">
        <f t="shared" si="16"/>
        <v/>
      </c>
    </row>
    <row r="472" spans="7:7">
      <c r="G472" s="5" t="str">
        <f t="shared" si="16"/>
        <v/>
      </c>
    </row>
    <row r="473" spans="7:7">
      <c r="G473" s="5" t="str">
        <f t="shared" si="16"/>
        <v/>
      </c>
    </row>
    <row r="474" spans="7:7">
      <c r="G474" s="5" t="str">
        <f t="shared" si="16"/>
        <v/>
      </c>
    </row>
    <row r="475" spans="7:7">
      <c r="G475" s="5" t="str">
        <f t="shared" si="16"/>
        <v/>
      </c>
    </row>
    <row r="476" spans="7:7">
      <c r="G476" s="5" t="str">
        <f t="shared" si="16"/>
        <v/>
      </c>
    </row>
    <row r="477" spans="7:7">
      <c r="G477" s="5" t="str">
        <f t="shared" si="16"/>
        <v/>
      </c>
    </row>
    <row r="478" spans="7:7">
      <c r="G478" s="5" t="str">
        <f t="shared" si="16"/>
        <v/>
      </c>
    </row>
    <row r="479" spans="7:7">
      <c r="G479" s="5" t="str">
        <f t="shared" si="16"/>
        <v/>
      </c>
    </row>
    <row r="480" spans="7:7">
      <c r="G480" s="5" t="str">
        <f t="shared" si="16"/>
        <v/>
      </c>
    </row>
    <row r="481" spans="7:7">
      <c r="G481" s="5" t="str">
        <f t="shared" si="16"/>
        <v/>
      </c>
    </row>
    <row r="482" spans="7:7">
      <c r="G482" s="5" t="str">
        <f t="shared" si="16"/>
        <v/>
      </c>
    </row>
    <row r="483" spans="7:7">
      <c r="G483" s="5" t="str">
        <f t="shared" si="16"/>
        <v/>
      </c>
    </row>
  </sheetData>
  <sheetProtection sort="0" autoFilter="0" pivotTables="0"/>
  <autoFilter ref="H5:H60" xr:uid="{9863C277-2656-42FF-9105-85A78C34B4CE}">
    <filterColumn colId="0">
      <filters blank="1">
        <filter val="140"/>
        <filter val="24"/>
        <filter val="48"/>
        <filter val="60"/>
        <filter val="96"/>
        <filter val="R$ 10.880,48"/>
      </filters>
    </filterColumn>
  </autoFilter>
  <mergeCells count="1">
    <mergeCell ref="J13:K13"/>
  </mergeCells>
  <pageMargins left="0.78740157480314965" right="0.78740157480314965" top="0.78740157480314965" bottom="0.78740157480314965" header="0" footer="0"/>
  <pageSetup paperSize="9" scale="85" fitToHeight="0" orientation="landscape" horizontalDpi="4294967295" verticalDpi="4294967295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3F3B-03C9-47DB-B69E-4436E0FFCAEB}">
  <sheetPr codeName="Planilha37">
    <tabColor rgb="FFFF0000"/>
    <pageSetUpPr fitToPage="1"/>
  </sheetPr>
  <dimension ref="B1:S434"/>
  <sheetViews>
    <sheetView workbookViewId="0">
      <pane ySplit="5" topLeftCell="A6" activePane="bottomLeft" state="frozen"/>
      <selection pane="bottomLeft" activeCell="F6" sqref="F6:F53"/>
    </sheetView>
  </sheetViews>
  <sheetFormatPr defaultColWidth="9.140625" defaultRowHeight="15.75"/>
  <cols>
    <col min="1" max="1" width="0.5703125" style="1" customWidth="1"/>
    <col min="2" max="2" width="68.1406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9.4257812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/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31" t="s">
        <v>6</v>
      </c>
      <c r="C4" s="43"/>
      <c r="D4" s="43"/>
      <c r="E4" s="43"/>
      <c r="F4" s="44"/>
      <c r="G4" s="45"/>
      <c r="H4" s="430"/>
      <c r="I4" s="430" t="s">
        <v>48</v>
      </c>
      <c r="J4" s="429" t="s">
        <v>9</v>
      </c>
      <c r="K4" s="429" t="s">
        <v>9</v>
      </c>
      <c r="L4" s="232">
        <v>4.7619047619047616E-2</v>
      </c>
      <c r="M4" s="428" t="s">
        <v>15</v>
      </c>
      <c r="N4" s="36"/>
      <c r="O4" s="19"/>
      <c r="P4" s="19"/>
      <c r="Q4" s="19"/>
      <c r="R4" s="19"/>
      <c r="S4" s="19"/>
    </row>
    <row r="5" spans="2:19" ht="16.5" thickBot="1">
      <c r="B5" s="421" t="s">
        <v>5</v>
      </c>
      <c r="C5" s="422" t="s">
        <v>0</v>
      </c>
      <c r="D5" s="422" t="s">
        <v>12</v>
      </c>
      <c r="E5" s="422" t="s">
        <v>2</v>
      </c>
      <c r="F5" s="422" t="s">
        <v>3</v>
      </c>
      <c r="G5" s="423" t="s">
        <v>1</v>
      </c>
      <c r="H5" s="424" t="s">
        <v>4</v>
      </c>
      <c r="I5" s="424" t="s">
        <v>7</v>
      </c>
      <c r="J5" s="425" t="s">
        <v>8</v>
      </c>
      <c r="K5" s="425" t="s">
        <v>10</v>
      </c>
      <c r="L5" s="426" t="s">
        <v>11</v>
      </c>
      <c r="M5" s="42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434"/>
      <c r="C6" s="106"/>
      <c r="D6" s="38"/>
      <c r="E6" s="38"/>
      <c r="F6" s="39"/>
      <c r="G6" s="40"/>
      <c r="H6" s="23">
        <f>SUM(C6:G6)</f>
        <v>0</v>
      </c>
      <c r="I6" s="432">
        <f t="shared" ref="I6" si="0">L6-(L6*J6)</f>
        <v>0</v>
      </c>
      <c r="J6" s="16"/>
      <c r="K6" s="17"/>
      <c r="L6" s="234"/>
      <c r="M6" s="418" t="s">
        <v>1266</v>
      </c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0</v>
      </c>
      <c r="R6" s="27">
        <f t="shared" ref="R6" si="5">I6*G6</f>
        <v>0</v>
      </c>
      <c r="S6" s="28">
        <f>SUM(N6:R6)</f>
        <v>0</v>
      </c>
    </row>
    <row r="7" spans="2:19">
      <c r="B7" s="434"/>
      <c r="C7" s="106"/>
      <c r="D7" s="38"/>
      <c r="E7" s="38"/>
      <c r="F7" s="39"/>
      <c r="G7" s="40"/>
      <c r="H7" s="23">
        <f t="shared" ref="H7:H52" si="6">SUM(C7:G7)</f>
        <v>0</v>
      </c>
      <c r="I7" s="432">
        <f t="shared" ref="I7:I52" si="7">L7-(L7*J7)</f>
        <v>0</v>
      </c>
      <c r="J7" s="16"/>
      <c r="K7" s="17"/>
      <c r="L7" s="234"/>
      <c r="M7" s="418" t="s">
        <v>1266</v>
      </c>
      <c r="N7" s="25">
        <f t="shared" ref="N7:N52" si="8">I7*C7</f>
        <v>0</v>
      </c>
      <c r="O7" s="25">
        <f t="shared" ref="O7:O52" si="9">I7*D7</f>
        <v>0</v>
      </c>
      <c r="P7" s="25">
        <f t="shared" ref="P7:P52" si="10">I7*E7</f>
        <v>0</v>
      </c>
      <c r="Q7" s="26">
        <f t="shared" ref="Q7:Q52" si="11">I7*F7</f>
        <v>0</v>
      </c>
      <c r="R7" s="27">
        <f t="shared" ref="R7:R52" si="12">I7*G7</f>
        <v>0</v>
      </c>
      <c r="S7" s="28">
        <f t="shared" ref="S7:S52" si="13">SUM(N7:R7)</f>
        <v>0</v>
      </c>
    </row>
    <row r="8" spans="2:19">
      <c r="B8" s="434"/>
      <c r="C8" s="106"/>
      <c r="D8" s="38"/>
      <c r="E8" s="38"/>
      <c r="F8" s="39"/>
      <c r="G8" s="40"/>
      <c r="H8" s="23">
        <f t="shared" si="6"/>
        <v>0</v>
      </c>
      <c r="I8" s="432">
        <f t="shared" si="7"/>
        <v>0</v>
      </c>
      <c r="J8" s="16"/>
      <c r="K8" s="17"/>
      <c r="L8" s="234"/>
      <c r="M8" s="418" t="s">
        <v>1266</v>
      </c>
      <c r="N8" s="25">
        <f t="shared" si="8"/>
        <v>0</v>
      </c>
      <c r="O8" s="25">
        <f t="shared" si="9"/>
        <v>0</v>
      </c>
      <c r="P8" s="25">
        <f t="shared" si="10"/>
        <v>0</v>
      </c>
      <c r="Q8" s="26">
        <f t="shared" si="11"/>
        <v>0</v>
      </c>
      <c r="R8" s="27">
        <f t="shared" si="12"/>
        <v>0</v>
      </c>
      <c r="S8" s="28">
        <f t="shared" si="13"/>
        <v>0</v>
      </c>
    </row>
    <row r="9" spans="2:19">
      <c r="B9" s="434"/>
      <c r="C9" s="106"/>
      <c r="D9" s="38"/>
      <c r="E9" s="38"/>
      <c r="F9" s="39"/>
      <c r="G9" s="40"/>
      <c r="H9" s="23">
        <f t="shared" si="6"/>
        <v>0</v>
      </c>
      <c r="I9" s="432">
        <f t="shared" si="7"/>
        <v>0</v>
      </c>
      <c r="J9" s="16"/>
      <c r="K9" s="17"/>
      <c r="L9" s="234"/>
      <c r="M9" s="418" t="s">
        <v>1267</v>
      </c>
      <c r="N9" s="25">
        <f t="shared" si="8"/>
        <v>0</v>
      </c>
      <c r="O9" s="25">
        <f t="shared" si="9"/>
        <v>0</v>
      </c>
      <c r="P9" s="25">
        <f t="shared" si="10"/>
        <v>0</v>
      </c>
      <c r="Q9" s="26">
        <f t="shared" si="11"/>
        <v>0</v>
      </c>
      <c r="R9" s="27">
        <f t="shared" si="12"/>
        <v>0</v>
      </c>
      <c r="S9" s="28">
        <f t="shared" si="13"/>
        <v>0</v>
      </c>
    </row>
    <row r="10" spans="2:19">
      <c r="B10" s="434"/>
      <c r="C10" s="106"/>
      <c r="D10" s="38"/>
      <c r="E10" s="38"/>
      <c r="F10" s="39"/>
      <c r="G10" s="40"/>
      <c r="H10" s="23">
        <f t="shared" si="6"/>
        <v>0</v>
      </c>
      <c r="I10" s="432">
        <f t="shared" si="7"/>
        <v>0</v>
      </c>
      <c r="J10" s="16"/>
      <c r="K10" s="17"/>
      <c r="L10" s="234"/>
      <c r="M10" s="418" t="s">
        <v>1268</v>
      </c>
      <c r="N10" s="25">
        <f t="shared" si="8"/>
        <v>0</v>
      </c>
      <c r="O10" s="25">
        <f t="shared" si="9"/>
        <v>0</v>
      </c>
      <c r="P10" s="25">
        <f t="shared" si="10"/>
        <v>0</v>
      </c>
      <c r="Q10" s="26">
        <f t="shared" si="11"/>
        <v>0</v>
      </c>
      <c r="R10" s="27">
        <f t="shared" si="12"/>
        <v>0</v>
      </c>
      <c r="S10" s="28">
        <f t="shared" si="13"/>
        <v>0</v>
      </c>
    </row>
    <row r="11" spans="2:19">
      <c r="B11" s="434"/>
      <c r="C11" s="106"/>
      <c r="D11" s="38"/>
      <c r="E11" s="38"/>
      <c r="F11" s="39"/>
      <c r="G11" s="40"/>
      <c r="H11" s="23">
        <f t="shared" si="6"/>
        <v>0</v>
      </c>
      <c r="I11" s="432">
        <f t="shared" si="7"/>
        <v>0</v>
      </c>
      <c r="J11" s="16"/>
      <c r="K11" s="17"/>
      <c r="L11" s="234"/>
      <c r="M11" s="418" t="s">
        <v>1267</v>
      </c>
      <c r="N11" s="25">
        <f t="shared" si="8"/>
        <v>0</v>
      </c>
      <c r="O11" s="25">
        <f t="shared" si="9"/>
        <v>0</v>
      </c>
      <c r="P11" s="25">
        <f t="shared" si="10"/>
        <v>0</v>
      </c>
      <c r="Q11" s="26">
        <f t="shared" si="11"/>
        <v>0</v>
      </c>
      <c r="R11" s="27">
        <f t="shared" si="12"/>
        <v>0</v>
      </c>
      <c r="S11" s="28">
        <f t="shared" si="13"/>
        <v>0</v>
      </c>
    </row>
    <row r="12" spans="2:19">
      <c r="B12" s="434"/>
      <c r="C12" s="106"/>
      <c r="D12" s="38"/>
      <c r="E12" s="38"/>
      <c r="F12" s="39"/>
      <c r="G12" s="40"/>
      <c r="H12" s="23">
        <f t="shared" si="6"/>
        <v>0</v>
      </c>
      <c r="I12" s="432">
        <f t="shared" si="7"/>
        <v>0</v>
      </c>
      <c r="J12" s="16"/>
      <c r="K12" s="17"/>
      <c r="L12" s="234"/>
      <c r="M12" s="418" t="s">
        <v>1268</v>
      </c>
      <c r="N12" s="25">
        <f t="shared" si="8"/>
        <v>0</v>
      </c>
      <c r="O12" s="25">
        <f t="shared" si="9"/>
        <v>0</v>
      </c>
      <c r="P12" s="25">
        <f t="shared" si="10"/>
        <v>0</v>
      </c>
      <c r="Q12" s="26">
        <f t="shared" si="11"/>
        <v>0</v>
      </c>
      <c r="R12" s="27">
        <f t="shared" si="12"/>
        <v>0</v>
      </c>
      <c r="S12" s="28">
        <f t="shared" si="13"/>
        <v>0</v>
      </c>
    </row>
    <row r="13" spans="2:19">
      <c r="B13" s="434"/>
      <c r="C13" s="106"/>
      <c r="D13" s="38"/>
      <c r="E13" s="38"/>
      <c r="F13" s="39"/>
      <c r="G13" s="40"/>
      <c r="H13" s="23">
        <f t="shared" si="6"/>
        <v>0</v>
      </c>
      <c r="I13" s="432">
        <f t="shared" si="7"/>
        <v>0</v>
      </c>
      <c r="J13" s="16"/>
      <c r="K13" s="17"/>
      <c r="L13" s="234"/>
      <c r="M13" s="418" t="s">
        <v>1267</v>
      </c>
      <c r="N13" s="25">
        <f t="shared" si="8"/>
        <v>0</v>
      </c>
      <c r="O13" s="25">
        <f t="shared" si="9"/>
        <v>0</v>
      </c>
      <c r="P13" s="25">
        <f t="shared" si="10"/>
        <v>0</v>
      </c>
      <c r="Q13" s="26">
        <f t="shared" si="11"/>
        <v>0</v>
      </c>
      <c r="R13" s="27">
        <f t="shared" si="12"/>
        <v>0</v>
      </c>
      <c r="S13" s="28">
        <f t="shared" si="13"/>
        <v>0</v>
      </c>
    </row>
    <row r="14" spans="2:19">
      <c r="B14" s="434"/>
      <c r="C14" s="106"/>
      <c r="D14" s="38"/>
      <c r="E14" s="38"/>
      <c r="F14" s="39"/>
      <c r="G14" s="40"/>
      <c r="H14" s="23">
        <f t="shared" si="6"/>
        <v>0</v>
      </c>
      <c r="I14" s="432">
        <f t="shared" si="7"/>
        <v>0</v>
      </c>
      <c r="J14" s="16"/>
      <c r="K14" s="17"/>
      <c r="L14" s="234"/>
      <c r="M14" s="418" t="s">
        <v>1268</v>
      </c>
      <c r="N14" s="25">
        <f t="shared" si="8"/>
        <v>0</v>
      </c>
      <c r="O14" s="25">
        <f t="shared" si="9"/>
        <v>0</v>
      </c>
      <c r="P14" s="25">
        <f t="shared" si="10"/>
        <v>0</v>
      </c>
      <c r="Q14" s="26">
        <f t="shared" si="11"/>
        <v>0</v>
      </c>
      <c r="R14" s="27">
        <f t="shared" si="12"/>
        <v>0</v>
      </c>
      <c r="S14" s="28">
        <f t="shared" si="13"/>
        <v>0</v>
      </c>
    </row>
    <row r="15" spans="2:19">
      <c r="B15" s="434"/>
      <c r="C15" s="106"/>
      <c r="D15" s="38"/>
      <c r="E15" s="38"/>
      <c r="F15" s="39"/>
      <c r="G15" s="40"/>
      <c r="H15" s="23">
        <f t="shared" si="6"/>
        <v>0</v>
      </c>
      <c r="I15" s="432">
        <f t="shared" si="7"/>
        <v>0</v>
      </c>
      <c r="J15" s="16"/>
      <c r="K15" s="17"/>
      <c r="L15" s="234"/>
      <c r="M15" s="418" t="s">
        <v>1267</v>
      </c>
      <c r="N15" s="25">
        <f t="shared" si="8"/>
        <v>0</v>
      </c>
      <c r="O15" s="25">
        <f t="shared" si="9"/>
        <v>0</v>
      </c>
      <c r="P15" s="25">
        <f t="shared" si="10"/>
        <v>0</v>
      </c>
      <c r="Q15" s="26">
        <f t="shared" si="11"/>
        <v>0</v>
      </c>
      <c r="R15" s="27">
        <f t="shared" si="12"/>
        <v>0</v>
      </c>
      <c r="S15" s="28">
        <f t="shared" si="13"/>
        <v>0</v>
      </c>
    </row>
    <row r="16" spans="2:19">
      <c r="B16" s="434"/>
      <c r="C16" s="106"/>
      <c r="D16" s="38"/>
      <c r="E16" s="38"/>
      <c r="F16" s="39"/>
      <c r="G16" s="40"/>
      <c r="H16" s="23">
        <f t="shared" si="6"/>
        <v>0</v>
      </c>
      <c r="I16" s="432">
        <f t="shared" si="7"/>
        <v>0</v>
      </c>
      <c r="J16" s="16"/>
      <c r="K16" s="17"/>
      <c r="L16" s="234"/>
      <c r="M16" s="418" t="s">
        <v>1268</v>
      </c>
      <c r="N16" s="25">
        <f t="shared" si="8"/>
        <v>0</v>
      </c>
      <c r="O16" s="25">
        <f t="shared" si="9"/>
        <v>0</v>
      </c>
      <c r="P16" s="25">
        <f t="shared" si="10"/>
        <v>0</v>
      </c>
      <c r="Q16" s="26">
        <f t="shared" si="11"/>
        <v>0</v>
      </c>
      <c r="R16" s="27">
        <f t="shared" si="12"/>
        <v>0</v>
      </c>
      <c r="S16" s="28">
        <f t="shared" si="13"/>
        <v>0</v>
      </c>
    </row>
    <row r="17" spans="2:19">
      <c r="B17" s="434"/>
      <c r="C17" s="106"/>
      <c r="D17" s="38"/>
      <c r="E17" s="38"/>
      <c r="F17" s="39"/>
      <c r="G17" s="40"/>
      <c r="H17" s="23">
        <f t="shared" si="6"/>
        <v>0</v>
      </c>
      <c r="I17" s="432">
        <f t="shared" si="7"/>
        <v>0</v>
      </c>
      <c r="J17" s="16"/>
      <c r="K17" s="17"/>
      <c r="L17" s="234"/>
      <c r="M17" s="418" t="s">
        <v>1267</v>
      </c>
      <c r="N17" s="25">
        <f t="shared" si="8"/>
        <v>0</v>
      </c>
      <c r="O17" s="25">
        <f t="shared" si="9"/>
        <v>0</v>
      </c>
      <c r="P17" s="25">
        <f t="shared" si="10"/>
        <v>0</v>
      </c>
      <c r="Q17" s="26">
        <f t="shared" si="11"/>
        <v>0</v>
      </c>
      <c r="R17" s="27">
        <f t="shared" si="12"/>
        <v>0</v>
      </c>
      <c r="S17" s="28">
        <f t="shared" si="13"/>
        <v>0</v>
      </c>
    </row>
    <row r="18" spans="2:19">
      <c r="B18" s="434"/>
      <c r="C18" s="106"/>
      <c r="D18" s="38"/>
      <c r="E18" s="38"/>
      <c r="F18" s="39"/>
      <c r="G18" s="40"/>
      <c r="H18" s="23">
        <f t="shared" si="6"/>
        <v>0</v>
      </c>
      <c r="I18" s="432">
        <f t="shared" si="7"/>
        <v>0</v>
      </c>
      <c r="J18" s="16"/>
      <c r="K18" s="17"/>
      <c r="M18" s="418" t="s">
        <v>1268</v>
      </c>
      <c r="N18" s="25">
        <f t="shared" si="8"/>
        <v>0</v>
      </c>
      <c r="O18" s="25">
        <f t="shared" si="9"/>
        <v>0</v>
      </c>
      <c r="P18" s="25">
        <f t="shared" si="10"/>
        <v>0</v>
      </c>
      <c r="Q18" s="26">
        <f t="shared" si="11"/>
        <v>0</v>
      </c>
      <c r="R18" s="27">
        <f t="shared" si="12"/>
        <v>0</v>
      </c>
      <c r="S18" s="28">
        <f t="shared" si="13"/>
        <v>0</v>
      </c>
    </row>
    <row r="19" spans="2:19">
      <c r="B19" s="434"/>
      <c r="C19" s="106"/>
      <c r="D19" s="38"/>
      <c r="E19" s="38"/>
      <c r="F19" s="39"/>
      <c r="G19" s="40"/>
      <c r="H19" s="23">
        <f t="shared" si="6"/>
        <v>0</v>
      </c>
      <c r="I19" s="432">
        <f t="shared" si="7"/>
        <v>0</v>
      </c>
      <c r="J19" s="16"/>
      <c r="K19" s="17"/>
      <c r="M19" s="418" t="s">
        <v>1267</v>
      </c>
      <c r="N19" s="25">
        <f t="shared" si="8"/>
        <v>0</v>
      </c>
      <c r="O19" s="25">
        <f t="shared" si="9"/>
        <v>0</v>
      </c>
      <c r="P19" s="25">
        <f t="shared" si="10"/>
        <v>0</v>
      </c>
      <c r="Q19" s="26">
        <f t="shared" si="11"/>
        <v>0</v>
      </c>
      <c r="R19" s="27">
        <f t="shared" si="12"/>
        <v>0</v>
      </c>
      <c r="S19" s="28">
        <f t="shared" si="13"/>
        <v>0</v>
      </c>
    </row>
    <row r="20" spans="2:19">
      <c r="B20" s="434"/>
      <c r="C20" s="106"/>
      <c r="D20" s="38"/>
      <c r="E20" s="38"/>
      <c r="F20" s="39"/>
      <c r="G20" s="40"/>
      <c r="H20" s="23">
        <f t="shared" si="6"/>
        <v>0</v>
      </c>
      <c r="I20" s="432">
        <f t="shared" si="7"/>
        <v>0</v>
      </c>
      <c r="J20" s="16"/>
      <c r="K20" s="17"/>
      <c r="M20" s="418" t="s">
        <v>1268</v>
      </c>
      <c r="N20" s="25">
        <f t="shared" si="8"/>
        <v>0</v>
      </c>
      <c r="O20" s="25">
        <f t="shared" si="9"/>
        <v>0</v>
      </c>
      <c r="P20" s="25">
        <f t="shared" si="10"/>
        <v>0</v>
      </c>
      <c r="Q20" s="26">
        <f t="shared" si="11"/>
        <v>0</v>
      </c>
      <c r="R20" s="27">
        <f t="shared" si="12"/>
        <v>0</v>
      </c>
      <c r="S20" s="28">
        <f t="shared" si="13"/>
        <v>0</v>
      </c>
    </row>
    <row r="21" spans="2:19">
      <c r="B21" s="434"/>
      <c r="C21" s="106"/>
      <c r="D21" s="38"/>
      <c r="E21" s="38"/>
      <c r="F21" s="39"/>
      <c r="G21" s="40"/>
      <c r="H21" s="23">
        <f t="shared" si="6"/>
        <v>0</v>
      </c>
      <c r="I21" s="432">
        <f t="shared" si="7"/>
        <v>0</v>
      </c>
      <c r="J21" s="16"/>
      <c r="K21" s="17"/>
      <c r="M21" s="418" t="s">
        <v>1269</v>
      </c>
      <c r="N21" s="25">
        <f t="shared" si="8"/>
        <v>0</v>
      </c>
      <c r="O21" s="25">
        <f t="shared" si="9"/>
        <v>0</v>
      </c>
      <c r="P21" s="25">
        <f t="shared" si="10"/>
        <v>0</v>
      </c>
      <c r="Q21" s="26">
        <f t="shared" si="11"/>
        <v>0</v>
      </c>
      <c r="R21" s="27">
        <f t="shared" si="12"/>
        <v>0</v>
      </c>
      <c r="S21" s="28">
        <f t="shared" si="13"/>
        <v>0</v>
      </c>
    </row>
    <row r="22" spans="2:19">
      <c r="B22" s="434"/>
      <c r="C22" s="106"/>
      <c r="D22" s="38"/>
      <c r="E22" s="38"/>
      <c r="F22" s="39"/>
      <c r="G22" s="40"/>
      <c r="H22" s="23">
        <f t="shared" si="6"/>
        <v>0</v>
      </c>
      <c r="I22" s="432">
        <f t="shared" si="7"/>
        <v>0</v>
      </c>
      <c r="J22" s="16"/>
      <c r="K22" s="17"/>
      <c r="M22" s="418" t="s">
        <v>1266</v>
      </c>
      <c r="N22" s="25">
        <f t="shared" si="8"/>
        <v>0</v>
      </c>
      <c r="O22" s="25">
        <f t="shared" si="9"/>
        <v>0</v>
      </c>
      <c r="P22" s="25">
        <f t="shared" si="10"/>
        <v>0</v>
      </c>
      <c r="Q22" s="26">
        <f t="shared" si="11"/>
        <v>0</v>
      </c>
      <c r="R22" s="27">
        <f t="shared" si="12"/>
        <v>0</v>
      </c>
      <c r="S22" s="28">
        <f t="shared" si="13"/>
        <v>0</v>
      </c>
    </row>
    <row r="23" spans="2:19">
      <c r="B23" s="434"/>
      <c r="C23" s="106"/>
      <c r="D23" s="38"/>
      <c r="E23" s="38"/>
      <c r="F23" s="39"/>
      <c r="G23" s="40"/>
      <c r="H23" s="23">
        <f t="shared" si="6"/>
        <v>0</v>
      </c>
      <c r="I23" s="432">
        <f t="shared" si="7"/>
        <v>0</v>
      </c>
      <c r="J23" s="16"/>
      <c r="K23" s="17"/>
      <c r="M23" s="418" t="s">
        <v>1270</v>
      </c>
      <c r="N23" s="25">
        <f t="shared" si="8"/>
        <v>0</v>
      </c>
      <c r="O23" s="25">
        <f t="shared" si="9"/>
        <v>0</v>
      </c>
      <c r="P23" s="25">
        <f t="shared" si="10"/>
        <v>0</v>
      </c>
      <c r="Q23" s="26">
        <f t="shared" si="11"/>
        <v>0</v>
      </c>
      <c r="R23" s="27">
        <f t="shared" si="12"/>
        <v>0</v>
      </c>
      <c r="S23" s="28">
        <f t="shared" si="13"/>
        <v>0</v>
      </c>
    </row>
    <row r="24" spans="2:19">
      <c r="B24" s="434"/>
      <c r="C24" s="106"/>
      <c r="D24" s="38"/>
      <c r="E24" s="38"/>
      <c r="F24" s="39"/>
      <c r="G24" s="40"/>
      <c r="H24" s="23">
        <f t="shared" si="6"/>
        <v>0</v>
      </c>
      <c r="I24" s="432">
        <f t="shared" si="7"/>
        <v>0</v>
      </c>
      <c r="J24" s="16"/>
      <c r="K24" s="17"/>
      <c r="M24" s="418" t="s">
        <v>1266</v>
      </c>
      <c r="N24" s="25">
        <f t="shared" si="8"/>
        <v>0</v>
      </c>
      <c r="O24" s="25">
        <f t="shared" si="9"/>
        <v>0</v>
      </c>
      <c r="P24" s="25">
        <f t="shared" si="10"/>
        <v>0</v>
      </c>
      <c r="Q24" s="26">
        <f t="shared" si="11"/>
        <v>0</v>
      </c>
      <c r="R24" s="27">
        <f t="shared" si="12"/>
        <v>0</v>
      </c>
      <c r="S24" s="28">
        <f t="shared" si="13"/>
        <v>0</v>
      </c>
    </row>
    <row r="25" spans="2:19">
      <c r="B25" s="434"/>
      <c r="C25" s="106"/>
      <c r="D25" s="38"/>
      <c r="E25" s="38"/>
      <c r="F25" s="39"/>
      <c r="G25" s="40"/>
      <c r="H25" s="23">
        <f t="shared" si="6"/>
        <v>0</v>
      </c>
      <c r="I25" s="432">
        <f t="shared" si="7"/>
        <v>0</v>
      </c>
      <c r="J25" s="16"/>
      <c r="K25" s="17"/>
      <c r="M25" s="418" t="s">
        <v>1270</v>
      </c>
      <c r="N25" s="25">
        <f t="shared" si="8"/>
        <v>0</v>
      </c>
      <c r="O25" s="25">
        <f t="shared" si="9"/>
        <v>0</v>
      </c>
      <c r="P25" s="25">
        <f t="shared" si="10"/>
        <v>0</v>
      </c>
      <c r="Q25" s="26">
        <f t="shared" si="11"/>
        <v>0</v>
      </c>
      <c r="R25" s="27">
        <f t="shared" si="12"/>
        <v>0</v>
      </c>
      <c r="S25" s="28">
        <f t="shared" si="13"/>
        <v>0</v>
      </c>
    </row>
    <row r="26" spans="2:19">
      <c r="B26" s="434"/>
      <c r="C26" s="106"/>
      <c r="D26" s="38"/>
      <c r="E26" s="38"/>
      <c r="F26" s="39"/>
      <c r="G26" s="40"/>
      <c r="H26" s="23">
        <f t="shared" si="6"/>
        <v>0</v>
      </c>
      <c r="I26" s="432">
        <f t="shared" si="7"/>
        <v>0</v>
      </c>
      <c r="J26" s="16"/>
      <c r="K26" s="17"/>
      <c r="M26" s="418" t="s">
        <v>1266</v>
      </c>
      <c r="N26" s="25">
        <f t="shared" si="8"/>
        <v>0</v>
      </c>
      <c r="O26" s="25">
        <f t="shared" si="9"/>
        <v>0</v>
      </c>
      <c r="P26" s="25">
        <f t="shared" si="10"/>
        <v>0</v>
      </c>
      <c r="Q26" s="26">
        <f t="shared" si="11"/>
        <v>0</v>
      </c>
      <c r="R26" s="27">
        <f t="shared" si="12"/>
        <v>0</v>
      </c>
      <c r="S26" s="28">
        <f t="shared" si="13"/>
        <v>0</v>
      </c>
    </row>
    <row r="27" spans="2:19">
      <c r="B27" s="434"/>
      <c r="C27" s="106"/>
      <c r="D27" s="38"/>
      <c r="E27" s="38"/>
      <c r="F27" s="39"/>
      <c r="G27" s="40"/>
      <c r="H27" s="23">
        <f t="shared" si="6"/>
        <v>0</v>
      </c>
      <c r="I27" s="432">
        <f t="shared" si="7"/>
        <v>0</v>
      </c>
      <c r="J27" s="16"/>
      <c r="K27" s="17"/>
      <c r="M27" s="418" t="s">
        <v>1268</v>
      </c>
      <c r="N27" s="25">
        <f t="shared" si="8"/>
        <v>0</v>
      </c>
      <c r="O27" s="25">
        <f t="shared" si="9"/>
        <v>0</v>
      </c>
      <c r="P27" s="25">
        <f t="shared" si="10"/>
        <v>0</v>
      </c>
      <c r="Q27" s="26">
        <f t="shared" si="11"/>
        <v>0</v>
      </c>
      <c r="R27" s="27">
        <f t="shared" si="12"/>
        <v>0</v>
      </c>
      <c r="S27" s="28">
        <f t="shared" si="13"/>
        <v>0</v>
      </c>
    </row>
    <row r="28" spans="2:19">
      <c r="B28" s="434"/>
      <c r="C28" s="106"/>
      <c r="D28" s="38"/>
      <c r="E28" s="38"/>
      <c r="F28" s="39"/>
      <c r="G28" s="40"/>
      <c r="H28" s="23">
        <f t="shared" si="6"/>
        <v>0</v>
      </c>
      <c r="I28" s="432">
        <f t="shared" si="7"/>
        <v>0</v>
      </c>
      <c r="J28" s="16"/>
      <c r="K28" s="17"/>
      <c r="M28" s="418" t="s">
        <v>1271</v>
      </c>
      <c r="N28" s="25">
        <f t="shared" si="8"/>
        <v>0</v>
      </c>
      <c r="O28" s="25">
        <f t="shared" si="9"/>
        <v>0</v>
      </c>
      <c r="P28" s="25">
        <f t="shared" si="10"/>
        <v>0</v>
      </c>
      <c r="Q28" s="26">
        <f t="shared" si="11"/>
        <v>0</v>
      </c>
      <c r="R28" s="27">
        <f t="shared" si="12"/>
        <v>0</v>
      </c>
      <c r="S28" s="28">
        <f t="shared" si="13"/>
        <v>0</v>
      </c>
    </row>
    <row r="29" spans="2:19">
      <c r="B29" s="434"/>
      <c r="C29" s="106"/>
      <c r="D29" s="38"/>
      <c r="E29" s="38"/>
      <c r="F29" s="39"/>
      <c r="G29" s="40"/>
      <c r="H29" s="23">
        <f t="shared" si="6"/>
        <v>0</v>
      </c>
      <c r="I29" s="432">
        <f t="shared" si="7"/>
        <v>0</v>
      </c>
      <c r="J29" s="16"/>
      <c r="K29" s="17"/>
      <c r="M29" s="418" t="s">
        <v>1268</v>
      </c>
      <c r="N29" s="25">
        <f t="shared" si="8"/>
        <v>0</v>
      </c>
      <c r="O29" s="25">
        <f t="shared" si="9"/>
        <v>0</v>
      </c>
      <c r="P29" s="25">
        <f t="shared" si="10"/>
        <v>0</v>
      </c>
      <c r="Q29" s="26">
        <f t="shared" si="11"/>
        <v>0</v>
      </c>
      <c r="R29" s="27">
        <f t="shared" si="12"/>
        <v>0</v>
      </c>
      <c r="S29" s="28">
        <f t="shared" si="13"/>
        <v>0</v>
      </c>
    </row>
    <row r="30" spans="2:19">
      <c r="B30" s="434"/>
      <c r="C30" s="106"/>
      <c r="D30" s="38"/>
      <c r="E30" s="38"/>
      <c r="F30" s="39"/>
      <c r="G30" s="40"/>
      <c r="H30" s="23">
        <f t="shared" si="6"/>
        <v>0</v>
      </c>
      <c r="I30" s="432">
        <f t="shared" si="7"/>
        <v>0</v>
      </c>
      <c r="J30" s="16"/>
      <c r="K30" s="17"/>
      <c r="M30" s="418" t="s">
        <v>1266</v>
      </c>
      <c r="N30" s="25">
        <f t="shared" si="8"/>
        <v>0</v>
      </c>
      <c r="O30" s="25">
        <f t="shared" si="9"/>
        <v>0</v>
      </c>
      <c r="P30" s="25">
        <f t="shared" si="10"/>
        <v>0</v>
      </c>
      <c r="Q30" s="26">
        <f t="shared" si="11"/>
        <v>0</v>
      </c>
      <c r="R30" s="27">
        <f t="shared" si="12"/>
        <v>0</v>
      </c>
      <c r="S30" s="28">
        <f t="shared" si="13"/>
        <v>0</v>
      </c>
    </row>
    <row r="31" spans="2:19">
      <c r="B31" s="434"/>
      <c r="C31" s="106"/>
      <c r="D31" s="38"/>
      <c r="E31" s="38"/>
      <c r="F31" s="39"/>
      <c r="G31" s="40"/>
      <c r="H31" s="23">
        <f t="shared" si="6"/>
        <v>0</v>
      </c>
      <c r="I31" s="432">
        <f t="shared" si="7"/>
        <v>0</v>
      </c>
      <c r="J31" s="16"/>
      <c r="K31" s="17"/>
      <c r="M31" s="418" t="s">
        <v>1272</v>
      </c>
      <c r="N31" s="25">
        <f t="shared" si="8"/>
        <v>0</v>
      </c>
      <c r="O31" s="25">
        <f t="shared" si="9"/>
        <v>0</v>
      </c>
      <c r="P31" s="25">
        <f t="shared" si="10"/>
        <v>0</v>
      </c>
      <c r="Q31" s="26">
        <f t="shared" si="11"/>
        <v>0</v>
      </c>
      <c r="R31" s="27">
        <f t="shared" si="12"/>
        <v>0</v>
      </c>
      <c r="S31" s="28">
        <f t="shared" si="13"/>
        <v>0</v>
      </c>
    </row>
    <row r="32" spans="2:19">
      <c r="B32" s="434"/>
      <c r="C32" s="106"/>
      <c r="D32" s="38"/>
      <c r="E32" s="38"/>
      <c r="F32" s="39"/>
      <c r="G32" s="40"/>
      <c r="H32" s="23">
        <f t="shared" si="6"/>
        <v>0</v>
      </c>
      <c r="I32" s="432">
        <f t="shared" si="7"/>
        <v>0</v>
      </c>
      <c r="J32" s="16"/>
      <c r="K32" s="17"/>
      <c r="M32" s="418" t="s">
        <v>1266</v>
      </c>
      <c r="N32" s="25">
        <f t="shared" si="8"/>
        <v>0</v>
      </c>
      <c r="O32" s="25">
        <f t="shared" si="9"/>
        <v>0</v>
      </c>
      <c r="P32" s="25">
        <f t="shared" si="10"/>
        <v>0</v>
      </c>
      <c r="Q32" s="26">
        <f t="shared" si="11"/>
        <v>0</v>
      </c>
      <c r="R32" s="27">
        <f t="shared" si="12"/>
        <v>0</v>
      </c>
      <c r="S32" s="28">
        <f t="shared" si="13"/>
        <v>0</v>
      </c>
    </row>
    <row r="33" spans="2:19">
      <c r="B33" s="434"/>
      <c r="C33" s="106"/>
      <c r="D33" s="38"/>
      <c r="E33" s="38"/>
      <c r="F33" s="39"/>
      <c r="G33" s="40"/>
      <c r="H33" s="23">
        <f t="shared" si="6"/>
        <v>0</v>
      </c>
      <c r="I33" s="432">
        <f t="shared" si="7"/>
        <v>0</v>
      </c>
      <c r="J33" s="16"/>
      <c r="K33" s="17"/>
      <c r="M33" s="418" t="s">
        <v>1272</v>
      </c>
      <c r="N33" s="25">
        <f t="shared" si="8"/>
        <v>0</v>
      </c>
      <c r="O33" s="25">
        <f t="shared" si="9"/>
        <v>0</v>
      </c>
      <c r="P33" s="25">
        <f t="shared" si="10"/>
        <v>0</v>
      </c>
      <c r="Q33" s="26">
        <f t="shared" si="11"/>
        <v>0</v>
      </c>
      <c r="R33" s="27">
        <f t="shared" si="12"/>
        <v>0</v>
      </c>
      <c r="S33" s="28">
        <f t="shared" si="13"/>
        <v>0</v>
      </c>
    </row>
    <row r="34" spans="2:19">
      <c r="B34" s="434"/>
      <c r="C34" s="106"/>
      <c r="D34" s="38"/>
      <c r="E34" s="38"/>
      <c r="F34" s="39"/>
      <c r="G34" s="40"/>
      <c r="H34" s="23">
        <f t="shared" si="6"/>
        <v>0</v>
      </c>
      <c r="I34" s="432">
        <f t="shared" si="7"/>
        <v>0</v>
      </c>
      <c r="J34" s="16"/>
      <c r="K34" s="17"/>
      <c r="M34" s="418" t="s">
        <v>1266</v>
      </c>
      <c r="N34" s="25">
        <f t="shared" si="8"/>
        <v>0</v>
      </c>
      <c r="O34" s="25">
        <f t="shared" si="9"/>
        <v>0</v>
      </c>
      <c r="P34" s="25">
        <f t="shared" si="10"/>
        <v>0</v>
      </c>
      <c r="Q34" s="26">
        <f t="shared" si="11"/>
        <v>0</v>
      </c>
      <c r="R34" s="27">
        <f t="shared" si="12"/>
        <v>0</v>
      </c>
      <c r="S34" s="28">
        <f t="shared" si="13"/>
        <v>0</v>
      </c>
    </row>
    <row r="35" spans="2:19">
      <c r="B35" s="434"/>
      <c r="C35" s="106"/>
      <c r="D35" s="38"/>
      <c r="E35" s="38"/>
      <c r="F35" s="39"/>
      <c r="G35" s="40"/>
      <c r="H35" s="23">
        <f t="shared" si="6"/>
        <v>0</v>
      </c>
      <c r="I35" s="432">
        <f t="shared" si="7"/>
        <v>0</v>
      </c>
      <c r="J35" s="16"/>
      <c r="K35" s="17"/>
      <c r="M35" s="418" t="s">
        <v>1272</v>
      </c>
      <c r="N35" s="25">
        <f t="shared" si="8"/>
        <v>0</v>
      </c>
      <c r="O35" s="25">
        <f t="shared" si="9"/>
        <v>0</v>
      </c>
      <c r="P35" s="25">
        <f t="shared" si="10"/>
        <v>0</v>
      </c>
      <c r="Q35" s="26">
        <f t="shared" si="11"/>
        <v>0</v>
      </c>
      <c r="R35" s="27">
        <f t="shared" si="12"/>
        <v>0</v>
      </c>
      <c r="S35" s="28">
        <f t="shared" si="13"/>
        <v>0</v>
      </c>
    </row>
    <row r="36" spans="2:19">
      <c r="B36" s="434"/>
      <c r="C36" s="106"/>
      <c r="D36" s="38"/>
      <c r="E36" s="38"/>
      <c r="F36" s="39"/>
      <c r="G36" s="40"/>
      <c r="H36" s="23">
        <f t="shared" si="6"/>
        <v>0</v>
      </c>
      <c r="I36" s="432">
        <f t="shared" si="7"/>
        <v>0</v>
      </c>
      <c r="J36" s="16"/>
      <c r="K36" s="17"/>
      <c r="M36" s="418" t="s">
        <v>1266</v>
      </c>
      <c r="N36" s="25">
        <f t="shared" si="8"/>
        <v>0</v>
      </c>
      <c r="O36" s="25">
        <f t="shared" si="9"/>
        <v>0</v>
      </c>
      <c r="P36" s="25">
        <f t="shared" si="10"/>
        <v>0</v>
      </c>
      <c r="Q36" s="26">
        <f t="shared" si="11"/>
        <v>0</v>
      </c>
      <c r="R36" s="27">
        <f t="shared" si="12"/>
        <v>0</v>
      </c>
      <c r="S36" s="28">
        <f t="shared" si="13"/>
        <v>0</v>
      </c>
    </row>
    <row r="37" spans="2:19">
      <c r="B37" s="434"/>
      <c r="C37" s="106"/>
      <c r="D37" s="38"/>
      <c r="E37" s="38"/>
      <c r="F37" s="39"/>
      <c r="G37" s="40"/>
      <c r="H37" s="23">
        <f t="shared" si="6"/>
        <v>0</v>
      </c>
      <c r="I37" s="432">
        <f t="shared" si="7"/>
        <v>0</v>
      </c>
      <c r="J37" s="16"/>
      <c r="K37" s="17"/>
      <c r="M37" s="418" t="s">
        <v>1272</v>
      </c>
      <c r="N37" s="25">
        <f t="shared" si="8"/>
        <v>0</v>
      </c>
      <c r="O37" s="25">
        <f t="shared" si="9"/>
        <v>0</v>
      </c>
      <c r="P37" s="25">
        <f t="shared" si="10"/>
        <v>0</v>
      </c>
      <c r="Q37" s="26">
        <f t="shared" si="11"/>
        <v>0</v>
      </c>
      <c r="R37" s="27">
        <f t="shared" si="12"/>
        <v>0</v>
      </c>
      <c r="S37" s="28">
        <f t="shared" si="13"/>
        <v>0</v>
      </c>
    </row>
    <row r="38" spans="2:19">
      <c r="B38" s="434"/>
      <c r="C38" s="106"/>
      <c r="D38" s="38"/>
      <c r="E38" s="38"/>
      <c r="F38" s="39"/>
      <c r="G38" s="40"/>
      <c r="H38" s="23">
        <f t="shared" si="6"/>
        <v>0</v>
      </c>
      <c r="I38" s="432">
        <f t="shared" si="7"/>
        <v>0</v>
      </c>
      <c r="J38" s="16"/>
      <c r="K38" s="17"/>
      <c r="M38" s="418" t="s">
        <v>1273</v>
      </c>
      <c r="N38" s="25">
        <f t="shared" si="8"/>
        <v>0</v>
      </c>
      <c r="O38" s="25">
        <f t="shared" si="9"/>
        <v>0</v>
      </c>
      <c r="P38" s="25">
        <f t="shared" si="10"/>
        <v>0</v>
      </c>
      <c r="Q38" s="26">
        <f t="shared" si="11"/>
        <v>0</v>
      </c>
      <c r="R38" s="27">
        <f t="shared" si="12"/>
        <v>0</v>
      </c>
      <c r="S38" s="28">
        <f t="shared" si="13"/>
        <v>0</v>
      </c>
    </row>
    <row r="39" spans="2:19">
      <c r="B39" s="434"/>
      <c r="C39" s="106"/>
      <c r="D39" s="38"/>
      <c r="E39" s="38"/>
      <c r="F39" s="39"/>
      <c r="G39" s="40"/>
      <c r="H39" s="23">
        <f t="shared" si="6"/>
        <v>0</v>
      </c>
      <c r="I39" s="432">
        <f t="shared" si="7"/>
        <v>0</v>
      </c>
      <c r="J39" s="16"/>
      <c r="K39" s="17"/>
      <c r="M39" s="418" t="s">
        <v>1273</v>
      </c>
      <c r="N39" s="25">
        <f t="shared" si="8"/>
        <v>0</v>
      </c>
      <c r="O39" s="25">
        <f t="shared" si="9"/>
        <v>0</v>
      </c>
      <c r="P39" s="25">
        <f t="shared" si="10"/>
        <v>0</v>
      </c>
      <c r="Q39" s="26">
        <f t="shared" si="11"/>
        <v>0</v>
      </c>
      <c r="R39" s="27">
        <f t="shared" si="12"/>
        <v>0</v>
      </c>
      <c r="S39" s="28">
        <f t="shared" si="13"/>
        <v>0</v>
      </c>
    </row>
    <row r="40" spans="2:19">
      <c r="B40" s="434"/>
      <c r="C40" s="106"/>
      <c r="D40" s="38"/>
      <c r="E40" s="38"/>
      <c r="F40" s="39"/>
      <c r="G40" s="40"/>
      <c r="H40" s="23">
        <f t="shared" si="6"/>
        <v>0</v>
      </c>
      <c r="I40" s="432">
        <f t="shared" si="7"/>
        <v>0</v>
      </c>
      <c r="J40" s="16"/>
      <c r="K40" s="17"/>
      <c r="M40" s="418" t="s">
        <v>1273</v>
      </c>
      <c r="N40" s="25">
        <f t="shared" si="8"/>
        <v>0</v>
      </c>
      <c r="O40" s="25">
        <f t="shared" si="9"/>
        <v>0</v>
      </c>
      <c r="P40" s="25">
        <f t="shared" si="10"/>
        <v>0</v>
      </c>
      <c r="Q40" s="26">
        <f t="shared" si="11"/>
        <v>0</v>
      </c>
      <c r="R40" s="27">
        <f t="shared" si="12"/>
        <v>0</v>
      </c>
      <c r="S40" s="28">
        <f t="shared" si="13"/>
        <v>0</v>
      </c>
    </row>
    <row r="41" spans="2:19">
      <c r="B41" s="434"/>
      <c r="C41" s="106"/>
      <c r="D41" s="38"/>
      <c r="E41" s="38"/>
      <c r="F41" s="39"/>
      <c r="G41" s="40"/>
      <c r="H41" s="23">
        <f t="shared" si="6"/>
        <v>0</v>
      </c>
      <c r="I41" s="432">
        <f t="shared" si="7"/>
        <v>0</v>
      </c>
      <c r="J41" s="16"/>
      <c r="K41" s="17"/>
      <c r="M41" s="418" t="s">
        <v>1273</v>
      </c>
      <c r="N41" s="25">
        <f t="shared" si="8"/>
        <v>0</v>
      </c>
      <c r="O41" s="25">
        <f t="shared" si="9"/>
        <v>0</v>
      </c>
      <c r="P41" s="25">
        <f t="shared" si="10"/>
        <v>0</v>
      </c>
      <c r="Q41" s="26">
        <f t="shared" si="11"/>
        <v>0</v>
      </c>
      <c r="R41" s="27">
        <f t="shared" si="12"/>
        <v>0</v>
      </c>
      <c r="S41" s="28">
        <f t="shared" si="13"/>
        <v>0</v>
      </c>
    </row>
    <row r="42" spans="2:19">
      <c r="B42" s="434"/>
      <c r="C42" s="106"/>
      <c r="D42" s="38"/>
      <c r="E42" s="38"/>
      <c r="F42" s="39"/>
      <c r="G42" s="40"/>
      <c r="H42" s="23">
        <f t="shared" si="6"/>
        <v>0</v>
      </c>
      <c r="I42" s="432">
        <f t="shared" si="7"/>
        <v>0</v>
      </c>
      <c r="J42" s="16"/>
      <c r="K42" s="17"/>
      <c r="M42" s="418" t="s">
        <v>1269</v>
      </c>
      <c r="N42" s="25">
        <f t="shared" si="8"/>
        <v>0</v>
      </c>
      <c r="O42" s="25">
        <f t="shared" si="9"/>
        <v>0</v>
      </c>
      <c r="P42" s="25">
        <f t="shared" si="10"/>
        <v>0</v>
      </c>
      <c r="Q42" s="26">
        <f t="shared" si="11"/>
        <v>0</v>
      </c>
      <c r="R42" s="27">
        <f t="shared" si="12"/>
        <v>0</v>
      </c>
      <c r="S42" s="28">
        <f t="shared" si="13"/>
        <v>0</v>
      </c>
    </row>
    <row r="43" spans="2:19">
      <c r="B43" s="434"/>
      <c r="C43" s="106"/>
      <c r="D43" s="38"/>
      <c r="E43" s="38"/>
      <c r="F43" s="39"/>
      <c r="G43" s="40"/>
      <c r="H43" s="23">
        <f t="shared" si="6"/>
        <v>0</v>
      </c>
      <c r="I43" s="432">
        <f t="shared" si="7"/>
        <v>0</v>
      </c>
      <c r="J43" s="16"/>
      <c r="K43" s="17"/>
      <c r="M43" s="418" t="s">
        <v>1269</v>
      </c>
      <c r="N43" s="25">
        <f t="shared" si="8"/>
        <v>0</v>
      </c>
      <c r="O43" s="25">
        <f t="shared" si="9"/>
        <v>0</v>
      </c>
      <c r="P43" s="25">
        <f t="shared" si="10"/>
        <v>0</v>
      </c>
      <c r="Q43" s="26">
        <f t="shared" si="11"/>
        <v>0</v>
      </c>
      <c r="R43" s="27">
        <f t="shared" si="12"/>
        <v>0</v>
      </c>
      <c r="S43" s="28">
        <f t="shared" si="13"/>
        <v>0</v>
      </c>
    </row>
    <row r="44" spans="2:19">
      <c r="B44" s="434"/>
      <c r="C44" s="106"/>
      <c r="D44" s="38"/>
      <c r="E44" s="38"/>
      <c r="F44" s="39"/>
      <c r="G44" s="40"/>
      <c r="H44" s="23">
        <f t="shared" si="6"/>
        <v>0</v>
      </c>
      <c r="I44" s="432">
        <f t="shared" si="7"/>
        <v>0</v>
      </c>
      <c r="J44" s="16"/>
      <c r="K44" s="17"/>
      <c r="M44" s="418" t="s">
        <v>1269</v>
      </c>
      <c r="N44" s="25">
        <f t="shared" si="8"/>
        <v>0</v>
      </c>
      <c r="O44" s="25">
        <f t="shared" si="9"/>
        <v>0</v>
      </c>
      <c r="P44" s="25">
        <f t="shared" si="10"/>
        <v>0</v>
      </c>
      <c r="Q44" s="26">
        <f t="shared" si="11"/>
        <v>0</v>
      </c>
      <c r="R44" s="27">
        <f t="shared" si="12"/>
        <v>0</v>
      </c>
      <c r="S44" s="28">
        <f t="shared" si="13"/>
        <v>0</v>
      </c>
    </row>
    <row r="45" spans="2:19">
      <c r="B45" s="434"/>
      <c r="C45" s="106"/>
      <c r="D45" s="38"/>
      <c r="E45" s="38"/>
      <c r="F45" s="39"/>
      <c r="G45" s="40"/>
      <c r="H45" s="23">
        <f t="shared" si="6"/>
        <v>0</v>
      </c>
      <c r="I45" s="432">
        <f t="shared" si="7"/>
        <v>0</v>
      </c>
      <c r="J45" s="16"/>
      <c r="K45" s="17"/>
      <c r="M45" s="418" t="s">
        <v>1269</v>
      </c>
      <c r="N45" s="25">
        <f t="shared" si="8"/>
        <v>0</v>
      </c>
      <c r="O45" s="25">
        <f t="shared" si="9"/>
        <v>0</v>
      </c>
      <c r="P45" s="25">
        <f t="shared" si="10"/>
        <v>0</v>
      </c>
      <c r="Q45" s="26">
        <f t="shared" si="11"/>
        <v>0</v>
      </c>
      <c r="R45" s="27">
        <f t="shared" si="12"/>
        <v>0</v>
      </c>
      <c r="S45" s="28">
        <f t="shared" si="13"/>
        <v>0</v>
      </c>
    </row>
    <row r="46" spans="2:19">
      <c r="B46" s="434"/>
      <c r="C46" s="106"/>
      <c r="D46" s="38"/>
      <c r="E46" s="38"/>
      <c r="F46" s="39"/>
      <c r="G46" s="40"/>
      <c r="H46" s="23">
        <f t="shared" si="6"/>
        <v>0</v>
      </c>
      <c r="I46" s="432">
        <f t="shared" si="7"/>
        <v>0</v>
      </c>
      <c r="J46" s="16"/>
      <c r="K46" s="17"/>
      <c r="M46" s="418" t="s">
        <v>1274</v>
      </c>
      <c r="N46" s="25">
        <f t="shared" si="8"/>
        <v>0</v>
      </c>
      <c r="O46" s="25">
        <f t="shared" si="9"/>
        <v>0</v>
      </c>
      <c r="P46" s="25">
        <f t="shared" si="10"/>
        <v>0</v>
      </c>
      <c r="Q46" s="26">
        <f t="shared" si="11"/>
        <v>0</v>
      </c>
      <c r="R46" s="27">
        <f t="shared" si="12"/>
        <v>0</v>
      </c>
      <c r="S46" s="28">
        <f t="shared" si="13"/>
        <v>0</v>
      </c>
    </row>
    <row r="47" spans="2:19">
      <c r="B47" s="434"/>
      <c r="C47" s="106"/>
      <c r="D47" s="38"/>
      <c r="E47" s="38"/>
      <c r="F47" s="39"/>
      <c r="G47" s="40"/>
      <c r="H47" s="23">
        <f t="shared" si="6"/>
        <v>0</v>
      </c>
      <c r="I47" s="432">
        <f t="shared" si="7"/>
        <v>0</v>
      </c>
      <c r="J47" s="16"/>
      <c r="K47" s="17"/>
      <c r="M47" s="418" t="s">
        <v>1275</v>
      </c>
      <c r="N47" s="25">
        <f t="shared" si="8"/>
        <v>0</v>
      </c>
      <c r="O47" s="25">
        <f t="shared" si="9"/>
        <v>0</v>
      </c>
      <c r="P47" s="25">
        <f t="shared" si="10"/>
        <v>0</v>
      </c>
      <c r="Q47" s="26">
        <f t="shared" si="11"/>
        <v>0</v>
      </c>
      <c r="R47" s="27">
        <f t="shared" si="12"/>
        <v>0</v>
      </c>
      <c r="S47" s="28">
        <f t="shared" si="13"/>
        <v>0</v>
      </c>
    </row>
    <row r="48" spans="2:19">
      <c r="B48" s="434"/>
      <c r="C48" s="106"/>
      <c r="D48" s="38"/>
      <c r="E48" s="38"/>
      <c r="F48" s="39"/>
      <c r="G48" s="40"/>
      <c r="H48" s="23">
        <f t="shared" si="6"/>
        <v>0</v>
      </c>
      <c r="I48" s="432">
        <f t="shared" si="7"/>
        <v>0</v>
      </c>
      <c r="J48" s="16"/>
      <c r="K48" s="17"/>
      <c r="M48" s="418" t="s">
        <v>1274</v>
      </c>
      <c r="N48" s="25">
        <f t="shared" si="8"/>
        <v>0</v>
      </c>
      <c r="O48" s="25">
        <f t="shared" si="9"/>
        <v>0</v>
      </c>
      <c r="P48" s="25">
        <f t="shared" si="10"/>
        <v>0</v>
      </c>
      <c r="Q48" s="26">
        <f t="shared" si="11"/>
        <v>0</v>
      </c>
      <c r="R48" s="27">
        <f t="shared" si="12"/>
        <v>0</v>
      </c>
      <c r="S48" s="28">
        <f t="shared" si="13"/>
        <v>0</v>
      </c>
    </row>
    <row r="49" spans="2:19">
      <c r="B49" s="434"/>
      <c r="C49" s="106"/>
      <c r="D49" s="38"/>
      <c r="E49" s="38"/>
      <c r="F49" s="39"/>
      <c r="G49" s="40"/>
      <c r="H49" s="23">
        <f t="shared" si="6"/>
        <v>0</v>
      </c>
      <c r="I49" s="432">
        <f t="shared" si="7"/>
        <v>0</v>
      </c>
      <c r="J49" s="16"/>
      <c r="K49" s="17"/>
      <c r="M49" s="418" t="s">
        <v>1276</v>
      </c>
      <c r="N49" s="25">
        <f t="shared" si="8"/>
        <v>0</v>
      </c>
      <c r="O49" s="25">
        <f t="shared" si="9"/>
        <v>0</v>
      </c>
      <c r="P49" s="25">
        <f t="shared" si="10"/>
        <v>0</v>
      </c>
      <c r="Q49" s="26">
        <f t="shared" si="11"/>
        <v>0</v>
      </c>
      <c r="R49" s="27">
        <f t="shared" si="12"/>
        <v>0</v>
      </c>
      <c r="S49" s="28">
        <f t="shared" si="13"/>
        <v>0</v>
      </c>
    </row>
    <row r="50" spans="2:19">
      <c r="B50" s="434"/>
      <c r="C50" s="106"/>
      <c r="D50" s="38"/>
      <c r="E50" s="38"/>
      <c r="F50" s="39"/>
      <c r="G50" s="40"/>
      <c r="H50" s="23">
        <f t="shared" si="6"/>
        <v>0</v>
      </c>
      <c r="I50" s="432">
        <f t="shared" si="7"/>
        <v>0</v>
      </c>
      <c r="J50" s="16"/>
      <c r="K50" s="17"/>
      <c r="M50" s="418" t="s">
        <v>1277</v>
      </c>
      <c r="N50" s="25">
        <f t="shared" si="8"/>
        <v>0</v>
      </c>
      <c r="O50" s="25">
        <f t="shared" si="9"/>
        <v>0</v>
      </c>
      <c r="P50" s="25">
        <f t="shared" si="10"/>
        <v>0</v>
      </c>
      <c r="Q50" s="26">
        <f t="shared" si="11"/>
        <v>0</v>
      </c>
      <c r="R50" s="27">
        <f t="shared" si="12"/>
        <v>0</v>
      </c>
      <c r="S50" s="28">
        <f t="shared" si="13"/>
        <v>0</v>
      </c>
    </row>
    <row r="51" spans="2:19">
      <c r="B51" s="434"/>
      <c r="C51" s="106"/>
      <c r="D51" s="38"/>
      <c r="E51" s="38"/>
      <c r="F51" s="39"/>
      <c r="G51" s="40"/>
      <c r="H51" s="23">
        <f t="shared" si="6"/>
        <v>0</v>
      </c>
      <c r="I51" s="432">
        <f t="shared" si="7"/>
        <v>0</v>
      </c>
      <c r="J51" s="16"/>
      <c r="K51" s="17"/>
      <c r="M51" s="418" t="s">
        <v>1278</v>
      </c>
      <c r="N51" s="25">
        <f t="shared" si="8"/>
        <v>0</v>
      </c>
      <c r="O51" s="25">
        <f t="shared" si="9"/>
        <v>0</v>
      </c>
      <c r="P51" s="25">
        <f t="shared" si="10"/>
        <v>0</v>
      </c>
      <c r="Q51" s="26">
        <f t="shared" si="11"/>
        <v>0</v>
      </c>
      <c r="R51" s="27">
        <f t="shared" si="12"/>
        <v>0</v>
      </c>
      <c r="S51" s="28">
        <f t="shared" si="13"/>
        <v>0</v>
      </c>
    </row>
    <row r="52" spans="2:19">
      <c r="B52" s="434"/>
      <c r="C52" s="106"/>
      <c r="D52" s="38"/>
      <c r="E52" s="38"/>
      <c r="F52" s="39"/>
      <c r="G52" s="40"/>
      <c r="H52" s="23">
        <f t="shared" si="6"/>
        <v>0</v>
      </c>
      <c r="I52" s="432">
        <f t="shared" si="7"/>
        <v>0</v>
      </c>
      <c r="J52" s="16"/>
      <c r="K52" s="17"/>
      <c r="M52" s="418" t="s">
        <v>1279</v>
      </c>
      <c r="N52" s="25">
        <f t="shared" si="8"/>
        <v>0</v>
      </c>
      <c r="O52" s="25">
        <f t="shared" si="9"/>
        <v>0</v>
      </c>
      <c r="P52" s="25">
        <f t="shared" si="10"/>
        <v>0</v>
      </c>
      <c r="Q52" s="26">
        <f t="shared" si="11"/>
        <v>0</v>
      </c>
      <c r="R52" s="27">
        <f t="shared" si="12"/>
        <v>0</v>
      </c>
      <c r="S52" s="28">
        <f t="shared" si="13"/>
        <v>0</v>
      </c>
    </row>
    <row r="53" spans="2:19">
      <c r="B53" s="58" t="s">
        <v>13</v>
      </c>
      <c r="C53" s="288">
        <v>0</v>
      </c>
      <c r="D53" s="288">
        <v>0</v>
      </c>
      <c r="E53" s="288">
        <v>10094.4</v>
      </c>
      <c r="F53" s="288">
        <v>0</v>
      </c>
      <c r="G53" s="288">
        <f t="shared" ref="G53" si="14">SUM(R6:R52)</f>
        <v>0</v>
      </c>
      <c r="H53" s="288">
        <f>SUM(S6:S52)</f>
        <v>0</v>
      </c>
    </row>
    <row r="54" spans="2:19">
      <c r="B54" s="59" t="s">
        <v>46</v>
      </c>
    </row>
    <row r="55" spans="2:19" ht="16.5" thickBot="1">
      <c r="B55" s="2"/>
    </row>
    <row r="56" spans="2:19">
      <c r="B56" s="60" t="s">
        <v>47</v>
      </c>
    </row>
    <row r="57" spans="2:19">
      <c r="B57" s="61" t="s">
        <v>19</v>
      </c>
    </row>
    <row r="58" spans="2:19">
      <c r="B58" s="61" t="s">
        <v>17</v>
      </c>
    </row>
    <row r="59" spans="2:19" ht="16.5" thickBot="1">
      <c r="B59" s="62" t="s">
        <v>18</v>
      </c>
    </row>
    <row r="60" spans="2:19">
      <c r="B60" s="2"/>
    </row>
    <row r="61" spans="2:19">
      <c r="B61" s="30" t="s">
        <v>20</v>
      </c>
    </row>
    <row r="62" spans="2:19">
      <c r="B62" s="35"/>
    </row>
    <row r="63" spans="2:19">
      <c r="B63" s="35"/>
    </row>
    <row r="64" spans="2:19">
      <c r="G64" s="5" t="str">
        <f t="shared" ref="G64:G82" si="15">IF(B64&lt;&gt;"",SUM(C64:F64),"")</f>
        <v/>
      </c>
    </row>
    <row r="65" spans="7:7">
      <c r="G65" s="5" t="str">
        <f t="shared" si="15"/>
        <v/>
      </c>
    </row>
    <row r="66" spans="7:7">
      <c r="G66" s="5" t="str">
        <f t="shared" si="15"/>
        <v/>
      </c>
    </row>
    <row r="67" spans="7:7">
      <c r="G67" s="5" t="str">
        <f t="shared" si="15"/>
        <v/>
      </c>
    </row>
    <row r="68" spans="7:7">
      <c r="G68" s="5" t="str">
        <f t="shared" si="15"/>
        <v/>
      </c>
    </row>
    <row r="69" spans="7:7">
      <c r="G69" s="5" t="str">
        <f t="shared" si="15"/>
        <v/>
      </c>
    </row>
    <row r="70" spans="7:7">
      <c r="G70" s="5" t="str">
        <f t="shared" si="15"/>
        <v/>
      </c>
    </row>
    <row r="71" spans="7:7">
      <c r="G71" s="5" t="str">
        <f t="shared" si="15"/>
        <v/>
      </c>
    </row>
    <row r="72" spans="7:7">
      <c r="G72" s="5" t="str">
        <f t="shared" si="15"/>
        <v/>
      </c>
    </row>
    <row r="73" spans="7:7">
      <c r="G73" s="5" t="str">
        <f t="shared" si="15"/>
        <v/>
      </c>
    </row>
    <row r="74" spans="7:7">
      <c r="G74" s="5" t="str">
        <f t="shared" si="15"/>
        <v/>
      </c>
    </row>
    <row r="75" spans="7:7">
      <c r="G75" s="5" t="str">
        <f t="shared" si="15"/>
        <v/>
      </c>
    </row>
    <row r="76" spans="7:7">
      <c r="G76" s="5" t="str">
        <f t="shared" si="15"/>
        <v/>
      </c>
    </row>
    <row r="77" spans="7:7">
      <c r="G77" s="5" t="str">
        <f t="shared" si="15"/>
        <v/>
      </c>
    </row>
    <row r="78" spans="7:7">
      <c r="G78" s="5" t="str">
        <f t="shared" si="15"/>
        <v/>
      </c>
    </row>
    <row r="79" spans="7:7">
      <c r="G79" s="5" t="str">
        <f t="shared" si="15"/>
        <v/>
      </c>
    </row>
    <row r="80" spans="7:7">
      <c r="G80" s="5" t="str">
        <f t="shared" si="15"/>
        <v/>
      </c>
    </row>
    <row r="81" spans="7:7">
      <c r="G81" s="5" t="str">
        <f t="shared" si="15"/>
        <v/>
      </c>
    </row>
    <row r="82" spans="7:7">
      <c r="G82" s="5" t="str">
        <f t="shared" si="15"/>
        <v/>
      </c>
    </row>
    <row r="83" spans="7:7">
      <c r="G83" s="5" t="str">
        <f t="shared" ref="G83:G146" si="16">IF(B83&lt;&gt;"",SUM(C83:F83),"")</f>
        <v/>
      </c>
    </row>
    <row r="84" spans="7:7">
      <c r="G84" s="5" t="str">
        <f t="shared" si="16"/>
        <v/>
      </c>
    </row>
    <row r="85" spans="7:7">
      <c r="G85" s="5" t="str">
        <f t="shared" si="16"/>
        <v/>
      </c>
    </row>
    <row r="86" spans="7:7">
      <c r="G86" s="5" t="str">
        <f t="shared" si="16"/>
        <v/>
      </c>
    </row>
    <row r="87" spans="7:7">
      <c r="G87" s="5" t="str">
        <f t="shared" si="16"/>
        <v/>
      </c>
    </row>
    <row r="88" spans="7:7">
      <c r="G88" s="5" t="str">
        <f t="shared" si="16"/>
        <v/>
      </c>
    </row>
    <row r="89" spans="7:7">
      <c r="G89" s="5" t="str">
        <f t="shared" si="16"/>
        <v/>
      </c>
    </row>
    <row r="90" spans="7:7">
      <c r="G90" s="5" t="str">
        <f t="shared" si="16"/>
        <v/>
      </c>
    </row>
    <row r="91" spans="7:7">
      <c r="G91" s="5" t="str">
        <f t="shared" si="16"/>
        <v/>
      </c>
    </row>
    <row r="92" spans="7:7">
      <c r="G92" s="5" t="str">
        <f t="shared" si="16"/>
        <v/>
      </c>
    </row>
    <row r="93" spans="7:7">
      <c r="G93" s="5" t="str">
        <f t="shared" si="16"/>
        <v/>
      </c>
    </row>
    <row r="94" spans="7:7">
      <c r="G94" s="5" t="str">
        <f t="shared" si="16"/>
        <v/>
      </c>
    </row>
    <row r="95" spans="7:7">
      <c r="G95" s="5" t="str">
        <f t="shared" si="16"/>
        <v/>
      </c>
    </row>
    <row r="96" spans="7:7">
      <c r="G96" s="5" t="str">
        <f t="shared" si="16"/>
        <v/>
      </c>
    </row>
    <row r="97" spans="7:7">
      <c r="G97" s="5" t="str">
        <f t="shared" si="16"/>
        <v/>
      </c>
    </row>
    <row r="98" spans="7:7">
      <c r="G98" s="5" t="str">
        <f t="shared" si="16"/>
        <v/>
      </c>
    </row>
    <row r="99" spans="7:7">
      <c r="G99" s="5" t="str">
        <f t="shared" si="16"/>
        <v/>
      </c>
    </row>
    <row r="100" spans="7:7">
      <c r="G100" s="5" t="str">
        <f t="shared" si="16"/>
        <v/>
      </c>
    </row>
    <row r="101" spans="7:7">
      <c r="G101" s="5" t="str">
        <f t="shared" si="16"/>
        <v/>
      </c>
    </row>
    <row r="102" spans="7:7">
      <c r="G102" s="5" t="str">
        <f t="shared" si="16"/>
        <v/>
      </c>
    </row>
    <row r="103" spans="7:7">
      <c r="G103" s="5" t="str">
        <f t="shared" si="16"/>
        <v/>
      </c>
    </row>
    <row r="104" spans="7:7">
      <c r="G104" s="5" t="str">
        <f t="shared" si="16"/>
        <v/>
      </c>
    </row>
    <row r="105" spans="7:7">
      <c r="G105" s="5" t="str">
        <f t="shared" si="16"/>
        <v/>
      </c>
    </row>
    <row r="106" spans="7:7">
      <c r="G106" s="5" t="str">
        <f t="shared" si="16"/>
        <v/>
      </c>
    </row>
    <row r="107" spans="7:7">
      <c r="G107" s="5" t="str">
        <f t="shared" si="16"/>
        <v/>
      </c>
    </row>
    <row r="108" spans="7:7">
      <c r="G108" s="5" t="str">
        <f t="shared" si="16"/>
        <v/>
      </c>
    </row>
    <row r="109" spans="7:7">
      <c r="G109" s="5" t="str">
        <f t="shared" si="16"/>
        <v/>
      </c>
    </row>
    <row r="110" spans="7:7">
      <c r="G110" s="5" t="str">
        <f t="shared" si="16"/>
        <v/>
      </c>
    </row>
    <row r="111" spans="7:7">
      <c r="G111" s="5" t="str">
        <f t="shared" si="16"/>
        <v/>
      </c>
    </row>
    <row r="112" spans="7:7">
      <c r="G112" s="5" t="str">
        <f t="shared" si="16"/>
        <v/>
      </c>
    </row>
    <row r="113" spans="7:7">
      <c r="G113" s="5" t="str">
        <f t="shared" si="16"/>
        <v/>
      </c>
    </row>
    <row r="114" spans="7:7">
      <c r="G114" s="5" t="str">
        <f t="shared" si="16"/>
        <v/>
      </c>
    </row>
    <row r="115" spans="7:7">
      <c r="G115" s="5" t="str">
        <f t="shared" si="16"/>
        <v/>
      </c>
    </row>
    <row r="116" spans="7:7">
      <c r="G116" s="5" t="str">
        <f t="shared" si="16"/>
        <v/>
      </c>
    </row>
    <row r="117" spans="7:7">
      <c r="G117" s="5" t="str">
        <f t="shared" si="16"/>
        <v/>
      </c>
    </row>
    <row r="118" spans="7:7">
      <c r="G118" s="5" t="str">
        <f t="shared" si="16"/>
        <v/>
      </c>
    </row>
    <row r="119" spans="7:7">
      <c r="G119" s="5" t="str">
        <f t="shared" si="16"/>
        <v/>
      </c>
    </row>
    <row r="120" spans="7:7">
      <c r="G120" s="5" t="str">
        <f t="shared" si="16"/>
        <v/>
      </c>
    </row>
    <row r="121" spans="7:7">
      <c r="G121" s="5" t="str">
        <f t="shared" si="16"/>
        <v/>
      </c>
    </row>
    <row r="122" spans="7:7">
      <c r="G122" s="5" t="str">
        <f t="shared" si="16"/>
        <v/>
      </c>
    </row>
    <row r="123" spans="7:7">
      <c r="G123" s="5" t="str">
        <f t="shared" si="16"/>
        <v/>
      </c>
    </row>
    <row r="124" spans="7:7">
      <c r="G124" s="5" t="str">
        <f t="shared" si="16"/>
        <v/>
      </c>
    </row>
    <row r="125" spans="7:7">
      <c r="G125" s="5" t="str">
        <f t="shared" si="16"/>
        <v/>
      </c>
    </row>
    <row r="126" spans="7:7">
      <c r="G126" s="5" t="str">
        <f t="shared" si="16"/>
        <v/>
      </c>
    </row>
    <row r="127" spans="7:7">
      <c r="G127" s="5" t="str">
        <f t="shared" si="16"/>
        <v/>
      </c>
    </row>
    <row r="128" spans="7:7">
      <c r="G128" s="5" t="str">
        <f t="shared" si="16"/>
        <v/>
      </c>
    </row>
    <row r="129" spans="7:7">
      <c r="G129" s="5" t="str">
        <f t="shared" si="16"/>
        <v/>
      </c>
    </row>
    <row r="130" spans="7:7">
      <c r="G130" s="5" t="str">
        <f t="shared" si="16"/>
        <v/>
      </c>
    </row>
    <row r="131" spans="7:7">
      <c r="G131" s="5" t="str">
        <f t="shared" si="16"/>
        <v/>
      </c>
    </row>
    <row r="132" spans="7:7">
      <c r="G132" s="5" t="str">
        <f t="shared" si="16"/>
        <v/>
      </c>
    </row>
    <row r="133" spans="7:7">
      <c r="G133" s="5" t="str">
        <f t="shared" si="16"/>
        <v/>
      </c>
    </row>
    <row r="134" spans="7:7">
      <c r="G134" s="5" t="str">
        <f t="shared" si="16"/>
        <v/>
      </c>
    </row>
    <row r="135" spans="7:7">
      <c r="G135" s="5" t="str">
        <f t="shared" si="16"/>
        <v/>
      </c>
    </row>
    <row r="136" spans="7:7">
      <c r="G136" s="5" t="str">
        <f t="shared" si="16"/>
        <v/>
      </c>
    </row>
    <row r="137" spans="7:7">
      <c r="G137" s="5" t="str">
        <f t="shared" si="16"/>
        <v/>
      </c>
    </row>
    <row r="138" spans="7:7">
      <c r="G138" s="5" t="str">
        <f t="shared" si="16"/>
        <v/>
      </c>
    </row>
    <row r="139" spans="7:7">
      <c r="G139" s="5" t="str">
        <f t="shared" si="16"/>
        <v/>
      </c>
    </row>
    <row r="140" spans="7:7">
      <c r="G140" s="5" t="str">
        <f t="shared" si="16"/>
        <v/>
      </c>
    </row>
    <row r="141" spans="7:7">
      <c r="G141" s="5" t="str">
        <f t="shared" si="16"/>
        <v/>
      </c>
    </row>
    <row r="142" spans="7:7">
      <c r="G142" s="5" t="str">
        <f t="shared" si="16"/>
        <v/>
      </c>
    </row>
    <row r="143" spans="7:7">
      <c r="G143" s="5" t="str">
        <f t="shared" si="16"/>
        <v/>
      </c>
    </row>
    <row r="144" spans="7:7">
      <c r="G144" s="5" t="str">
        <f t="shared" si="16"/>
        <v/>
      </c>
    </row>
    <row r="145" spans="7:7">
      <c r="G145" s="5" t="str">
        <f t="shared" si="16"/>
        <v/>
      </c>
    </row>
    <row r="146" spans="7:7">
      <c r="G146" s="5" t="str">
        <f t="shared" si="16"/>
        <v/>
      </c>
    </row>
    <row r="147" spans="7:7">
      <c r="G147" s="5" t="str">
        <f t="shared" ref="G147:G210" si="17">IF(B147&lt;&gt;"",SUM(C147:F147),"")</f>
        <v/>
      </c>
    </row>
    <row r="148" spans="7:7">
      <c r="G148" s="5" t="str">
        <f t="shared" si="17"/>
        <v/>
      </c>
    </row>
    <row r="149" spans="7:7">
      <c r="G149" s="5" t="str">
        <f t="shared" si="17"/>
        <v/>
      </c>
    </row>
    <row r="150" spans="7:7">
      <c r="G150" s="5" t="str">
        <f t="shared" si="17"/>
        <v/>
      </c>
    </row>
    <row r="151" spans="7:7">
      <c r="G151" s="5" t="str">
        <f t="shared" si="17"/>
        <v/>
      </c>
    </row>
    <row r="152" spans="7:7">
      <c r="G152" s="5" t="str">
        <f t="shared" si="17"/>
        <v/>
      </c>
    </row>
    <row r="153" spans="7:7">
      <c r="G153" s="5" t="str">
        <f t="shared" si="17"/>
        <v/>
      </c>
    </row>
    <row r="154" spans="7:7">
      <c r="G154" s="5" t="str">
        <f t="shared" si="17"/>
        <v/>
      </c>
    </row>
    <row r="155" spans="7:7">
      <c r="G155" s="5" t="str">
        <f t="shared" si="17"/>
        <v/>
      </c>
    </row>
    <row r="156" spans="7:7">
      <c r="G156" s="5" t="str">
        <f t="shared" si="17"/>
        <v/>
      </c>
    </row>
    <row r="157" spans="7:7">
      <c r="G157" s="5" t="str">
        <f t="shared" si="17"/>
        <v/>
      </c>
    </row>
    <row r="158" spans="7:7">
      <c r="G158" s="5" t="str">
        <f t="shared" si="17"/>
        <v/>
      </c>
    </row>
    <row r="159" spans="7:7">
      <c r="G159" s="5" t="str">
        <f t="shared" si="17"/>
        <v/>
      </c>
    </row>
    <row r="160" spans="7:7">
      <c r="G160" s="5" t="str">
        <f t="shared" si="17"/>
        <v/>
      </c>
    </row>
    <row r="161" spans="7:7">
      <c r="G161" s="5" t="str">
        <f t="shared" si="17"/>
        <v/>
      </c>
    </row>
    <row r="162" spans="7:7">
      <c r="G162" s="5" t="str">
        <f t="shared" si="17"/>
        <v/>
      </c>
    </row>
    <row r="163" spans="7:7">
      <c r="G163" s="5" t="str">
        <f t="shared" si="17"/>
        <v/>
      </c>
    </row>
    <row r="164" spans="7:7">
      <c r="G164" s="5" t="str">
        <f t="shared" si="17"/>
        <v/>
      </c>
    </row>
    <row r="165" spans="7:7">
      <c r="G165" s="5" t="str">
        <f t="shared" si="17"/>
        <v/>
      </c>
    </row>
    <row r="166" spans="7:7">
      <c r="G166" s="5" t="str">
        <f t="shared" si="17"/>
        <v/>
      </c>
    </row>
    <row r="167" spans="7:7">
      <c r="G167" s="5" t="str">
        <f t="shared" si="17"/>
        <v/>
      </c>
    </row>
    <row r="168" spans="7:7">
      <c r="G168" s="5" t="str">
        <f t="shared" si="17"/>
        <v/>
      </c>
    </row>
    <row r="169" spans="7:7">
      <c r="G169" s="5" t="str">
        <f t="shared" si="17"/>
        <v/>
      </c>
    </row>
    <row r="170" spans="7:7">
      <c r="G170" s="5" t="str">
        <f t="shared" si="17"/>
        <v/>
      </c>
    </row>
    <row r="171" spans="7:7">
      <c r="G171" s="5" t="str">
        <f t="shared" si="17"/>
        <v/>
      </c>
    </row>
    <row r="172" spans="7:7">
      <c r="G172" s="5" t="str">
        <f t="shared" si="17"/>
        <v/>
      </c>
    </row>
    <row r="173" spans="7:7">
      <c r="G173" s="5" t="str">
        <f t="shared" si="17"/>
        <v/>
      </c>
    </row>
    <row r="174" spans="7:7">
      <c r="G174" s="5" t="str">
        <f t="shared" si="17"/>
        <v/>
      </c>
    </row>
    <row r="175" spans="7:7">
      <c r="G175" s="5" t="str">
        <f t="shared" si="17"/>
        <v/>
      </c>
    </row>
    <row r="176" spans="7:7">
      <c r="G176" s="5" t="str">
        <f t="shared" si="17"/>
        <v/>
      </c>
    </row>
    <row r="177" spans="7:7">
      <c r="G177" s="5" t="str">
        <f t="shared" si="17"/>
        <v/>
      </c>
    </row>
    <row r="178" spans="7:7">
      <c r="G178" s="5" t="str">
        <f t="shared" si="17"/>
        <v/>
      </c>
    </row>
    <row r="179" spans="7:7">
      <c r="G179" s="5" t="str">
        <f t="shared" si="17"/>
        <v/>
      </c>
    </row>
    <row r="180" spans="7:7">
      <c r="G180" s="5" t="str">
        <f t="shared" si="17"/>
        <v/>
      </c>
    </row>
    <row r="181" spans="7:7">
      <c r="G181" s="5" t="str">
        <f t="shared" si="17"/>
        <v/>
      </c>
    </row>
    <row r="182" spans="7:7">
      <c r="G182" s="5" t="str">
        <f t="shared" si="17"/>
        <v/>
      </c>
    </row>
    <row r="183" spans="7:7">
      <c r="G183" s="5" t="str">
        <f t="shared" si="17"/>
        <v/>
      </c>
    </row>
    <row r="184" spans="7:7">
      <c r="G184" s="5" t="str">
        <f t="shared" si="17"/>
        <v/>
      </c>
    </row>
    <row r="185" spans="7:7">
      <c r="G185" s="5" t="str">
        <f t="shared" si="17"/>
        <v/>
      </c>
    </row>
    <row r="186" spans="7:7">
      <c r="G186" s="5" t="str">
        <f t="shared" si="17"/>
        <v/>
      </c>
    </row>
    <row r="187" spans="7:7">
      <c r="G187" s="5" t="str">
        <f t="shared" si="17"/>
        <v/>
      </c>
    </row>
    <row r="188" spans="7:7">
      <c r="G188" s="5" t="str">
        <f t="shared" si="17"/>
        <v/>
      </c>
    </row>
    <row r="189" spans="7:7">
      <c r="G189" s="5" t="str">
        <f t="shared" si="17"/>
        <v/>
      </c>
    </row>
    <row r="190" spans="7:7">
      <c r="G190" s="5" t="str">
        <f t="shared" si="17"/>
        <v/>
      </c>
    </row>
    <row r="191" spans="7:7">
      <c r="G191" s="5" t="str">
        <f t="shared" si="17"/>
        <v/>
      </c>
    </row>
    <row r="192" spans="7:7">
      <c r="G192" s="5" t="str">
        <f t="shared" si="17"/>
        <v/>
      </c>
    </row>
    <row r="193" spans="7:7">
      <c r="G193" s="5" t="str">
        <f t="shared" si="17"/>
        <v/>
      </c>
    </row>
    <row r="194" spans="7:7">
      <c r="G194" s="5" t="str">
        <f t="shared" si="17"/>
        <v/>
      </c>
    </row>
    <row r="195" spans="7:7">
      <c r="G195" s="5" t="str">
        <f t="shared" si="17"/>
        <v/>
      </c>
    </row>
    <row r="196" spans="7:7">
      <c r="G196" s="5" t="str">
        <f t="shared" si="17"/>
        <v/>
      </c>
    </row>
    <row r="197" spans="7:7">
      <c r="G197" s="5" t="str">
        <f t="shared" si="17"/>
        <v/>
      </c>
    </row>
    <row r="198" spans="7:7">
      <c r="G198" s="5" t="str">
        <f t="shared" si="17"/>
        <v/>
      </c>
    </row>
    <row r="199" spans="7:7">
      <c r="G199" s="5" t="str">
        <f t="shared" si="17"/>
        <v/>
      </c>
    </row>
    <row r="200" spans="7:7">
      <c r="G200" s="5" t="str">
        <f t="shared" si="17"/>
        <v/>
      </c>
    </row>
    <row r="201" spans="7:7">
      <c r="G201" s="5" t="str">
        <f t="shared" si="17"/>
        <v/>
      </c>
    </row>
    <row r="202" spans="7:7">
      <c r="G202" s="5" t="str">
        <f t="shared" si="17"/>
        <v/>
      </c>
    </row>
    <row r="203" spans="7:7">
      <c r="G203" s="5" t="str">
        <f t="shared" si="17"/>
        <v/>
      </c>
    </row>
    <row r="204" spans="7:7">
      <c r="G204" s="5" t="str">
        <f t="shared" si="17"/>
        <v/>
      </c>
    </row>
    <row r="205" spans="7:7">
      <c r="G205" s="5" t="str">
        <f t="shared" si="17"/>
        <v/>
      </c>
    </row>
    <row r="206" spans="7:7">
      <c r="G206" s="5" t="str">
        <f t="shared" si="17"/>
        <v/>
      </c>
    </row>
    <row r="207" spans="7:7">
      <c r="G207" s="5" t="str">
        <f t="shared" si="17"/>
        <v/>
      </c>
    </row>
    <row r="208" spans="7:7">
      <c r="G208" s="5" t="str">
        <f t="shared" si="17"/>
        <v/>
      </c>
    </row>
    <row r="209" spans="7:7">
      <c r="G209" s="5" t="str">
        <f t="shared" si="17"/>
        <v/>
      </c>
    </row>
    <row r="210" spans="7:7">
      <c r="G210" s="5" t="str">
        <f t="shared" si="17"/>
        <v/>
      </c>
    </row>
    <row r="211" spans="7:7">
      <c r="G211" s="5" t="str">
        <f t="shared" ref="G211:G274" si="18">IF(B211&lt;&gt;"",SUM(C211:F211),"")</f>
        <v/>
      </c>
    </row>
    <row r="212" spans="7:7">
      <c r="G212" s="5" t="str">
        <f t="shared" si="18"/>
        <v/>
      </c>
    </row>
    <row r="213" spans="7:7">
      <c r="G213" s="5" t="str">
        <f t="shared" si="18"/>
        <v/>
      </c>
    </row>
    <row r="214" spans="7:7">
      <c r="G214" s="5" t="str">
        <f t="shared" si="18"/>
        <v/>
      </c>
    </row>
    <row r="215" spans="7:7">
      <c r="G215" s="5" t="str">
        <f t="shared" si="18"/>
        <v/>
      </c>
    </row>
    <row r="216" spans="7:7">
      <c r="G216" s="5" t="str">
        <f t="shared" si="18"/>
        <v/>
      </c>
    </row>
    <row r="217" spans="7:7">
      <c r="G217" s="5" t="str">
        <f t="shared" si="18"/>
        <v/>
      </c>
    </row>
    <row r="218" spans="7:7">
      <c r="G218" s="5" t="str">
        <f t="shared" si="18"/>
        <v/>
      </c>
    </row>
    <row r="219" spans="7:7">
      <c r="G219" s="5" t="str">
        <f t="shared" si="18"/>
        <v/>
      </c>
    </row>
    <row r="220" spans="7:7">
      <c r="G220" s="5" t="str">
        <f t="shared" si="18"/>
        <v/>
      </c>
    </row>
    <row r="221" spans="7:7">
      <c r="G221" s="5" t="str">
        <f t="shared" si="18"/>
        <v/>
      </c>
    </row>
    <row r="222" spans="7:7">
      <c r="G222" s="5" t="str">
        <f t="shared" si="18"/>
        <v/>
      </c>
    </row>
    <row r="223" spans="7:7">
      <c r="G223" s="5" t="str">
        <f t="shared" si="18"/>
        <v/>
      </c>
    </row>
    <row r="224" spans="7:7">
      <c r="G224" s="5" t="str">
        <f t="shared" si="18"/>
        <v/>
      </c>
    </row>
    <row r="225" spans="7:7">
      <c r="G225" s="5" t="str">
        <f t="shared" si="18"/>
        <v/>
      </c>
    </row>
    <row r="226" spans="7:7">
      <c r="G226" s="5" t="str">
        <f t="shared" si="18"/>
        <v/>
      </c>
    </row>
    <row r="227" spans="7:7">
      <c r="G227" s="5" t="str">
        <f t="shared" si="18"/>
        <v/>
      </c>
    </row>
    <row r="228" spans="7:7">
      <c r="G228" s="5" t="str">
        <f t="shared" si="18"/>
        <v/>
      </c>
    </row>
    <row r="229" spans="7:7">
      <c r="G229" s="5" t="str">
        <f t="shared" si="18"/>
        <v/>
      </c>
    </row>
    <row r="230" spans="7:7">
      <c r="G230" s="5" t="str">
        <f t="shared" si="18"/>
        <v/>
      </c>
    </row>
    <row r="231" spans="7:7">
      <c r="G231" s="5" t="str">
        <f t="shared" si="18"/>
        <v/>
      </c>
    </row>
    <row r="232" spans="7:7">
      <c r="G232" s="5" t="str">
        <f t="shared" si="18"/>
        <v/>
      </c>
    </row>
    <row r="233" spans="7:7">
      <c r="G233" s="5" t="str">
        <f t="shared" si="18"/>
        <v/>
      </c>
    </row>
    <row r="234" spans="7:7">
      <c r="G234" s="5" t="str">
        <f t="shared" si="18"/>
        <v/>
      </c>
    </row>
    <row r="235" spans="7:7">
      <c r="G235" s="5" t="str">
        <f t="shared" si="18"/>
        <v/>
      </c>
    </row>
    <row r="236" spans="7:7">
      <c r="G236" s="5" t="str">
        <f t="shared" si="18"/>
        <v/>
      </c>
    </row>
    <row r="237" spans="7:7">
      <c r="G237" s="5" t="str">
        <f t="shared" si="18"/>
        <v/>
      </c>
    </row>
    <row r="238" spans="7:7">
      <c r="G238" s="5" t="str">
        <f t="shared" si="18"/>
        <v/>
      </c>
    </row>
    <row r="239" spans="7:7">
      <c r="G239" s="5" t="str">
        <f t="shared" si="18"/>
        <v/>
      </c>
    </row>
    <row r="240" spans="7:7">
      <c r="G240" s="5" t="str">
        <f t="shared" si="18"/>
        <v/>
      </c>
    </row>
    <row r="241" spans="7:7">
      <c r="G241" s="5" t="str">
        <f t="shared" si="18"/>
        <v/>
      </c>
    </row>
    <row r="242" spans="7:7">
      <c r="G242" s="5" t="str">
        <f t="shared" si="18"/>
        <v/>
      </c>
    </row>
    <row r="243" spans="7:7">
      <c r="G243" s="5" t="str">
        <f t="shared" si="18"/>
        <v/>
      </c>
    </row>
    <row r="244" spans="7:7">
      <c r="G244" s="5" t="str">
        <f t="shared" si="18"/>
        <v/>
      </c>
    </row>
    <row r="245" spans="7:7">
      <c r="G245" s="5" t="str">
        <f t="shared" si="18"/>
        <v/>
      </c>
    </row>
    <row r="246" spans="7:7">
      <c r="G246" s="5" t="str">
        <f t="shared" si="18"/>
        <v/>
      </c>
    </row>
    <row r="247" spans="7:7">
      <c r="G247" s="5" t="str">
        <f t="shared" si="18"/>
        <v/>
      </c>
    </row>
    <row r="248" spans="7:7">
      <c r="G248" s="5" t="str">
        <f t="shared" si="18"/>
        <v/>
      </c>
    </row>
    <row r="249" spans="7:7">
      <c r="G249" s="5" t="str">
        <f t="shared" si="18"/>
        <v/>
      </c>
    </row>
    <row r="250" spans="7:7">
      <c r="G250" s="5" t="str">
        <f t="shared" si="18"/>
        <v/>
      </c>
    </row>
    <row r="251" spans="7:7">
      <c r="G251" s="5" t="str">
        <f t="shared" si="18"/>
        <v/>
      </c>
    </row>
    <row r="252" spans="7:7">
      <c r="G252" s="5" t="str">
        <f t="shared" si="18"/>
        <v/>
      </c>
    </row>
    <row r="253" spans="7:7">
      <c r="G253" s="5" t="str">
        <f t="shared" si="18"/>
        <v/>
      </c>
    </row>
    <row r="254" spans="7:7">
      <c r="G254" s="5" t="str">
        <f t="shared" si="18"/>
        <v/>
      </c>
    </row>
    <row r="255" spans="7:7">
      <c r="G255" s="5" t="str">
        <f t="shared" si="18"/>
        <v/>
      </c>
    </row>
    <row r="256" spans="7:7">
      <c r="G256" s="5" t="str">
        <f t="shared" si="18"/>
        <v/>
      </c>
    </row>
    <row r="257" spans="7:7">
      <c r="G257" s="5" t="str">
        <f t="shared" si="18"/>
        <v/>
      </c>
    </row>
    <row r="258" spans="7:7">
      <c r="G258" s="5" t="str">
        <f t="shared" si="18"/>
        <v/>
      </c>
    </row>
    <row r="259" spans="7:7">
      <c r="G259" s="5" t="str">
        <f t="shared" si="18"/>
        <v/>
      </c>
    </row>
    <row r="260" spans="7:7">
      <c r="G260" s="5" t="str">
        <f t="shared" si="18"/>
        <v/>
      </c>
    </row>
    <row r="261" spans="7:7">
      <c r="G261" s="5" t="str">
        <f t="shared" si="18"/>
        <v/>
      </c>
    </row>
    <row r="262" spans="7:7">
      <c r="G262" s="5" t="str">
        <f t="shared" si="18"/>
        <v/>
      </c>
    </row>
    <row r="263" spans="7:7">
      <c r="G263" s="5" t="str">
        <f t="shared" si="18"/>
        <v/>
      </c>
    </row>
    <row r="264" spans="7:7">
      <c r="G264" s="5" t="str">
        <f t="shared" si="18"/>
        <v/>
      </c>
    </row>
    <row r="265" spans="7:7">
      <c r="G265" s="5" t="str">
        <f t="shared" si="18"/>
        <v/>
      </c>
    </row>
    <row r="266" spans="7:7">
      <c r="G266" s="5" t="str">
        <f t="shared" si="18"/>
        <v/>
      </c>
    </row>
    <row r="267" spans="7:7">
      <c r="G267" s="5" t="str">
        <f t="shared" si="18"/>
        <v/>
      </c>
    </row>
    <row r="268" spans="7:7">
      <c r="G268" s="5" t="str">
        <f t="shared" si="18"/>
        <v/>
      </c>
    </row>
    <row r="269" spans="7:7">
      <c r="G269" s="5" t="str">
        <f t="shared" si="18"/>
        <v/>
      </c>
    </row>
    <row r="270" spans="7:7">
      <c r="G270" s="5" t="str">
        <f t="shared" si="18"/>
        <v/>
      </c>
    </row>
    <row r="271" spans="7:7">
      <c r="G271" s="5" t="str">
        <f t="shared" si="18"/>
        <v/>
      </c>
    </row>
    <row r="272" spans="7:7">
      <c r="G272" s="5" t="str">
        <f t="shared" si="18"/>
        <v/>
      </c>
    </row>
    <row r="273" spans="7:7">
      <c r="G273" s="5" t="str">
        <f t="shared" si="18"/>
        <v/>
      </c>
    </row>
    <row r="274" spans="7:7">
      <c r="G274" s="5" t="str">
        <f t="shared" si="18"/>
        <v/>
      </c>
    </row>
    <row r="275" spans="7:7">
      <c r="G275" s="5" t="str">
        <f t="shared" ref="G275:G338" si="19">IF(B275&lt;&gt;"",SUM(C275:F275),"")</f>
        <v/>
      </c>
    </row>
    <row r="276" spans="7:7">
      <c r="G276" s="5" t="str">
        <f t="shared" si="19"/>
        <v/>
      </c>
    </row>
    <row r="277" spans="7:7">
      <c r="G277" s="5" t="str">
        <f t="shared" si="19"/>
        <v/>
      </c>
    </row>
    <row r="278" spans="7:7">
      <c r="G278" s="5" t="str">
        <f t="shared" si="19"/>
        <v/>
      </c>
    </row>
    <row r="279" spans="7:7">
      <c r="G279" s="5" t="str">
        <f t="shared" si="19"/>
        <v/>
      </c>
    </row>
    <row r="280" spans="7:7">
      <c r="G280" s="5" t="str">
        <f t="shared" si="19"/>
        <v/>
      </c>
    </row>
    <row r="281" spans="7:7">
      <c r="G281" s="5" t="str">
        <f t="shared" si="19"/>
        <v/>
      </c>
    </row>
    <row r="282" spans="7:7">
      <c r="G282" s="5" t="str">
        <f t="shared" si="19"/>
        <v/>
      </c>
    </row>
    <row r="283" spans="7:7">
      <c r="G283" s="5" t="str">
        <f t="shared" si="19"/>
        <v/>
      </c>
    </row>
    <row r="284" spans="7:7">
      <c r="G284" s="5" t="str">
        <f t="shared" si="19"/>
        <v/>
      </c>
    </row>
    <row r="285" spans="7:7">
      <c r="G285" s="5" t="str">
        <f t="shared" si="19"/>
        <v/>
      </c>
    </row>
    <row r="286" spans="7:7">
      <c r="G286" s="5" t="str">
        <f t="shared" si="19"/>
        <v/>
      </c>
    </row>
    <row r="287" spans="7:7">
      <c r="G287" s="5" t="str">
        <f t="shared" si="19"/>
        <v/>
      </c>
    </row>
    <row r="288" spans="7:7">
      <c r="G288" s="5" t="str">
        <f t="shared" si="19"/>
        <v/>
      </c>
    </row>
    <row r="289" spans="7:7">
      <c r="G289" s="5" t="str">
        <f t="shared" si="19"/>
        <v/>
      </c>
    </row>
    <row r="290" spans="7:7">
      <c r="G290" s="5" t="str">
        <f t="shared" si="19"/>
        <v/>
      </c>
    </row>
    <row r="291" spans="7:7">
      <c r="G291" s="5" t="str">
        <f t="shared" si="19"/>
        <v/>
      </c>
    </row>
    <row r="292" spans="7:7">
      <c r="G292" s="5" t="str">
        <f t="shared" si="19"/>
        <v/>
      </c>
    </row>
    <row r="293" spans="7:7">
      <c r="G293" s="5" t="str">
        <f t="shared" si="19"/>
        <v/>
      </c>
    </row>
    <row r="294" spans="7:7">
      <c r="G294" s="5" t="str">
        <f t="shared" si="19"/>
        <v/>
      </c>
    </row>
    <row r="295" spans="7:7">
      <c r="G295" s="5" t="str">
        <f t="shared" si="19"/>
        <v/>
      </c>
    </row>
    <row r="296" spans="7:7">
      <c r="G296" s="5" t="str">
        <f t="shared" si="19"/>
        <v/>
      </c>
    </row>
    <row r="297" spans="7:7">
      <c r="G297" s="5" t="str">
        <f t="shared" si="19"/>
        <v/>
      </c>
    </row>
    <row r="298" spans="7:7">
      <c r="G298" s="5" t="str">
        <f t="shared" si="19"/>
        <v/>
      </c>
    </row>
    <row r="299" spans="7:7">
      <c r="G299" s="5" t="str">
        <f t="shared" si="19"/>
        <v/>
      </c>
    </row>
    <row r="300" spans="7:7">
      <c r="G300" s="5" t="str">
        <f t="shared" si="19"/>
        <v/>
      </c>
    </row>
    <row r="301" spans="7:7">
      <c r="G301" s="5" t="str">
        <f t="shared" si="19"/>
        <v/>
      </c>
    </row>
    <row r="302" spans="7:7">
      <c r="G302" s="5" t="str">
        <f t="shared" si="19"/>
        <v/>
      </c>
    </row>
    <row r="303" spans="7:7">
      <c r="G303" s="5" t="str">
        <f t="shared" si="19"/>
        <v/>
      </c>
    </row>
    <row r="304" spans="7:7">
      <c r="G304" s="5" t="str">
        <f t="shared" si="19"/>
        <v/>
      </c>
    </row>
    <row r="305" spans="7:7">
      <c r="G305" s="5" t="str">
        <f t="shared" si="19"/>
        <v/>
      </c>
    </row>
    <row r="306" spans="7:7">
      <c r="G306" s="5" t="str">
        <f t="shared" si="19"/>
        <v/>
      </c>
    </row>
    <row r="307" spans="7:7">
      <c r="G307" s="5" t="str">
        <f t="shared" si="19"/>
        <v/>
      </c>
    </row>
    <row r="308" spans="7:7">
      <c r="G308" s="5" t="str">
        <f t="shared" si="19"/>
        <v/>
      </c>
    </row>
    <row r="309" spans="7:7">
      <c r="G309" s="5" t="str">
        <f t="shared" si="19"/>
        <v/>
      </c>
    </row>
    <row r="310" spans="7:7">
      <c r="G310" s="5" t="str">
        <f t="shared" si="19"/>
        <v/>
      </c>
    </row>
    <row r="311" spans="7:7">
      <c r="G311" s="5" t="str">
        <f t="shared" si="19"/>
        <v/>
      </c>
    </row>
    <row r="312" spans="7:7">
      <c r="G312" s="5" t="str">
        <f t="shared" si="19"/>
        <v/>
      </c>
    </row>
    <row r="313" spans="7:7">
      <c r="G313" s="5" t="str">
        <f t="shared" si="19"/>
        <v/>
      </c>
    </row>
    <row r="314" spans="7:7">
      <c r="G314" s="5" t="str">
        <f t="shared" si="19"/>
        <v/>
      </c>
    </row>
    <row r="315" spans="7:7">
      <c r="G315" s="5" t="str">
        <f t="shared" si="19"/>
        <v/>
      </c>
    </row>
    <row r="316" spans="7:7">
      <c r="G316" s="5" t="str">
        <f t="shared" si="19"/>
        <v/>
      </c>
    </row>
    <row r="317" spans="7:7">
      <c r="G317" s="5" t="str">
        <f t="shared" si="19"/>
        <v/>
      </c>
    </row>
    <row r="318" spans="7:7">
      <c r="G318" s="5" t="str">
        <f t="shared" si="19"/>
        <v/>
      </c>
    </row>
    <row r="319" spans="7:7">
      <c r="G319" s="5" t="str">
        <f t="shared" si="19"/>
        <v/>
      </c>
    </row>
    <row r="320" spans="7:7">
      <c r="G320" s="5" t="str">
        <f t="shared" si="19"/>
        <v/>
      </c>
    </row>
    <row r="321" spans="7:7">
      <c r="G321" s="5" t="str">
        <f t="shared" si="19"/>
        <v/>
      </c>
    </row>
    <row r="322" spans="7:7">
      <c r="G322" s="5" t="str">
        <f t="shared" si="19"/>
        <v/>
      </c>
    </row>
    <row r="323" spans="7:7">
      <c r="G323" s="5" t="str">
        <f t="shared" si="19"/>
        <v/>
      </c>
    </row>
    <row r="324" spans="7:7">
      <c r="G324" s="5" t="str">
        <f t="shared" si="19"/>
        <v/>
      </c>
    </row>
    <row r="325" spans="7:7">
      <c r="G325" s="5" t="str">
        <f t="shared" si="19"/>
        <v/>
      </c>
    </row>
    <row r="326" spans="7:7">
      <c r="G326" s="5" t="str">
        <f t="shared" si="19"/>
        <v/>
      </c>
    </row>
    <row r="327" spans="7:7">
      <c r="G327" s="5" t="str">
        <f t="shared" si="19"/>
        <v/>
      </c>
    </row>
    <row r="328" spans="7:7">
      <c r="G328" s="5" t="str">
        <f t="shared" si="19"/>
        <v/>
      </c>
    </row>
    <row r="329" spans="7:7">
      <c r="G329" s="5" t="str">
        <f t="shared" si="19"/>
        <v/>
      </c>
    </row>
    <row r="330" spans="7:7">
      <c r="G330" s="5" t="str">
        <f t="shared" si="19"/>
        <v/>
      </c>
    </row>
    <row r="331" spans="7:7">
      <c r="G331" s="5" t="str">
        <f t="shared" si="19"/>
        <v/>
      </c>
    </row>
    <row r="332" spans="7:7">
      <c r="G332" s="5" t="str">
        <f t="shared" si="19"/>
        <v/>
      </c>
    </row>
    <row r="333" spans="7:7">
      <c r="G333" s="5" t="str">
        <f t="shared" si="19"/>
        <v/>
      </c>
    </row>
    <row r="334" spans="7:7">
      <c r="G334" s="5" t="str">
        <f t="shared" si="19"/>
        <v/>
      </c>
    </row>
    <row r="335" spans="7:7">
      <c r="G335" s="5" t="str">
        <f t="shared" si="19"/>
        <v/>
      </c>
    </row>
    <row r="336" spans="7:7">
      <c r="G336" s="5" t="str">
        <f t="shared" si="19"/>
        <v/>
      </c>
    </row>
    <row r="337" spans="7:7">
      <c r="G337" s="5" t="str">
        <f t="shared" si="19"/>
        <v/>
      </c>
    </row>
    <row r="338" spans="7:7">
      <c r="G338" s="5" t="str">
        <f t="shared" si="19"/>
        <v/>
      </c>
    </row>
    <row r="339" spans="7:7">
      <c r="G339" s="5" t="str">
        <f t="shared" ref="G339:G402" si="20">IF(B339&lt;&gt;"",SUM(C339:F339),"")</f>
        <v/>
      </c>
    </row>
    <row r="340" spans="7:7">
      <c r="G340" s="5" t="str">
        <f t="shared" si="20"/>
        <v/>
      </c>
    </row>
    <row r="341" spans="7:7">
      <c r="G341" s="5" t="str">
        <f t="shared" si="20"/>
        <v/>
      </c>
    </row>
    <row r="342" spans="7:7">
      <c r="G342" s="5" t="str">
        <f t="shared" si="20"/>
        <v/>
      </c>
    </row>
    <row r="343" spans="7:7">
      <c r="G343" s="5" t="str">
        <f t="shared" si="20"/>
        <v/>
      </c>
    </row>
    <row r="344" spans="7:7">
      <c r="G344" s="5" t="str">
        <f t="shared" si="20"/>
        <v/>
      </c>
    </row>
    <row r="345" spans="7:7">
      <c r="G345" s="5" t="str">
        <f t="shared" si="20"/>
        <v/>
      </c>
    </row>
    <row r="346" spans="7:7">
      <c r="G346" s="5" t="str">
        <f t="shared" si="20"/>
        <v/>
      </c>
    </row>
    <row r="347" spans="7:7">
      <c r="G347" s="5" t="str">
        <f t="shared" si="20"/>
        <v/>
      </c>
    </row>
    <row r="348" spans="7:7">
      <c r="G348" s="5" t="str">
        <f t="shared" si="20"/>
        <v/>
      </c>
    </row>
    <row r="349" spans="7:7">
      <c r="G349" s="5" t="str">
        <f t="shared" si="20"/>
        <v/>
      </c>
    </row>
    <row r="350" spans="7:7">
      <c r="G350" s="5" t="str">
        <f t="shared" si="20"/>
        <v/>
      </c>
    </row>
    <row r="351" spans="7:7">
      <c r="G351" s="5" t="str">
        <f t="shared" si="20"/>
        <v/>
      </c>
    </row>
    <row r="352" spans="7:7">
      <c r="G352" s="5" t="str">
        <f t="shared" si="20"/>
        <v/>
      </c>
    </row>
    <row r="353" spans="7:7">
      <c r="G353" s="5" t="str">
        <f t="shared" si="20"/>
        <v/>
      </c>
    </row>
    <row r="354" spans="7:7">
      <c r="G354" s="5" t="str">
        <f t="shared" si="20"/>
        <v/>
      </c>
    </row>
    <row r="355" spans="7:7">
      <c r="G355" s="5" t="str">
        <f t="shared" si="20"/>
        <v/>
      </c>
    </row>
    <row r="356" spans="7:7">
      <c r="G356" s="5" t="str">
        <f t="shared" si="20"/>
        <v/>
      </c>
    </row>
    <row r="357" spans="7:7">
      <c r="G357" s="5" t="str">
        <f t="shared" si="20"/>
        <v/>
      </c>
    </row>
    <row r="358" spans="7:7">
      <c r="G358" s="5" t="str">
        <f t="shared" si="20"/>
        <v/>
      </c>
    </row>
    <row r="359" spans="7:7">
      <c r="G359" s="5" t="str">
        <f t="shared" si="20"/>
        <v/>
      </c>
    </row>
    <row r="360" spans="7:7">
      <c r="G360" s="5" t="str">
        <f t="shared" si="20"/>
        <v/>
      </c>
    </row>
    <row r="361" spans="7:7">
      <c r="G361" s="5" t="str">
        <f t="shared" si="20"/>
        <v/>
      </c>
    </row>
    <row r="362" spans="7:7">
      <c r="G362" s="5" t="str">
        <f t="shared" si="20"/>
        <v/>
      </c>
    </row>
    <row r="363" spans="7:7">
      <c r="G363" s="5" t="str">
        <f t="shared" si="20"/>
        <v/>
      </c>
    </row>
    <row r="364" spans="7:7">
      <c r="G364" s="5" t="str">
        <f t="shared" si="20"/>
        <v/>
      </c>
    </row>
    <row r="365" spans="7:7">
      <c r="G365" s="5" t="str">
        <f t="shared" si="20"/>
        <v/>
      </c>
    </row>
    <row r="366" spans="7:7">
      <c r="G366" s="5" t="str">
        <f t="shared" si="20"/>
        <v/>
      </c>
    </row>
    <row r="367" spans="7:7">
      <c r="G367" s="5" t="str">
        <f t="shared" si="20"/>
        <v/>
      </c>
    </row>
    <row r="368" spans="7:7">
      <c r="G368" s="5" t="str">
        <f t="shared" si="20"/>
        <v/>
      </c>
    </row>
    <row r="369" spans="7:7">
      <c r="G369" s="5" t="str">
        <f t="shared" si="20"/>
        <v/>
      </c>
    </row>
    <row r="370" spans="7:7">
      <c r="G370" s="5" t="str">
        <f t="shared" si="20"/>
        <v/>
      </c>
    </row>
    <row r="371" spans="7:7">
      <c r="G371" s="5" t="str">
        <f t="shared" si="20"/>
        <v/>
      </c>
    </row>
    <row r="372" spans="7:7">
      <c r="G372" s="5" t="str">
        <f t="shared" si="20"/>
        <v/>
      </c>
    </row>
    <row r="373" spans="7:7">
      <c r="G373" s="5" t="str">
        <f t="shared" si="20"/>
        <v/>
      </c>
    </row>
    <row r="374" spans="7:7">
      <c r="G374" s="5" t="str">
        <f t="shared" si="20"/>
        <v/>
      </c>
    </row>
    <row r="375" spans="7:7">
      <c r="G375" s="5" t="str">
        <f t="shared" si="20"/>
        <v/>
      </c>
    </row>
    <row r="376" spans="7:7">
      <c r="G376" s="5" t="str">
        <f t="shared" si="20"/>
        <v/>
      </c>
    </row>
    <row r="377" spans="7:7">
      <c r="G377" s="5" t="str">
        <f t="shared" si="20"/>
        <v/>
      </c>
    </row>
    <row r="378" spans="7:7">
      <c r="G378" s="5" t="str">
        <f t="shared" si="20"/>
        <v/>
      </c>
    </row>
    <row r="379" spans="7:7">
      <c r="G379" s="5" t="str">
        <f t="shared" si="20"/>
        <v/>
      </c>
    </row>
    <row r="380" spans="7:7">
      <c r="G380" s="5" t="str">
        <f t="shared" si="20"/>
        <v/>
      </c>
    </row>
    <row r="381" spans="7:7">
      <c r="G381" s="5" t="str">
        <f t="shared" si="20"/>
        <v/>
      </c>
    </row>
    <row r="382" spans="7:7">
      <c r="G382" s="5" t="str">
        <f t="shared" si="20"/>
        <v/>
      </c>
    </row>
    <row r="383" spans="7:7">
      <c r="G383" s="5" t="str">
        <f t="shared" si="20"/>
        <v/>
      </c>
    </row>
    <row r="384" spans="7:7">
      <c r="G384" s="5" t="str">
        <f t="shared" si="20"/>
        <v/>
      </c>
    </row>
    <row r="385" spans="7:7">
      <c r="G385" s="5" t="str">
        <f t="shared" si="20"/>
        <v/>
      </c>
    </row>
    <row r="386" spans="7:7">
      <c r="G386" s="5" t="str">
        <f t="shared" si="20"/>
        <v/>
      </c>
    </row>
    <row r="387" spans="7:7">
      <c r="G387" s="5" t="str">
        <f t="shared" si="20"/>
        <v/>
      </c>
    </row>
    <row r="388" spans="7:7">
      <c r="G388" s="5" t="str">
        <f t="shared" si="20"/>
        <v/>
      </c>
    </row>
    <row r="389" spans="7:7">
      <c r="G389" s="5" t="str">
        <f t="shared" si="20"/>
        <v/>
      </c>
    </row>
    <row r="390" spans="7:7">
      <c r="G390" s="5" t="str">
        <f t="shared" si="20"/>
        <v/>
      </c>
    </row>
    <row r="391" spans="7:7">
      <c r="G391" s="5" t="str">
        <f t="shared" si="20"/>
        <v/>
      </c>
    </row>
    <row r="392" spans="7:7">
      <c r="G392" s="5" t="str">
        <f t="shared" si="20"/>
        <v/>
      </c>
    </row>
    <row r="393" spans="7:7">
      <c r="G393" s="5" t="str">
        <f t="shared" si="20"/>
        <v/>
      </c>
    </row>
    <row r="394" spans="7:7">
      <c r="G394" s="5" t="str">
        <f t="shared" si="20"/>
        <v/>
      </c>
    </row>
    <row r="395" spans="7:7">
      <c r="G395" s="5" t="str">
        <f t="shared" si="20"/>
        <v/>
      </c>
    </row>
    <row r="396" spans="7:7">
      <c r="G396" s="5" t="str">
        <f t="shared" si="20"/>
        <v/>
      </c>
    </row>
    <row r="397" spans="7:7">
      <c r="G397" s="5" t="str">
        <f t="shared" si="20"/>
        <v/>
      </c>
    </row>
    <row r="398" spans="7:7">
      <c r="G398" s="5" t="str">
        <f t="shared" si="20"/>
        <v/>
      </c>
    </row>
    <row r="399" spans="7:7">
      <c r="G399" s="5" t="str">
        <f t="shared" si="20"/>
        <v/>
      </c>
    </row>
    <row r="400" spans="7:7">
      <c r="G400" s="5" t="str">
        <f t="shared" si="20"/>
        <v/>
      </c>
    </row>
    <row r="401" spans="7:7">
      <c r="G401" s="5" t="str">
        <f t="shared" si="20"/>
        <v/>
      </c>
    </row>
    <row r="402" spans="7:7">
      <c r="G402" s="5" t="str">
        <f t="shared" si="20"/>
        <v/>
      </c>
    </row>
    <row r="403" spans="7:7">
      <c r="G403" s="5" t="str">
        <f t="shared" ref="G403:G434" si="21">IF(B403&lt;&gt;"",SUM(C403:F403),"")</f>
        <v/>
      </c>
    </row>
    <row r="404" spans="7:7">
      <c r="G404" s="5" t="str">
        <f t="shared" si="21"/>
        <v/>
      </c>
    </row>
    <row r="405" spans="7:7">
      <c r="G405" s="5" t="str">
        <f t="shared" si="21"/>
        <v/>
      </c>
    </row>
    <row r="406" spans="7:7">
      <c r="G406" s="5" t="str">
        <f t="shared" si="21"/>
        <v/>
      </c>
    </row>
    <row r="407" spans="7:7">
      <c r="G407" s="5" t="str">
        <f t="shared" si="21"/>
        <v/>
      </c>
    </row>
    <row r="408" spans="7:7">
      <c r="G408" s="5" t="str">
        <f t="shared" si="21"/>
        <v/>
      </c>
    </row>
    <row r="409" spans="7:7">
      <c r="G409" s="5" t="str">
        <f t="shared" si="21"/>
        <v/>
      </c>
    </row>
    <row r="410" spans="7:7">
      <c r="G410" s="5" t="str">
        <f t="shared" si="21"/>
        <v/>
      </c>
    </row>
    <row r="411" spans="7:7">
      <c r="G411" s="5" t="str">
        <f t="shared" si="21"/>
        <v/>
      </c>
    </row>
    <row r="412" spans="7:7">
      <c r="G412" s="5" t="str">
        <f t="shared" si="21"/>
        <v/>
      </c>
    </row>
    <row r="413" spans="7:7">
      <c r="G413" s="5" t="str">
        <f t="shared" si="21"/>
        <v/>
      </c>
    </row>
    <row r="414" spans="7:7">
      <c r="G414" s="5" t="str">
        <f t="shared" si="21"/>
        <v/>
      </c>
    </row>
    <row r="415" spans="7:7">
      <c r="G415" s="5" t="str">
        <f t="shared" si="21"/>
        <v/>
      </c>
    </row>
    <row r="416" spans="7:7">
      <c r="G416" s="5" t="str">
        <f t="shared" si="21"/>
        <v/>
      </c>
    </row>
    <row r="417" spans="7:7">
      <c r="G417" s="5" t="str">
        <f t="shared" si="21"/>
        <v/>
      </c>
    </row>
    <row r="418" spans="7:7">
      <c r="G418" s="5" t="str">
        <f t="shared" si="21"/>
        <v/>
      </c>
    </row>
    <row r="419" spans="7:7">
      <c r="G419" s="5" t="str">
        <f t="shared" si="21"/>
        <v/>
      </c>
    </row>
    <row r="420" spans="7:7">
      <c r="G420" s="5" t="str">
        <f t="shared" si="21"/>
        <v/>
      </c>
    </row>
    <row r="421" spans="7:7">
      <c r="G421" s="5" t="str">
        <f t="shared" si="21"/>
        <v/>
      </c>
    </row>
    <row r="422" spans="7:7">
      <c r="G422" s="5" t="str">
        <f t="shared" si="21"/>
        <v/>
      </c>
    </row>
    <row r="423" spans="7:7">
      <c r="G423" s="5" t="str">
        <f t="shared" si="21"/>
        <v/>
      </c>
    </row>
    <row r="424" spans="7:7">
      <c r="G424" s="5" t="str">
        <f t="shared" si="21"/>
        <v/>
      </c>
    </row>
    <row r="425" spans="7:7">
      <c r="G425" s="5" t="str">
        <f t="shared" si="21"/>
        <v/>
      </c>
    </row>
    <row r="426" spans="7:7">
      <c r="G426" s="5" t="str">
        <f t="shared" si="21"/>
        <v/>
      </c>
    </row>
    <row r="427" spans="7:7">
      <c r="G427" s="5" t="str">
        <f t="shared" si="21"/>
        <v/>
      </c>
    </row>
    <row r="428" spans="7:7">
      <c r="G428" s="5" t="str">
        <f t="shared" si="21"/>
        <v/>
      </c>
    </row>
    <row r="429" spans="7:7">
      <c r="G429" s="5" t="str">
        <f t="shared" si="21"/>
        <v/>
      </c>
    </row>
    <row r="430" spans="7:7">
      <c r="G430" s="5" t="str">
        <f t="shared" si="21"/>
        <v/>
      </c>
    </row>
    <row r="431" spans="7:7">
      <c r="G431" s="5" t="str">
        <f t="shared" si="21"/>
        <v/>
      </c>
    </row>
    <row r="432" spans="7:7">
      <c r="G432" s="5" t="str">
        <f t="shared" si="21"/>
        <v/>
      </c>
    </row>
    <row r="433" spans="7:7">
      <c r="G433" s="5" t="str">
        <f t="shared" si="21"/>
        <v/>
      </c>
    </row>
    <row r="434" spans="7:7">
      <c r="G434" s="5" t="str">
        <f t="shared" si="21"/>
        <v/>
      </c>
    </row>
  </sheetData>
  <sheetProtection sort="0" autoFilter="0" pivotTables="0"/>
  <autoFilter ref="H5:H54" xr:uid="{16A73FB5-91EC-4EBA-8573-0594AC8C948E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D3812-5892-404A-9490-70AD23ED4533}">
  <sheetPr codeName="Planilha43">
    <tabColor rgb="FFFF0000"/>
    <pageSetUpPr fitToPage="1"/>
  </sheetPr>
  <dimension ref="B1:S487"/>
  <sheetViews>
    <sheetView workbookViewId="0">
      <pane ySplit="5" topLeftCell="A51" activePane="bottomLeft" state="frozen"/>
      <selection pane="bottomLeft" activeCell="F6" sqref="F6:F61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45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2" t="s">
        <v>6</v>
      </c>
      <c r="C4" s="43"/>
      <c r="D4" s="43"/>
      <c r="E4" s="43"/>
      <c r="F4" s="44"/>
      <c r="G4" s="45"/>
      <c r="H4" s="46"/>
      <c r="I4" s="47" t="s">
        <v>48</v>
      </c>
      <c r="J4" s="48" t="s">
        <v>9</v>
      </c>
      <c r="K4" s="48" t="s">
        <v>9</v>
      </c>
      <c r="L4" s="49">
        <v>4.7619047619047616E-2</v>
      </c>
      <c r="M4" s="50" t="s">
        <v>15</v>
      </c>
      <c r="N4" s="36"/>
      <c r="O4" s="19"/>
      <c r="P4" s="19"/>
      <c r="Q4" s="19"/>
      <c r="R4" s="19"/>
      <c r="S4" s="19"/>
    </row>
    <row r="5" spans="2:19" ht="16.5" thickBot="1">
      <c r="B5" s="73" t="s">
        <v>5</v>
      </c>
      <c r="C5" s="52" t="s">
        <v>0</v>
      </c>
      <c r="D5" s="52" t="s">
        <v>12</v>
      </c>
      <c r="E5" s="52" t="s">
        <v>2</v>
      </c>
      <c r="F5" s="52" t="s">
        <v>3</v>
      </c>
      <c r="G5" s="53" t="s">
        <v>1</v>
      </c>
      <c r="H5" s="54" t="s">
        <v>4</v>
      </c>
      <c r="I5" s="54" t="s">
        <v>7</v>
      </c>
      <c r="J5" s="55" t="s">
        <v>8</v>
      </c>
      <c r="K5" s="55" t="s">
        <v>10</v>
      </c>
      <c r="L5" s="56" t="s">
        <v>11</v>
      </c>
      <c r="M5" s="5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114" t="s">
        <v>501</v>
      </c>
      <c r="C6" s="106"/>
      <c r="D6" s="38"/>
      <c r="E6" s="38"/>
      <c r="F6" s="39"/>
      <c r="G6" s="40"/>
      <c r="H6" s="23">
        <f>SUM(C6:G6)</f>
        <v>0</v>
      </c>
      <c r="I6" s="41">
        <f t="shared" ref="I6:I33" si="0">L6-(L6*J6)</f>
        <v>45.96</v>
      </c>
      <c r="J6" s="16"/>
      <c r="K6" s="17"/>
      <c r="L6" s="116">
        <v>45.96</v>
      </c>
      <c r="M6" s="113">
        <v>6</v>
      </c>
      <c r="N6" s="25">
        <f t="shared" ref="N6:N33" si="1">I6*C6</f>
        <v>0</v>
      </c>
      <c r="O6" s="25">
        <f t="shared" ref="O6:O33" si="2">I6*D6</f>
        <v>0</v>
      </c>
      <c r="P6" s="25">
        <f t="shared" ref="P6:P33" si="3">I6*E6</f>
        <v>0</v>
      </c>
      <c r="Q6" s="26">
        <f t="shared" ref="Q6:Q33" si="4">I6*F6</f>
        <v>0</v>
      </c>
      <c r="R6" s="27">
        <f t="shared" ref="R6:R33" si="5">I6*G6</f>
        <v>0</v>
      </c>
      <c r="S6" s="28">
        <f>SUM(N6:R6)</f>
        <v>0</v>
      </c>
    </row>
    <row r="7" spans="2:19">
      <c r="B7" s="114" t="s">
        <v>502</v>
      </c>
      <c r="C7" s="107"/>
      <c r="D7" s="13"/>
      <c r="E7" s="13"/>
      <c r="F7" s="14"/>
      <c r="G7" s="8"/>
      <c r="H7" s="24">
        <f t="shared" ref="H7:H59" si="6">SUM(C7:G7)</f>
        <v>0</v>
      </c>
      <c r="I7" s="34">
        <f t="shared" si="0"/>
        <v>107.27</v>
      </c>
      <c r="J7" s="10"/>
      <c r="K7" s="12"/>
      <c r="L7" s="116">
        <v>107.27</v>
      </c>
      <c r="M7" s="113">
        <v>4</v>
      </c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59" si="7">SUM(N7:R7)</f>
        <v>0</v>
      </c>
    </row>
    <row r="8" spans="2:19">
      <c r="B8" s="114" t="s">
        <v>503</v>
      </c>
      <c r="C8" s="107"/>
      <c r="D8" s="13"/>
      <c r="E8" s="13"/>
      <c r="F8" s="14"/>
      <c r="G8" s="8"/>
      <c r="H8" s="24">
        <f t="shared" si="6"/>
        <v>0</v>
      </c>
      <c r="I8" s="34">
        <f t="shared" si="0"/>
        <v>101.34</v>
      </c>
      <c r="J8" s="10"/>
      <c r="K8" s="12"/>
      <c r="L8" s="116">
        <v>101.34</v>
      </c>
      <c r="M8" s="113">
        <v>4</v>
      </c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114" t="s">
        <v>504</v>
      </c>
      <c r="C9" s="107"/>
      <c r="D9" s="13"/>
      <c r="E9" s="13"/>
      <c r="F9" s="14"/>
      <c r="G9" s="8"/>
      <c r="H9" s="24">
        <f t="shared" si="6"/>
        <v>0</v>
      </c>
      <c r="I9" s="34">
        <f t="shared" si="0"/>
        <v>22.12</v>
      </c>
      <c r="J9" s="10"/>
      <c r="K9" s="12"/>
      <c r="L9" s="116">
        <v>22.12</v>
      </c>
      <c r="M9" s="113">
        <v>15</v>
      </c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114" t="s">
        <v>505</v>
      </c>
      <c r="C10" s="107"/>
      <c r="D10" s="13"/>
      <c r="E10" s="13"/>
      <c r="F10" s="14"/>
      <c r="G10" s="8"/>
      <c r="H10" s="24">
        <f t="shared" si="6"/>
        <v>0</v>
      </c>
      <c r="I10" s="34">
        <f t="shared" si="0"/>
        <v>99.88</v>
      </c>
      <c r="J10" s="10"/>
      <c r="K10" s="12"/>
      <c r="L10" s="116">
        <v>99.88</v>
      </c>
      <c r="M10" s="113">
        <v>25</v>
      </c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114" t="s">
        <v>506</v>
      </c>
      <c r="C11" s="107"/>
      <c r="D11" s="13"/>
      <c r="E11" s="13"/>
      <c r="F11" s="14"/>
      <c r="G11" s="8"/>
      <c r="H11" s="24">
        <f t="shared" si="6"/>
        <v>0</v>
      </c>
      <c r="I11" s="34">
        <f t="shared" si="0"/>
        <v>4.1900000000000004</v>
      </c>
      <c r="J11" s="10"/>
      <c r="K11" s="12"/>
      <c r="L11" s="116">
        <v>4.1900000000000004</v>
      </c>
      <c r="M11" s="113">
        <v>48</v>
      </c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0</v>
      </c>
      <c r="R11" s="27">
        <f t="shared" si="5"/>
        <v>0</v>
      </c>
      <c r="S11" s="28">
        <f t="shared" si="7"/>
        <v>0</v>
      </c>
    </row>
    <row r="12" spans="2:19">
      <c r="B12" s="114" t="s">
        <v>507</v>
      </c>
      <c r="C12" s="107"/>
      <c r="D12" s="13"/>
      <c r="E12" s="13"/>
      <c r="F12" s="14"/>
      <c r="G12" s="8"/>
      <c r="H12" s="24">
        <f t="shared" si="6"/>
        <v>0</v>
      </c>
      <c r="I12" s="34">
        <f t="shared" si="0"/>
        <v>138.08000000000001</v>
      </c>
      <c r="J12" s="10"/>
      <c r="K12" s="12"/>
      <c r="L12" s="116">
        <v>138.08000000000001</v>
      </c>
      <c r="M12" s="113">
        <v>6</v>
      </c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>
      <c r="B13" s="114" t="s">
        <v>508</v>
      </c>
      <c r="C13" s="107"/>
      <c r="D13" s="13"/>
      <c r="E13" s="13"/>
      <c r="F13" s="14"/>
      <c r="G13" s="8"/>
      <c r="H13" s="24">
        <f t="shared" si="6"/>
        <v>0</v>
      </c>
      <c r="I13" s="34">
        <f t="shared" si="0"/>
        <v>43.15</v>
      </c>
      <c r="J13" s="10"/>
      <c r="K13" s="12"/>
      <c r="L13" s="116">
        <v>43.15</v>
      </c>
      <c r="M13" s="113">
        <v>12</v>
      </c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>
      <c r="B14" s="114" t="s">
        <v>509</v>
      </c>
      <c r="C14" s="107"/>
      <c r="D14" s="13"/>
      <c r="E14" s="13"/>
      <c r="F14" s="14"/>
      <c r="G14" s="8"/>
      <c r="H14" s="24">
        <f t="shared" si="6"/>
        <v>0</v>
      </c>
      <c r="I14" s="34">
        <f t="shared" si="0"/>
        <v>130.46</v>
      </c>
      <c r="J14" s="10"/>
      <c r="K14" s="12"/>
      <c r="L14" s="116">
        <v>130.46</v>
      </c>
      <c r="M14" s="113">
        <v>1</v>
      </c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>
      <c r="B15" s="114" t="s">
        <v>510</v>
      </c>
      <c r="C15" s="107"/>
      <c r="D15" s="13"/>
      <c r="E15" s="13"/>
      <c r="F15" s="14"/>
      <c r="G15" s="8"/>
      <c r="H15" s="24">
        <f t="shared" si="6"/>
        <v>0</v>
      </c>
      <c r="I15" s="34">
        <f t="shared" si="0"/>
        <v>239.56</v>
      </c>
      <c r="J15" s="10"/>
      <c r="K15" s="12"/>
      <c r="L15" s="116">
        <v>239.56</v>
      </c>
      <c r="M15" s="113">
        <v>1</v>
      </c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>
      <c r="B16" s="114" t="s">
        <v>511</v>
      </c>
      <c r="C16" s="107"/>
      <c r="D16" s="13"/>
      <c r="E16" s="13"/>
      <c r="F16" s="14"/>
      <c r="G16" s="8"/>
      <c r="H16" s="24">
        <f t="shared" si="6"/>
        <v>0</v>
      </c>
      <c r="I16" s="34">
        <f t="shared" si="0"/>
        <v>18.34</v>
      </c>
      <c r="J16" s="10"/>
      <c r="K16" s="12"/>
      <c r="L16" s="116">
        <v>18.34</v>
      </c>
      <c r="M16" s="113">
        <v>1</v>
      </c>
      <c r="N16" s="25">
        <f t="shared" si="1"/>
        <v>0</v>
      </c>
      <c r="O16" s="25">
        <f t="shared" si="2"/>
        <v>0</v>
      </c>
      <c r="P16" s="25">
        <f t="shared" si="3"/>
        <v>0</v>
      </c>
      <c r="Q16" s="26">
        <f t="shared" si="4"/>
        <v>0</v>
      </c>
      <c r="R16" s="27">
        <f t="shared" si="5"/>
        <v>0</v>
      </c>
      <c r="S16" s="28">
        <f t="shared" si="7"/>
        <v>0</v>
      </c>
    </row>
    <row r="17" spans="2:19">
      <c r="B17" s="114" t="s">
        <v>512</v>
      </c>
      <c r="C17" s="107"/>
      <c r="D17" s="13"/>
      <c r="E17" s="13"/>
      <c r="F17" s="14"/>
      <c r="G17" s="8"/>
      <c r="H17" s="24">
        <f t="shared" si="6"/>
        <v>0</v>
      </c>
      <c r="I17" s="34">
        <f t="shared" si="0"/>
        <v>35.36</v>
      </c>
      <c r="J17" s="10"/>
      <c r="K17" s="12"/>
      <c r="L17" s="116">
        <v>35.36</v>
      </c>
      <c r="M17" s="113">
        <v>35</v>
      </c>
      <c r="N17" s="25">
        <f t="shared" si="1"/>
        <v>0</v>
      </c>
      <c r="O17" s="25">
        <f t="shared" si="2"/>
        <v>0</v>
      </c>
      <c r="P17" s="25">
        <f t="shared" si="3"/>
        <v>0</v>
      </c>
      <c r="Q17" s="26">
        <f t="shared" si="4"/>
        <v>0</v>
      </c>
      <c r="R17" s="27">
        <f t="shared" si="5"/>
        <v>0</v>
      </c>
      <c r="S17" s="28">
        <f t="shared" si="7"/>
        <v>0</v>
      </c>
    </row>
    <row r="18" spans="2:19">
      <c r="B18" s="114" t="s">
        <v>513</v>
      </c>
      <c r="C18" s="107"/>
      <c r="D18" s="13"/>
      <c r="E18" s="13"/>
      <c r="F18" s="14"/>
      <c r="G18" s="8"/>
      <c r="H18" s="24">
        <f t="shared" si="6"/>
        <v>0</v>
      </c>
      <c r="I18" s="34">
        <f t="shared" si="0"/>
        <v>27.99</v>
      </c>
      <c r="J18" s="10"/>
      <c r="K18" s="12"/>
      <c r="L18" s="117">
        <v>27.99</v>
      </c>
      <c r="M18" s="115">
        <v>1</v>
      </c>
      <c r="N18" s="25">
        <f t="shared" si="1"/>
        <v>0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0</v>
      </c>
      <c r="S18" s="28">
        <f t="shared" si="7"/>
        <v>0</v>
      </c>
    </row>
    <row r="19" spans="2:19">
      <c r="B19" s="114" t="s">
        <v>514</v>
      </c>
      <c r="C19" s="107"/>
      <c r="D19" s="13"/>
      <c r="E19" s="13"/>
      <c r="F19" s="14"/>
      <c r="G19" s="8"/>
      <c r="H19" s="24">
        <f t="shared" si="6"/>
        <v>0</v>
      </c>
      <c r="I19" s="34">
        <f t="shared" si="0"/>
        <v>28.57</v>
      </c>
      <c r="J19" s="10"/>
      <c r="K19" s="12"/>
      <c r="L19" s="116">
        <v>28.57</v>
      </c>
      <c r="M19" s="113">
        <v>20</v>
      </c>
      <c r="N19" s="25">
        <f t="shared" si="1"/>
        <v>0</v>
      </c>
      <c r="O19" s="25">
        <f t="shared" si="2"/>
        <v>0</v>
      </c>
      <c r="P19" s="25">
        <f t="shared" si="3"/>
        <v>0</v>
      </c>
      <c r="Q19" s="26">
        <f t="shared" si="4"/>
        <v>0</v>
      </c>
      <c r="R19" s="27">
        <f t="shared" si="5"/>
        <v>0</v>
      </c>
      <c r="S19" s="28">
        <f t="shared" si="7"/>
        <v>0</v>
      </c>
    </row>
    <row r="20" spans="2:19">
      <c r="B20" s="114" t="s">
        <v>515</v>
      </c>
      <c r="C20" s="107"/>
      <c r="D20" s="13"/>
      <c r="E20" s="13"/>
      <c r="F20" s="14"/>
      <c r="G20" s="8"/>
      <c r="H20" s="24">
        <f t="shared" si="6"/>
        <v>0</v>
      </c>
      <c r="I20" s="34">
        <f t="shared" si="0"/>
        <v>102.28</v>
      </c>
      <c r="J20" s="10"/>
      <c r="K20" s="12"/>
      <c r="L20" s="116">
        <v>102.28</v>
      </c>
      <c r="M20" s="113">
        <v>1</v>
      </c>
      <c r="N20" s="25">
        <f t="shared" si="1"/>
        <v>0</v>
      </c>
      <c r="O20" s="25">
        <f t="shared" si="2"/>
        <v>0</v>
      </c>
      <c r="P20" s="25">
        <f t="shared" si="3"/>
        <v>0</v>
      </c>
      <c r="Q20" s="26">
        <f t="shared" si="4"/>
        <v>0</v>
      </c>
      <c r="R20" s="27">
        <f t="shared" si="5"/>
        <v>0</v>
      </c>
      <c r="S20" s="28">
        <f t="shared" si="7"/>
        <v>0</v>
      </c>
    </row>
    <row r="21" spans="2:19">
      <c r="B21" s="114" t="s">
        <v>516</v>
      </c>
      <c r="C21" s="107"/>
      <c r="D21" s="13"/>
      <c r="E21" s="13"/>
      <c r="F21" s="14"/>
      <c r="G21" s="8"/>
      <c r="H21" s="24">
        <f t="shared" si="6"/>
        <v>0</v>
      </c>
      <c r="I21" s="34">
        <f t="shared" si="0"/>
        <v>200.76</v>
      </c>
      <c r="J21" s="10"/>
      <c r="K21" s="12"/>
      <c r="L21" s="116">
        <v>200.76</v>
      </c>
      <c r="M21" s="113">
        <v>1</v>
      </c>
      <c r="N21" s="25">
        <f t="shared" si="1"/>
        <v>0</v>
      </c>
      <c r="O21" s="25">
        <f t="shared" si="2"/>
        <v>0</v>
      </c>
      <c r="P21" s="25">
        <f t="shared" si="3"/>
        <v>0</v>
      </c>
      <c r="Q21" s="26">
        <f t="shared" si="4"/>
        <v>0</v>
      </c>
      <c r="R21" s="27">
        <f t="shared" si="5"/>
        <v>0</v>
      </c>
      <c r="S21" s="28">
        <f t="shared" si="7"/>
        <v>0</v>
      </c>
    </row>
    <row r="22" spans="2:19">
      <c r="B22" s="114" t="s">
        <v>517</v>
      </c>
      <c r="C22" s="107"/>
      <c r="D22" s="13"/>
      <c r="E22" s="13"/>
      <c r="F22" s="14"/>
      <c r="G22" s="8"/>
      <c r="H22" s="24">
        <f t="shared" si="6"/>
        <v>0</v>
      </c>
      <c r="I22" s="34">
        <f t="shared" si="0"/>
        <v>104.21</v>
      </c>
      <c r="J22" s="10"/>
      <c r="K22" s="12"/>
      <c r="L22" s="116">
        <v>104.21</v>
      </c>
      <c r="M22" s="113">
        <v>1</v>
      </c>
      <c r="N22" s="25">
        <f t="shared" si="1"/>
        <v>0</v>
      </c>
      <c r="O22" s="25">
        <f t="shared" si="2"/>
        <v>0</v>
      </c>
      <c r="P22" s="25">
        <f t="shared" si="3"/>
        <v>0</v>
      </c>
      <c r="Q22" s="26">
        <f t="shared" si="4"/>
        <v>0</v>
      </c>
      <c r="R22" s="27">
        <f t="shared" si="5"/>
        <v>0</v>
      </c>
      <c r="S22" s="28">
        <f t="shared" si="7"/>
        <v>0</v>
      </c>
    </row>
    <row r="23" spans="2:19">
      <c r="B23" s="114" t="s">
        <v>518</v>
      </c>
      <c r="C23" s="107"/>
      <c r="D23" s="13"/>
      <c r="E23" s="13"/>
      <c r="F23" s="14"/>
      <c r="G23" s="8"/>
      <c r="H23" s="24">
        <f t="shared" si="6"/>
        <v>0</v>
      </c>
      <c r="I23" s="34">
        <f t="shared" si="0"/>
        <v>10.33</v>
      </c>
      <c r="J23" s="10"/>
      <c r="K23" s="12"/>
      <c r="L23" s="116">
        <v>10.33</v>
      </c>
      <c r="M23" s="113">
        <v>1</v>
      </c>
      <c r="N23" s="25">
        <f t="shared" si="1"/>
        <v>0</v>
      </c>
      <c r="O23" s="25">
        <f t="shared" si="2"/>
        <v>0</v>
      </c>
      <c r="P23" s="25">
        <f t="shared" si="3"/>
        <v>0</v>
      </c>
      <c r="Q23" s="26">
        <f t="shared" si="4"/>
        <v>0</v>
      </c>
      <c r="R23" s="27">
        <f t="shared" si="5"/>
        <v>0</v>
      </c>
      <c r="S23" s="28">
        <f t="shared" si="7"/>
        <v>0</v>
      </c>
    </row>
    <row r="24" spans="2:19">
      <c r="B24" s="114" t="s">
        <v>519</v>
      </c>
      <c r="C24" s="107"/>
      <c r="D24" s="13"/>
      <c r="E24" s="13"/>
      <c r="F24" s="14"/>
      <c r="G24" s="8"/>
      <c r="H24" s="24">
        <f t="shared" si="6"/>
        <v>0</v>
      </c>
      <c r="I24" s="34">
        <f t="shared" si="0"/>
        <v>24.81</v>
      </c>
      <c r="J24" s="10"/>
      <c r="K24" s="12"/>
      <c r="L24" s="116">
        <v>24.81</v>
      </c>
      <c r="M24" s="113">
        <v>1</v>
      </c>
      <c r="N24" s="25">
        <f t="shared" si="1"/>
        <v>0</v>
      </c>
      <c r="O24" s="25">
        <f t="shared" si="2"/>
        <v>0</v>
      </c>
      <c r="P24" s="25">
        <f t="shared" si="3"/>
        <v>0</v>
      </c>
      <c r="Q24" s="26">
        <f t="shared" si="4"/>
        <v>0</v>
      </c>
      <c r="R24" s="27">
        <f t="shared" si="5"/>
        <v>0</v>
      </c>
      <c r="S24" s="28">
        <f t="shared" si="7"/>
        <v>0</v>
      </c>
    </row>
    <row r="25" spans="2:19">
      <c r="B25" s="114" t="s">
        <v>520</v>
      </c>
      <c r="C25" s="108"/>
      <c r="D25" s="14"/>
      <c r="E25" s="14"/>
      <c r="F25" s="14"/>
      <c r="G25" s="8"/>
      <c r="H25" s="24">
        <f t="shared" si="6"/>
        <v>0</v>
      </c>
      <c r="I25" s="34">
        <f t="shared" si="0"/>
        <v>22.54</v>
      </c>
      <c r="J25" s="10"/>
      <c r="K25" s="12"/>
      <c r="L25" s="116">
        <v>22.54</v>
      </c>
      <c r="M25" s="113">
        <v>12</v>
      </c>
      <c r="N25" s="25">
        <f t="shared" si="1"/>
        <v>0</v>
      </c>
      <c r="O25" s="25">
        <f t="shared" si="2"/>
        <v>0</v>
      </c>
      <c r="P25" s="25">
        <f t="shared" si="3"/>
        <v>0</v>
      </c>
      <c r="Q25" s="26">
        <f t="shared" si="4"/>
        <v>0</v>
      </c>
      <c r="R25" s="27">
        <f t="shared" si="5"/>
        <v>0</v>
      </c>
      <c r="S25" s="28">
        <f t="shared" si="7"/>
        <v>0</v>
      </c>
    </row>
    <row r="26" spans="2:19">
      <c r="B26" s="114" t="s">
        <v>521</v>
      </c>
      <c r="C26" s="108"/>
      <c r="D26" s="14"/>
      <c r="E26" s="14"/>
      <c r="F26" s="14"/>
      <c r="G26" s="8"/>
      <c r="H26" s="24">
        <f t="shared" si="6"/>
        <v>0</v>
      </c>
      <c r="I26" s="34">
        <f t="shared" si="0"/>
        <v>56.05</v>
      </c>
      <c r="J26" s="10"/>
      <c r="K26" s="12"/>
      <c r="L26" s="116">
        <v>56.05</v>
      </c>
      <c r="M26" s="113">
        <v>6</v>
      </c>
      <c r="N26" s="25">
        <f t="shared" si="1"/>
        <v>0</v>
      </c>
      <c r="O26" s="25">
        <f t="shared" si="2"/>
        <v>0</v>
      </c>
      <c r="P26" s="25">
        <f t="shared" si="3"/>
        <v>0</v>
      </c>
      <c r="Q26" s="26">
        <f t="shared" si="4"/>
        <v>0</v>
      </c>
      <c r="R26" s="27">
        <f t="shared" si="5"/>
        <v>0</v>
      </c>
      <c r="S26" s="28">
        <f t="shared" si="7"/>
        <v>0</v>
      </c>
    </row>
    <row r="27" spans="2:19">
      <c r="B27" s="114" t="s">
        <v>522</v>
      </c>
      <c r="C27" s="108"/>
      <c r="D27" s="14"/>
      <c r="E27" s="14"/>
      <c r="F27" s="14"/>
      <c r="G27" s="8"/>
      <c r="H27" s="24">
        <f t="shared" si="6"/>
        <v>0</v>
      </c>
      <c r="I27" s="34">
        <f t="shared" si="0"/>
        <v>30.77</v>
      </c>
      <c r="J27" s="10"/>
      <c r="K27" s="12"/>
      <c r="L27" s="116">
        <v>30.77</v>
      </c>
      <c r="M27" s="113">
        <v>35</v>
      </c>
      <c r="N27" s="25">
        <f t="shared" si="1"/>
        <v>0</v>
      </c>
      <c r="O27" s="25">
        <f t="shared" si="2"/>
        <v>0</v>
      </c>
      <c r="P27" s="25">
        <f t="shared" si="3"/>
        <v>0</v>
      </c>
      <c r="Q27" s="26">
        <f t="shared" si="4"/>
        <v>0</v>
      </c>
      <c r="R27" s="27">
        <f t="shared" si="5"/>
        <v>0</v>
      </c>
      <c r="S27" s="28">
        <f t="shared" si="7"/>
        <v>0</v>
      </c>
    </row>
    <row r="28" spans="2:19">
      <c r="B28" s="114" t="s">
        <v>523</v>
      </c>
      <c r="C28" s="108"/>
      <c r="D28" s="14"/>
      <c r="E28" s="14"/>
      <c r="F28" s="14"/>
      <c r="G28" s="8"/>
      <c r="H28" s="24">
        <f t="shared" si="6"/>
        <v>0</v>
      </c>
      <c r="I28" s="34">
        <f t="shared" si="0"/>
        <v>30.24</v>
      </c>
      <c r="J28" s="10"/>
      <c r="K28" s="12"/>
      <c r="L28" s="116">
        <v>30.24</v>
      </c>
      <c r="M28" s="113">
        <v>240</v>
      </c>
      <c r="N28" s="25">
        <f t="shared" si="1"/>
        <v>0</v>
      </c>
      <c r="O28" s="25">
        <f t="shared" si="2"/>
        <v>0</v>
      </c>
      <c r="P28" s="25">
        <f t="shared" si="3"/>
        <v>0</v>
      </c>
      <c r="Q28" s="26">
        <f t="shared" si="4"/>
        <v>0</v>
      </c>
      <c r="R28" s="27">
        <f t="shared" si="5"/>
        <v>0</v>
      </c>
      <c r="S28" s="28">
        <f t="shared" si="7"/>
        <v>0</v>
      </c>
    </row>
    <row r="29" spans="2:19">
      <c r="B29" s="114" t="s">
        <v>524</v>
      </c>
      <c r="C29" s="108"/>
      <c r="D29" s="14"/>
      <c r="E29" s="14"/>
      <c r="F29" s="14"/>
      <c r="G29" s="8"/>
      <c r="H29" s="24">
        <f t="shared" si="6"/>
        <v>0</v>
      </c>
      <c r="I29" s="34">
        <f t="shared" si="0"/>
        <v>152.29</v>
      </c>
      <c r="J29" s="10"/>
      <c r="K29" s="12"/>
      <c r="L29" s="116">
        <v>152.29</v>
      </c>
      <c r="M29" s="113">
        <v>1</v>
      </c>
      <c r="N29" s="25">
        <f t="shared" si="1"/>
        <v>0</v>
      </c>
      <c r="O29" s="25">
        <f t="shared" si="2"/>
        <v>0</v>
      </c>
      <c r="P29" s="25">
        <f t="shared" si="3"/>
        <v>0</v>
      </c>
      <c r="Q29" s="26">
        <f t="shared" si="4"/>
        <v>0</v>
      </c>
      <c r="R29" s="27">
        <f t="shared" si="5"/>
        <v>0</v>
      </c>
      <c r="S29" s="28">
        <f t="shared" si="7"/>
        <v>0</v>
      </c>
    </row>
    <row r="30" spans="2:19">
      <c r="B30" s="114" t="s">
        <v>525</v>
      </c>
      <c r="C30" s="108"/>
      <c r="D30" s="14"/>
      <c r="E30" s="14"/>
      <c r="F30" s="14"/>
      <c r="G30" s="8"/>
      <c r="H30" s="24">
        <f t="shared" si="6"/>
        <v>0</v>
      </c>
      <c r="I30" s="34">
        <f t="shared" si="0"/>
        <v>152.29</v>
      </c>
      <c r="J30" s="10"/>
      <c r="K30" s="12"/>
      <c r="L30" s="116">
        <v>152.29</v>
      </c>
      <c r="M30" s="113">
        <v>1</v>
      </c>
      <c r="N30" s="25">
        <f t="shared" si="1"/>
        <v>0</v>
      </c>
      <c r="O30" s="25">
        <f t="shared" si="2"/>
        <v>0</v>
      </c>
      <c r="P30" s="25">
        <f t="shared" si="3"/>
        <v>0</v>
      </c>
      <c r="Q30" s="26">
        <f t="shared" si="4"/>
        <v>0</v>
      </c>
      <c r="R30" s="27">
        <f t="shared" si="5"/>
        <v>0</v>
      </c>
      <c r="S30" s="28">
        <f t="shared" si="7"/>
        <v>0</v>
      </c>
    </row>
    <row r="31" spans="2:19">
      <c r="B31" s="114" t="s">
        <v>526</v>
      </c>
      <c r="C31" s="108"/>
      <c r="D31" s="14"/>
      <c r="E31" s="14"/>
      <c r="F31" s="14"/>
      <c r="G31" s="8"/>
      <c r="H31" s="24">
        <f t="shared" si="6"/>
        <v>0</v>
      </c>
      <c r="I31" s="34">
        <f t="shared" si="0"/>
        <v>160.66999999999999</v>
      </c>
      <c r="J31" s="10"/>
      <c r="K31" s="12"/>
      <c r="L31" s="116">
        <v>160.66999999999999</v>
      </c>
      <c r="M31" s="113">
        <v>60</v>
      </c>
      <c r="N31" s="25">
        <f t="shared" si="1"/>
        <v>0</v>
      </c>
      <c r="O31" s="25">
        <f t="shared" si="2"/>
        <v>0</v>
      </c>
      <c r="P31" s="25">
        <f t="shared" si="3"/>
        <v>0</v>
      </c>
      <c r="Q31" s="26">
        <f t="shared" si="4"/>
        <v>0</v>
      </c>
      <c r="R31" s="27">
        <f t="shared" si="5"/>
        <v>0</v>
      </c>
      <c r="S31" s="28">
        <f t="shared" si="7"/>
        <v>0</v>
      </c>
    </row>
    <row r="32" spans="2:19">
      <c r="B32" s="114" t="s">
        <v>527</v>
      </c>
      <c r="C32" s="108"/>
      <c r="D32" s="14"/>
      <c r="E32" s="14"/>
      <c r="F32" s="14"/>
      <c r="G32" s="8"/>
      <c r="H32" s="24">
        <f t="shared" si="6"/>
        <v>0</v>
      </c>
      <c r="I32" s="34">
        <f t="shared" si="0"/>
        <v>18.489999999999998</v>
      </c>
      <c r="J32" s="10"/>
      <c r="K32" s="12"/>
      <c r="L32" s="116">
        <v>18.489999999999998</v>
      </c>
      <c r="M32" s="113">
        <v>1</v>
      </c>
      <c r="N32" s="25">
        <f t="shared" si="1"/>
        <v>0</v>
      </c>
      <c r="O32" s="25">
        <f t="shared" si="2"/>
        <v>0</v>
      </c>
      <c r="P32" s="25">
        <f t="shared" si="3"/>
        <v>0</v>
      </c>
      <c r="Q32" s="26">
        <f t="shared" si="4"/>
        <v>0</v>
      </c>
      <c r="R32" s="27">
        <f t="shared" si="5"/>
        <v>0</v>
      </c>
      <c r="S32" s="28">
        <f t="shared" si="7"/>
        <v>0</v>
      </c>
    </row>
    <row r="33" spans="2:19">
      <c r="B33" s="114" t="s">
        <v>528</v>
      </c>
      <c r="C33" s="108"/>
      <c r="D33" s="14"/>
      <c r="E33" s="14"/>
      <c r="F33" s="14"/>
      <c r="G33" s="8"/>
      <c r="H33" s="24">
        <f t="shared" si="6"/>
        <v>0</v>
      </c>
      <c r="I33" s="34">
        <f t="shared" si="0"/>
        <v>163.47</v>
      </c>
      <c r="J33" s="10"/>
      <c r="K33" s="12"/>
      <c r="L33" s="116">
        <v>163.47</v>
      </c>
      <c r="M33" s="113">
        <v>1</v>
      </c>
      <c r="N33" s="25">
        <f t="shared" si="1"/>
        <v>0</v>
      </c>
      <c r="O33" s="25">
        <f t="shared" si="2"/>
        <v>0</v>
      </c>
      <c r="P33" s="25">
        <f t="shared" si="3"/>
        <v>0</v>
      </c>
      <c r="Q33" s="26">
        <f t="shared" si="4"/>
        <v>0</v>
      </c>
      <c r="R33" s="27">
        <f t="shared" si="5"/>
        <v>0</v>
      </c>
      <c r="S33" s="28">
        <f t="shared" si="7"/>
        <v>0</v>
      </c>
    </row>
    <row r="34" spans="2:19">
      <c r="B34" s="114" t="s">
        <v>529</v>
      </c>
      <c r="C34" s="108"/>
      <c r="D34" s="14"/>
      <c r="E34" s="14"/>
      <c r="F34" s="14"/>
      <c r="G34" s="8"/>
      <c r="H34" s="24">
        <f t="shared" si="6"/>
        <v>0</v>
      </c>
      <c r="I34" s="34">
        <f t="shared" ref="I34:I59" si="8">L34-(L34*J34)</f>
        <v>111.05</v>
      </c>
      <c r="J34" s="10"/>
      <c r="K34" s="12"/>
      <c r="L34" s="116">
        <v>111.05</v>
      </c>
      <c r="M34" s="113">
        <v>35</v>
      </c>
      <c r="N34" s="25">
        <f t="shared" ref="N34:N59" si="9">I34*C34</f>
        <v>0</v>
      </c>
      <c r="O34" s="25">
        <f t="shared" ref="O34:O59" si="10">I34*D34</f>
        <v>0</v>
      </c>
      <c r="P34" s="25">
        <f t="shared" ref="P34:P59" si="11">I34*E34</f>
        <v>0</v>
      </c>
      <c r="Q34" s="26">
        <f t="shared" ref="Q34:Q59" si="12">I34*F34</f>
        <v>0</v>
      </c>
      <c r="R34" s="27">
        <f t="shared" ref="R34:R59" si="13">I34*G34</f>
        <v>0</v>
      </c>
      <c r="S34" s="28">
        <f t="shared" si="7"/>
        <v>0</v>
      </c>
    </row>
    <row r="35" spans="2:19">
      <c r="B35" s="114" t="s">
        <v>530</v>
      </c>
      <c r="C35" s="108"/>
      <c r="D35" s="14"/>
      <c r="E35" s="14"/>
      <c r="F35" s="14"/>
      <c r="G35" s="8"/>
      <c r="H35" s="24">
        <f t="shared" si="6"/>
        <v>0</v>
      </c>
      <c r="I35" s="34">
        <f t="shared" si="8"/>
        <v>105.63</v>
      </c>
      <c r="J35" s="10"/>
      <c r="K35" s="12"/>
      <c r="L35" s="116">
        <v>105.63</v>
      </c>
      <c r="M35" s="113">
        <v>1</v>
      </c>
      <c r="N35" s="25">
        <f t="shared" si="9"/>
        <v>0</v>
      </c>
      <c r="O35" s="25">
        <f t="shared" si="10"/>
        <v>0</v>
      </c>
      <c r="P35" s="25">
        <f t="shared" si="11"/>
        <v>0</v>
      </c>
      <c r="Q35" s="26">
        <f t="shared" si="12"/>
        <v>0</v>
      </c>
      <c r="R35" s="27">
        <f t="shared" si="13"/>
        <v>0</v>
      </c>
      <c r="S35" s="28">
        <f t="shared" si="7"/>
        <v>0</v>
      </c>
    </row>
    <row r="36" spans="2:19">
      <c r="B36" s="114" t="s">
        <v>531</v>
      </c>
      <c r="C36" s="108"/>
      <c r="D36" s="14"/>
      <c r="E36" s="14"/>
      <c r="F36" s="14"/>
      <c r="G36" s="8"/>
      <c r="H36" s="24">
        <f t="shared" si="6"/>
        <v>0</v>
      </c>
      <c r="I36" s="34">
        <f t="shared" si="8"/>
        <v>388.06</v>
      </c>
      <c r="J36" s="10"/>
      <c r="K36" s="12"/>
      <c r="L36" s="116">
        <v>388.06</v>
      </c>
      <c r="M36" s="113">
        <v>4</v>
      </c>
      <c r="N36" s="25">
        <f t="shared" si="9"/>
        <v>0</v>
      </c>
      <c r="O36" s="25">
        <f t="shared" si="10"/>
        <v>0</v>
      </c>
      <c r="P36" s="25">
        <f t="shared" si="11"/>
        <v>0</v>
      </c>
      <c r="Q36" s="26">
        <f t="shared" si="12"/>
        <v>0</v>
      </c>
      <c r="R36" s="27">
        <f t="shared" si="13"/>
        <v>0</v>
      </c>
      <c r="S36" s="28">
        <f t="shared" si="7"/>
        <v>0</v>
      </c>
    </row>
    <row r="37" spans="2:19">
      <c r="B37" s="114" t="s">
        <v>532</v>
      </c>
      <c r="C37" s="108"/>
      <c r="D37" s="14"/>
      <c r="E37" s="14"/>
      <c r="F37" s="14"/>
      <c r="G37" s="8"/>
      <c r="H37" s="24">
        <f t="shared" si="6"/>
        <v>0</v>
      </c>
      <c r="I37" s="34">
        <f t="shared" si="8"/>
        <v>379.83</v>
      </c>
      <c r="J37" s="10"/>
      <c r="K37" s="12"/>
      <c r="L37" s="116">
        <v>379.83</v>
      </c>
      <c r="M37" s="113">
        <v>4</v>
      </c>
      <c r="N37" s="25">
        <f t="shared" si="9"/>
        <v>0</v>
      </c>
      <c r="O37" s="25">
        <f t="shared" si="10"/>
        <v>0</v>
      </c>
      <c r="P37" s="25">
        <f t="shared" si="11"/>
        <v>0</v>
      </c>
      <c r="Q37" s="26">
        <f t="shared" si="12"/>
        <v>0</v>
      </c>
      <c r="R37" s="27">
        <f t="shared" si="13"/>
        <v>0</v>
      </c>
      <c r="S37" s="28">
        <f t="shared" si="7"/>
        <v>0</v>
      </c>
    </row>
    <row r="38" spans="2:19">
      <c r="B38" s="114" t="s">
        <v>533</v>
      </c>
      <c r="C38" s="108"/>
      <c r="D38" s="14"/>
      <c r="E38" s="14"/>
      <c r="F38" s="14"/>
      <c r="G38" s="8"/>
      <c r="H38" s="24">
        <f t="shared" si="6"/>
        <v>0</v>
      </c>
      <c r="I38" s="34">
        <f t="shared" si="8"/>
        <v>17.350000000000001</v>
      </c>
      <c r="J38" s="10"/>
      <c r="K38" s="12"/>
      <c r="L38" s="116">
        <v>17.350000000000001</v>
      </c>
      <c r="M38" s="113">
        <v>24</v>
      </c>
      <c r="N38" s="25">
        <f t="shared" si="9"/>
        <v>0</v>
      </c>
      <c r="O38" s="25">
        <f t="shared" si="10"/>
        <v>0</v>
      </c>
      <c r="P38" s="25">
        <f t="shared" si="11"/>
        <v>0</v>
      </c>
      <c r="Q38" s="26">
        <f t="shared" si="12"/>
        <v>0</v>
      </c>
      <c r="R38" s="27">
        <f t="shared" si="13"/>
        <v>0</v>
      </c>
      <c r="S38" s="28">
        <f t="shared" si="7"/>
        <v>0</v>
      </c>
    </row>
    <row r="39" spans="2:19">
      <c r="B39" s="114" t="s">
        <v>534</v>
      </c>
      <c r="C39" s="108"/>
      <c r="D39" s="14"/>
      <c r="E39" s="14"/>
      <c r="F39" s="14"/>
      <c r="G39" s="8"/>
      <c r="H39" s="24">
        <f t="shared" si="6"/>
        <v>0</v>
      </c>
      <c r="I39" s="34">
        <f t="shared" si="8"/>
        <v>207.56</v>
      </c>
      <c r="J39" s="10"/>
      <c r="K39" s="12"/>
      <c r="L39" s="116">
        <v>207.56</v>
      </c>
      <c r="M39" s="113">
        <v>12</v>
      </c>
      <c r="N39" s="25">
        <f t="shared" si="9"/>
        <v>0</v>
      </c>
      <c r="O39" s="25">
        <f t="shared" si="10"/>
        <v>0</v>
      </c>
      <c r="P39" s="25">
        <f t="shared" si="11"/>
        <v>0</v>
      </c>
      <c r="Q39" s="26">
        <f t="shared" si="12"/>
        <v>0</v>
      </c>
      <c r="R39" s="27">
        <f t="shared" si="13"/>
        <v>0</v>
      </c>
      <c r="S39" s="28">
        <f t="shared" si="7"/>
        <v>0</v>
      </c>
    </row>
    <row r="40" spans="2:19">
      <c r="B40" s="114" t="s">
        <v>535</v>
      </c>
      <c r="C40" s="108"/>
      <c r="D40" s="14"/>
      <c r="E40" s="14"/>
      <c r="F40" s="14"/>
      <c r="G40" s="8"/>
      <c r="H40" s="24">
        <f t="shared" si="6"/>
        <v>0</v>
      </c>
      <c r="I40" s="34">
        <f t="shared" si="8"/>
        <v>134.5</v>
      </c>
      <c r="J40" s="10"/>
      <c r="K40" s="12"/>
      <c r="L40" s="116">
        <v>134.5</v>
      </c>
      <c r="M40" s="113">
        <v>1</v>
      </c>
      <c r="N40" s="25">
        <f t="shared" si="9"/>
        <v>0</v>
      </c>
      <c r="O40" s="25">
        <f t="shared" si="10"/>
        <v>0</v>
      </c>
      <c r="P40" s="25">
        <f t="shared" si="11"/>
        <v>0</v>
      </c>
      <c r="Q40" s="26">
        <f t="shared" si="12"/>
        <v>0</v>
      </c>
      <c r="R40" s="27">
        <f t="shared" si="13"/>
        <v>0</v>
      </c>
      <c r="S40" s="28">
        <f t="shared" si="7"/>
        <v>0</v>
      </c>
    </row>
    <row r="41" spans="2:19">
      <c r="B41" s="114" t="s">
        <v>536</v>
      </c>
      <c r="C41" s="108"/>
      <c r="D41" s="14"/>
      <c r="E41" s="14"/>
      <c r="F41" s="14"/>
      <c r="G41" s="8"/>
      <c r="H41" s="24">
        <f t="shared" si="6"/>
        <v>0</v>
      </c>
      <c r="I41" s="34">
        <f t="shared" si="8"/>
        <v>107.94</v>
      </c>
      <c r="J41" s="10"/>
      <c r="K41" s="12"/>
      <c r="L41" s="116">
        <v>107.94</v>
      </c>
      <c r="M41" s="113">
        <v>126</v>
      </c>
      <c r="N41" s="25">
        <f t="shared" si="9"/>
        <v>0</v>
      </c>
      <c r="O41" s="25">
        <f t="shared" si="10"/>
        <v>0</v>
      </c>
      <c r="P41" s="25">
        <f t="shared" si="11"/>
        <v>0</v>
      </c>
      <c r="Q41" s="26">
        <f t="shared" si="12"/>
        <v>0</v>
      </c>
      <c r="R41" s="27">
        <f t="shared" si="13"/>
        <v>0</v>
      </c>
      <c r="S41" s="28">
        <f t="shared" si="7"/>
        <v>0</v>
      </c>
    </row>
    <row r="42" spans="2:19">
      <c r="B42" s="114" t="s">
        <v>537</v>
      </c>
      <c r="C42" s="108"/>
      <c r="D42" s="14"/>
      <c r="E42" s="14"/>
      <c r="F42" s="14"/>
      <c r="G42" s="8"/>
      <c r="H42" s="24">
        <f t="shared" si="6"/>
        <v>0</v>
      </c>
      <c r="I42" s="34">
        <f t="shared" si="8"/>
        <v>51.66</v>
      </c>
      <c r="J42" s="10"/>
      <c r="K42" s="12"/>
      <c r="L42" s="116">
        <v>51.66</v>
      </c>
      <c r="M42" s="113">
        <v>1</v>
      </c>
      <c r="N42" s="25">
        <f t="shared" si="9"/>
        <v>0</v>
      </c>
      <c r="O42" s="25">
        <f t="shared" si="10"/>
        <v>0</v>
      </c>
      <c r="P42" s="25">
        <f t="shared" si="11"/>
        <v>0</v>
      </c>
      <c r="Q42" s="26">
        <f t="shared" si="12"/>
        <v>0</v>
      </c>
      <c r="R42" s="27">
        <f t="shared" si="13"/>
        <v>0</v>
      </c>
      <c r="S42" s="28">
        <f t="shared" si="7"/>
        <v>0</v>
      </c>
    </row>
    <row r="43" spans="2:19">
      <c r="B43" s="114" t="s">
        <v>538</v>
      </c>
      <c r="C43" s="108"/>
      <c r="D43" s="14"/>
      <c r="E43" s="14"/>
      <c r="F43" s="14"/>
      <c r="G43" s="8"/>
      <c r="H43" s="24">
        <f t="shared" si="6"/>
        <v>0</v>
      </c>
      <c r="I43" s="34">
        <f t="shared" si="8"/>
        <v>171.39</v>
      </c>
      <c r="J43" s="10"/>
      <c r="K43" s="12"/>
      <c r="L43" s="116">
        <v>171.39</v>
      </c>
      <c r="M43" s="113">
        <v>1</v>
      </c>
      <c r="N43" s="25">
        <f t="shared" si="9"/>
        <v>0</v>
      </c>
      <c r="O43" s="25">
        <f t="shared" si="10"/>
        <v>0</v>
      </c>
      <c r="P43" s="25">
        <f t="shared" si="11"/>
        <v>0</v>
      </c>
      <c r="Q43" s="26">
        <f t="shared" si="12"/>
        <v>0</v>
      </c>
      <c r="R43" s="27">
        <f t="shared" si="13"/>
        <v>0</v>
      </c>
      <c r="S43" s="28">
        <f t="shared" si="7"/>
        <v>0</v>
      </c>
    </row>
    <row r="44" spans="2:19">
      <c r="B44" s="114" t="s">
        <v>539</v>
      </c>
      <c r="C44" s="108"/>
      <c r="D44" s="14"/>
      <c r="E44" s="14"/>
      <c r="F44" s="14"/>
      <c r="G44" s="8"/>
      <c r="H44" s="24">
        <f t="shared" si="6"/>
        <v>0</v>
      </c>
      <c r="I44" s="34">
        <f t="shared" si="8"/>
        <v>21.52</v>
      </c>
      <c r="J44" s="10"/>
      <c r="K44" s="12"/>
      <c r="L44" s="116">
        <v>21.52</v>
      </c>
      <c r="M44" s="113">
        <v>112</v>
      </c>
      <c r="N44" s="25">
        <f t="shared" si="9"/>
        <v>0</v>
      </c>
      <c r="O44" s="25">
        <f t="shared" si="10"/>
        <v>0</v>
      </c>
      <c r="P44" s="25">
        <f t="shared" si="11"/>
        <v>0</v>
      </c>
      <c r="Q44" s="26">
        <f t="shared" si="12"/>
        <v>0</v>
      </c>
      <c r="R44" s="27">
        <f t="shared" si="13"/>
        <v>0</v>
      </c>
      <c r="S44" s="28">
        <f t="shared" si="7"/>
        <v>0</v>
      </c>
    </row>
    <row r="45" spans="2:19">
      <c r="B45" s="114" t="s">
        <v>540</v>
      </c>
      <c r="C45" s="108"/>
      <c r="D45" s="14"/>
      <c r="E45" s="14"/>
      <c r="F45" s="14"/>
      <c r="G45" s="8"/>
      <c r="H45" s="24">
        <f t="shared" si="6"/>
        <v>0</v>
      </c>
      <c r="I45" s="34">
        <f t="shared" si="8"/>
        <v>134.19</v>
      </c>
      <c r="J45" s="10"/>
      <c r="K45" s="12"/>
      <c r="L45" s="116">
        <v>134.19</v>
      </c>
      <c r="M45" s="113">
        <v>1</v>
      </c>
      <c r="N45" s="25">
        <f t="shared" si="9"/>
        <v>0</v>
      </c>
      <c r="O45" s="25">
        <f t="shared" si="10"/>
        <v>0</v>
      </c>
      <c r="P45" s="25">
        <f t="shared" si="11"/>
        <v>0</v>
      </c>
      <c r="Q45" s="26">
        <f t="shared" si="12"/>
        <v>0</v>
      </c>
      <c r="R45" s="27">
        <f t="shared" si="13"/>
        <v>0</v>
      </c>
      <c r="S45" s="28">
        <f t="shared" si="7"/>
        <v>0</v>
      </c>
    </row>
    <row r="46" spans="2:19">
      <c r="B46" s="114" t="s">
        <v>541</v>
      </c>
      <c r="C46" s="108"/>
      <c r="D46" s="14"/>
      <c r="E46" s="14"/>
      <c r="F46" s="14"/>
      <c r="G46" s="8"/>
      <c r="H46" s="24">
        <f t="shared" si="6"/>
        <v>0</v>
      </c>
      <c r="I46" s="34">
        <f t="shared" si="8"/>
        <v>411.2</v>
      </c>
      <c r="J46" s="10"/>
      <c r="K46" s="12"/>
      <c r="L46" s="116">
        <v>411.2</v>
      </c>
      <c r="M46" s="113">
        <v>2</v>
      </c>
      <c r="N46" s="25">
        <f t="shared" si="9"/>
        <v>0</v>
      </c>
      <c r="O46" s="25">
        <f t="shared" si="10"/>
        <v>0</v>
      </c>
      <c r="P46" s="25">
        <f t="shared" si="11"/>
        <v>0</v>
      </c>
      <c r="Q46" s="26">
        <f t="shared" si="12"/>
        <v>0</v>
      </c>
      <c r="R46" s="27">
        <f t="shared" si="13"/>
        <v>0</v>
      </c>
      <c r="S46" s="28">
        <f t="shared" si="7"/>
        <v>0</v>
      </c>
    </row>
    <row r="47" spans="2:19">
      <c r="B47" s="114" t="s">
        <v>542</v>
      </c>
      <c r="C47" s="108"/>
      <c r="D47" s="14"/>
      <c r="E47" s="14"/>
      <c r="F47" s="14"/>
      <c r="G47" s="8"/>
      <c r="H47" s="24">
        <f t="shared" si="6"/>
        <v>0</v>
      </c>
      <c r="I47" s="34">
        <f t="shared" si="8"/>
        <v>47.91</v>
      </c>
      <c r="J47" s="10"/>
      <c r="K47" s="12"/>
      <c r="L47" s="116">
        <v>47.91</v>
      </c>
      <c r="M47" s="113">
        <v>20</v>
      </c>
      <c r="N47" s="25">
        <f t="shared" si="9"/>
        <v>0</v>
      </c>
      <c r="O47" s="25">
        <f t="shared" si="10"/>
        <v>0</v>
      </c>
      <c r="P47" s="25">
        <f t="shared" si="11"/>
        <v>0</v>
      </c>
      <c r="Q47" s="26">
        <f t="shared" si="12"/>
        <v>0</v>
      </c>
      <c r="R47" s="27">
        <f t="shared" si="13"/>
        <v>0</v>
      </c>
      <c r="S47" s="28">
        <f t="shared" si="7"/>
        <v>0</v>
      </c>
    </row>
    <row r="48" spans="2:19">
      <c r="B48" s="114" t="s">
        <v>543</v>
      </c>
      <c r="C48" s="108"/>
      <c r="D48" s="14"/>
      <c r="E48" s="14"/>
      <c r="F48" s="14"/>
      <c r="G48" s="8"/>
      <c r="H48" s="24">
        <f t="shared" si="6"/>
        <v>0</v>
      </c>
      <c r="I48" s="34">
        <f t="shared" si="8"/>
        <v>794.1</v>
      </c>
      <c r="J48" s="10"/>
      <c r="K48" s="12"/>
      <c r="L48" s="118">
        <v>794.1</v>
      </c>
      <c r="M48" s="113">
        <v>1</v>
      </c>
      <c r="N48" s="25">
        <f t="shared" si="9"/>
        <v>0</v>
      </c>
      <c r="O48" s="25">
        <f t="shared" si="10"/>
        <v>0</v>
      </c>
      <c r="P48" s="25">
        <f t="shared" si="11"/>
        <v>0</v>
      </c>
      <c r="Q48" s="26">
        <f t="shared" si="12"/>
        <v>0</v>
      </c>
      <c r="R48" s="27">
        <f t="shared" si="13"/>
        <v>0</v>
      </c>
      <c r="S48" s="28">
        <f t="shared" si="7"/>
        <v>0</v>
      </c>
    </row>
    <row r="49" spans="2:19">
      <c r="B49" s="114" t="s">
        <v>544</v>
      </c>
      <c r="C49" s="108"/>
      <c r="D49" s="14"/>
      <c r="E49" s="14"/>
      <c r="F49" s="14"/>
      <c r="G49" s="8"/>
      <c r="H49" s="24">
        <f t="shared" si="6"/>
        <v>0</v>
      </c>
      <c r="I49" s="34">
        <f t="shared" si="8"/>
        <v>22.73</v>
      </c>
      <c r="J49" s="10"/>
      <c r="K49" s="12"/>
      <c r="L49" s="118">
        <v>22.73</v>
      </c>
      <c r="M49" s="113">
        <v>1</v>
      </c>
      <c r="N49" s="25">
        <f t="shared" si="9"/>
        <v>0</v>
      </c>
      <c r="O49" s="25">
        <f t="shared" si="10"/>
        <v>0</v>
      </c>
      <c r="P49" s="25">
        <f t="shared" si="11"/>
        <v>0</v>
      </c>
      <c r="Q49" s="26">
        <f t="shared" si="12"/>
        <v>0</v>
      </c>
      <c r="R49" s="27">
        <f t="shared" si="13"/>
        <v>0</v>
      </c>
      <c r="S49" s="28">
        <f t="shared" si="7"/>
        <v>0</v>
      </c>
    </row>
    <row r="50" spans="2:19">
      <c r="B50" s="114" t="s">
        <v>545</v>
      </c>
      <c r="C50" s="108"/>
      <c r="D50" s="14"/>
      <c r="E50" s="14"/>
      <c r="F50" s="14"/>
      <c r="G50" s="8"/>
      <c r="H50" s="24">
        <f t="shared" si="6"/>
        <v>0</v>
      </c>
      <c r="I50" s="34">
        <f t="shared" si="8"/>
        <v>169.06</v>
      </c>
      <c r="J50" s="10"/>
      <c r="K50" s="12"/>
      <c r="L50" s="118">
        <v>169.06</v>
      </c>
      <c r="M50" s="113">
        <v>10</v>
      </c>
      <c r="N50" s="25">
        <f t="shared" si="9"/>
        <v>0</v>
      </c>
      <c r="O50" s="25">
        <f t="shared" si="10"/>
        <v>0</v>
      </c>
      <c r="P50" s="25">
        <f t="shared" si="11"/>
        <v>0</v>
      </c>
      <c r="Q50" s="26">
        <f t="shared" si="12"/>
        <v>0</v>
      </c>
      <c r="R50" s="27">
        <f t="shared" si="13"/>
        <v>0</v>
      </c>
      <c r="S50" s="28">
        <f t="shared" si="7"/>
        <v>0</v>
      </c>
    </row>
    <row r="51" spans="2:19">
      <c r="B51" s="114" t="s">
        <v>546</v>
      </c>
      <c r="C51" s="108"/>
      <c r="D51" s="14"/>
      <c r="E51" s="14"/>
      <c r="F51" s="14"/>
      <c r="G51" s="8"/>
      <c r="H51" s="24">
        <f t="shared" si="6"/>
        <v>0</v>
      </c>
      <c r="I51" s="34">
        <f t="shared" si="8"/>
        <v>127.68</v>
      </c>
      <c r="J51" s="10"/>
      <c r="K51" s="12"/>
      <c r="L51" s="116">
        <v>127.68</v>
      </c>
      <c r="M51" s="113">
        <v>10</v>
      </c>
      <c r="N51" s="25">
        <f t="shared" si="9"/>
        <v>0</v>
      </c>
      <c r="O51" s="25">
        <f t="shared" si="10"/>
        <v>0</v>
      </c>
      <c r="P51" s="25">
        <f t="shared" si="11"/>
        <v>0</v>
      </c>
      <c r="Q51" s="26">
        <f t="shared" si="12"/>
        <v>0</v>
      </c>
      <c r="R51" s="27">
        <f t="shared" si="13"/>
        <v>0</v>
      </c>
      <c r="S51" s="28">
        <f t="shared" si="7"/>
        <v>0</v>
      </c>
    </row>
    <row r="52" spans="2:19">
      <c r="B52" s="114" t="s">
        <v>547</v>
      </c>
      <c r="C52" s="108"/>
      <c r="D52" s="14"/>
      <c r="E52" s="14"/>
      <c r="F52" s="14"/>
      <c r="G52" s="8"/>
      <c r="H52" s="24">
        <f t="shared" si="6"/>
        <v>0</v>
      </c>
      <c r="I52" s="34">
        <f t="shared" si="8"/>
        <v>285.11</v>
      </c>
      <c r="J52" s="10"/>
      <c r="K52" s="12"/>
      <c r="L52" s="116">
        <v>285.11</v>
      </c>
      <c r="M52" s="113">
        <v>10</v>
      </c>
      <c r="N52" s="25">
        <f t="shared" si="9"/>
        <v>0</v>
      </c>
      <c r="O52" s="25">
        <f t="shared" si="10"/>
        <v>0</v>
      </c>
      <c r="P52" s="25">
        <f t="shared" si="11"/>
        <v>0</v>
      </c>
      <c r="Q52" s="26">
        <f t="shared" si="12"/>
        <v>0</v>
      </c>
      <c r="R52" s="27">
        <f t="shared" si="13"/>
        <v>0</v>
      </c>
      <c r="S52" s="28">
        <f t="shared" si="7"/>
        <v>0</v>
      </c>
    </row>
    <row r="53" spans="2:19">
      <c r="B53" s="114" t="s">
        <v>548</v>
      </c>
      <c r="C53" s="108"/>
      <c r="D53" s="14"/>
      <c r="E53" s="14"/>
      <c r="F53" s="14"/>
      <c r="G53" s="8"/>
      <c r="H53" s="24">
        <f t="shared" si="6"/>
        <v>0</v>
      </c>
      <c r="I53" s="34">
        <f t="shared" si="8"/>
        <v>168.97</v>
      </c>
      <c r="J53" s="10"/>
      <c r="K53" s="12"/>
      <c r="L53" s="116">
        <v>168.97</v>
      </c>
      <c r="M53" s="113">
        <v>1</v>
      </c>
      <c r="N53" s="25">
        <f t="shared" si="9"/>
        <v>0</v>
      </c>
      <c r="O53" s="25">
        <f t="shared" si="10"/>
        <v>0</v>
      </c>
      <c r="P53" s="25">
        <f t="shared" si="11"/>
        <v>0</v>
      </c>
      <c r="Q53" s="26">
        <f t="shared" si="12"/>
        <v>0</v>
      </c>
      <c r="R53" s="27">
        <f t="shared" si="13"/>
        <v>0</v>
      </c>
      <c r="S53" s="28">
        <f t="shared" si="7"/>
        <v>0</v>
      </c>
    </row>
    <row r="54" spans="2:19">
      <c r="B54" s="114" t="s">
        <v>549</v>
      </c>
      <c r="C54" s="108"/>
      <c r="D54" s="14"/>
      <c r="E54" s="14"/>
      <c r="F54" s="14"/>
      <c r="G54" s="8"/>
      <c r="H54" s="24">
        <f t="shared" si="6"/>
        <v>0</v>
      </c>
      <c r="I54" s="34">
        <f t="shared" si="8"/>
        <v>87.02</v>
      </c>
      <c r="J54" s="10"/>
      <c r="K54" s="12"/>
      <c r="L54" s="116">
        <v>87.02</v>
      </c>
      <c r="M54" s="113">
        <v>15</v>
      </c>
      <c r="N54" s="25">
        <f t="shared" si="9"/>
        <v>0</v>
      </c>
      <c r="O54" s="25">
        <f t="shared" si="10"/>
        <v>0</v>
      </c>
      <c r="P54" s="25">
        <f t="shared" si="11"/>
        <v>0</v>
      </c>
      <c r="Q54" s="26">
        <f t="shared" si="12"/>
        <v>0</v>
      </c>
      <c r="R54" s="27">
        <f t="shared" si="13"/>
        <v>0</v>
      </c>
      <c r="S54" s="28">
        <f t="shared" si="7"/>
        <v>0</v>
      </c>
    </row>
    <row r="55" spans="2:19">
      <c r="B55" s="114" t="s">
        <v>550</v>
      </c>
      <c r="C55" s="108"/>
      <c r="D55" s="14"/>
      <c r="E55" s="14"/>
      <c r="F55" s="14"/>
      <c r="G55" s="8"/>
      <c r="H55" s="24">
        <f t="shared" si="6"/>
        <v>0</v>
      </c>
      <c r="I55" s="34">
        <f t="shared" si="8"/>
        <v>155.33000000000001</v>
      </c>
      <c r="J55" s="10"/>
      <c r="K55" s="12"/>
      <c r="L55" s="116">
        <v>155.33000000000001</v>
      </c>
      <c r="M55" s="113">
        <v>10</v>
      </c>
      <c r="N55" s="25">
        <f t="shared" si="9"/>
        <v>0</v>
      </c>
      <c r="O55" s="25">
        <f t="shared" si="10"/>
        <v>0</v>
      </c>
      <c r="P55" s="25">
        <f t="shared" si="11"/>
        <v>0</v>
      </c>
      <c r="Q55" s="26">
        <f t="shared" si="12"/>
        <v>0</v>
      </c>
      <c r="R55" s="27">
        <f t="shared" si="13"/>
        <v>0</v>
      </c>
      <c r="S55" s="28">
        <f t="shared" si="7"/>
        <v>0</v>
      </c>
    </row>
    <row r="56" spans="2:19">
      <c r="B56" s="114" t="s">
        <v>551</v>
      </c>
      <c r="C56" s="108"/>
      <c r="D56" s="14"/>
      <c r="E56" s="14"/>
      <c r="F56" s="14"/>
      <c r="G56" s="8"/>
      <c r="H56" s="24">
        <f t="shared" si="6"/>
        <v>0</v>
      </c>
      <c r="I56" s="34">
        <f t="shared" si="8"/>
        <v>142.79</v>
      </c>
      <c r="J56" s="10"/>
      <c r="K56" s="12"/>
      <c r="L56" s="116">
        <v>142.79</v>
      </c>
      <c r="M56" s="113">
        <v>35</v>
      </c>
      <c r="N56" s="25">
        <f t="shared" si="9"/>
        <v>0</v>
      </c>
      <c r="O56" s="25">
        <f t="shared" si="10"/>
        <v>0</v>
      </c>
      <c r="P56" s="25">
        <f t="shared" si="11"/>
        <v>0</v>
      </c>
      <c r="Q56" s="26">
        <f t="shared" si="12"/>
        <v>0</v>
      </c>
      <c r="R56" s="27">
        <f t="shared" si="13"/>
        <v>0</v>
      </c>
      <c r="S56" s="28">
        <f t="shared" si="7"/>
        <v>0</v>
      </c>
    </row>
    <row r="57" spans="2:19">
      <c r="B57" s="114" t="s">
        <v>552</v>
      </c>
      <c r="C57" s="108"/>
      <c r="D57" s="14"/>
      <c r="E57" s="14"/>
      <c r="F57" s="14"/>
      <c r="G57" s="8"/>
      <c r="H57" s="24">
        <f t="shared" si="6"/>
        <v>0</v>
      </c>
      <c r="I57" s="34">
        <f t="shared" si="8"/>
        <v>37.92</v>
      </c>
      <c r="J57" s="10"/>
      <c r="K57" s="12"/>
      <c r="L57" s="116">
        <v>37.92</v>
      </c>
      <c r="M57" s="113">
        <v>12</v>
      </c>
      <c r="N57" s="25">
        <f t="shared" si="9"/>
        <v>0</v>
      </c>
      <c r="O57" s="25">
        <f t="shared" si="10"/>
        <v>0</v>
      </c>
      <c r="P57" s="25">
        <f t="shared" si="11"/>
        <v>0</v>
      </c>
      <c r="Q57" s="26">
        <f t="shared" si="12"/>
        <v>0</v>
      </c>
      <c r="R57" s="27">
        <f t="shared" si="13"/>
        <v>0</v>
      </c>
      <c r="S57" s="28">
        <f t="shared" si="7"/>
        <v>0</v>
      </c>
    </row>
    <row r="58" spans="2:19">
      <c r="B58" s="114" t="s">
        <v>553</v>
      </c>
      <c r="C58" s="108"/>
      <c r="D58" s="14"/>
      <c r="E58" s="14"/>
      <c r="F58" s="14"/>
      <c r="G58" s="8"/>
      <c r="H58" s="24">
        <f t="shared" si="6"/>
        <v>0</v>
      </c>
      <c r="I58" s="34">
        <f t="shared" si="8"/>
        <v>250.47</v>
      </c>
      <c r="J58" s="10"/>
      <c r="K58" s="12"/>
      <c r="L58" s="116">
        <v>250.47</v>
      </c>
      <c r="M58" s="113">
        <v>1</v>
      </c>
      <c r="N58" s="25">
        <f t="shared" si="9"/>
        <v>0</v>
      </c>
      <c r="O58" s="25">
        <f t="shared" si="10"/>
        <v>0</v>
      </c>
      <c r="P58" s="25">
        <f t="shared" si="11"/>
        <v>0</v>
      </c>
      <c r="Q58" s="26">
        <f t="shared" si="12"/>
        <v>0</v>
      </c>
      <c r="R58" s="27">
        <f t="shared" si="13"/>
        <v>0</v>
      </c>
      <c r="S58" s="28">
        <f t="shared" si="7"/>
        <v>0</v>
      </c>
    </row>
    <row r="59" spans="2:19">
      <c r="B59" s="114" t="s">
        <v>554</v>
      </c>
      <c r="C59" s="108"/>
      <c r="D59" s="14"/>
      <c r="E59" s="14"/>
      <c r="F59" s="14"/>
      <c r="G59" s="8"/>
      <c r="H59" s="24">
        <f t="shared" si="6"/>
        <v>0</v>
      </c>
      <c r="I59" s="34">
        <f t="shared" si="8"/>
        <v>175.62</v>
      </c>
      <c r="J59" s="10"/>
      <c r="K59" s="12"/>
      <c r="L59" s="116">
        <v>175.62</v>
      </c>
      <c r="M59" s="113">
        <v>24</v>
      </c>
      <c r="N59" s="25">
        <f t="shared" si="9"/>
        <v>0</v>
      </c>
      <c r="O59" s="25">
        <f t="shared" si="10"/>
        <v>0</v>
      </c>
      <c r="P59" s="25">
        <f t="shared" si="11"/>
        <v>0</v>
      </c>
      <c r="Q59" s="26">
        <f t="shared" si="12"/>
        <v>0</v>
      </c>
      <c r="R59" s="27">
        <f t="shared" si="13"/>
        <v>0</v>
      </c>
      <c r="S59" s="28">
        <f t="shared" si="7"/>
        <v>0</v>
      </c>
    </row>
    <row r="60" spans="2:19">
      <c r="B60" s="58" t="s">
        <v>13</v>
      </c>
      <c r="C60" s="33">
        <v>0</v>
      </c>
      <c r="D60" s="33">
        <v>0</v>
      </c>
      <c r="E60" s="33">
        <v>0</v>
      </c>
      <c r="F60" s="33">
        <v>0</v>
      </c>
      <c r="G60" s="33">
        <f t="shared" ref="G60" si="14">R60</f>
        <v>0</v>
      </c>
      <c r="H60" s="33">
        <f t="shared" ref="H60" si="15">S60</f>
        <v>0</v>
      </c>
      <c r="N60" s="29">
        <f t="shared" ref="N60:S60" si="16">SUM(N6:N59)</f>
        <v>0</v>
      </c>
      <c r="O60" s="29">
        <f t="shared" si="16"/>
        <v>0</v>
      </c>
      <c r="P60" s="29">
        <f t="shared" si="16"/>
        <v>0</v>
      </c>
      <c r="Q60" s="29">
        <f t="shared" si="16"/>
        <v>0</v>
      </c>
      <c r="R60" s="29">
        <f t="shared" si="16"/>
        <v>0</v>
      </c>
      <c r="S60" s="29">
        <f t="shared" si="16"/>
        <v>0</v>
      </c>
    </row>
    <row r="61" spans="2:19">
      <c r="B61" s="59" t="s">
        <v>46</v>
      </c>
    </row>
    <row r="62" spans="2:19" ht="16.5" thickBot="1">
      <c r="B62" s="2"/>
    </row>
    <row r="63" spans="2:19">
      <c r="B63" s="60" t="s">
        <v>47</v>
      </c>
    </row>
    <row r="64" spans="2:19">
      <c r="B64" s="61" t="s">
        <v>19</v>
      </c>
    </row>
    <row r="65" spans="2:7">
      <c r="B65" s="61" t="s">
        <v>17</v>
      </c>
    </row>
    <row r="66" spans="2:7" ht="16.5" thickBot="1">
      <c r="B66" s="62" t="s">
        <v>18</v>
      </c>
    </row>
    <row r="67" spans="2:7">
      <c r="B67" s="2"/>
    </row>
    <row r="68" spans="2:7">
      <c r="B68" s="30" t="s">
        <v>20</v>
      </c>
    </row>
    <row r="69" spans="2:7">
      <c r="B69" s="35"/>
    </row>
    <row r="70" spans="2:7">
      <c r="B70" s="35"/>
    </row>
    <row r="71" spans="2:7">
      <c r="B71" s="2"/>
      <c r="G71" s="5" t="str">
        <f>IF(B71&lt;&gt;"",SUM(C71:F71),"")</f>
        <v/>
      </c>
    </row>
    <row r="72" spans="2:7">
      <c r="G72" s="5" t="str">
        <f t="shared" ref="G72:G135" si="17">IF(B72&lt;&gt;"",SUM(C72:F72),"")</f>
        <v/>
      </c>
    </row>
    <row r="73" spans="2:7">
      <c r="G73" s="5" t="str">
        <f t="shared" si="17"/>
        <v/>
      </c>
    </row>
    <row r="74" spans="2:7">
      <c r="G74" s="5" t="str">
        <f t="shared" si="17"/>
        <v/>
      </c>
    </row>
    <row r="75" spans="2:7">
      <c r="G75" s="5" t="str">
        <f t="shared" si="17"/>
        <v/>
      </c>
    </row>
    <row r="76" spans="2:7">
      <c r="G76" s="5" t="str">
        <f t="shared" si="17"/>
        <v/>
      </c>
    </row>
    <row r="77" spans="2:7">
      <c r="G77" s="5" t="str">
        <f t="shared" si="17"/>
        <v/>
      </c>
    </row>
    <row r="78" spans="2:7">
      <c r="G78" s="5" t="str">
        <f t="shared" si="17"/>
        <v/>
      </c>
    </row>
    <row r="79" spans="2:7">
      <c r="G79" s="5" t="str">
        <f t="shared" si="17"/>
        <v/>
      </c>
    </row>
    <row r="80" spans="2:7">
      <c r="G80" s="5" t="str">
        <f t="shared" si="17"/>
        <v/>
      </c>
    </row>
    <row r="81" spans="7:7">
      <c r="G81" s="5" t="str">
        <f t="shared" si="17"/>
        <v/>
      </c>
    </row>
    <row r="82" spans="7:7">
      <c r="G82" s="5" t="str">
        <f t="shared" si="17"/>
        <v/>
      </c>
    </row>
    <row r="83" spans="7:7">
      <c r="G83" s="5" t="str">
        <f t="shared" si="17"/>
        <v/>
      </c>
    </row>
    <row r="84" spans="7:7">
      <c r="G84" s="5" t="str">
        <f t="shared" si="17"/>
        <v/>
      </c>
    </row>
    <row r="85" spans="7:7">
      <c r="G85" s="5" t="str">
        <f t="shared" si="17"/>
        <v/>
      </c>
    </row>
    <row r="86" spans="7:7">
      <c r="G86" s="5" t="str">
        <f t="shared" si="17"/>
        <v/>
      </c>
    </row>
    <row r="87" spans="7:7">
      <c r="G87" s="5" t="str">
        <f t="shared" si="17"/>
        <v/>
      </c>
    </row>
    <row r="88" spans="7:7">
      <c r="G88" s="5" t="str">
        <f t="shared" si="17"/>
        <v/>
      </c>
    </row>
    <row r="89" spans="7:7">
      <c r="G89" s="5" t="str">
        <f t="shared" si="17"/>
        <v/>
      </c>
    </row>
    <row r="90" spans="7:7">
      <c r="G90" s="5" t="str">
        <f t="shared" si="17"/>
        <v/>
      </c>
    </row>
    <row r="91" spans="7:7">
      <c r="G91" s="5" t="str">
        <f t="shared" si="17"/>
        <v/>
      </c>
    </row>
    <row r="92" spans="7:7">
      <c r="G92" s="5" t="str">
        <f t="shared" si="17"/>
        <v/>
      </c>
    </row>
    <row r="93" spans="7:7">
      <c r="G93" s="5" t="str">
        <f t="shared" si="17"/>
        <v/>
      </c>
    </row>
    <row r="94" spans="7:7">
      <c r="G94" s="5" t="str">
        <f t="shared" si="17"/>
        <v/>
      </c>
    </row>
    <row r="95" spans="7:7">
      <c r="G95" s="5" t="str">
        <f t="shared" si="17"/>
        <v/>
      </c>
    </row>
    <row r="96" spans="7:7">
      <c r="G96" s="5" t="str">
        <f t="shared" si="17"/>
        <v/>
      </c>
    </row>
    <row r="97" spans="7:7">
      <c r="G97" s="5" t="str">
        <f t="shared" si="17"/>
        <v/>
      </c>
    </row>
    <row r="98" spans="7:7">
      <c r="G98" s="5" t="str">
        <f t="shared" si="17"/>
        <v/>
      </c>
    </row>
    <row r="99" spans="7:7">
      <c r="G99" s="5" t="str">
        <f t="shared" si="17"/>
        <v/>
      </c>
    </row>
    <row r="100" spans="7:7">
      <c r="G100" s="5" t="str">
        <f t="shared" si="17"/>
        <v/>
      </c>
    </row>
    <row r="101" spans="7:7">
      <c r="G101" s="5" t="str">
        <f t="shared" si="17"/>
        <v/>
      </c>
    </row>
    <row r="102" spans="7:7">
      <c r="G102" s="5" t="str">
        <f t="shared" si="17"/>
        <v/>
      </c>
    </row>
    <row r="103" spans="7:7">
      <c r="G103" s="5" t="str">
        <f t="shared" si="17"/>
        <v/>
      </c>
    </row>
    <row r="104" spans="7:7">
      <c r="G104" s="5" t="str">
        <f t="shared" si="17"/>
        <v/>
      </c>
    </row>
    <row r="105" spans="7:7">
      <c r="G105" s="5" t="str">
        <f t="shared" si="17"/>
        <v/>
      </c>
    </row>
    <row r="106" spans="7:7">
      <c r="G106" s="5" t="str">
        <f t="shared" si="17"/>
        <v/>
      </c>
    </row>
    <row r="107" spans="7:7">
      <c r="G107" s="5" t="str">
        <f t="shared" si="17"/>
        <v/>
      </c>
    </row>
    <row r="108" spans="7:7">
      <c r="G108" s="5" t="str">
        <f t="shared" si="17"/>
        <v/>
      </c>
    </row>
    <row r="109" spans="7:7">
      <c r="G109" s="5" t="str">
        <f t="shared" si="17"/>
        <v/>
      </c>
    </row>
    <row r="110" spans="7:7">
      <c r="G110" s="5" t="str">
        <f t="shared" si="17"/>
        <v/>
      </c>
    </row>
    <row r="111" spans="7:7">
      <c r="G111" s="5" t="str">
        <f t="shared" si="17"/>
        <v/>
      </c>
    </row>
    <row r="112" spans="7:7">
      <c r="G112" s="5" t="str">
        <f t="shared" si="17"/>
        <v/>
      </c>
    </row>
    <row r="113" spans="7:7">
      <c r="G113" s="5" t="str">
        <f t="shared" si="17"/>
        <v/>
      </c>
    </row>
    <row r="114" spans="7:7">
      <c r="G114" s="5" t="str">
        <f t="shared" si="17"/>
        <v/>
      </c>
    </row>
    <row r="115" spans="7:7">
      <c r="G115" s="5" t="str">
        <f t="shared" si="17"/>
        <v/>
      </c>
    </row>
    <row r="116" spans="7:7">
      <c r="G116" s="5" t="str">
        <f t="shared" si="17"/>
        <v/>
      </c>
    </row>
    <row r="117" spans="7:7">
      <c r="G117" s="5" t="str">
        <f t="shared" si="17"/>
        <v/>
      </c>
    </row>
    <row r="118" spans="7:7">
      <c r="G118" s="5" t="str">
        <f t="shared" si="17"/>
        <v/>
      </c>
    </row>
    <row r="119" spans="7:7">
      <c r="G119" s="5" t="str">
        <f t="shared" si="17"/>
        <v/>
      </c>
    </row>
    <row r="120" spans="7:7">
      <c r="G120" s="5" t="str">
        <f t="shared" si="17"/>
        <v/>
      </c>
    </row>
    <row r="121" spans="7:7">
      <c r="G121" s="5" t="str">
        <f t="shared" si="17"/>
        <v/>
      </c>
    </row>
    <row r="122" spans="7:7">
      <c r="G122" s="5" t="str">
        <f t="shared" si="17"/>
        <v/>
      </c>
    </row>
    <row r="123" spans="7:7">
      <c r="G123" s="5" t="str">
        <f t="shared" si="17"/>
        <v/>
      </c>
    </row>
    <row r="124" spans="7:7">
      <c r="G124" s="5" t="str">
        <f t="shared" si="17"/>
        <v/>
      </c>
    </row>
    <row r="125" spans="7:7">
      <c r="G125" s="5" t="str">
        <f t="shared" si="17"/>
        <v/>
      </c>
    </row>
    <row r="126" spans="7:7">
      <c r="G126" s="5" t="str">
        <f t="shared" si="17"/>
        <v/>
      </c>
    </row>
    <row r="127" spans="7:7">
      <c r="G127" s="5" t="str">
        <f t="shared" si="17"/>
        <v/>
      </c>
    </row>
    <row r="128" spans="7:7">
      <c r="G128" s="5" t="str">
        <f t="shared" si="17"/>
        <v/>
      </c>
    </row>
    <row r="129" spans="7:7">
      <c r="G129" s="5" t="str">
        <f t="shared" si="17"/>
        <v/>
      </c>
    </row>
    <row r="130" spans="7:7">
      <c r="G130" s="5" t="str">
        <f t="shared" si="17"/>
        <v/>
      </c>
    </row>
    <row r="131" spans="7:7">
      <c r="G131" s="5" t="str">
        <f t="shared" si="17"/>
        <v/>
      </c>
    </row>
    <row r="132" spans="7:7">
      <c r="G132" s="5" t="str">
        <f t="shared" si="17"/>
        <v/>
      </c>
    </row>
    <row r="133" spans="7:7">
      <c r="G133" s="5" t="str">
        <f t="shared" si="17"/>
        <v/>
      </c>
    </row>
    <row r="134" spans="7:7">
      <c r="G134" s="5" t="str">
        <f t="shared" si="17"/>
        <v/>
      </c>
    </row>
    <row r="135" spans="7:7">
      <c r="G135" s="5" t="str">
        <f t="shared" si="17"/>
        <v/>
      </c>
    </row>
    <row r="136" spans="7:7">
      <c r="G136" s="5" t="str">
        <f t="shared" ref="G136:G199" si="18">IF(B136&lt;&gt;"",SUM(C136:F136),"")</f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si="18"/>
        <v/>
      </c>
    </row>
    <row r="155" spans="7:7">
      <c r="G155" s="5" t="str">
        <f t="shared" si="18"/>
        <v/>
      </c>
    </row>
    <row r="156" spans="7:7">
      <c r="G156" s="5" t="str">
        <f t="shared" si="18"/>
        <v/>
      </c>
    </row>
    <row r="157" spans="7:7">
      <c r="G157" s="5" t="str">
        <f t="shared" si="18"/>
        <v/>
      </c>
    </row>
    <row r="158" spans="7:7">
      <c r="G158" s="5" t="str">
        <f t="shared" si="18"/>
        <v/>
      </c>
    </row>
    <row r="159" spans="7:7">
      <c r="G159" s="5" t="str">
        <f t="shared" si="18"/>
        <v/>
      </c>
    </row>
    <row r="160" spans="7:7">
      <c r="G160" s="5" t="str">
        <f t="shared" si="18"/>
        <v/>
      </c>
    </row>
    <row r="161" spans="7:7">
      <c r="G161" s="5" t="str">
        <f t="shared" si="18"/>
        <v/>
      </c>
    </row>
    <row r="162" spans="7:7">
      <c r="G162" s="5" t="str">
        <f t="shared" si="18"/>
        <v/>
      </c>
    </row>
    <row r="163" spans="7:7">
      <c r="G163" s="5" t="str">
        <f t="shared" si="18"/>
        <v/>
      </c>
    </row>
    <row r="164" spans="7:7">
      <c r="G164" s="5" t="str">
        <f t="shared" si="18"/>
        <v/>
      </c>
    </row>
    <row r="165" spans="7:7">
      <c r="G165" s="5" t="str">
        <f t="shared" si="18"/>
        <v/>
      </c>
    </row>
    <row r="166" spans="7:7">
      <c r="G166" s="5" t="str">
        <f t="shared" si="18"/>
        <v/>
      </c>
    </row>
    <row r="167" spans="7:7">
      <c r="G167" s="5" t="str">
        <f t="shared" si="18"/>
        <v/>
      </c>
    </row>
    <row r="168" spans="7:7">
      <c r="G168" s="5" t="str">
        <f t="shared" si="18"/>
        <v/>
      </c>
    </row>
    <row r="169" spans="7:7">
      <c r="G169" s="5" t="str">
        <f t="shared" si="18"/>
        <v/>
      </c>
    </row>
    <row r="170" spans="7:7">
      <c r="G170" s="5" t="str">
        <f t="shared" si="18"/>
        <v/>
      </c>
    </row>
    <row r="171" spans="7:7">
      <c r="G171" s="5" t="str">
        <f t="shared" si="18"/>
        <v/>
      </c>
    </row>
    <row r="172" spans="7:7">
      <c r="G172" s="5" t="str">
        <f t="shared" si="18"/>
        <v/>
      </c>
    </row>
    <row r="173" spans="7:7">
      <c r="G173" s="5" t="str">
        <f t="shared" si="18"/>
        <v/>
      </c>
    </row>
    <row r="174" spans="7:7">
      <c r="G174" s="5" t="str">
        <f t="shared" si="18"/>
        <v/>
      </c>
    </row>
    <row r="175" spans="7:7">
      <c r="G175" s="5" t="str">
        <f t="shared" si="18"/>
        <v/>
      </c>
    </row>
    <row r="176" spans="7:7">
      <c r="G176" s="5" t="str">
        <f t="shared" si="18"/>
        <v/>
      </c>
    </row>
    <row r="177" spans="7:7">
      <c r="G177" s="5" t="str">
        <f t="shared" si="18"/>
        <v/>
      </c>
    </row>
    <row r="178" spans="7:7">
      <c r="G178" s="5" t="str">
        <f t="shared" si="18"/>
        <v/>
      </c>
    </row>
    <row r="179" spans="7:7">
      <c r="G179" s="5" t="str">
        <f t="shared" si="18"/>
        <v/>
      </c>
    </row>
    <row r="180" spans="7:7">
      <c r="G180" s="5" t="str">
        <f t="shared" si="18"/>
        <v/>
      </c>
    </row>
    <row r="181" spans="7:7">
      <c r="G181" s="5" t="str">
        <f t="shared" si="18"/>
        <v/>
      </c>
    </row>
    <row r="182" spans="7:7">
      <c r="G182" s="5" t="str">
        <f t="shared" si="18"/>
        <v/>
      </c>
    </row>
    <row r="183" spans="7:7">
      <c r="G183" s="5" t="str">
        <f t="shared" si="18"/>
        <v/>
      </c>
    </row>
    <row r="184" spans="7:7">
      <c r="G184" s="5" t="str">
        <f t="shared" si="18"/>
        <v/>
      </c>
    </row>
    <row r="185" spans="7:7">
      <c r="G185" s="5" t="str">
        <f t="shared" si="18"/>
        <v/>
      </c>
    </row>
    <row r="186" spans="7:7">
      <c r="G186" s="5" t="str">
        <f t="shared" si="18"/>
        <v/>
      </c>
    </row>
    <row r="187" spans="7:7">
      <c r="G187" s="5" t="str">
        <f t="shared" si="18"/>
        <v/>
      </c>
    </row>
    <row r="188" spans="7:7">
      <c r="G188" s="5" t="str">
        <f t="shared" si="18"/>
        <v/>
      </c>
    </row>
    <row r="189" spans="7:7">
      <c r="G189" s="5" t="str">
        <f t="shared" si="18"/>
        <v/>
      </c>
    </row>
    <row r="190" spans="7:7">
      <c r="G190" s="5" t="str">
        <f t="shared" si="18"/>
        <v/>
      </c>
    </row>
    <row r="191" spans="7:7">
      <c r="G191" s="5" t="str">
        <f t="shared" si="18"/>
        <v/>
      </c>
    </row>
    <row r="192" spans="7:7">
      <c r="G192" s="5" t="str">
        <f t="shared" si="18"/>
        <v/>
      </c>
    </row>
    <row r="193" spans="7:7">
      <c r="G193" s="5" t="str">
        <f t="shared" si="18"/>
        <v/>
      </c>
    </row>
    <row r="194" spans="7:7">
      <c r="G194" s="5" t="str">
        <f t="shared" si="18"/>
        <v/>
      </c>
    </row>
    <row r="195" spans="7:7">
      <c r="G195" s="5" t="str">
        <f t="shared" si="18"/>
        <v/>
      </c>
    </row>
    <row r="196" spans="7:7">
      <c r="G196" s="5" t="str">
        <f t="shared" si="18"/>
        <v/>
      </c>
    </row>
    <row r="197" spans="7:7">
      <c r="G197" s="5" t="str">
        <f t="shared" si="18"/>
        <v/>
      </c>
    </row>
    <row r="198" spans="7:7">
      <c r="G198" s="5" t="str">
        <f t="shared" si="18"/>
        <v/>
      </c>
    </row>
    <row r="199" spans="7:7">
      <c r="G199" s="5" t="str">
        <f t="shared" si="18"/>
        <v/>
      </c>
    </row>
    <row r="200" spans="7:7">
      <c r="G200" s="5" t="str">
        <f t="shared" ref="G200:G263" si="19">IF(B200&lt;&gt;"",SUM(C200:F200),"")</f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si="19"/>
        <v/>
      </c>
    </row>
    <row r="219" spans="7:7">
      <c r="G219" s="5" t="str">
        <f t="shared" si="19"/>
        <v/>
      </c>
    </row>
    <row r="220" spans="7:7">
      <c r="G220" s="5" t="str">
        <f t="shared" si="19"/>
        <v/>
      </c>
    </row>
    <row r="221" spans="7:7">
      <c r="G221" s="5" t="str">
        <f t="shared" si="19"/>
        <v/>
      </c>
    </row>
    <row r="222" spans="7:7">
      <c r="G222" s="5" t="str">
        <f t="shared" si="19"/>
        <v/>
      </c>
    </row>
    <row r="223" spans="7:7">
      <c r="G223" s="5" t="str">
        <f t="shared" si="19"/>
        <v/>
      </c>
    </row>
    <row r="224" spans="7:7">
      <c r="G224" s="5" t="str">
        <f t="shared" si="19"/>
        <v/>
      </c>
    </row>
    <row r="225" spans="7:7">
      <c r="G225" s="5" t="str">
        <f t="shared" si="19"/>
        <v/>
      </c>
    </row>
    <row r="226" spans="7:7">
      <c r="G226" s="5" t="str">
        <f t="shared" si="19"/>
        <v/>
      </c>
    </row>
    <row r="227" spans="7:7">
      <c r="G227" s="5" t="str">
        <f t="shared" si="19"/>
        <v/>
      </c>
    </row>
    <row r="228" spans="7:7">
      <c r="G228" s="5" t="str">
        <f t="shared" si="19"/>
        <v/>
      </c>
    </row>
    <row r="229" spans="7:7">
      <c r="G229" s="5" t="str">
        <f t="shared" si="19"/>
        <v/>
      </c>
    </row>
    <row r="230" spans="7:7">
      <c r="G230" s="5" t="str">
        <f t="shared" si="19"/>
        <v/>
      </c>
    </row>
    <row r="231" spans="7:7">
      <c r="G231" s="5" t="str">
        <f t="shared" si="19"/>
        <v/>
      </c>
    </row>
    <row r="232" spans="7:7">
      <c r="G232" s="5" t="str">
        <f t="shared" si="19"/>
        <v/>
      </c>
    </row>
    <row r="233" spans="7:7">
      <c r="G233" s="5" t="str">
        <f t="shared" si="19"/>
        <v/>
      </c>
    </row>
    <row r="234" spans="7:7">
      <c r="G234" s="5" t="str">
        <f t="shared" si="19"/>
        <v/>
      </c>
    </row>
    <row r="235" spans="7:7">
      <c r="G235" s="5" t="str">
        <f t="shared" si="19"/>
        <v/>
      </c>
    </row>
    <row r="236" spans="7:7">
      <c r="G236" s="5" t="str">
        <f t="shared" si="19"/>
        <v/>
      </c>
    </row>
    <row r="237" spans="7:7">
      <c r="G237" s="5" t="str">
        <f t="shared" si="19"/>
        <v/>
      </c>
    </row>
    <row r="238" spans="7:7">
      <c r="G238" s="5" t="str">
        <f t="shared" si="19"/>
        <v/>
      </c>
    </row>
    <row r="239" spans="7:7">
      <c r="G239" s="5" t="str">
        <f t="shared" si="19"/>
        <v/>
      </c>
    </row>
    <row r="240" spans="7:7">
      <c r="G240" s="5" t="str">
        <f t="shared" si="19"/>
        <v/>
      </c>
    </row>
    <row r="241" spans="7:7">
      <c r="G241" s="5" t="str">
        <f t="shared" si="19"/>
        <v/>
      </c>
    </row>
    <row r="242" spans="7:7">
      <c r="G242" s="5" t="str">
        <f t="shared" si="19"/>
        <v/>
      </c>
    </row>
    <row r="243" spans="7:7">
      <c r="G243" s="5" t="str">
        <f t="shared" si="19"/>
        <v/>
      </c>
    </row>
    <row r="244" spans="7:7">
      <c r="G244" s="5" t="str">
        <f t="shared" si="19"/>
        <v/>
      </c>
    </row>
    <row r="245" spans="7:7">
      <c r="G245" s="5" t="str">
        <f t="shared" si="19"/>
        <v/>
      </c>
    </row>
    <row r="246" spans="7:7">
      <c r="G246" s="5" t="str">
        <f t="shared" si="19"/>
        <v/>
      </c>
    </row>
    <row r="247" spans="7:7">
      <c r="G247" s="5" t="str">
        <f t="shared" si="19"/>
        <v/>
      </c>
    </row>
    <row r="248" spans="7:7">
      <c r="G248" s="5" t="str">
        <f t="shared" si="19"/>
        <v/>
      </c>
    </row>
    <row r="249" spans="7:7">
      <c r="G249" s="5" t="str">
        <f t="shared" si="19"/>
        <v/>
      </c>
    </row>
    <row r="250" spans="7:7">
      <c r="G250" s="5" t="str">
        <f t="shared" si="19"/>
        <v/>
      </c>
    </row>
    <row r="251" spans="7:7">
      <c r="G251" s="5" t="str">
        <f t="shared" si="19"/>
        <v/>
      </c>
    </row>
    <row r="252" spans="7:7">
      <c r="G252" s="5" t="str">
        <f t="shared" si="19"/>
        <v/>
      </c>
    </row>
    <row r="253" spans="7:7">
      <c r="G253" s="5" t="str">
        <f t="shared" si="19"/>
        <v/>
      </c>
    </row>
    <row r="254" spans="7:7">
      <c r="G254" s="5" t="str">
        <f t="shared" si="19"/>
        <v/>
      </c>
    </row>
    <row r="255" spans="7:7">
      <c r="G255" s="5" t="str">
        <f t="shared" si="19"/>
        <v/>
      </c>
    </row>
    <row r="256" spans="7:7">
      <c r="G256" s="5" t="str">
        <f t="shared" si="19"/>
        <v/>
      </c>
    </row>
    <row r="257" spans="7:7">
      <c r="G257" s="5" t="str">
        <f t="shared" si="19"/>
        <v/>
      </c>
    </row>
    <row r="258" spans="7:7">
      <c r="G258" s="5" t="str">
        <f t="shared" si="19"/>
        <v/>
      </c>
    </row>
    <row r="259" spans="7:7">
      <c r="G259" s="5" t="str">
        <f t="shared" si="19"/>
        <v/>
      </c>
    </row>
    <row r="260" spans="7:7">
      <c r="G260" s="5" t="str">
        <f t="shared" si="19"/>
        <v/>
      </c>
    </row>
    <row r="261" spans="7:7">
      <c r="G261" s="5" t="str">
        <f t="shared" si="19"/>
        <v/>
      </c>
    </row>
    <row r="262" spans="7:7">
      <c r="G262" s="5" t="str">
        <f t="shared" si="19"/>
        <v/>
      </c>
    </row>
    <row r="263" spans="7:7">
      <c r="G263" s="5" t="str">
        <f t="shared" si="19"/>
        <v/>
      </c>
    </row>
    <row r="264" spans="7:7">
      <c r="G264" s="5" t="str">
        <f t="shared" ref="G264:G327" si="20">IF(B264&lt;&gt;"",SUM(C264:F264),"")</f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si="20"/>
        <v/>
      </c>
    </row>
    <row r="283" spans="7:7">
      <c r="G283" s="5" t="str">
        <f t="shared" si="20"/>
        <v/>
      </c>
    </row>
    <row r="284" spans="7:7">
      <c r="G284" s="5" t="str">
        <f t="shared" si="20"/>
        <v/>
      </c>
    </row>
    <row r="285" spans="7:7">
      <c r="G285" s="5" t="str">
        <f t="shared" si="20"/>
        <v/>
      </c>
    </row>
    <row r="286" spans="7:7">
      <c r="G286" s="5" t="str">
        <f t="shared" si="20"/>
        <v/>
      </c>
    </row>
    <row r="287" spans="7:7">
      <c r="G287" s="5" t="str">
        <f t="shared" si="20"/>
        <v/>
      </c>
    </row>
    <row r="288" spans="7:7">
      <c r="G288" s="5" t="str">
        <f t="shared" si="20"/>
        <v/>
      </c>
    </row>
    <row r="289" spans="7:7">
      <c r="G289" s="5" t="str">
        <f t="shared" si="20"/>
        <v/>
      </c>
    </row>
    <row r="290" spans="7:7">
      <c r="G290" s="5" t="str">
        <f t="shared" si="20"/>
        <v/>
      </c>
    </row>
    <row r="291" spans="7:7">
      <c r="G291" s="5" t="str">
        <f t="shared" si="20"/>
        <v/>
      </c>
    </row>
    <row r="292" spans="7:7">
      <c r="G292" s="5" t="str">
        <f t="shared" si="20"/>
        <v/>
      </c>
    </row>
    <row r="293" spans="7:7">
      <c r="G293" s="5" t="str">
        <f t="shared" si="20"/>
        <v/>
      </c>
    </row>
    <row r="294" spans="7:7">
      <c r="G294" s="5" t="str">
        <f t="shared" si="20"/>
        <v/>
      </c>
    </row>
    <row r="295" spans="7:7">
      <c r="G295" s="5" t="str">
        <f t="shared" si="20"/>
        <v/>
      </c>
    </row>
    <row r="296" spans="7:7">
      <c r="G296" s="5" t="str">
        <f t="shared" si="20"/>
        <v/>
      </c>
    </row>
    <row r="297" spans="7:7">
      <c r="G297" s="5" t="str">
        <f t="shared" si="20"/>
        <v/>
      </c>
    </row>
    <row r="298" spans="7:7">
      <c r="G298" s="5" t="str">
        <f t="shared" si="20"/>
        <v/>
      </c>
    </row>
    <row r="299" spans="7:7">
      <c r="G299" s="5" t="str">
        <f t="shared" si="20"/>
        <v/>
      </c>
    </row>
    <row r="300" spans="7:7">
      <c r="G300" s="5" t="str">
        <f t="shared" si="20"/>
        <v/>
      </c>
    </row>
    <row r="301" spans="7:7">
      <c r="G301" s="5" t="str">
        <f t="shared" si="20"/>
        <v/>
      </c>
    </row>
    <row r="302" spans="7:7">
      <c r="G302" s="5" t="str">
        <f t="shared" si="20"/>
        <v/>
      </c>
    </row>
    <row r="303" spans="7:7">
      <c r="G303" s="5" t="str">
        <f t="shared" si="20"/>
        <v/>
      </c>
    </row>
    <row r="304" spans="7:7">
      <c r="G304" s="5" t="str">
        <f t="shared" si="20"/>
        <v/>
      </c>
    </row>
    <row r="305" spans="7:7">
      <c r="G305" s="5" t="str">
        <f t="shared" si="20"/>
        <v/>
      </c>
    </row>
    <row r="306" spans="7:7">
      <c r="G306" s="5" t="str">
        <f t="shared" si="20"/>
        <v/>
      </c>
    </row>
    <row r="307" spans="7:7">
      <c r="G307" s="5" t="str">
        <f t="shared" si="20"/>
        <v/>
      </c>
    </row>
    <row r="308" spans="7:7">
      <c r="G308" s="5" t="str">
        <f t="shared" si="20"/>
        <v/>
      </c>
    </row>
    <row r="309" spans="7:7">
      <c r="G309" s="5" t="str">
        <f t="shared" si="20"/>
        <v/>
      </c>
    </row>
    <row r="310" spans="7:7">
      <c r="G310" s="5" t="str">
        <f t="shared" si="20"/>
        <v/>
      </c>
    </row>
    <row r="311" spans="7:7">
      <c r="G311" s="5" t="str">
        <f t="shared" si="20"/>
        <v/>
      </c>
    </row>
    <row r="312" spans="7:7">
      <c r="G312" s="5" t="str">
        <f t="shared" si="20"/>
        <v/>
      </c>
    </row>
    <row r="313" spans="7:7">
      <c r="G313" s="5" t="str">
        <f t="shared" si="20"/>
        <v/>
      </c>
    </row>
    <row r="314" spans="7:7">
      <c r="G314" s="5" t="str">
        <f t="shared" si="20"/>
        <v/>
      </c>
    </row>
    <row r="315" spans="7:7">
      <c r="G315" s="5" t="str">
        <f t="shared" si="20"/>
        <v/>
      </c>
    </row>
    <row r="316" spans="7:7">
      <c r="G316" s="5" t="str">
        <f t="shared" si="20"/>
        <v/>
      </c>
    </row>
    <row r="317" spans="7:7">
      <c r="G317" s="5" t="str">
        <f t="shared" si="20"/>
        <v/>
      </c>
    </row>
    <row r="318" spans="7:7">
      <c r="G318" s="5" t="str">
        <f t="shared" si="20"/>
        <v/>
      </c>
    </row>
    <row r="319" spans="7:7">
      <c r="G319" s="5" t="str">
        <f t="shared" si="20"/>
        <v/>
      </c>
    </row>
    <row r="320" spans="7:7">
      <c r="G320" s="5" t="str">
        <f t="shared" si="20"/>
        <v/>
      </c>
    </row>
    <row r="321" spans="7:7">
      <c r="G321" s="5" t="str">
        <f t="shared" si="20"/>
        <v/>
      </c>
    </row>
    <row r="322" spans="7:7">
      <c r="G322" s="5" t="str">
        <f t="shared" si="20"/>
        <v/>
      </c>
    </row>
    <row r="323" spans="7:7">
      <c r="G323" s="5" t="str">
        <f t="shared" si="20"/>
        <v/>
      </c>
    </row>
    <row r="324" spans="7:7">
      <c r="G324" s="5" t="str">
        <f t="shared" si="20"/>
        <v/>
      </c>
    </row>
    <row r="325" spans="7:7">
      <c r="G325" s="5" t="str">
        <f t="shared" si="20"/>
        <v/>
      </c>
    </row>
    <row r="326" spans="7:7">
      <c r="G326" s="5" t="str">
        <f t="shared" si="20"/>
        <v/>
      </c>
    </row>
    <row r="327" spans="7:7">
      <c r="G327" s="5" t="str">
        <f t="shared" si="20"/>
        <v/>
      </c>
    </row>
    <row r="328" spans="7:7">
      <c r="G328" s="5" t="str">
        <f t="shared" ref="G328:G391" si="21">IF(B328&lt;&gt;"",SUM(C328:F328),"")</f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si="21"/>
        <v/>
      </c>
    </row>
    <row r="347" spans="7:7">
      <c r="G347" s="5" t="str">
        <f t="shared" si="21"/>
        <v/>
      </c>
    </row>
    <row r="348" spans="7:7">
      <c r="G348" s="5" t="str">
        <f t="shared" si="21"/>
        <v/>
      </c>
    </row>
    <row r="349" spans="7:7">
      <c r="G349" s="5" t="str">
        <f t="shared" si="21"/>
        <v/>
      </c>
    </row>
    <row r="350" spans="7:7">
      <c r="G350" s="5" t="str">
        <f t="shared" si="21"/>
        <v/>
      </c>
    </row>
    <row r="351" spans="7:7">
      <c r="G351" s="5" t="str">
        <f t="shared" si="21"/>
        <v/>
      </c>
    </row>
    <row r="352" spans="7:7">
      <c r="G352" s="5" t="str">
        <f t="shared" si="21"/>
        <v/>
      </c>
    </row>
    <row r="353" spans="7:7">
      <c r="G353" s="5" t="str">
        <f t="shared" si="21"/>
        <v/>
      </c>
    </row>
    <row r="354" spans="7:7">
      <c r="G354" s="5" t="str">
        <f t="shared" si="21"/>
        <v/>
      </c>
    </row>
    <row r="355" spans="7:7">
      <c r="G355" s="5" t="str">
        <f t="shared" si="21"/>
        <v/>
      </c>
    </row>
    <row r="356" spans="7:7">
      <c r="G356" s="5" t="str">
        <f t="shared" si="21"/>
        <v/>
      </c>
    </row>
    <row r="357" spans="7:7">
      <c r="G357" s="5" t="str">
        <f t="shared" si="21"/>
        <v/>
      </c>
    </row>
    <row r="358" spans="7:7">
      <c r="G358" s="5" t="str">
        <f t="shared" si="21"/>
        <v/>
      </c>
    </row>
    <row r="359" spans="7:7">
      <c r="G359" s="5" t="str">
        <f t="shared" si="21"/>
        <v/>
      </c>
    </row>
    <row r="360" spans="7:7">
      <c r="G360" s="5" t="str">
        <f t="shared" si="21"/>
        <v/>
      </c>
    </row>
    <row r="361" spans="7:7">
      <c r="G361" s="5" t="str">
        <f t="shared" si="21"/>
        <v/>
      </c>
    </row>
    <row r="362" spans="7:7">
      <c r="G362" s="5" t="str">
        <f t="shared" si="21"/>
        <v/>
      </c>
    </row>
    <row r="363" spans="7:7">
      <c r="G363" s="5" t="str">
        <f t="shared" si="21"/>
        <v/>
      </c>
    </row>
    <row r="364" spans="7:7">
      <c r="G364" s="5" t="str">
        <f t="shared" si="21"/>
        <v/>
      </c>
    </row>
    <row r="365" spans="7:7">
      <c r="G365" s="5" t="str">
        <f t="shared" si="21"/>
        <v/>
      </c>
    </row>
    <row r="366" spans="7:7">
      <c r="G366" s="5" t="str">
        <f t="shared" si="21"/>
        <v/>
      </c>
    </row>
    <row r="367" spans="7:7">
      <c r="G367" s="5" t="str">
        <f t="shared" si="21"/>
        <v/>
      </c>
    </row>
    <row r="368" spans="7:7">
      <c r="G368" s="5" t="str">
        <f t="shared" si="21"/>
        <v/>
      </c>
    </row>
    <row r="369" spans="7:7">
      <c r="G369" s="5" t="str">
        <f t="shared" si="21"/>
        <v/>
      </c>
    </row>
    <row r="370" spans="7:7">
      <c r="G370" s="5" t="str">
        <f t="shared" si="21"/>
        <v/>
      </c>
    </row>
    <row r="371" spans="7:7">
      <c r="G371" s="5" t="str">
        <f t="shared" si="21"/>
        <v/>
      </c>
    </row>
    <row r="372" spans="7:7">
      <c r="G372" s="5" t="str">
        <f t="shared" si="21"/>
        <v/>
      </c>
    </row>
    <row r="373" spans="7:7">
      <c r="G373" s="5" t="str">
        <f t="shared" si="21"/>
        <v/>
      </c>
    </row>
    <row r="374" spans="7:7">
      <c r="G374" s="5" t="str">
        <f t="shared" si="21"/>
        <v/>
      </c>
    </row>
    <row r="375" spans="7:7">
      <c r="G375" s="5" t="str">
        <f t="shared" si="21"/>
        <v/>
      </c>
    </row>
    <row r="376" spans="7:7">
      <c r="G376" s="5" t="str">
        <f t="shared" si="21"/>
        <v/>
      </c>
    </row>
    <row r="377" spans="7:7">
      <c r="G377" s="5" t="str">
        <f t="shared" si="21"/>
        <v/>
      </c>
    </row>
    <row r="378" spans="7:7">
      <c r="G378" s="5" t="str">
        <f t="shared" si="21"/>
        <v/>
      </c>
    </row>
    <row r="379" spans="7:7">
      <c r="G379" s="5" t="str">
        <f t="shared" si="21"/>
        <v/>
      </c>
    </row>
    <row r="380" spans="7:7">
      <c r="G380" s="5" t="str">
        <f t="shared" si="21"/>
        <v/>
      </c>
    </row>
    <row r="381" spans="7:7">
      <c r="G381" s="5" t="str">
        <f t="shared" si="21"/>
        <v/>
      </c>
    </row>
    <row r="382" spans="7:7">
      <c r="G382" s="5" t="str">
        <f t="shared" si="21"/>
        <v/>
      </c>
    </row>
    <row r="383" spans="7:7">
      <c r="G383" s="5" t="str">
        <f t="shared" si="21"/>
        <v/>
      </c>
    </row>
    <row r="384" spans="7:7">
      <c r="G384" s="5" t="str">
        <f t="shared" si="21"/>
        <v/>
      </c>
    </row>
    <row r="385" spans="7:7">
      <c r="G385" s="5" t="str">
        <f t="shared" si="21"/>
        <v/>
      </c>
    </row>
    <row r="386" spans="7:7">
      <c r="G386" s="5" t="str">
        <f t="shared" si="21"/>
        <v/>
      </c>
    </row>
    <row r="387" spans="7:7">
      <c r="G387" s="5" t="str">
        <f t="shared" si="21"/>
        <v/>
      </c>
    </row>
    <row r="388" spans="7:7">
      <c r="G388" s="5" t="str">
        <f t="shared" si="21"/>
        <v/>
      </c>
    </row>
    <row r="389" spans="7:7">
      <c r="G389" s="5" t="str">
        <f t="shared" si="21"/>
        <v/>
      </c>
    </row>
    <row r="390" spans="7:7">
      <c r="G390" s="5" t="str">
        <f t="shared" si="21"/>
        <v/>
      </c>
    </row>
    <row r="391" spans="7:7">
      <c r="G391" s="5" t="str">
        <f t="shared" si="21"/>
        <v/>
      </c>
    </row>
    <row r="392" spans="7:7">
      <c r="G392" s="5" t="str">
        <f t="shared" ref="G392:G455" si="22">IF(B392&lt;&gt;"",SUM(C392:F392),"")</f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si="22"/>
        <v/>
      </c>
    </row>
    <row r="411" spans="7:7">
      <c r="G411" s="5" t="str">
        <f t="shared" si="22"/>
        <v/>
      </c>
    </row>
    <row r="412" spans="7:7">
      <c r="G412" s="5" t="str">
        <f t="shared" si="22"/>
        <v/>
      </c>
    </row>
    <row r="413" spans="7:7">
      <c r="G413" s="5" t="str">
        <f t="shared" si="22"/>
        <v/>
      </c>
    </row>
    <row r="414" spans="7:7">
      <c r="G414" s="5" t="str">
        <f t="shared" si="22"/>
        <v/>
      </c>
    </row>
    <row r="415" spans="7:7">
      <c r="G415" s="5" t="str">
        <f t="shared" si="22"/>
        <v/>
      </c>
    </row>
    <row r="416" spans="7:7">
      <c r="G416" s="5" t="str">
        <f t="shared" si="22"/>
        <v/>
      </c>
    </row>
    <row r="417" spans="7:7">
      <c r="G417" s="5" t="str">
        <f t="shared" si="22"/>
        <v/>
      </c>
    </row>
    <row r="418" spans="7:7">
      <c r="G418" s="5" t="str">
        <f t="shared" si="22"/>
        <v/>
      </c>
    </row>
    <row r="419" spans="7:7">
      <c r="G419" s="5" t="str">
        <f t="shared" si="22"/>
        <v/>
      </c>
    </row>
    <row r="420" spans="7:7">
      <c r="G420" s="5" t="str">
        <f t="shared" si="22"/>
        <v/>
      </c>
    </row>
    <row r="421" spans="7:7">
      <c r="G421" s="5" t="str">
        <f t="shared" si="22"/>
        <v/>
      </c>
    </row>
    <row r="422" spans="7:7">
      <c r="G422" s="5" t="str">
        <f t="shared" si="22"/>
        <v/>
      </c>
    </row>
    <row r="423" spans="7:7">
      <c r="G423" s="5" t="str">
        <f t="shared" si="22"/>
        <v/>
      </c>
    </row>
    <row r="424" spans="7:7">
      <c r="G424" s="5" t="str">
        <f t="shared" si="22"/>
        <v/>
      </c>
    </row>
    <row r="425" spans="7:7">
      <c r="G425" s="5" t="str">
        <f t="shared" si="22"/>
        <v/>
      </c>
    </row>
    <row r="426" spans="7:7">
      <c r="G426" s="5" t="str">
        <f t="shared" si="22"/>
        <v/>
      </c>
    </row>
    <row r="427" spans="7:7">
      <c r="G427" s="5" t="str">
        <f t="shared" si="22"/>
        <v/>
      </c>
    </row>
    <row r="428" spans="7:7">
      <c r="G428" s="5" t="str">
        <f t="shared" si="22"/>
        <v/>
      </c>
    </row>
    <row r="429" spans="7:7">
      <c r="G429" s="5" t="str">
        <f t="shared" si="22"/>
        <v/>
      </c>
    </row>
    <row r="430" spans="7:7">
      <c r="G430" s="5" t="str">
        <f t="shared" si="22"/>
        <v/>
      </c>
    </row>
    <row r="431" spans="7:7">
      <c r="G431" s="5" t="str">
        <f t="shared" si="22"/>
        <v/>
      </c>
    </row>
    <row r="432" spans="7:7">
      <c r="G432" s="5" t="str">
        <f t="shared" si="22"/>
        <v/>
      </c>
    </row>
    <row r="433" spans="7:7">
      <c r="G433" s="5" t="str">
        <f t="shared" si="22"/>
        <v/>
      </c>
    </row>
    <row r="434" spans="7:7">
      <c r="G434" s="5" t="str">
        <f t="shared" si="22"/>
        <v/>
      </c>
    </row>
    <row r="435" spans="7:7">
      <c r="G435" s="5" t="str">
        <f t="shared" si="22"/>
        <v/>
      </c>
    </row>
    <row r="436" spans="7:7">
      <c r="G436" s="5" t="str">
        <f t="shared" si="22"/>
        <v/>
      </c>
    </row>
    <row r="437" spans="7:7">
      <c r="G437" s="5" t="str">
        <f t="shared" si="22"/>
        <v/>
      </c>
    </row>
    <row r="438" spans="7:7">
      <c r="G438" s="5" t="str">
        <f t="shared" si="22"/>
        <v/>
      </c>
    </row>
    <row r="439" spans="7:7">
      <c r="G439" s="5" t="str">
        <f t="shared" si="22"/>
        <v/>
      </c>
    </row>
    <row r="440" spans="7:7">
      <c r="G440" s="5" t="str">
        <f t="shared" si="22"/>
        <v/>
      </c>
    </row>
    <row r="441" spans="7:7">
      <c r="G441" s="5" t="str">
        <f t="shared" si="22"/>
        <v/>
      </c>
    </row>
    <row r="442" spans="7:7">
      <c r="G442" s="5" t="str">
        <f t="shared" si="22"/>
        <v/>
      </c>
    </row>
    <row r="443" spans="7:7">
      <c r="G443" s="5" t="str">
        <f t="shared" si="22"/>
        <v/>
      </c>
    </row>
    <row r="444" spans="7:7">
      <c r="G444" s="5" t="str">
        <f t="shared" si="22"/>
        <v/>
      </c>
    </row>
    <row r="445" spans="7:7">
      <c r="G445" s="5" t="str">
        <f t="shared" si="22"/>
        <v/>
      </c>
    </row>
    <row r="446" spans="7:7">
      <c r="G446" s="5" t="str">
        <f t="shared" si="22"/>
        <v/>
      </c>
    </row>
    <row r="447" spans="7:7">
      <c r="G447" s="5" t="str">
        <f t="shared" si="22"/>
        <v/>
      </c>
    </row>
    <row r="448" spans="7:7">
      <c r="G448" s="5" t="str">
        <f t="shared" si="22"/>
        <v/>
      </c>
    </row>
    <row r="449" spans="7:7">
      <c r="G449" s="5" t="str">
        <f t="shared" si="22"/>
        <v/>
      </c>
    </row>
    <row r="450" spans="7:7">
      <c r="G450" s="5" t="str">
        <f t="shared" si="22"/>
        <v/>
      </c>
    </row>
    <row r="451" spans="7:7">
      <c r="G451" s="5" t="str">
        <f t="shared" si="22"/>
        <v/>
      </c>
    </row>
    <row r="452" spans="7:7">
      <c r="G452" s="5" t="str">
        <f t="shared" si="22"/>
        <v/>
      </c>
    </row>
    <row r="453" spans="7:7">
      <c r="G453" s="5" t="str">
        <f t="shared" si="22"/>
        <v/>
      </c>
    </row>
    <row r="454" spans="7:7">
      <c r="G454" s="5" t="str">
        <f t="shared" si="22"/>
        <v/>
      </c>
    </row>
    <row r="455" spans="7:7">
      <c r="G455" s="5" t="str">
        <f t="shared" si="22"/>
        <v/>
      </c>
    </row>
    <row r="456" spans="7:7">
      <c r="G456" s="5" t="str">
        <f t="shared" ref="G456:G487" si="23">IF(B456&lt;&gt;"",SUM(C456:F456),"")</f>
        <v/>
      </c>
    </row>
    <row r="457" spans="7:7">
      <c r="G457" s="5" t="str">
        <f t="shared" si="23"/>
        <v/>
      </c>
    </row>
    <row r="458" spans="7:7">
      <c r="G458" s="5" t="str">
        <f t="shared" si="23"/>
        <v/>
      </c>
    </row>
    <row r="459" spans="7:7">
      <c r="G459" s="5" t="str">
        <f t="shared" si="23"/>
        <v/>
      </c>
    </row>
    <row r="460" spans="7:7">
      <c r="G460" s="5" t="str">
        <f t="shared" si="23"/>
        <v/>
      </c>
    </row>
    <row r="461" spans="7:7">
      <c r="G461" s="5" t="str">
        <f t="shared" si="23"/>
        <v/>
      </c>
    </row>
    <row r="462" spans="7:7">
      <c r="G462" s="5" t="str">
        <f t="shared" si="23"/>
        <v/>
      </c>
    </row>
    <row r="463" spans="7:7">
      <c r="G463" s="5" t="str">
        <f t="shared" si="23"/>
        <v/>
      </c>
    </row>
    <row r="464" spans="7:7">
      <c r="G464" s="5" t="str">
        <f t="shared" si="23"/>
        <v/>
      </c>
    </row>
    <row r="465" spans="7:7">
      <c r="G465" s="5" t="str">
        <f t="shared" si="23"/>
        <v/>
      </c>
    </row>
    <row r="466" spans="7:7">
      <c r="G466" s="5" t="str">
        <f t="shared" si="23"/>
        <v/>
      </c>
    </row>
    <row r="467" spans="7:7">
      <c r="G467" s="5" t="str">
        <f t="shared" si="23"/>
        <v/>
      </c>
    </row>
    <row r="468" spans="7:7">
      <c r="G468" s="5" t="str">
        <f t="shared" si="23"/>
        <v/>
      </c>
    </row>
    <row r="469" spans="7:7">
      <c r="G469" s="5" t="str">
        <f t="shared" si="23"/>
        <v/>
      </c>
    </row>
    <row r="470" spans="7:7">
      <c r="G470" s="5" t="str">
        <f t="shared" si="23"/>
        <v/>
      </c>
    </row>
    <row r="471" spans="7:7">
      <c r="G471" s="5" t="str">
        <f t="shared" si="23"/>
        <v/>
      </c>
    </row>
    <row r="472" spans="7:7">
      <c r="G472" s="5" t="str">
        <f t="shared" si="23"/>
        <v/>
      </c>
    </row>
    <row r="473" spans="7:7">
      <c r="G473" s="5" t="str">
        <f t="shared" si="23"/>
        <v/>
      </c>
    </row>
    <row r="474" spans="7:7">
      <c r="G474" s="5" t="str">
        <f t="shared" si="23"/>
        <v/>
      </c>
    </row>
    <row r="475" spans="7:7">
      <c r="G475" s="5" t="str">
        <f t="shared" si="23"/>
        <v/>
      </c>
    </row>
    <row r="476" spans="7:7">
      <c r="G476" s="5" t="str">
        <f t="shared" si="23"/>
        <v/>
      </c>
    </row>
    <row r="477" spans="7:7">
      <c r="G477" s="5" t="str">
        <f t="shared" si="23"/>
        <v/>
      </c>
    </row>
    <row r="478" spans="7:7">
      <c r="G478" s="5" t="str">
        <f t="shared" si="23"/>
        <v/>
      </c>
    </row>
    <row r="479" spans="7:7">
      <c r="G479" s="5" t="str">
        <f t="shared" si="23"/>
        <v/>
      </c>
    </row>
    <row r="480" spans="7:7">
      <c r="G480" s="5" t="str">
        <f t="shared" si="23"/>
        <v/>
      </c>
    </row>
    <row r="481" spans="7:7">
      <c r="G481" s="5" t="str">
        <f t="shared" si="23"/>
        <v/>
      </c>
    </row>
    <row r="482" spans="7:7">
      <c r="G482" s="5" t="str">
        <f t="shared" si="23"/>
        <v/>
      </c>
    </row>
    <row r="483" spans="7:7">
      <c r="G483" s="5" t="str">
        <f t="shared" si="23"/>
        <v/>
      </c>
    </row>
    <row r="484" spans="7:7">
      <c r="G484" s="5" t="str">
        <f t="shared" si="23"/>
        <v/>
      </c>
    </row>
    <row r="485" spans="7:7">
      <c r="G485" s="5" t="str">
        <f t="shared" si="23"/>
        <v/>
      </c>
    </row>
    <row r="486" spans="7:7">
      <c r="G486" s="5" t="str">
        <f t="shared" si="23"/>
        <v/>
      </c>
    </row>
    <row r="487" spans="7:7">
      <c r="G487" s="5" t="str">
        <f t="shared" si="23"/>
        <v/>
      </c>
    </row>
  </sheetData>
  <sheetProtection algorithmName="SHA-512" hashValue="JBIHCSf+8x8XeafMdwwi5mucdY7S+WyN1BVP2nf18xIpZqbq5/pUPYSyyoN+D5Og2YemaDhdq//V9w086osA5w==" saltValue="pe5je4Df1CEPWr7GurOUpg==" spinCount="100000" sheet="1" sort="0" autoFilter="0" pivotTables="0"/>
  <autoFilter ref="H5:H60" xr:uid="{4E5EFA29-748D-450B-A105-29C86353E1DD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21D14-3056-48CF-858B-9F6EAF9C3F91}">
  <sheetPr codeName="Planilha42">
    <tabColor rgb="FFFF0000"/>
    <pageSetUpPr fitToPage="1"/>
  </sheetPr>
  <dimension ref="B1:S505"/>
  <sheetViews>
    <sheetView workbookViewId="0">
      <pane ySplit="5" topLeftCell="A6" activePane="bottomLeft" state="frozen"/>
      <selection pane="bottomLeft" activeCell="F6" sqref="F6:F79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43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2" t="s">
        <v>6</v>
      </c>
      <c r="C4" s="43"/>
      <c r="D4" s="43"/>
      <c r="E4" s="43"/>
      <c r="F4" s="44"/>
      <c r="G4" s="45"/>
      <c r="H4" s="46"/>
      <c r="I4" s="47" t="s">
        <v>48</v>
      </c>
      <c r="J4" s="48" t="s">
        <v>9</v>
      </c>
      <c r="K4" s="48" t="s">
        <v>9</v>
      </c>
      <c r="L4" s="49">
        <v>4.7619047619047616E-2</v>
      </c>
      <c r="M4" s="50" t="s">
        <v>15</v>
      </c>
      <c r="N4" s="36"/>
      <c r="O4" s="19"/>
      <c r="P4" s="19"/>
      <c r="Q4" s="19"/>
      <c r="R4" s="19"/>
      <c r="S4" s="19"/>
    </row>
    <row r="5" spans="2:19" ht="16.5" thickBot="1">
      <c r="B5" s="73" t="s">
        <v>5</v>
      </c>
      <c r="C5" s="52" t="s">
        <v>0</v>
      </c>
      <c r="D5" s="52" t="s">
        <v>12</v>
      </c>
      <c r="E5" s="52" t="s">
        <v>2</v>
      </c>
      <c r="F5" s="52" t="s">
        <v>3</v>
      </c>
      <c r="G5" s="53" t="s">
        <v>1</v>
      </c>
      <c r="H5" s="54" t="s">
        <v>4</v>
      </c>
      <c r="I5" s="54" t="s">
        <v>7</v>
      </c>
      <c r="J5" s="55" t="s">
        <v>8</v>
      </c>
      <c r="K5" s="55" t="s">
        <v>10</v>
      </c>
      <c r="L5" s="56" t="s">
        <v>11</v>
      </c>
      <c r="M5" s="5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88" t="s">
        <v>413</v>
      </c>
      <c r="C6" s="38"/>
      <c r="D6" s="38"/>
      <c r="E6" s="38"/>
      <c r="F6" s="39"/>
      <c r="G6" s="40"/>
      <c r="H6" s="23">
        <f>SUM(C6:G6)</f>
        <v>0</v>
      </c>
      <c r="I6" s="41">
        <f t="shared" ref="I6:I32" si="0">L6-(L6*J6)</f>
        <v>0</v>
      </c>
      <c r="J6" s="16"/>
      <c r="K6" s="17"/>
      <c r="L6" s="18"/>
      <c r="M6" s="31"/>
      <c r="N6" s="25">
        <f t="shared" ref="N6:N32" si="1">I6*C6</f>
        <v>0</v>
      </c>
      <c r="O6" s="25">
        <f t="shared" ref="O6:O32" si="2">I6*D6</f>
        <v>0</v>
      </c>
      <c r="P6" s="25">
        <f t="shared" ref="P6:P32" si="3">I6*E6</f>
        <v>0</v>
      </c>
      <c r="Q6" s="26">
        <f t="shared" ref="Q6:Q32" si="4">I6*F6</f>
        <v>0</v>
      </c>
      <c r="R6" s="27">
        <f t="shared" ref="R6:R32" si="5">I6*G6</f>
        <v>0</v>
      </c>
      <c r="S6" s="28">
        <f>SUM(N6:R6)</f>
        <v>0</v>
      </c>
    </row>
    <row r="7" spans="2:19">
      <c r="B7" s="88" t="s">
        <v>414</v>
      </c>
      <c r="C7" s="13"/>
      <c r="D7" s="13"/>
      <c r="E7" s="13"/>
      <c r="F7" s="14"/>
      <c r="G7" s="8"/>
      <c r="H7" s="24">
        <f t="shared" ref="H7:H68" si="6">SUM(C7:G7)</f>
        <v>0</v>
      </c>
      <c r="I7" s="34">
        <f t="shared" si="0"/>
        <v>0</v>
      </c>
      <c r="J7" s="10"/>
      <c r="K7" s="12"/>
      <c r="L7" s="11"/>
      <c r="M7" s="32"/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68" si="7">SUM(N7:R7)</f>
        <v>0</v>
      </c>
    </row>
    <row r="8" spans="2:19">
      <c r="B8" s="88" t="s">
        <v>415</v>
      </c>
      <c r="C8" s="13"/>
      <c r="D8" s="13"/>
      <c r="E8" s="13"/>
      <c r="F8" s="14"/>
      <c r="G8" s="8"/>
      <c r="H8" s="24">
        <f t="shared" si="6"/>
        <v>0</v>
      </c>
      <c r="I8" s="34">
        <f t="shared" si="0"/>
        <v>0</v>
      </c>
      <c r="J8" s="10"/>
      <c r="K8" s="12"/>
      <c r="L8" s="11"/>
      <c r="M8" s="32"/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88" t="s">
        <v>416</v>
      </c>
      <c r="C9" s="13"/>
      <c r="D9" s="13"/>
      <c r="E9" s="13"/>
      <c r="F9" s="14">
        <v>100</v>
      </c>
      <c r="G9" s="8"/>
      <c r="H9" s="24">
        <f t="shared" si="6"/>
        <v>100</v>
      </c>
      <c r="I9" s="34">
        <f t="shared" si="0"/>
        <v>0</v>
      </c>
      <c r="J9" s="10"/>
      <c r="K9" s="12"/>
      <c r="L9" s="11"/>
      <c r="M9" s="32"/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88" t="s">
        <v>417</v>
      </c>
      <c r="C10" s="13"/>
      <c r="D10" s="13"/>
      <c r="E10" s="13"/>
      <c r="F10" s="14"/>
      <c r="G10" s="8"/>
      <c r="H10" s="24">
        <f t="shared" si="6"/>
        <v>0</v>
      </c>
      <c r="I10" s="34">
        <f t="shared" si="0"/>
        <v>0</v>
      </c>
      <c r="J10" s="10"/>
      <c r="K10" s="12"/>
      <c r="L10" s="11"/>
      <c r="M10" s="32"/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88" t="s">
        <v>418</v>
      </c>
      <c r="C11" s="13"/>
      <c r="D11" s="13"/>
      <c r="E11" s="13"/>
      <c r="F11" s="14">
        <v>500</v>
      </c>
      <c r="G11" s="8"/>
      <c r="H11" s="24">
        <f t="shared" si="6"/>
        <v>500</v>
      </c>
      <c r="I11" s="34">
        <f t="shared" si="0"/>
        <v>0</v>
      </c>
      <c r="J11" s="10"/>
      <c r="K11" s="12"/>
      <c r="L11" s="11"/>
      <c r="M11" s="32"/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0</v>
      </c>
      <c r="R11" s="27">
        <f t="shared" si="5"/>
        <v>0</v>
      </c>
      <c r="S11" s="28">
        <f t="shared" si="7"/>
        <v>0</v>
      </c>
    </row>
    <row r="12" spans="2:19" hidden="1">
      <c r="B12" s="7"/>
      <c r="C12" s="13"/>
      <c r="D12" s="13"/>
      <c r="E12" s="13"/>
      <c r="F12" s="14"/>
      <c r="G12" s="8"/>
      <c r="H12" s="24">
        <f t="shared" si="6"/>
        <v>0</v>
      </c>
      <c r="I12" s="34">
        <f t="shared" si="0"/>
        <v>0</v>
      </c>
      <c r="J12" s="10"/>
      <c r="K12" s="12"/>
      <c r="L12" s="11"/>
      <c r="M12" s="32"/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 hidden="1">
      <c r="B13" s="7"/>
      <c r="C13" s="13"/>
      <c r="D13" s="13"/>
      <c r="E13" s="13"/>
      <c r="F13" s="14"/>
      <c r="G13" s="8"/>
      <c r="H13" s="24">
        <f t="shared" si="6"/>
        <v>0</v>
      </c>
      <c r="I13" s="34">
        <f t="shared" si="0"/>
        <v>0</v>
      </c>
      <c r="J13" s="10"/>
      <c r="K13" s="12"/>
      <c r="L13" s="11"/>
      <c r="M13" s="32"/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 hidden="1">
      <c r="B14" s="7"/>
      <c r="C14" s="13"/>
      <c r="D14" s="13"/>
      <c r="E14" s="13"/>
      <c r="F14" s="14"/>
      <c r="G14" s="8"/>
      <c r="H14" s="24">
        <f t="shared" si="6"/>
        <v>0</v>
      </c>
      <c r="I14" s="34">
        <f t="shared" si="0"/>
        <v>0</v>
      </c>
      <c r="J14" s="10"/>
      <c r="K14" s="12"/>
      <c r="L14" s="11"/>
      <c r="M14" s="32"/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 hidden="1">
      <c r="B15" s="7"/>
      <c r="C15" s="13"/>
      <c r="D15" s="13"/>
      <c r="E15" s="13"/>
      <c r="F15" s="14"/>
      <c r="G15" s="8"/>
      <c r="H15" s="24">
        <f t="shared" si="6"/>
        <v>0</v>
      </c>
      <c r="I15" s="34">
        <f t="shared" si="0"/>
        <v>0</v>
      </c>
      <c r="J15" s="10"/>
      <c r="K15" s="12"/>
      <c r="L15" s="11"/>
      <c r="M15" s="32"/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 hidden="1">
      <c r="B16" s="7"/>
      <c r="C16" s="13"/>
      <c r="D16" s="13"/>
      <c r="E16" s="13"/>
      <c r="F16" s="14"/>
      <c r="G16" s="8"/>
      <c r="H16" s="24">
        <f t="shared" si="6"/>
        <v>0</v>
      </c>
      <c r="I16" s="34">
        <f t="shared" si="0"/>
        <v>0</v>
      </c>
      <c r="J16" s="10"/>
      <c r="K16" s="12"/>
      <c r="L16" s="11"/>
      <c r="M16" s="32"/>
      <c r="N16" s="25">
        <f t="shared" si="1"/>
        <v>0</v>
      </c>
      <c r="O16" s="25">
        <f t="shared" si="2"/>
        <v>0</v>
      </c>
      <c r="P16" s="25">
        <f t="shared" si="3"/>
        <v>0</v>
      </c>
      <c r="Q16" s="26">
        <f t="shared" si="4"/>
        <v>0</v>
      </c>
      <c r="R16" s="27">
        <f t="shared" si="5"/>
        <v>0</v>
      </c>
      <c r="S16" s="28">
        <f t="shared" si="7"/>
        <v>0</v>
      </c>
    </row>
    <row r="17" spans="2:19" hidden="1">
      <c r="B17" s="7"/>
      <c r="C17" s="13"/>
      <c r="D17" s="13"/>
      <c r="E17" s="13"/>
      <c r="F17" s="14"/>
      <c r="G17" s="8"/>
      <c r="H17" s="24">
        <f t="shared" si="6"/>
        <v>0</v>
      </c>
      <c r="I17" s="34">
        <f t="shared" si="0"/>
        <v>0</v>
      </c>
      <c r="J17" s="10"/>
      <c r="K17" s="12"/>
      <c r="L17" s="11"/>
      <c r="M17" s="32"/>
      <c r="N17" s="25">
        <f t="shared" si="1"/>
        <v>0</v>
      </c>
      <c r="O17" s="25">
        <f t="shared" si="2"/>
        <v>0</v>
      </c>
      <c r="P17" s="25">
        <f t="shared" si="3"/>
        <v>0</v>
      </c>
      <c r="Q17" s="26">
        <f t="shared" si="4"/>
        <v>0</v>
      </c>
      <c r="R17" s="27">
        <f t="shared" si="5"/>
        <v>0</v>
      </c>
      <c r="S17" s="28">
        <f t="shared" si="7"/>
        <v>0</v>
      </c>
    </row>
    <row r="18" spans="2:19" hidden="1">
      <c r="B18" s="7"/>
      <c r="C18" s="13"/>
      <c r="D18" s="13"/>
      <c r="E18" s="13"/>
      <c r="F18" s="14"/>
      <c r="G18" s="8"/>
      <c r="H18" s="24">
        <f t="shared" si="6"/>
        <v>0</v>
      </c>
      <c r="I18" s="34">
        <f t="shared" si="0"/>
        <v>0</v>
      </c>
      <c r="J18" s="10"/>
      <c r="K18" s="12"/>
      <c r="L18" s="11"/>
      <c r="M18" s="32"/>
      <c r="N18" s="25">
        <f t="shared" si="1"/>
        <v>0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0</v>
      </c>
      <c r="S18" s="28">
        <f t="shared" si="7"/>
        <v>0</v>
      </c>
    </row>
    <row r="19" spans="2:19" hidden="1">
      <c r="B19" s="7"/>
      <c r="C19" s="13"/>
      <c r="D19" s="13"/>
      <c r="E19" s="13"/>
      <c r="F19" s="14"/>
      <c r="G19" s="8"/>
      <c r="H19" s="24">
        <f t="shared" si="6"/>
        <v>0</v>
      </c>
      <c r="I19" s="34">
        <f t="shared" si="0"/>
        <v>0</v>
      </c>
      <c r="J19" s="10"/>
      <c r="K19" s="12"/>
      <c r="L19" s="11"/>
      <c r="M19" s="32"/>
      <c r="N19" s="25">
        <f t="shared" si="1"/>
        <v>0</v>
      </c>
      <c r="O19" s="25">
        <f t="shared" si="2"/>
        <v>0</v>
      </c>
      <c r="P19" s="25">
        <f t="shared" si="3"/>
        <v>0</v>
      </c>
      <c r="Q19" s="26">
        <f t="shared" si="4"/>
        <v>0</v>
      </c>
      <c r="R19" s="27">
        <f t="shared" si="5"/>
        <v>0</v>
      </c>
      <c r="S19" s="28">
        <f t="shared" si="7"/>
        <v>0</v>
      </c>
    </row>
    <row r="20" spans="2:19" hidden="1">
      <c r="B20" s="7"/>
      <c r="C20" s="13"/>
      <c r="D20" s="13"/>
      <c r="E20" s="13"/>
      <c r="F20" s="14"/>
      <c r="G20" s="8"/>
      <c r="H20" s="24">
        <f t="shared" si="6"/>
        <v>0</v>
      </c>
      <c r="I20" s="34">
        <f t="shared" si="0"/>
        <v>0</v>
      </c>
      <c r="J20" s="10"/>
      <c r="K20" s="12"/>
      <c r="L20" s="11"/>
      <c r="M20" s="32"/>
      <c r="N20" s="25">
        <f t="shared" si="1"/>
        <v>0</v>
      </c>
      <c r="O20" s="25">
        <f t="shared" si="2"/>
        <v>0</v>
      </c>
      <c r="P20" s="25">
        <f t="shared" si="3"/>
        <v>0</v>
      </c>
      <c r="Q20" s="26">
        <f t="shared" si="4"/>
        <v>0</v>
      </c>
      <c r="R20" s="27">
        <f t="shared" si="5"/>
        <v>0</v>
      </c>
      <c r="S20" s="28">
        <f t="shared" si="7"/>
        <v>0</v>
      </c>
    </row>
    <row r="21" spans="2:19" hidden="1">
      <c r="B21" s="7"/>
      <c r="C21" s="13"/>
      <c r="D21" s="13"/>
      <c r="E21" s="13"/>
      <c r="F21" s="14"/>
      <c r="G21" s="8"/>
      <c r="H21" s="24">
        <f t="shared" si="6"/>
        <v>0</v>
      </c>
      <c r="I21" s="34">
        <f t="shared" si="0"/>
        <v>0</v>
      </c>
      <c r="J21" s="10"/>
      <c r="K21" s="12"/>
      <c r="L21" s="11"/>
      <c r="M21" s="32"/>
      <c r="N21" s="25">
        <f t="shared" si="1"/>
        <v>0</v>
      </c>
      <c r="O21" s="25">
        <f t="shared" si="2"/>
        <v>0</v>
      </c>
      <c r="P21" s="25">
        <f t="shared" si="3"/>
        <v>0</v>
      </c>
      <c r="Q21" s="26">
        <f t="shared" si="4"/>
        <v>0</v>
      </c>
      <c r="R21" s="27">
        <f t="shared" si="5"/>
        <v>0</v>
      </c>
      <c r="S21" s="28">
        <f t="shared" si="7"/>
        <v>0</v>
      </c>
    </row>
    <row r="22" spans="2:19" hidden="1">
      <c r="B22" s="7"/>
      <c r="C22" s="13"/>
      <c r="D22" s="13"/>
      <c r="E22" s="13"/>
      <c r="F22" s="14"/>
      <c r="G22" s="8"/>
      <c r="H22" s="24">
        <f t="shared" si="6"/>
        <v>0</v>
      </c>
      <c r="I22" s="34">
        <f t="shared" si="0"/>
        <v>0</v>
      </c>
      <c r="J22" s="10"/>
      <c r="K22" s="12"/>
      <c r="L22" s="11"/>
      <c r="M22" s="32"/>
      <c r="N22" s="25">
        <f t="shared" si="1"/>
        <v>0</v>
      </c>
      <c r="O22" s="25">
        <f t="shared" si="2"/>
        <v>0</v>
      </c>
      <c r="P22" s="25">
        <f t="shared" si="3"/>
        <v>0</v>
      </c>
      <c r="Q22" s="26">
        <f t="shared" si="4"/>
        <v>0</v>
      </c>
      <c r="R22" s="27">
        <f t="shared" si="5"/>
        <v>0</v>
      </c>
      <c r="S22" s="28">
        <f t="shared" si="7"/>
        <v>0</v>
      </c>
    </row>
    <row r="23" spans="2:19" hidden="1">
      <c r="B23" s="7"/>
      <c r="C23" s="13"/>
      <c r="D23" s="13"/>
      <c r="E23" s="13"/>
      <c r="F23" s="14"/>
      <c r="G23" s="8"/>
      <c r="H23" s="24">
        <f t="shared" si="6"/>
        <v>0</v>
      </c>
      <c r="I23" s="34">
        <f t="shared" si="0"/>
        <v>0</v>
      </c>
      <c r="J23" s="10"/>
      <c r="K23" s="12"/>
      <c r="L23" s="11"/>
      <c r="M23" s="32"/>
      <c r="N23" s="25">
        <f t="shared" si="1"/>
        <v>0</v>
      </c>
      <c r="O23" s="25">
        <f t="shared" si="2"/>
        <v>0</v>
      </c>
      <c r="P23" s="25">
        <f t="shared" si="3"/>
        <v>0</v>
      </c>
      <c r="Q23" s="26">
        <f t="shared" si="4"/>
        <v>0</v>
      </c>
      <c r="R23" s="27">
        <f t="shared" si="5"/>
        <v>0</v>
      </c>
      <c r="S23" s="28">
        <f t="shared" si="7"/>
        <v>0</v>
      </c>
    </row>
    <row r="24" spans="2:19" hidden="1">
      <c r="B24" s="7"/>
      <c r="C24" s="14"/>
      <c r="D24" s="14"/>
      <c r="E24" s="14"/>
      <c r="F24" s="14"/>
      <c r="G24" s="8"/>
      <c r="H24" s="24">
        <f t="shared" si="6"/>
        <v>0</v>
      </c>
      <c r="I24" s="34">
        <f t="shared" si="0"/>
        <v>0</v>
      </c>
      <c r="J24" s="10"/>
      <c r="K24" s="12"/>
      <c r="L24" s="11"/>
      <c r="M24" s="32"/>
      <c r="N24" s="25">
        <f t="shared" si="1"/>
        <v>0</v>
      </c>
      <c r="O24" s="25">
        <f t="shared" si="2"/>
        <v>0</v>
      </c>
      <c r="P24" s="25">
        <f t="shared" si="3"/>
        <v>0</v>
      </c>
      <c r="Q24" s="26">
        <f t="shared" si="4"/>
        <v>0</v>
      </c>
      <c r="R24" s="27">
        <f t="shared" si="5"/>
        <v>0</v>
      </c>
      <c r="S24" s="28">
        <f t="shared" si="7"/>
        <v>0</v>
      </c>
    </row>
    <row r="25" spans="2:19" hidden="1">
      <c r="B25" s="7"/>
      <c r="C25" s="14"/>
      <c r="D25" s="14"/>
      <c r="E25" s="14"/>
      <c r="F25" s="14"/>
      <c r="G25" s="8"/>
      <c r="H25" s="24">
        <f t="shared" si="6"/>
        <v>0</v>
      </c>
      <c r="I25" s="34">
        <f t="shared" si="0"/>
        <v>0</v>
      </c>
      <c r="J25" s="10"/>
      <c r="K25" s="12"/>
      <c r="L25" s="11"/>
      <c r="M25" s="32"/>
      <c r="N25" s="25">
        <f t="shared" si="1"/>
        <v>0</v>
      </c>
      <c r="O25" s="25">
        <f t="shared" si="2"/>
        <v>0</v>
      </c>
      <c r="P25" s="25">
        <f t="shared" si="3"/>
        <v>0</v>
      </c>
      <c r="Q25" s="26">
        <f t="shared" si="4"/>
        <v>0</v>
      </c>
      <c r="R25" s="27">
        <f t="shared" si="5"/>
        <v>0</v>
      </c>
      <c r="S25" s="28">
        <f t="shared" si="7"/>
        <v>0</v>
      </c>
    </row>
    <row r="26" spans="2:19" hidden="1">
      <c r="B26" s="7"/>
      <c r="C26" s="14"/>
      <c r="D26" s="14"/>
      <c r="E26" s="14"/>
      <c r="F26" s="14"/>
      <c r="G26" s="8"/>
      <c r="H26" s="24">
        <f t="shared" si="6"/>
        <v>0</v>
      </c>
      <c r="I26" s="34">
        <f t="shared" si="0"/>
        <v>0</v>
      </c>
      <c r="J26" s="10"/>
      <c r="K26" s="12"/>
      <c r="L26" s="11"/>
      <c r="M26" s="32"/>
      <c r="N26" s="25">
        <f t="shared" si="1"/>
        <v>0</v>
      </c>
      <c r="O26" s="25">
        <f t="shared" si="2"/>
        <v>0</v>
      </c>
      <c r="P26" s="25">
        <f t="shared" si="3"/>
        <v>0</v>
      </c>
      <c r="Q26" s="26">
        <f t="shared" si="4"/>
        <v>0</v>
      </c>
      <c r="R26" s="27">
        <f t="shared" si="5"/>
        <v>0</v>
      </c>
      <c r="S26" s="28">
        <f t="shared" si="7"/>
        <v>0</v>
      </c>
    </row>
    <row r="27" spans="2:19" hidden="1">
      <c r="B27" s="7"/>
      <c r="C27" s="14"/>
      <c r="D27" s="14"/>
      <c r="E27" s="14"/>
      <c r="F27" s="14"/>
      <c r="G27" s="8"/>
      <c r="H27" s="24">
        <f t="shared" si="6"/>
        <v>0</v>
      </c>
      <c r="I27" s="34">
        <f t="shared" si="0"/>
        <v>0</v>
      </c>
      <c r="J27" s="10"/>
      <c r="K27" s="12"/>
      <c r="L27" s="11"/>
      <c r="M27" s="32"/>
      <c r="N27" s="25">
        <f t="shared" si="1"/>
        <v>0</v>
      </c>
      <c r="O27" s="25">
        <f t="shared" si="2"/>
        <v>0</v>
      </c>
      <c r="P27" s="25">
        <f t="shared" si="3"/>
        <v>0</v>
      </c>
      <c r="Q27" s="26">
        <f t="shared" si="4"/>
        <v>0</v>
      </c>
      <c r="R27" s="27">
        <f t="shared" si="5"/>
        <v>0</v>
      </c>
      <c r="S27" s="28">
        <f t="shared" si="7"/>
        <v>0</v>
      </c>
    </row>
    <row r="28" spans="2:19" hidden="1">
      <c r="B28" s="7"/>
      <c r="C28" s="14"/>
      <c r="D28" s="14"/>
      <c r="E28" s="14"/>
      <c r="F28" s="14"/>
      <c r="G28" s="8"/>
      <c r="H28" s="24">
        <f t="shared" si="6"/>
        <v>0</v>
      </c>
      <c r="I28" s="34">
        <f t="shared" si="0"/>
        <v>0</v>
      </c>
      <c r="J28" s="10"/>
      <c r="K28" s="12"/>
      <c r="L28" s="11"/>
      <c r="M28" s="32"/>
      <c r="N28" s="25">
        <f t="shared" si="1"/>
        <v>0</v>
      </c>
      <c r="O28" s="25">
        <f t="shared" si="2"/>
        <v>0</v>
      </c>
      <c r="P28" s="25">
        <f t="shared" si="3"/>
        <v>0</v>
      </c>
      <c r="Q28" s="26">
        <f t="shared" si="4"/>
        <v>0</v>
      </c>
      <c r="R28" s="27">
        <f t="shared" si="5"/>
        <v>0</v>
      </c>
      <c r="S28" s="28">
        <f t="shared" si="7"/>
        <v>0</v>
      </c>
    </row>
    <row r="29" spans="2:19" hidden="1">
      <c r="B29" s="7"/>
      <c r="C29" s="14"/>
      <c r="D29" s="14"/>
      <c r="E29" s="14"/>
      <c r="F29" s="14"/>
      <c r="G29" s="8"/>
      <c r="H29" s="24">
        <f t="shared" si="6"/>
        <v>0</v>
      </c>
      <c r="I29" s="34">
        <f t="shared" si="0"/>
        <v>0</v>
      </c>
      <c r="J29" s="10"/>
      <c r="K29" s="12"/>
      <c r="L29" s="11"/>
      <c r="M29" s="32"/>
      <c r="N29" s="25">
        <f t="shared" si="1"/>
        <v>0</v>
      </c>
      <c r="O29" s="25">
        <f t="shared" si="2"/>
        <v>0</v>
      </c>
      <c r="P29" s="25">
        <f t="shared" si="3"/>
        <v>0</v>
      </c>
      <c r="Q29" s="26">
        <f t="shared" si="4"/>
        <v>0</v>
      </c>
      <c r="R29" s="27">
        <f t="shared" si="5"/>
        <v>0</v>
      </c>
      <c r="S29" s="28">
        <f t="shared" si="7"/>
        <v>0</v>
      </c>
    </row>
    <row r="30" spans="2:19" hidden="1">
      <c r="B30" s="7"/>
      <c r="C30" s="14"/>
      <c r="D30" s="14"/>
      <c r="E30" s="14"/>
      <c r="F30" s="14"/>
      <c r="G30" s="8"/>
      <c r="H30" s="24">
        <f t="shared" si="6"/>
        <v>0</v>
      </c>
      <c r="I30" s="34">
        <f t="shared" si="0"/>
        <v>0</v>
      </c>
      <c r="J30" s="10"/>
      <c r="K30" s="12"/>
      <c r="L30" s="11"/>
      <c r="M30" s="32"/>
      <c r="N30" s="25">
        <f t="shared" si="1"/>
        <v>0</v>
      </c>
      <c r="O30" s="25">
        <f t="shared" si="2"/>
        <v>0</v>
      </c>
      <c r="P30" s="25">
        <f t="shared" si="3"/>
        <v>0</v>
      </c>
      <c r="Q30" s="26">
        <f t="shared" si="4"/>
        <v>0</v>
      </c>
      <c r="R30" s="27">
        <f t="shared" si="5"/>
        <v>0</v>
      </c>
      <c r="S30" s="28">
        <f t="shared" si="7"/>
        <v>0</v>
      </c>
    </row>
    <row r="31" spans="2:19" hidden="1">
      <c r="B31" s="7"/>
      <c r="C31" s="14"/>
      <c r="D31" s="14"/>
      <c r="E31" s="14"/>
      <c r="F31" s="14"/>
      <c r="G31" s="8"/>
      <c r="H31" s="24">
        <f t="shared" si="6"/>
        <v>0</v>
      </c>
      <c r="I31" s="34">
        <f t="shared" si="0"/>
        <v>0</v>
      </c>
      <c r="J31" s="10"/>
      <c r="K31" s="12"/>
      <c r="L31" s="11"/>
      <c r="M31" s="32"/>
      <c r="N31" s="25">
        <f t="shared" si="1"/>
        <v>0</v>
      </c>
      <c r="O31" s="25">
        <f t="shared" si="2"/>
        <v>0</v>
      </c>
      <c r="P31" s="25">
        <f t="shared" si="3"/>
        <v>0</v>
      </c>
      <c r="Q31" s="26">
        <f t="shared" si="4"/>
        <v>0</v>
      </c>
      <c r="R31" s="27">
        <f t="shared" si="5"/>
        <v>0</v>
      </c>
      <c r="S31" s="28">
        <f t="shared" si="7"/>
        <v>0</v>
      </c>
    </row>
    <row r="32" spans="2:19" hidden="1">
      <c r="B32" s="7"/>
      <c r="C32" s="14"/>
      <c r="D32" s="14"/>
      <c r="E32" s="14"/>
      <c r="F32" s="14"/>
      <c r="G32" s="8"/>
      <c r="H32" s="24">
        <f t="shared" si="6"/>
        <v>0</v>
      </c>
      <c r="I32" s="34">
        <f t="shared" si="0"/>
        <v>0</v>
      </c>
      <c r="J32" s="10"/>
      <c r="K32" s="12"/>
      <c r="L32" s="11"/>
      <c r="M32" s="32"/>
      <c r="N32" s="25">
        <f t="shared" si="1"/>
        <v>0</v>
      </c>
      <c r="O32" s="25">
        <f t="shared" si="2"/>
        <v>0</v>
      </c>
      <c r="P32" s="25">
        <f t="shared" si="3"/>
        <v>0</v>
      </c>
      <c r="Q32" s="26">
        <f t="shared" si="4"/>
        <v>0</v>
      </c>
      <c r="R32" s="27">
        <f t="shared" si="5"/>
        <v>0</v>
      </c>
      <c r="S32" s="28">
        <f t="shared" si="7"/>
        <v>0</v>
      </c>
    </row>
    <row r="33" spans="2:19" hidden="1">
      <c r="B33" s="7"/>
      <c r="C33" s="14"/>
      <c r="D33" s="14"/>
      <c r="E33" s="14"/>
      <c r="F33" s="14"/>
      <c r="G33" s="8"/>
      <c r="H33" s="24">
        <f t="shared" si="6"/>
        <v>0</v>
      </c>
      <c r="I33" s="34">
        <f t="shared" ref="I33:I77" si="8">L33-(L33*J33)</f>
        <v>0</v>
      </c>
      <c r="J33" s="10"/>
      <c r="K33" s="12"/>
      <c r="L33" s="11"/>
      <c r="M33" s="32"/>
      <c r="N33" s="25">
        <f t="shared" ref="N33:N77" si="9">I33*C33</f>
        <v>0</v>
      </c>
      <c r="O33" s="25">
        <f t="shared" ref="O33:O77" si="10">I33*D33</f>
        <v>0</v>
      </c>
      <c r="P33" s="25">
        <f t="shared" ref="P33:P77" si="11">I33*E33</f>
        <v>0</v>
      </c>
      <c r="Q33" s="26">
        <f t="shared" ref="Q33:Q77" si="12">I33*F33</f>
        <v>0</v>
      </c>
      <c r="R33" s="27">
        <f t="shared" ref="R33:R77" si="13">I33*G33</f>
        <v>0</v>
      </c>
      <c r="S33" s="28">
        <f t="shared" si="7"/>
        <v>0</v>
      </c>
    </row>
    <row r="34" spans="2:19" hidden="1">
      <c r="B34" s="7"/>
      <c r="C34" s="14"/>
      <c r="D34" s="14"/>
      <c r="E34" s="14"/>
      <c r="F34" s="14"/>
      <c r="G34" s="8"/>
      <c r="H34" s="24">
        <f t="shared" si="6"/>
        <v>0</v>
      </c>
      <c r="I34" s="34">
        <f t="shared" si="8"/>
        <v>0</v>
      </c>
      <c r="J34" s="10"/>
      <c r="K34" s="12"/>
      <c r="L34" s="11"/>
      <c r="M34" s="32"/>
      <c r="N34" s="25">
        <f t="shared" si="9"/>
        <v>0</v>
      </c>
      <c r="O34" s="25">
        <f t="shared" si="10"/>
        <v>0</v>
      </c>
      <c r="P34" s="25">
        <f t="shared" si="11"/>
        <v>0</v>
      </c>
      <c r="Q34" s="26">
        <f t="shared" si="12"/>
        <v>0</v>
      </c>
      <c r="R34" s="27">
        <f t="shared" si="13"/>
        <v>0</v>
      </c>
      <c r="S34" s="28">
        <f t="shared" si="7"/>
        <v>0</v>
      </c>
    </row>
    <row r="35" spans="2:19" hidden="1">
      <c r="B35" s="7"/>
      <c r="C35" s="14"/>
      <c r="D35" s="14"/>
      <c r="E35" s="14"/>
      <c r="F35" s="14"/>
      <c r="G35" s="8"/>
      <c r="H35" s="24">
        <f t="shared" si="6"/>
        <v>0</v>
      </c>
      <c r="I35" s="34">
        <f t="shared" si="8"/>
        <v>0</v>
      </c>
      <c r="J35" s="10"/>
      <c r="K35" s="12"/>
      <c r="L35" s="11"/>
      <c r="M35" s="32"/>
      <c r="N35" s="25">
        <f t="shared" si="9"/>
        <v>0</v>
      </c>
      <c r="O35" s="25">
        <f t="shared" si="10"/>
        <v>0</v>
      </c>
      <c r="P35" s="25">
        <f t="shared" si="11"/>
        <v>0</v>
      </c>
      <c r="Q35" s="26">
        <f t="shared" si="12"/>
        <v>0</v>
      </c>
      <c r="R35" s="27">
        <f t="shared" si="13"/>
        <v>0</v>
      </c>
      <c r="S35" s="28">
        <f t="shared" si="7"/>
        <v>0</v>
      </c>
    </row>
    <row r="36" spans="2:19" hidden="1">
      <c r="B36" s="7"/>
      <c r="C36" s="14"/>
      <c r="D36" s="14"/>
      <c r="E36" s="14"/>
      <c r="F36" s="14"/>
      <c r="G36" s="8"/>
      <c r="H36" s="24">
        <f t="shared" si="6"/>
        <v>0</v>
      </c>
      <c r="I36" s="34">
        <f t="shared" si="8"/>
        <v>0</v>
      </c>
      <c r="J36" s="10"/>
      <c r="K36" s="12"/>
      <c r="L36" s="11"/>
      <c r="M36" s="32"/>
      <c r="N36" s="25">
        <f t="shared" si="9"/>
        <v>0</v>
      </c>
      <c r="O36" s="25">
        <f t="shared" si="10"/>
        <v>0</v>
      </c>
      <c r="P36" s="25">
        <f t="shared" si="11"/>
        <v>0</v>
      </c>
      <c r="Q36" s="26">
        <f t="shared" si="12"/>
        <v>0</v>
      </c>
      <c r="R36" s="27">
        <f t="shared" si="13"/>
        <v>0</v>
      </c>
      <c r="S36" s="28">
        <f t="shared" si="7"/>
        <v>0</v>
      </c>
    </row>
    <row r="37" spans="2:19" hidden="1">
      <c r="B37" s="7"/>
      <c r="C37" s="14"/>
      <c r="D37" s="14"/>
      <c r="E37" s="14"/>
      <c r="F37" s="14"/>
      <c r="G37" s="8"/>
      <c r="H37" s="24">
        <f t="shared" si="6"/>
        <v>0</v>
      </c>
      <c r="I37" s="34">
        <f t="shared" si="8"/>
        <v>0</v>
      </c>
      <c r="J37" s="10"/>
      <c r="K37" s="12"/>
      <c r="L37" s="11"/>
      <c r="M37" s="32"/>
      <c r="N37" s="25">
        <f t="shared" si="9"/>
        <v>0</v>
      </c>
      <c r="O37" s="25">
        <f t="shared" si="10"/>
        <v>0</v>
      </c>
      <c r="P37" s="25">
        <f t="shared" si="11"/>
        <v>0</v>
      </c>
      <c r="Q37" s="26">
        <f t="shared" si="12"/>
        <v>0</v>
      </c>
      <c r="R37" s="27">
        <f t="shared" si="13"/>
        <v>0</v>
      </c>
      <c r="S37" s="28">
        <f t="shared" si="7"/>
        <v>0</v>
      </c>
    </row>
    <row r="38" spans="2:19" hidden="1">
      <c r="B38" s="7"/>
      <c r="C38" s="14"/>
      <c r="D38" s="14"/>
      <c r="E38" s="14"/>
      <c r="F38" s="14"/>
      <c r="G38" s="8"/>
      <c r="H38" s="24">
        <f t="shared" si="6"/>
        <v>0</v>
      </c>
      <c r="I38" s="34">
        <f t="shared" si="8"/>
        <v>0</v>
      </c>
      <c r="J38" s="10"/>
      <c r="K38" s="12"/>
      <c r="L38" s="11"/>
      <c r="M38" s="32"/>
      <c r="N38" s="25">
        <f t="shared" si="9"/>
        <v>0</v>
      </c>
      <c r="O38" s="25">
        <f t="shared" si="10"/>
        <v>0</v>
      </c>
      <c r="P38" s="25">
        <f t="shared" si="11"/>
        <v>0</v>
      </c>
      <c r="Q38" s="26">
        <f t="shared" si="12"/>
        <v>0</v>
      </c>
      <c r="R38" s="27">
        <f t="shared" si="13"/>
        <v>0</v>
      </c>
      <c r="S38" s="28">
        <f t="shared" si="7"/>
        <v>0</v>
      </c>
    </row>
    <row r="39" spans="2:19" hidden="1">
      <c r="B39" s="7"/>
      <c r="C39" s="14"/>
      <c r="D39" s="14"/>
      <c r="E39" s="14"/>
      <c r="F39" s="14"/>
      <c r="G39" s="8"/>
      <c r="H39" s="24">
        <f t="shared" si="6"/>
        <v>0</v>
      </c>
      <c r="I39" s="34">
        <f t="shared" si="8"/>
        <v>0</v>
      </c>
      <c r="J39" s="10"/>
      <c r="K39" s="12"/>
      <c r="L39" s="11"/>
      <c r="M39" s="32"/>
      <c r="N39" s="25">
        <f t="shared" si="9"/>
        <v>0</v>
      </c>
      <c r="O39" s="25">
        <f t="shared" si="10"/>
        <v>0</v>
      </c>
      <c r="P39" s="25">
        <f t="shared" si="11"/>
        <v>0</v>
      </c>
      <c r="Q39" s="26">
        <f t="shared" si="12"/>
        <v>0</v>
      </c>
      <c r="R39" s="27">
        <f t="shared" si="13"/>
        <v>0</v>
      </c>
      <c r="S39" s="28">
        <f t="shared" si="7"/>
        <v>0</v>
      </c>
    </row>
    <row r="40" spans="2:19" hidden="1">
      <c r="B40" s="7"/>
      <c r="C40" s="14"/>
      <c r="D40" s="14"/>
      <c r="E40" s="14"/>
      <c r="F40" s="14"/>
      <c r="G40" s="8"/>
      <c r="H40" s="24">
        <f t="shared" si="6"/>
        <v>0</v>
      </c>
      <c r="I40" s="34">
        <f t="shared" si="8"/>
        <v>0</v>
      </c>
      <c r="J40" s="10"/>
      <c r="K40" s="12"/>
      <c r="L40" s="11"/>
      <c r="M40" s="32"/>
      <c r="N40" s="25">
        <f t="shared" si="9"/>
        <v>0</v>
      </c>
      <c r="O40" s="25">
        <f t="shared" si="10"/>
        <v>0</v>
      </c>
      <c r="P40" s="25">
        <f t="shared" si="11"/>
        <v>0</v>
      </c>
      <c r="Q40" s="26">
        <f t="shared" si="12"/>
        <v>0</v>
      </c>
      <c r="R40" s="27">
        <f t="shared" si="13"/>
        <v>0</v>
      </c>
      <c r="S40" s="28">
        <f t="shared" si="7"/>
        <v>0</v>
      </c>
    </row>
    <row r="41" spans="2:19" hidden="1">
      <c r="B41" s="7"/>
      <c r="C41" s="14"/>
      <c r="D41" s="14"/>
      <c r="E41" s="14"/>
      <c r="F41" s="14"/>
      <c r="G41" s="8"/>
      <c r="H41" s="24">
        <f t="shared" si="6"/>
        <v>0</v>
      </c>
      <c r="I41" s="34">
        <f t="shared" si="8"/>
        <v>0</v>
      </c>
      <c r="J41" s="10"/>
      <c r="K41" s="12"/>
      <c r="L41" s="11"/>
      <c r="M41" s="32"/>
      <c r="N41" s="25">
        <f t="shared" si="9"/>
        <v>0</v>
      </c>
      <c r="O41" s="25">
        <f t="shared" si="10"/>
        <v>0</v>
      </c>
      <c r="P41" s="25">
        <f t="shared" si="11"/>
        <v>0</v>
      </c>
      <c r="Q41" s="26">
        <f t="shared" si="12"/>
        <v>0</v>
      </c>
      <c r="R41" s="27">
        <f t="shared" si="13"/>
        <v>0</v>
      </c>
      <c r="S41" s="28">
        <f t="shared" si="7"/>
        <v>0</v>
      </c>
    </row>
    <row r="42" spans="2:19" hidden="1">
      <c r="B42" s="7"/>
      <c r="C42" s="14"/>
      <c r="D42" s="14"/>
      <c r="E42" s="14"/>
      <c r="F42" s="14"/>
      <c r="G42" s="8"/>
      <c r="H42" s="24">
        <f t="shared" si="6"/>
        <v>0</v>
      </c>
      <c r="I42" s="34">
        <f t="shared" si="8"/>
        <v>0</v>
      </c>
      <c r="J42" s="10"/>
      <c r="K42" s="12"/>
      <c r="L42" s="11"/>
      <c r="M42" s="32"/>
      <c r="N42" s="25">
        <f t="shared" si="9"/>
        <v>0</v>
      </c>
      <c r="O42" s="25">
        <f t="shared" si="10"/>
        <v>0</v>
      </c>
      <c r="P42" s="25">
        <f t="shared" si="11"/>
        <v>0</v>
      </c>
      <c r="Q42" s="26">
        <f t="shared" si="12"/>
        <v>0</v>
      </c>
      <c r="R42" s="27">
        <f t="shared" si="13"/>
        <v>0</v>
      </c>
      <c r="S42" s="28">
        <f t="shared" si="7"/>
        <v>0</v>
      </c>
    </row>
    <row r="43" spans="2:19" hidden="1">
      <c r="B43" s="7"/>
      <c r="C43" s="14"/>
      <c r="D43" s="14"/>
      <c r="E43" s="14"/>
      <c r="F43" s="14"/>
      <c r="G43" s="8"/>
      <c r="H43" s="24">
        <f t="shared" si="6"/>
        <v>0</v>
      </c>
      <c r="I43" s="34">
        <f t="shared" si="8"/>
        <v>0</v>
      </c>
      <c r="J43" s="10"/>
      <c r="K43" s="12"/>
      <c r="L43" s="11"/>
      <c r="M43" s="32"/>
      <c r="N43" s="25">
        <f t="shared" si="9"/>
        <v>0</v>
      </c>
      <c r="O43" s="25">
        <f t="shared" si="10"/>
        <v>0</v>
      </c>
      <c r="P43" s="25">
        <f t="shared" si="11"/>
        <v>0</v>
      </c>
      <c r="Q43" s="26">
        <f t="shared" si="12"/>
        <v>0</v>
      </c>
      <c r="R43" s="27">
        <f t="shared" si="13"/>
        <v>0</v>
      </c>
      <c r="S43" s="28">
        <f t="shared" si="7"/>
        <v>0</v>
      </c>
    </row>
    <row r="44" spans="2:19" hidden="1">
      <c r="B44" s="7"/>
      <c r="C44" s="14"/>
      <c r="D44" s="14"/>
      <c r="E44" s="14"/>
      <c r="F44" s="14"/>
      <c r="G44" s="8"/>
      <c r="H44" s="24">
        <f t="shared" si="6"/>
        <v>0</v>
      </c>
      <c r="I44" s="34">
        <f t="shared" si="8"/>
        <v>0</v>
      </c>
      <c r="J44" s="10"/>
      <c r="K44" s="12"/>
      <c r="L44" s="11"/>
      <c r="M44" s="32"/>
      <c r="N44" s="25">
        <f t="shared" si="9"/>
        <v>0</v>
      </c>
      <c r="O44" s="25">
        <f t="shared" si="10"/>
        <v>0</v>
      </c>
      <c r="P44" s="25">
        <f t="shared" si="11"/>
        <v>0</v>
      </c>
      <c r="Q44" s="26">
        <f t="shared" si="12"/>
        <v>0</v>
      </c>
      <c r="R44" s="27">
        <f t="shared" si="13"/>
        <v>0</v>
      </c>
      <c r="S44" s="28">
        <f t="shared" si="7"/>
        <v>0</v>
      </c>
    </row>
    <row r="45" spans="2:19" hidden="1">
      <c r="B45" s="7"/>
      <c r="C45" s="14"/>
      <c r="D45" s="14"/>
      <c r="E45" s="14"/>
      <c r="F45" s="14"/>
      <c r="G45" s="8"/>
      <c r="H45" s="24">
        <f t="shared" si="6"/>
        <v>0</v>
      </c>
      <c r="I45" s="34">
        <f t="shared" si="8"/>
        <v>0</v>
      </c>
      <c r="J45" s="10"/>
      <c r="K45" s="12"/>
      <c r="L45" s="11"/>
      <c r="M45" s="32"/>
      <c r="N45" s="25">
        <f t="shared" si="9"/>
        <v>0</v>
      </c>
      <c r="O45" s="25">
        <f t="shared" si="10"/>
        <v>0</v>
      </c>
      <c r="P45" s="25">
        <f t="shared" si="11"/>
        <v>0</v>
      </c>
      <c r="Q45" s="26">
        <f t="shared" si="12"/>
        <v>0</v>
      </c>
      <c r="R45" s="27">
        <f t="shared" si="13"/>
        <v>0</v>
      </c>
      <c r="S45" s="28">
        <f t="shared" si="7"/>
        <v>0</v>
      </c>
    </row>
    <row r="46" spans="2:19" hidden="1">
      <c r="B46" s="7"/>
      <c r="C46" s="14"/>
      <c r="D46" s="14"/>
      <c r="E46" s="14"/>
      <c r="F46" s="14"/>
      <c r="G46" s="8"/>
      <c r="H46" s="24">
        <f t="shared" si="6"/>
        <v>0</v>
      </c>
      <c r="I46" s="34">
        <f t="shared" si="8"/>
        <v>0</v>
      </c>
      <c r="J46" s="10"/>
      <c r="K46" s="12"/>
      <c r="L46" s="11"/>
      <c r="M46" s="32"/>
      <c r="N46" s="25">
        <f t="shared" si="9"/>
        <v>0</v>
      </c>
      <c r="O46" s="25">
        <f t="shared" si="10"/>
        <v>0</v>
      </c>
      <c r="P46" s="25">
        <f t="shared" si="11"/>
        <v>0</v>
      </c>
      <c r="Q46" s="26">
        <f t="shared" si="12"/>
        <v>0</v>
      </c>
      <c r="R46" s="27">
        <f t="shared" si="13"/>
        <v>0</v>
      </c>
      <c r="S46" s="28">
        <f t="shared" si="7"/>
        <v>0</v>
      </c>
    </row>
    <row r="47" spans="2:19" hidden="1">
      <c r="B47" s="7"/>
      <c r="C47" s="14"/>
      <c r="D47" s="14"/>
      <c r="E47" s="14"/>
      <c r="F47" s="14"/>
      <c r="G47" s="8"/>
      <c r="H47" s="24">
        <f t="shared" si="6"/>
        <v>0</v>
      </c>
      <c r="I47" s="34">
        <f t="shared" si="8"/>
        <v>0</v>
      </c>
      <c r="J47" s="10"/>
      <c r="K47" s="12"/>
      <c r="L47" s="11"/>
      <c r="M47" s="32"/>
      <c r="N47" s="25">
        <f t="shared" si="9"/>
        <v>0</v>
      </c>
      <c r="O47" s="25">
        <f t="shared" si="10"/>
        <v>0</v>
      </c>
      <c r="P47" s="25">
        <f t="shared" si="11"/>
        <v>0</v>
      </c>
      <c r="Q47" s="26">
        <f t="shared" si="12"/>
        <v>0</v>
      </c>
      <c r="R47" s="27">
        <f t="shared" si="13"/>
        <v>0</v>
      </c>
      <c r="S47" s="28">
        <f t="shared" si="7"/>
        <v>0</v>
      </c>
    </row>
    <row r="48" spans="2:19" hidden="1">
      <c r="B48" s="7"/>
      <c r="C48" s="14"/>
      <c r="D48" s="14"/>
      <c r="E48" s="14"/>
      <c r="F48" s="14"/>
      <c r="G48" s="8"/>
      <c r="H48" s="24">
        <f t="shared" si="6"/>
        <v>0</v>
      </c>
      <c r="I48" s="34">
        <f t="shared" si="8"/>
        <v>0</v>
      </c>
      <c r="J48" s="10"/>
      <c r="K48" s="12"/>
      <c r="L48" s="11"/>
      <c r="M48" s="32"/>
      <c r="N48" s="25">
        <f t="shared" si="9"/>
        <v>0</v>
      </c>
      <c r="O48" s="25">
        <f t="shared" si="10"/>
        <v>0</v>
      </c>
      <c r="P48" s="25">
        <f t="shared" si="11"/>
        <v>0</v>
      </c>
      <c r="Q48" s="26">
        <f t="shared" si="12"/>
        <v>0</v>
      </c>
      <c r="R48" s="27">
        <f t="shared" si="13"/>
        <v>0</v>
      </c>
      <c r="S48" s="28">
        <f t="shared" si="7"/>
        <v>0</v>
      </c>
    </row>
    <row r="49" spans="2:19" hidden="1">
      <c r="B49" s="7"/>
      <c r="C49" s="14"/>
      <c r="D49" s="14"/>
      <c r="E49" s="14"/>
      <c r="F49" s="14"/>
      <c r="G49" s="8"/>
      <c r="H49" s="24">
        <f t="shared" si="6"/>
        <v>0</v>
      </c>
      <c r="I49" s="34">
        <f t="shared" si="8"/>
        <v>0</v>
      </c>
      <c r="J49" s="10"/>
      <c r="K49" s="12"/>
      <c r="L49" s="11"/>
      <c r="M49" s="32"/>
      <c r="N49" s="25">
        <f t="shared" si="9"/>
        <v>0</v>
      </c>
      <c r="O49" s="25">
        <f t="shared" si="10"/>
        <v>0</v>
      </c>
      <c r="P49" s="25">
        <f t="shared" si="11"/>
        <v>0</v>
      </c>
      <c r="Q49" s="26">
        <f t="shared" si="12"/>
        <v>0</v>
      </c>
      <c r="R49" s="27">
        <f t="shared" si="13"/>
        <v>0</v>
      </c>
      <c r="S49" s="28">
        <f t="shared" si="7"/>
        <v>0</v>
      </c>
    </row>
    <row r="50" spans="2:19" hidden="1">
      <c r="B50" s="7"/>
      <c r="C50" s="14"/>
      <c r="D50" s="14"/>
      <c r="E50" s="14"/>
      <c r="F50" s="14"/>
      <c r="G50" s="8"/>
      <c r="H50" s="24">
        <f t="shared" si="6"/>
        <v>0</v>
      </c>
      <c r="I50" s="34">
        <f t="shared" si="8"/>
        <v>0</v>
      </c>
      <c r="J50" s="10"/>
      <c r="K50" s="12"/>
      <c r="L50" s="11"/>
      <c r="M50" s="32"/>
      <c r="N50" s="25">
        <f t="shared" si="9"/>
        <v>0</v>
      </c>
      <c r="O50" s="25">
        <f t="shared" si="10"/>
        <v>0</v>
      </c>
      <c r="P50" s="25">
        <f t="shared" si="11"/>
        <v>0</v>
      </c>
      <c r="Q50" s="26">
        <f t="shared" si="12"/>
        <v>0</v>
      </c>
      <c r="R50" s="27">
        <f t="shared" si="13"/>
        <v>0</v>
      </c>
      <c r="S50" s="28">
        <f t="shared" si="7"/>
        <v>0</v>
      </c>
    </row>
    <row r="51" spans="2:19" hidden="1">
      <c r="B51" s="7"/>
      <c r="C51" s="14"/>
      <c r="D51" s="14"/>
      <c r="E51" s="14"/>
      <c r="F51" s="14"/>
      <c r="G51" s="8"/>
      <c r="H51" s="24">
        <f t="shared" si="6"/>
        <v>0</v>
      </c>
      <c r="I51" s="34">
        <f t="shared" si="8"/>
        <v>0</v>
      </c>
      <c r="J51" s="10"/>
      <c r="K51" s="12"/>
      <c r="L51" s="11"/>
      <c r="M51" s="32"/>
      <c r="N51" s="25">
        <f t="shared" si="9"/>
        <v>0</v>
      </c>
      <c r="O51" s="25">
        <f t="shared" si="10"/>
        <v>0</v>
      </c>
      <c r="P51" s="25">
        <f t="shared" si="11"/>
        <v>0</v>
      </c>
      <c r="Q51" s="26">
        <f t="shared" si="12"/>
        <v>0</v>
      </c>
      <c r="R51" s="27">
        <f t="shared" si="13"/>
        <v>0</v>
      </c>
      <c r="S51" s="28">
        <f t="shared" si="7"/>
        <v>0</v>
      </c>
    </row>
    <row r="52" spans="2:19" hidden="1">
      <c r="B52" s="7"/>
      <c r="C52" s="14"/>
      <c r="D52" s="14"/>
      <c r="E52" s="14"/>
      <c r="F52" s="14"/>
      <c r="G52" s="8"/>
      <c r="H52" s="24">
        <f t="shared" si="6"/>
        <v>0</v>
      </c>
      <c r="I52" s="34">
        <f t="shared" si="8"/>
        <v>0</v>
      </c>
      <c r="J52" s="10"/>
      <c r="K52" s="12"/>
      <c r="L52" s="11"/>
      <c r="M52" s="32"/>
      <c r="N52" s="25">
        <f t="shared" si="9"/>
        <v>0</v>
      </c>
      <c r="O52" s="25">
        <f t="shared" si="10"/>
        <v>0</v>
      </c>
      <c r="P52" s="25">
        <f t="shared" si="11"/>
        <v>0</v>
      </c>
      <c r="Q52" s="26">
        <f t="shared" si="12"/>
        <v>0</v>
      </c>
      <c r="R52" s="27">
        <f t="shared" si="13"/>
        <v>0</v>
      </c>
      <c r="S52" s="28">
        <f t="shared" si="7"/>
        <v>0</v>
      </c>
    </row>
    <row r="53" spans="2:19" hidden="1">
      <c r="B53" s="7"/>
      <c r="C53" s="14"/>
      <c r="D53" s="14"/>
      <c r="E53" s="14"/>
      <c r="F53" s="14"/>
      <c r="G53" s="8"/>
      <c r="H53" s="24">
        <f t="shared" si="6"/>
        <v>0</v>
      </c>
      <c r="I53" s="34">
        <f t="shared" si="8"/>
        <v>0</v>
      </c>
      <c r="J53" s="10"/>
      <c r="K53" s="12"/>
      <c r="L53" s="11"/>
      <c r="M53" s="32"/>
      <c r="N53" s="25">
        <f t="shared" si="9"/>
        <v>0</v>
      </c>
      <c r="O53" s="25">
        <f t="shared" si="10"/>
        <v>0</v>
      </c>
      <c r="P53" s="25">
        <f t="shared" si="11"/>
        <v>0</v>
      </c>
      <c r="Q53" s="26">
        <f t="shared" si="12"/>
        <v>0</v>
      </c>
      <c r="R53" s="27">
        <f t="shared" si="13"/>
        <v>0</v>
      </c>
      <c r="S53" s="28">
        <f t="shared" si="7"/>
        <v>0</v>
      </c>
    </row>
    <row r="54" spans="2:19" hidden="1">
      <c r="B54" s="7"/>
      <c r="C54" s="14"/>
      <c r="D54" s="14"/>
      <c r="E54" s="14"/>
      <c r="F54" s="14"/>
      <c r="G54" s="8"/>
      <c r="H54" s="24">
        <f t="shared" si="6"/>
        <v>0</v>
      </c>
      <c r="I54" s="34">
        <f t="shared" si="8"/>
        <v>0</v>
      </c>
      <c r="J54" s="10"/>
      <c r="K54" s="12"/>
      <c r="L54" s="11"/>
      <c r="M54" s="32"/>
      <c r="N54" s="25">
        <f t="shared" si="9"/>
        <v>0</v>
      </c>
      <c r="O54" s="25">
        <f t="shared" si="10"/>
        <v>0</v>
      </c>
      <c r="P54" s="25">
        <f t="shared" si="11"/>
        <v>0</v>
      </c>
      <c r="Q54" s="26">
        <f t="shared" si="12"/>
        <v>0</v>
      </c>
      <c r="R54" s="27">
        <f t="shared" si="13"/>
        <v>0</v>
      </c>
      <c r="S54" s="28">
        <f t="shared" si="7"/>
        <v>0</v>
      </c>
    </row>
    <row r="55" spans="2:19" hidden="1">
      <c r="B55" s="7"/>
      <c r="C55" s="14"/>
      <c r="D55" s="14"/>
      <c r="E55" s="14"/>
      <c r="F55" s="14"/>
      <c r="G55" s="8"/>
      <c r="H55" s="24">
        <f t="shared" si="6"/>
        <v>0</v>
      </c>
      <c r="I55" s="34">
        <f t="shared" si="8"/>
        <v>0</v>
      </c>
      <c r="J55" s="10"/>
      <c r="K55" s="12"/>
      <c r="L55" s="11"/>
      <c r="M55" s="32"/>
      <c r="N55" s="25">
        <f t="shared" si="9"/>
        <v>0</v>
      </c>
      <c r="O55" s="25">
        <f t="shared" si="10"/>
        <v>0</v>
      </c>
      <c r="P55" s="25">
        <f t="shared" si="11"/>
        <v>0</v>
      </c>
      <c r="Q55" s="26">
        <f t="shared" si="12"/>
        <v>0</v>
      </c>
      <c r="R55" s="27">
        <f t="shared" si="13"/>
        <v>0</v>
      </c>
      <c r="S55" s="28">
        <f t="shared" si="7"/>
        <v>0</v>
      </c>
    </row>
    <row r="56" spans="2:19" hidden="1">
      <c r="B56" s="7"/>
      <c r="C56" s="14"/>
      <c r="D56" s="14"/>
      <c r="E56" s="14"/>
      <c r="F56" s="14"/>
      <c r="G56" s="8"/>
      <c r="H56" s="24">
        <f t="shared" si="6"/>
        <v>0</v>
      </c>
      <c r="I56" s="34">
        <f t="shared" si="8"/>
        <v>0</v>
      </c>
      <c r="J56" s="10"/>
      <c r="K56" s="12"/>
      <c r="L56" s="11"/>
      <c r="M56" s="32"/>
      <c r="N56" s="25">
        <f t="shared" si="9"/>
        <v>0</v>
      </c>
      <c r="O56" s="25">
        <f t="shared" si="10"/>
        <v>0</v>
      </c>
      <c r="P56" s="25">
        <f t="shared" si="11"/>
        <v>0</v>
      </c>
      <c r="Q56" s="26">
        <f t="shared" si="12"/>
        <v>0</v>
      </c>
      <c r="R56" s="27">
        <f t="shared" si="13"/>
        <v>0</v>
      </c>
      <c r="S56" s="28">
        <f t="shared" si="7"/>
        <v>0</v>
      </c>
    </row>
    <row r="57" spans="2:19" hidden="1">
      <c r="B57" s="7"/>
      <c r="C57" s="14"/>
      <c r="D57" s="14"/>
      <c r="E57" s="14"/>
      <c r="F57" s="14"/>
      <c r="G57" s="8"/>
      <c r="H57" s="24">
        <f t="shared" si="6"/>
        <v>0</v>
      </c>
      <c r="I57" s="34">
        <f t="shared" si="8"/>
        <v>0</v>
      </c>
      <c r="J57" s="10"/>
      <c r="K57" s="12"/>
      <c r="L57" s="11"/>
      <c r="M57" s="32"/>
      <c r="N57" s="25">
        <f t="shared" si="9"/>
        <v>0</v>
      </c>
      <c r="O57" s="25">
        <f t="shared" si="10"/>
        <v>0</v>
      </c>
      <c r="P57" s="25">
        <f t="shared" si="11"/>
        <v>0</v>
      </c>
      <c r="Q57" s="26">
        <f t="shared" si="12"/>
        <v>0</v>
      </c>
      <c r="R57" s="27">
        <f t="shared" si="13"/>
        <v>0</v>
      </c>
      <c r="S57" s="28">
        <f t="shared" si="7"/>
        <v>0</v>
      </c>
    </row>
    <row r="58" spans="2:19" hidden="1">
      <c r="B58" s="7"/>
      <c r="C58" s="14"/>
      <c r="D58" s="14"/>
      <c r="E58" s="14"/>
      <c r="F58" s="14"/>
      <c r="G58" s="8"/>
      <c r="H58" s="24">
        <f t="shared" si="6"/>
        <v>0</v>
      </c>
      <c r="I58" s="34">
        <f t="shared" si="8"/>
        <v>0</v>
      </c>
      <c r="J58" s="10"/>
      <c r="K58" s="12"/>
      <c r="L58" s="11"/>
      <c r="M58" s="32"/>
      <c r="N58" s="25">
        <f t="shared" si="9"/>
        <v>0</v>
      </c>
      <c r="O58" s="25">
        <f t="shared" si="10"/>
        <v>0</v>
      </c>
      <c r="P58" s="25">
        <f t="shared" si="11"/>
        <v>0</v>
      </c>
      <c r="Q58" s="26">
        <f t="shared" si="12"/>
        <v>0</v>
      </c>
      <c r="R58" s="27">
        <f t="shared" si="13"/>
        <v>0</v>
      </c>
      <c r="S58" s="28">
        <f t="shared" si="7"/>
        <v>0</v>
      </c>
    </row>
    <row r="59" spans="2:19" hidden="1">
      <c r="B59" s="7"/>
      <c r="C59" s="14"/>
      <c r="D59" s="14"/>
      <c r="E59" s="14"/>
      <c r="F59" s="14"/>
      <c r="G59" s="8"/>
      <c r="H59" s="24">
        <f t="shared" si="6"/>
        <v>0</v>
      </c>
      <c r="I59" s="34">
        <f t="shared" si="8"/>
        <v>0</v>
      </c>
      <c r="J59" s="10"/>
      <c r="K59" s="12"/>
      <c r="L59" s="11"/>
      <c r="M59" s="32"/>
      <c r="N59" s="25">
        <f t="shared" si="9"/>
        <v>0</v>
      </c>
      <c r="O59" s="25">
        <f t="shared" si="10"/>
        <v>0</v>
      </c>
      <c r="P59" s="25">
        <f t="shared" si="11"/>
        <v>0</v>
      </c>
      <c r="Q59" s="26">
        <f t="shared" si="12"/>
        <v>0</v>
      </c>
      <c r="R59" s="27">
        <f t="shared" si="13"/>
        <v>0</v>
      </c>
      <c r="S59" s="28">
        <f t="shared" si="7"/>
        <v>0</v>
      </c>
    </row>
    <row r="60" spans="2:19" hidden="1">
      <c r="B60" s="7"/>
      <c r="C60" s="14"/>
      <c r="D60" s="14"/>
      <c r="E60" s="14"/>
      <c r="F60" s="14"/>
      <c r="G60" s="8"/>
      <c r="H60" s="24">
        <f t="shared" si="6"/>
        <v>0</v>
      </c>
      <c r="I60" s="34">
        <f t="shared" si="8"/>
        <v>0</v>
      </c>
      <c r="J60" s="10"/>
      <c r="K60" s="12"/>
      <c r="L60" s="11"/>
      <c r="M60" s="32"/>
      <c r="N60" s="25">
        <f t="shared" si="9"/>
        <v>0</v>
      </c>
      <c r="O60" s="25">
        <f t="shared" si="10"/>
        <v>0</v>
      </c>
      <c r="P60" s="25">
        <f t="shared" si="11"/>
        <v>0</v>
      </c>
      <c r="Q60" s="26">
        <f t="shared" si="12"/>
        <v>0</v>
      </c>
      <c r="R60" s="27">
        <f t="shared" si="13"/>
        <v>0</v>
      </c>
      <c r="S60" s="28">
        <f t="shared" si="7"/>
        <v>0</v>
      </c>
    </row>
    <row r="61" spans="2:19" hidden="1">
      <c r="B61" s="7"/>
      <c r="C61" s="14"/>
      <c r="D61" s="14"/>
      <c r="E61" s="14"/>
      <c r="F61" s="14"/>
      <c r="G61" s="8"/>
      <c r="H61" s="24">
        <f t="shared" si="6"/>
        <v>0</v>
      </c>
      <c r="I61" s="34">
        <f t="shared" si="8"/>
        <v>0</v>
      </c>
      <c r="J61" s="10"/>
      <c r="K61" s="12"/>
      <c r="L61" s="11"/>
      <c r="M61" s="32"/>
      <c r="N61" s="25">
        <f t="shared" si="9"/>
        <v>0</v>
      </c>
      <c r="O61" s="25">
        <f t="shared" si="10"/>
        <v>0</v>
      </c>
      <c r="P61" s="25">
        <f t="shared" si="11"/>
        <v>0</v>
      </c>
      <c r="Q61" s="26">
        <f t="shared" si="12"/>
        <v>0</v>
      </c>
      <c r="R61" s="27">
        <f t="shared" si="13"/>
        <v>0</v>
      </c>
      <c r="S61" s="28">
        <f t="shared" si="7"/>
        <v>0</v>
      </c>
    </row>
    <row r="62" spans="2:19" hidden="1">
      <c r="B62" s="7"/>
      <c r="C62" s="14"/>
      <c r="D62" s="14"/>
      <c r="E62" s="14"/>
      <c r="F62" s="14"/>
      <c r="G62" s="8"/>
      <c r="H62" s="24">
        <f t="shared" si="6"/>
        <v>0</v>
      </c>
      <c r="I62" s="34">
        <f t="shared" si="8"/>
        <v>0</v>
      </c>
      <c r="J62" s="10"/>
      <c r="K62" s="12"/>
      <c r="L62" s="11"/>
      <c r="M62" s="32"/>
      <c r="N62" s="25">
        <f t="shared" si="9"/>
        <v>0</v>
      </c>
      <c r="O62" s="25">
        <f t="shared" si="10"/>
        <v>0</v>
      </c>
      <c r="P62" s="25">
        <f t="shared" si="11"/>
        <v>0</v>
      </c>
      <c r="Q62" s="26">
        <f t="shared" si="12"/>
        <v>0</v>
      </c>
      <c r="R62" s="27">
        <f t="shared" si="13"/>
        <v>0</v>
      </c>
      <c r="S62" s="28">
        <f t="shared" si="7"/>
        <v>0</v>
      </c>
    </row>
    <row r="63" spans="2:19" hidden="1">
      <c r="B63" s="7"/>
      <c r="C63" s="14"/>
      <c r="D63" s="14"/>
      <c r="E63" s="14"/>
      <c r="F63" s="14"/>
      <c r="G63" s="8"/>
      <c r="H63" s="24">
        <f t="shared" si="6"/>
        <v>0</v>
      </c>
      <c r="I63" s="34">
        <f t="shared" si="8"/>
        <v>0</v>
      </c>
      <c r="J63" s="10"/>
      <c r="K63" s="12"/>
      <c r="L63" s="11"/>
      <c r="M63" s="32"/>
      <c r="N63" s="25">
        <f t="shared" si="9"/>
        <v>0</v>
      </c>
      <c r="O63" s="25">
        <f t="shared" si="10"/>
        <v>0</v>
      </c>
      <c r="P63" s="25">
        <f t="shared" si="11"/>
        <v>0</v>
      </c>
      <c r="Q63" s="26">
        <f t="shared" si="12"/>
        <v>0</v>
      </c>
      <c r="R63" s="27">
        <f t="shared" si="13"/>
        <v>0</v>
      </c>
      <c r="S63" s="28">
        <f t="shared" si="7"/>
        <v>0</v>
      </c>
    </row>
    <row r="64" spans="2:19" hidden="1">
      <c r="B64" s="7"/>
      <c r="C64" s="14"/>
      <c r="D64" s="14"/>
      <c r="E64" s="14"/>
      <c r="F64" s="14"/>
      <c r="G64" s="8"/>
      <c r="H64" s="24">
        <f t="shared" si="6"/>
        <v>0</v>
      </c>
      <c r="I64" s="34">
        <f t="shared" si="8"/>
        <v>0</v>
      </c>
      <c r="J64" s="10"/>
      <c r="K64" s="12"/>
      <c r="L64" s="11"/>
      <c r="M64" s="32"/>
      <c r="N64" s="25">
        <f t="shared" si="9"/>
        <v>0</v>
      </c>
      <c r="O64" s="25">
        <f t="shared" si="10"/>
        <v>0</v>
      </c>
      <c r="P64" s="25">
        <f t="shared" si="11"/>
        <v>0</v>
      </c>
      <c r="Q64" s="26">
        <f t="shared" si="12"/>
        <v>0</v>
      </c>
      <c r="R64" s="27">
        <f t="shared" si="13"/>
        <v>0</v>
      </c>
      <c r="S64" s="28">
        <f t="shared" si="7"/>
        <v>0</v>
      </c>
    </row>
    <row r="65" spans="2:19" hidden="1">
      <c r="B65" s="7"/>
      <c r="C65" s="14"/>
      <c r="D65" s="14"/>
      <c r="E65" s="14"/>
      <c r="F65" s="14"/>
      <c r="G65" s="8"/>
      <c r="H65" s="24">
        <f t="shared" si="6"/>
        <v>0</v>
      </c>
      <c r="I65" s="34">
        <f t="shared" si="8"/>
        <v>0</v>
      </c>
      <c r="J65" s="10"/>
      <c r="K65" s="12"/>
      <c r="L65" s="11"/>
      <c r="M65" s="32"/>
      <c r="N65" s="25">
        <f t="shared" si="9"/>
        <v>0</v>
      </c>
      <c r="O65" s="25">
        <f t="shared" si="10"/>
        <v>0</v>
      </c>
      <c r="P65" s="25">
        <f t="shared" si="11"/>
        <v>0</v>
      </c>
      <c r="Q65" s="26">
        <f t="shared" si="12"/>
        <v>0</v>
      </c>
      <c r="R65" s="27">
        <f t="shared" si="13"/>
        <v>0</v>
      </c>
      <c r="S65" s="28">
        <f t="shared" si="7"/>
        <v>0</v>
      </c>
    </row>
    <row r="66" spans="2:19" hidden="1">
      <c r="B66" s="7"/>
      <c r="C66" s="14"/>
      <c r="D66" s="14"/>
      <c r="E66" s="14"/>
      <c r="F66" s="14"/>
      <c r="G66" s="8"/>
      <c r="H66" s="24">
        <f t="shared" si="6"/>
        <v>0</v>
      </c>
      <c r="I66" s="34">
        <f t="shared" si="8"/>
        <v>0</v>
      </c>
      <c r="J66" s="10"/>
      <c r="K66" s="12"/>
      <c r="L66" s="11"/>
      <c r="M66" s="32"/>
      <c r="N66" s="25">
        <f t="shared" si="9"/>
        <v>0</v>
      </c>
      <c r="O66" s="25">
        <f t="shared" si="10"/>
        <v>0</v>
      </c>
      <c r="P66" s="25">
        <f t="shared" si="11"/>
        <v>0</v>
      </c>
      <c r="Q66" s="26">
        <f t="shared" si="12"/>
        <v>0</v>
      </c>
      <c r="R66" s="27">
        <f t="shared" si="13"/>
        <v>0</v>
      </c>
      <c r="S66" s="28">
        <f t="shared" si="7"/>
        <v>0</v>
      </c>
    </row>
    <row r="67" spans="2:19" hidden="1">
      <c r="B67" s="7"/>
      <c r="C67" s="14"/>
      <c r="D67" s="14"/>
      <c r="E67" s="14"/>
      <c r="F67" s="14"/>
      <c r="G67" s="8"/>
      <c r="H67" s="24">
        <f t="shared" si="6"/>
        <v>0</v>
      </c>
      <c r="I67" s="34">
        <f t="shared" si="8"/>
        <v>0</v>
      </c>
      <c r="J67" s="10"/>
      <c r="K67" s="12"/>
      <c r="L67" s="11"/>
      <c r="M67" s="32"/>
      <c r="N67" s="25">
        <f t="shared" si="9"/>
        <v>0</v>
      </c>
      <c r="O67" s="25">
        <f t="shared" si="10"/>
        <v>0</v>
      </c>
      <c r="P67" s="25">
        <f t="shared" si="11"/>
        <v>0</v>
      </c>
      <c r="Q67" s="26">
        <f t="shared" si="12"/>
        <v>0</v>
      </c>
      <c r="R67" s="27">
        <f t="shared" si="13"/>
        <v>0</v>
      </c>
      <c r="S67" s="28">
        <f t="shared" si="7"/>
        <v>0</v>
      </c>
    </row>
    <row r="68" spans="2:19" hidden="1">
      <c r="B68" s="7"/>
      <c r="C68" s="14"/>
      <c r="D68" s="14"/>
      <c r="E68" s="14"/>
      <c r="F68" s="14"/>
      <c r="G68" s="8"/>
      <c r="H68" s="24">
        <f t="shared" si="6"/>
        <v>0</v>
      </c>
      <c r="I68" s="34">
        <f t="shared" si="8"/>
        <v>0</v>
      </c>
      <c r="J68" s="10"/>
      <c r="K68" s="12"/>
      <c r="L68" s="11"/>
      <c r="M68" s="32"/>
      <c r="N68" s="25">
        <f t="shared" si="9"/>
        <v>0</v>
      </c>
      <c r="O68" s="25">
        <f t="shared" si="10"/>
        <v>0</v>
      </c>
      <c r="P68" s="25">
        <f t="shared" si="11"/>
        <v>0</v>
      </c>
      <c r="Q68" s="26">
        <f t="shared" si="12"/>
        <v>0</v>
      </c>
      <c r="R68" s="27">
        <f t="shared" si="13"/>
        <v>0</v>
      </c>
      <c r="S68" s="28">
        <f t="shared" si="7"/>
        <v>0</v>
      </c>
    </row>
    <row r="69" spans="2:19" hidden="1">
      <c r="B69" s="7"/>
      <c r="C69" s="14"/>
      <c r="D69" s="14"/>
      <c r="E69" s="14"/>
      <c r="F69" s="14"/>
      <c r="G69" s="8"/>
      <c r="H69" s="24">
        <f t="shared" ref="H69:H77" si="14">SUM(C69:G69)</f>
        <v>0</v>
      </c>
      <c r="I69" s="34">
        <f t="shared" si="8"/>
        <v>0</v>
      </c>
      <c r="J69" s="10"/>
      <c r="K69" s="12"/>
      <c r="L69" s="11"/>
      <c r="M69" s="32"/>
      <c r="N69" s="25">
        <f t="shared" si="9"/>
        <v>0</v>
      </c>
      <c r="O69" s="25">
        <f t="shared" si="10"/>
        <v>0</v>
      </c>
      <c r="P69" s="25">
        <f t="shared" si="11"/>
        <v>0</v>
      </c>
      <c r="Q69" s="26">
        <f t="shared" si="12"/>
        <v>0</v>
      </c>
      <c r="R69" s="27">
        <f t="shared" si="13"/>
        <v>0</v>
      </c>
      <c r="S69" s="28">
        <f t="shared" ref="S69:S77" si="15">SUM(N69:R69)</f>
        <v>0</v>
      </c>
    </row>
    <row r="70" spans="2:19" hidden="1">
      <c r="B70" s="7"/>
      <c r="C70" s="14"/>
      <c r="D70" s="14"/>
      <c r="E70" s="14"/>
      <c r="F70" s="14"/>
      <c r="G70" s="8"/>
      <c r="H70" s="24">
        <f t="shared" si="14"/>
        <v>0</v>
      </c>
      <c r="I70" s="34">
        <f t="shared" si="8"/>
        <v>0</v>
      </c>
      <c r="J70" s="10"/>
      <c r="K70" s="12"/>
      <c r="L70" s="11"/>
      <c r="M70" s="32"/>
      <c r="N70" s="25">
        <f t="shared" si="9"/>
        <v>0</v>
      </c>
      <c r="O70" s="25">
        <f t="shared" si="10"/>
        <v>0</v>
      </c>
      <c r="P70" s="25">
        <f t="shared" si="11"/>
        <v>0</v>
      </c>
      <c r="Q70" s="26">
        <f t="shared" si="12"/>
        <v>0</v>
      </c>
      <c r="R70" s="27">
        <f t="shared" si="13"/>
        <v>0</v>
      </c>
      <c r="S70" s="28">
        <f t="shared" si="15"/>
        <v>0</v>
      </c>
    </row>
    <row r="71" spans="2:19" hidden="1">
      <c r="B71" s="7"/>
      <c r="C71" s="14"/>
      <c r="D71" s="14"/>
      <c r="E71" s="14"/>
      <c r="F71" s="14"/>
      <c r="G71" s="8"/>
      <c r="H71" s="24">
        <f t="shared" si="14"/>
        <v>0</v>
      </c>
      <c r="I71" s="34">
        <f t="shared" si="8"/>
        <v>0</v>
      </c>
      <c r="J71" s="10"/>
      <c r="K71" s="12"/>
      <c r="L71" s="11"/>
      <c r="M71" s="32"/>
      <c r="N71" s="25">
        <f t="shared" si="9"/>
        <v>0</v>
      </c>
      <c r="O71" s="25">
        <f t="shared" si="10"/>
        <v>0</v>
      </c>
      <c r="P71" s="25">
        <f t="shared" si="11"/>
        <v>0</v>
      </c>
      <c r="Q71" s="26">
        <f t="shared" si="12"/>
        <v>0</v>
      </c>
      <c r="R71" s="27">
        <f t="shared" si="13"/>
        <v>0</v>
      </c>
      <c r="S71" s="28">
        <f t="shared" si="15"/>
        <v>0</v>
      </c>
    </row>
    <row r="72" spans="2:19" hidden="1">
      <c r="B72" s="7"/>
      <c r="C72" s="14"/>
      <c r="D72" s="14"/>
      <c r="E72" s="14"/>
      <c r="F72" s="14"/>
      <c r="G72" s="8"/>
      <c r="H72" s="24">
        <f t="shared" si="14"/>
        <v>0</v>
      </c>
      <c r="I72" s="34">
        <f t="shared" si="8"/>
        <v>0</v>
      </c>
      <c r="J72" s="10"/>
      <c r="K72" s="12"/>
      <c r="L72" s="11"/>
      <c r="M72" s="32"/>
      <c r="N72" s="25">
        <f t="shared" si="9"/>
        <v>0</v>
      </c>
      <c r="O72" s="25">
        <f t="shared" si="10"/>
        <v>0</v>
      </c>
      <c r="P72" s="25">
        <f t="shared" si="11"/>
        <v>0</v>
      </c>
      <c r="Q72" s="26">
        <f t="shared" si="12"/>
        <v>0</v>
      </c>
      <c r="R72" s="27">
        <f t="shared" si="13"/>
        <v>0</v>
      </c>
      <c r="S72" s="28">
        <f t="shared" si="15"/>
        <v>0</v>
      </c>
    </row>
    <row r="73" spans="2:19" hidden="1">
      <c r="B73" s="7"/>
      <c r="C73" s="14"/>
      <c r="D73" s="14"/>
      <c r="E73" s="14"/>
      <c r="F73" s="14"/>
      <c r="G73" s="8"/>
      <c r="H73" s="24">
        <f t="shared" si="14"/>
        <v>0</v>
      </c>
      <c r="I73" s="34">
        <f t="shared" si="8"/>
        <v>0</v>
      </c>
      <c r="J73" s="10"/>
      <c r="K73" s="12"/>
      <c r="L73" s="11"/>
      <c r="M73" s="32"/>
      <c r="N73" s="25">
        <f t="shared" si="9"/>
        <v>0</v>
      </c>
      <c r="O73" s="25">
        <f t="shared" si="10"/>
        <v>0</v>
      </c>
      <c r="P73" s="25">
        <f t="shared" si="11"/>
        <v>0</v>
      </c>
      <c r="Q73" s="26">
        <f t="shared" si="12"/>
        <v>0</v>
      </c>
      <c r="R73" s="27">
        <f t="shared" si="13"/>
        <v>0</v>
      </c>
      <c r="S73" s="28">
        <f t="shared" si="15"/>
        <v>0</v>
      </c>
    </row>
    <row r="74" spans="2:19" hidden="1">
      <c r="B74" s="7"/>
      <c r="C74" s="14"/>
      <c r="D74" s="14"/>
      <c r="E74" s="14"/>
      <c r="F74" s="14"/>
      <c r="G74" s="8"/>
      <c r="H74" s="24">
        <f t="shared" si="14"/>
        <v>0</v>
      </c>
      <c r="I74" s="34">
        <f t="shared" si="8"/>
        <v>0</v>
      </c>
      <c r="J74" s="10"/>
      <c r="K74" s="12"/>
      <c r="L74" s="11"/>
      <c r="M74" s="32"/>
      <c r="N74" s="25">
        <f t="shared" si="9"/>
        <v>0</v>
      </c>
      <c r="O74" s="25">
        <f t="shared" si="10"/>
        <v>0</v>
      </c>
      <c r="P74" s="25">
        <f t="shared" si="11"/>
        <v>0</v>
      </c>
      <c r="Q74" s="26">
        <f t="shared" si="12"/>
        <v>0</v>
      </c>
      <c r="R74" s="27">
        <f t="shared" si="13"/>
        <v>0</v>
      </c>
      <c r="S74" s="28">
        <f t="shared" si="15"/>
        <v>0</v>
      </c>
    </row>
    <row r="75" spans="2:19" hidden="1">
      <c r="B75" s="7"/>
      <c r="C75" s="14"/>
      <c r="D75" s="14"/>
      <c r="E75" s="14"/>
      <c r="F75" s="14"/>
      <c r="G75" s="8"/>
      <c r="H75" s="24">
        <f t="shared" si="14"/>
        <v>0</v>
      </c>
      <c r="I75" s="34">
        <f t="shared" si="8"/>
        <v>0</v>
      </c>
      <c r="J75" s="10"/>
      <c r="K75" s="12"/>
      <c r="L75" s="11"/>
      <c r="M75" s="32"/>
      <c r="N75" s="25">
        <f t="shared" si="9"/>
        <v>0</v>
      </c>
      <c r="O75" s="25">
        <f t="shared" si="10"/>
        <v>0</v>
      </c>
      <c r="P75" s="25">
        <f t="shared" si="11"/>
        <v>0</v>
      </c>
      <c r="Q75" s="26">
        <f t="shared" si="12"/>
        <v>0</v>
      </c>
      <c r="R75" s="27">
        <f t="shared" si="13"/>
        <v>0</v>
      </c>
      <c r="S75" s="28">
        <f t="shared" si="15"/>
        <v>0</v>
      </c>
    </row>
    <row r="76" spans="2:19" hidden="1">
      <c r="B76" s="7"/>
      <c r="C76" s="14"/>
      <c r="D76" s="14"/>
      <c r="E76" s="14"/>
      <c r="F76" s="14"/>
      <c r="G76" s="8"/>
      <c r="H76" s="24">
        <f t="shared" si="14"/>
        <v>0</v>
      </c>
      <c r="I76" s="34">
        <f t="shared" si="8"/>
        <v>0</v>
      </c>
      <c r="J76" s="10"/>
      <c r="K76" s="12"/>
      <c r="L76" s="11"/>
      <c r="M76" s="32"/>
      <c r="N76" s="25">
        <f t="shared" si="9"/>
        <v>0</v>
      </c>
      <c r="O76" s="25">
        <f t="shared" si="10"/>
        <v>0</v>
      </c>
      <c r="P76" s="25">
        <f t="shared" si="11"/>
        <v>0</v>
      </c>
      <c r="Q76" s="26">
        <f t="shared" si="12"/>
        <v>0</v>
      </c>
      <c r="R76" s="27">
        <f t="shared" si="13"/>
        <v>0</v>
      </c>
      <c r="S76" s="28">
        <f t="shared" si="15"/>
        <v>0</v>
      </c>
    </row>
    <row r="77" spans="2:19" hidden="1">
      <c r="B77" s="7"/>
      <c r="C77" s="14"/>
      <c r="D77" s="14"/>
      <c r="E77" s="14"/>
      <c r="F77" s="14"/>
      <c r="G77" s="8"/>
      <c r="H77" s="24">
        <f t="shared" si="14"/>
        <v>0</v>
      </c>
      <c r="I77" s="34">
        <f t="shared" si="8"/>
        <v>0</v>
      </c>
      <c r="J77" s="10"/>
      <c r="K77" s="12"/>
      <c r="L77" s="11"/>
      <c r="M77" s="32"/>
      <c r="N77" s="25">
        <f t="shared" si="9"/>
        <v>0</v>
      </c>
      <c r="O77" s="25">
        <f t="shared" si="10"/>
        <v>0</v>
      </c>
      <c r="P77" s="25">
        <f t="shared" si="11"/>
        <v>0</v>
      </c>
      <c r="Q77" s="26">
        <f t="shared" si="12"/>
        <v>0</v>
      </c>
      <c r="R77" s="27">
        <f t="shared" si="13"/>
        <v>0</v>
      </c>
      <c r="S77" s="28">
        <f t="shared" si="15"/>
        <v>0</v>
      </c>
    </row>
    <row r="78" spans="2:19">
      <c r="B78" s="58" t="s">
        <v>13</v>
      </c>
      <c r="C78" s="33">
        <v>0</v>
      </c>
      <c r="D78" s="33">
        <v>0</v>
      </c>
      <c r="E78" s="33">
        <v>0</v>
      </c>
      <c r="F78" s="33">
        <v>0</v>
      </c>
      <c r="G78" s="33">
        <f t="shared" ref="G78:H78" si="16">R78</f>
        <v>0</v>
      </c>
      <c r="H78" s="33">
        <f t="shared" si="16"/>
        <v>0</v>
      </c>
      <c r="N78" s="29">
        <f t="shared" ref="N78:S78" si="17">SUM(N6:N77)</f>
        <v>0</v>
      </c>
      <c r="O78" s="29">
        <f t="shared" si="17"/>
        <v>0</v>
      </c>
      <c r="P78" s="29">
        <f t="shared" si="17"/>
        <v>0</v>
      </c>
      <c r="Q78" s="29">
        <f t="shared" si="17"/>
        <v>0</v>
      </c>
      <c r="R78" s="29">
        <f t="shared" si="17"/>
        <v>0</v>
      </c>
      <c r="S78" s="29">
        <f t="shared" si="17"/>
        <v>0</v>
      </c>
    </row>
    <row r="79" spans="2:19">
      <c r="B79" s="59" t="s">
        <v>46</v>
      </c>
    </row>
    <row r="80" spans="2:19" ht="16.5" thickBot="1">
      <c r="B80" s="2"/>
    </row>
    <row r="81" spans="2:7">
      <c r="B81" s="60" t="s">
        <v>47</v>
      </c>
    </row>
    <row r="82" spans="2:7">
      <c r="B82" s="61" t="s">
        <v>19</v>
      </c>
    </row>
    <row r="83" spans="2:7">
      <c r="B83" s="61" t="s">
        <v>17</v>
      </c>
    </row>
    <row r="84" spans="2:7" ht="16.5" thickBot="1">
      <c r="B84" s="62" t="s">
        <v>18</v>
      </c>
    </row>
    <row r="85" spans="2:7">
      <c r="B85" s="2"/>
    </row>
    <row r="86" spans="2:7">
      <c r="B86" s="30" t="s">
        <v>20</v>
      </c>
    </row>
    <row r="87" spans="2:7">
      <c r="B87" s="35"/>
    </row>
    <row r="88" spans="2:7">
      <c r="B88" s="35"/>
    </row>
    <row r="89" spans="2:7">
      <c r="B89" s="2"/>
      <c r="G89" s="5" t="str">
        <f>IF(B89&lt;&gt;"",SUM(C89:F89),"")</f>
        <v/>
      </c>
    </row>
    <row r="90" spans="2:7">
      <c r="G90" s="5" t="str">
        <f t="shared" ref="G90:G153" si="18">IF(B90&lt;&gt;"",SUM(C90:F90),"")</f>
        <v/>
      </c>
    </row>
    <row r="91" spans="2:7">
      <c r="G91" s="5" t="str">
        <f t="shared" si="18"/>
        <v/>
      </c>
    </row>
    <row r="92" spans="2:7">
      <c r="G92" s="5" t="str">
        <f t="shared" si="18"/>
        <v/>
      </c>
    </row>
    <row r="93" spans="2:7">
      <c r="G93" s="5" t="str">
        <f t="shared" si="18"/>
        <v/>
      </c>
    </row>
    <row r="94" spans="2:7">
      <c r="G94" s="5" t="str">
        <f t="shared" si="18"/>
        <v/>
      </c>
    </row>
    <row r="95" spans="2:7">
      <c r="G95" s="5" t="str">
        <f t="shared" si="18"/>
        <v/>
      </c>
    </row>
    <row r="96" spans="2:7">
      <c r="G96" s="5" t="str">
        <f t="shared" si="18"/>
        <v/>
      </c>
    </row>
    <row r="97" spans="7:7">
      <c r="G97" s="5" t="str">
        <f t="shared" si="18"/>
        <v/>
      </c>
    </row>
    <row r="98" spans="7:7">
      <c r="G98" s="5" t="str">
        <f t="shared" si="18"/>
        <v/>
      </c>
    </row>
    <row r="99" spans="7:7">
      <c r="G99" s="5" t="str">
        <f t="shared" si="18"/>
        <v/>
      </c>
    </row>
    <row r="100" spans="7:7">
      <c r="G100" s="5" t="str">
        <f t="shared" si="18"/>
        <v/>
      </c>
    </row>
    <row r="101" spans="7:7">
      <c r="G101" s="5" t="str">
        <f t="shared" si="18"/>
        <v/>
      </c>
    </row>
    <row r="102" spans="7:7">
      <c r="G102" s="5" t="str">
        <f t="shared" si="18"/>
        <v/>
      </c>
    </row>
    <row r="103" spans="7:7">
      <c r="G103" s="5" t="str">
        <f t="shared" si="18"/>
        <v/>
      </c>
    </row>
    <row r="104" spans="7:7">
      <c r="G104" s="5" t="str">
        <f t="shared" si="18"/>
        <v/>
      </c>
    </row>
    <row r="105" spans="7:7">
      <c r="G105" s="5" t="str">
        <f t="shared" si="18"/>
        <v/>
      </c>
    </row>
    <row r="106" spans="7:7">
      <c r="G106" s="5" t="str">
        <f t="shared" si="18"/>
        <v/>
      </c>
    </row>
    <row r="107" spans="7:7">
      <c r="G107" s="5" t="str">
        <f t="shared" si="18"/>
        <v/>
      </c>
    </row>
    <row r="108" spans="7:7">
      <c r="G108" s="5" t="str">
        <f t="shared" si="18"/>
        <v/>
      </c>
    </row>
    <row r="109" spans="7:7">
      <c r="G109" s="5" t="str">
        <f t="shared" si="18"/>
        <v/>
      </c>
    </row>
    <row r="110" spans="7:7">
      <c r="G110" s="5" t="str">
        <f t="shared" si="18"/>
        <v/>
      </c>
    </row>
    <row r="111" spans="7:7">
      <c r="G111" s="5" t="str">
        <f t="shared" si="18"/>
        <v/>
      </c>
    </row>
    <row r="112" spans="7:7">
      <c r="G112" s="5" t="str">
        <f t="shared" si="18"/>
        <v/>
      </c>
    </row>
    <row r="113" spans="7:7">
      <c r="G113" s="5" t="str">
        <f t="shared" si="18"/>
        <v/>
      </c>
    </row>
    <row r="114" spans="7:7">
      <c r="G114" s="5" t="str">
        <f t="shared" si="18"/>
        <v/>
      </c>
    </row>
    <row r="115" spans="7:7">
      <c r="G115" s="5" t="str">
        <f t="shared" si="18"/>
        <v/>
      </c>
    </row>
    <row r="116" spans="7:7">
      <c r="G116" s="5" t="str">
        <f t="shared" si="18"/>
        <v/>
      </c>
    </row>
    <row r="117" spans="7:7">
      <c r="G117" s="5" t="str">
        <f t="shared" si="18"/>
        <v/>
      </c>
    </row>
    <row r="118" spans="7:7">
      <c r="G118" s="5" t="str">
        <f t="shared" si="18"/>
        <v/>
      </c>
    </row>
    <row r="119" spans="7:7">
      <c r="G119" s="5" t="str">
        <f t="shared" si="18"/>
        <v/>
      </c>
    </row>
    <row r="120" spans="7:7">
      <c r="G120" s="5" t="str">
        <f t="shared" si="18"/>
        <v/>
      </c>
    </row>
    <row r="121" spans="7:7">
      <c r="G121" s="5" t="str">
        <f t="shared" si="18"/>
        <v/>
      </c>
    </row>
    <row r="122" spans="7:7">
      <c r="G122" s="5" t="str">
        <f t="shared" si="18"/>
        <v/>
      </c>
    </row>
    <row r="123" spans="7:7">
      <c r="G123" s="5" t="str">
        <f t="shared" si="18"/>
        <v/>
      </c>
    </row>
    <row r="124" spans="7:7">
      <c r="G124" s="5" t="str">
        <f t="shared" si="18"/>
        <v/>
      </c>
    </row>
    <row r="125" spans="7:7">
      <c r="G125" s="5" t="str">
        <f t="shared" si="18"/>
        <v/>
      </c>
    </row>
    <row r="126" spans="7:7">
      <c r="G126" s="5" t="str">
        <f t="shared" si="18"/>
        <v/>
      </c>
    </row>
    <row r="127" spans="7:7">
      <c r="G127" s="5" t="str">
        <f t="shared" si="18"/>
        <v/>
      </c>
    </row>
    <row r="128" spans="7:7">
      <c r="G128" s="5" t="str">
        <f t="shared" si="18"/>
        <v/>
      </c>
    </row>
    <row r="129" spans="7:7">
      <c r="G129" s="5" t="str">
        <f t="shared" si="18"/>
        <v/>
      </c>
    </row>
    <row r="130" spans="7:7">
      <c r="G130" s="5" t="str">
        <f t="shared" si="18"/>
        <v/>
      </c>
    </row>
    <row r="131" spans="7:7">
      <c r="G131" s="5" t="str">
        <f t="shared" si="18"/>
        <v/>
      </c>
    </row>
    <row r="132" spans="7:7">
      <c r="G132" s="5" t="str">
        <f t="shared" si="18"/>
        <v/>
      </c>
    </row>
    <row r="133" spans="7:7">
      <c r="G133" s="5" t="str">
        <f t="shared" si="18"/>
        <v/>
      </c>
    </row>
    <row r="134" spans="7:7">
      <c r="G134" s="5" t="str">
        <f t="shared" si="18"/>
        <v/>
      </c>
    </row>
    <row r="135" spans="7:7">
      <c r="G135" s="5" t="str">
        <f t="shared" si="18"/>
        <v/>
      </c>
    </row>
    <row r="136" spans="7:7">
      <c r="G136" s="5" t="str">
        <f t="shared" si="18"/>
        <v/>
      </c>
    </row>
    <row r="137" spans="7:7">
      <c r="G137" s="5" t="str">
        <f t="shared" si="18"/>
        <v/>
      </c>
    </row>
    <row r="138" spans="7:7">
      <c r="G138" s="5" t="str">
        <f t="shared" si="18"/>
        <v/>
      </c>
    </row>
    <row r="139" spans="7:7">
      <c r="G139" s="5" t="str">
        <f t="shared" si="18"/>
        <v/>
      </c>
    </row>
    <row r="140" spans="7:7">
      <c r="G140" s="5" t="str">
        <f t="shared" si="18"/>
        <v/>
      </c>
    </row>
    <row r="141" spans="7:7">
      <c r="G141" s="5" t="str">
        <f t="shared" si="18"/>
        <v/>
      </c>
    </row>
    <row r="142" spans="7:7">
      <c r="G142" s="5" t="str">
        <f t="shared" si="18"/>
        <v/>
      </c>
    </row>
    <row r="143" spans="7:7">
      <c r="G143" s="5" t="str">
        <f t="shared" si="18"/>
        <v/>
      </c>
    </row>
    <row r="144" spans="7:7">
      <c r="G144" s="5" t="str">
        <f t="shared" si="18"/>
        <v/>
      </c>
    </row>
    <row r="145" spans="7:7">
      <c r="G145" s="5" t="str">
        <f t="shared" si="18"/>
        <v/>
      </c>
    </row>
    <row r="146" spans="7:7">
      <c r="G146" s="5" t="str">
        <f t="shared" si="18"/>
        <v/>
      </c>
    </row>
    <row r="147" spans="7:7">
      <c r="G147" s="5" t="str">
        <f t="shared" si="18"/>
        <v/>
      </c>
    </row>
    <row r="148" spans="7:7">
      <c r="G148" s="5" t="str">
        <f t="shared" si="18"/>
        <v/>
      </c>
    </row>
    <row r="149" spans="7:7">
      <c r="G149" s="5" t="str">
        <f t="shared" si="18"/>
        <v/>
      </c>
    </row>
    <row r="150" spans="7:7">
      <c r="G150" s="5" t="str">
        <f t="shared" si="18"/>
        <v/>
      </c>
    </row>
    <row r="151" spans="7:7">
      <c r="G151" s="5" t="str">
        <f t="shared" si="18"/>
        <v/>
      </c>
    </row>
    <row r="152" spans="7:7">
      <c r="G152" s="5" t="str">
        <f t="shared" si="18"/>
        <v/>
      </c>
    </row>
    <row r="153" spans="7:7">
      <c r="G153" s="5" t="str">
        <f t="shared" si="18"/>
        <v/>
      </c>
    </row>
    <row r="154" spans="7:7">
      <c r="G154" s="5" t="str">
        <f t="shared" ref="G154:G217" si="19">IF(B154&lt;&gt;"",SUM(C154:F154),"")</f>
        <v/>
      </c>
    </row>
    <row r="155" spans="7:7">
      <c r="G155" s="5" t="str">
        <f t="shared" si="19"/>
        <v/>
      </c>
    </row>
    <row r="156" spans="7:7">
      <c r="G156" s="5" t="str">
        <f t="shared" si="19"/>
        <v/>
      </c>
    </row>
    <row r="157" spans="7:7">
      <c r="G157" s="5" t="str">
        <f t="shared" si="19"/>
        <v/>
      </c>
    </row>
    <row r="158" spans="7:7">
      <c r="G158" s="5" t="str">
        <f t="shared" si="19"/>
        <v/>
      </c>
    </row>
    <row r="159" spans="7:7">
      <c r="G159" s="5" t="str">
        <f t="shared" si="19"/>
        <v/>
      </c>
    </row>
    <row r="160" spans="7:7">
      <c r="G160" s="5" t="str">
        <f t="shared" si="19"/>
        <v/>
      </c>
    </row>
    <row r="161" spans="7:7">
      <c r="G161" s="5" t="str">
        <f t="shared" si="19"/>
        <v/>
      </c>
    </row>
    <row r="162" spans="7:7">
      <c r="G162" s="5" t="str">
        <f t="shared" si="19"/>
        <v/>
      </c>
    </row>
    <row r="163" spans="7:7">
      <c r="G163" s="5" t="str">
        <f t="shared" si="19"/>
        <v/>
      </c>
    </row>
    <row r="164" spans="7:7">
      <c r="G164" s="5" t="str">
        <f t="shared" si="19"/>
        <v/>
      </c>
    </row>
    <row r="165" spans="7:7">
      <c r="G165" s="5" t="str">
        <f t="shared" si="19"/>
        <v/>
      </c>
    </row>
    <row r="166" spans="7:7">
      <c r="G166" s="5" t="str">
        <f t="shared" si="19"/>
        <v/>
      </c>
    </row>
    <row r="167" spans="7:7">
      <c r="G167" s="5" t="str">
        <f t="shared" si="19"/>
        <v/>
      </c>
    </row>
    <row r="168" spans="7:7">
      <c r="G168" s="5" t="str">
        <f t="shared" si="19"/>
        <v/>
      </c>
    </row>
    <row r="169" spans="7:7">
      <c r="G169" s="5" t="str">
        <f t="shared" si="19"/>
        <v/>
      </c>
    </row>
    <row r="170" spans="7:7">
      <c r="G170" s="5" t="str">
        <f t="shared" si="19"/>
        <v/>
      </c>
    </row>
    <row r="171" spans="7:7">
      <c r="G171" s="5" t="str">
        <f t="shared" si="19"/>
        <v/>
      </c>
    </row>
    <row r="172" spans="7:7">
      <c r="G172" s="5" t="str">
        <f t="shared" si="19"/>
        <v/>
      </c>
    </row>
    <row r="173" spans="7:7">
      <c r="G173" s="5" t="str">
        <f t="shared" si="19"/>
        <v/>
      </c>
    </row>
    <row r="174" spans="7:7">
      <c r="G174" s="5" t="str">
        <f t="shared" si="19"/>
        <v/>
      </c>
    </row>
    <row r="175" spans="7:7">
      <c r="G175" s="5" t="str">
        <f t="shared" si="19"/>
        <v/>
      </c>
    </row>
    <row r="176" spans="7:7">
      <c r="G176" s="5" t="str">
        <f t="shared" si="19"/>
        <v/>
      </c>
    </row>
    <row r="177" spans="7:7">
      <c r="G177" s="5" t="str">
        <f t="shared" si="19"/>
        <v/>
      </c>
    </row>
    <row r="178" spans="7:7">
      <c r="G178" s="5" t="str">
        <f t="shared" si="19"/>
        <v/>
      </c>
    </row>
    <row r="179" spans="7:7">
      <c r="G179" s="5" t="str">
        <f t="shared" si="19"/>
        <v/>
      </c>
    </row>
    <row r="180" spans="7:7">
      <c r="G180" s="5" t="str">
        <f t="shared" si="19"/>
        <v/>
      </c>
    </row>
    <row r="181" spans="7:7">
      <c r="G181" s="5" t="str">
        <f t="shared" si="19"/>
        <v/>
      </c>
    </row>
    <row r="182" spans="7:7">
      <c r="G182" s="5" t="str">
        <f t="shared" si="19"/>
        <v/>
      </c>
    </row>
    <row r="183" spans="7:7">
      <c r="G183" s="5" t="str">
        <f t="shared" si="19"/>
        <v/>
      </c>
    </row>
    <row r="184" spans="7:7">
      <c r="G184" s="5" t="str">
        <f t="shared" si="19"/>
        <v/>
      </c>
    </row>
    <row r="185" spans="7:7">
      <c r="G185" s="5" t="str">
        <f t="shared" si="19"/>
        <v/>
      </c>
    </row>
    <row r="186" spans="7:7">
      <c r="G186" s="5" t="str">
        <f t="shared" si="19"/>
        <v/>
      </c>
    </row>
    <row r="187" spans="7:7">
      <c r="G187" s="5" t="str">
        <f t="shared" si="19"/>
        <v/>
      </c>
    </row>
    <row r="188" spans="7:7">
      <c r="G188" s="5" t="str">
        <f t="shared" si="19"/>
        <v/>
      </c>
    </row>
    <row r="189" spans="7:7">
      <c r="G189" s="5" t="str">
        <f t="shared" si="19"/>
        <v/>
      </c>
    </row>
    <row r="190" spans="7:7">
      <c r="G190" s="5" t="str">
        <f t="shared" si="19"/>
        <v/>
      </c>
    </row>
    <row r="191" spans="7:7">
      <c r="G191" s="5" t="str">
        <f t="shared" si="19"/>
        <v/>
      </c>
    </row>
    <row r="192" spans="7:7">
      <c r="G192" s="5" t="str">
        <f t="shared" si="19"/>
        <v/>
      </c>
    </row>
    <row r="193" spans="7:7">
      <c r="G193" s="5" t="str">
        <f t="shared" si="19"/>
        <v/>
      </c>
    </row>
    <row r="194" spans="7:7">
      <c r="G194" s="5" t="str">
        <f t="shared" si="19"/>
        <v/>
      </c>
    </row>
    <row r="195" spans="7:7">
      <c r="G195" s="5" t="str">
        <f t="shared" si="19"/>
        <v/>
      </c>
    </row>
    <row r="196" spans="7:7">
      <c r="G196" s="5" t="str">
        <f t="shared" si="19"/>
        <v/>
      </c>
    </row>
    <row r="197" spans="7:7">
      <c r="G197" s="5" t="str">
        <f t="shared" si="19"/>
        <v/>
      </c>
    </row>
    <row r="198" spans="7:7">
      <c r="G198" s="5" t="str">
        <f t="shared" si="19"/>
        <v/>
      </c>
    </row>
    <row r="199" spans="7:7">
      <c r="G199" s="5" t="str">
        <f t="shared" si="19"/>
        <v/>
      </c>
    </row>
    <row r="200" spans="7:7">
      <c r="G200" s="5" t="str">
        <f t="shared" si="19"/>
        <v/>
      </c>
    </row>
    <row r="201" spans="7:7">
      <c r="G201" s="5" t="str">
        <f t="shared" si="19"/>
        <v/>
      </c>
    </row>
    <row r="202" spans="7:7">
      <c r="G202" s="5" t="str">
        <f t="shared" si="19"/>
        <v/>
      </c>
    </row>
    <row r="203" spans="7:7">
      <c r="G203" s="5" t="str">
        <f t="shared" si="19"/>
        <v/>
      </c>
    </row>
    <row r="204" spans="7:7">
      <c r="G204" s="5" t="str">
        <f t="shared" si="19"/>
        <v/>
      </c>
    </row>
    <row r="205" spans="7:7">
      <c r="G205" s="5" t="str">
        <f t="shared" si="19"/>
        <v/>
      </c>
    </row>
    <row r="206" spans="7:7">
      <c r="G206" s="5" t="str">
        <f t="shared" si="19"/>
        <v/>
      </c>
    </row>
    <row r="207" spans="7:7">
      <c r="G207" s="5" t="str">
        <f t="shared" si="19"/>
        <v/>
      </c>
    </row>
    <row r="208" spans="7:7">
      <c r="G208" s="5" t="str">
        <f t="shared" si="19"/>
        <v/>
      </c>
    </row>
    <row r="209" spans="7:7">
      <c r="G209" s="5" t="str">
        <f t="shared" si="19"/>
        <v/>
      </c>
    </row>
    <row r="210" spans="7:7">
      <c r="G210" s="5" t="str">
        <f t="shared" si="19"/>
        <v/>
      </c>
    </row>
    <row r="211" spans="7:7">
      <c r="G211" s="5" t="str">
        <f t="shared" si="19"/>
        <v/>
      </c>
    </row>
    <row r="212" spans="7:7">
      <c r="G212" s="5" t="str">
        <f t="shared" si="19"/>
        <v/>
      </c>
    </row>
    <row r="213" spans="7:7">
      <c r="G213" s="5" t="str">
        <f t="shared" si="19"/>
        <v/>
      </c>
    </row>
    <row r="214" spans="7:7">
      <c r="G214" s="5" t="str">
        <f t="shared" si="19"/>
        <v/>
      </c>
    </row>
    <row r="215" spans="7:7">
      <c r="G215" s="5" t="str">
        <f t="shared" si="19"/>
        <v/>
      </c>
    </row>
    <row r="216" spans="7:7">
      <c r="G216" s="5" t="str">
        <f t="shared" si="19"/>
        <v/>
      </c>
    </row>
    <row r="217" spans="7:7">
      <c r="G217" s="5" t="str">
        <f t="shared" si="19"/>
        <v/>
      </c>
    </row>
    <row r="218" spans="7:7">
      <c r="G218" s="5" t="str">
        <f t="shared" ref="G218:G281" si="20">IF(B218&lt;&gt;"",SUM(C218:F218),"")</f>
        <v/>
      </c>
    </row>
    <row r="219" spans="7:7">
      <c r="G219" s="5" t="str">
        <f t="shared" si="20"/>
        <v/>
      </c>
    </row>
    <row r="220" spans="7:7">
      <c r="G220" s="5" t="str">
        <f t="shared" si="20"/>
        <v/>
      </c>
    </row>
    <row r="221" spans="7:7">
      <c r="G221" s="5" t="str">
        <f t="shared" si="20"/>
        <v/>
      </c>
    </row>
    <row r="222" spans="7:7">
      <c r="G222" s="5" t="str">
        <f t="shared" si="20"/>
        <v/>
      </c>
    </row>
    <row r="223" spans="7:7">
      <c r="G223" s="5" t="str">
        <f t="shared" si="20"/>
        <v/>
      </c>
    </row>
    <row r="224" spans="7:7">
      <c r="G224" s="5" t="str">
        <f t="shared" si="20"/>
        <v/>
      </c>
    </row>
    <row r="225" spans="7:7">
      <c r="G225" s="5" t="str">
        <f t="shared" si="20"/>
        <v/>
      </c>
    </row>
    <row r="226" spans="7:7">
      <c r="G226" s="5" t="str">
        <f t="shared" si="20"/>
        <v/>
      </c>
    </row>
    <row r="227" spans="7:7">
      <c r="G227" s="5" t="str">
        <f t="shared" si="20"/>
        <v/>
      </c>
    </row>
    <row r="228" spans="7:7">
      <c r="G228" s="5" t="str">
        <f t="shared" si="20"/>
        <v/>
      </c>
    </row>
    <row r="229" spans="7:7">
      <c r="G229" s="5" t="str">
        <f t="shared" si="20"/>
        <v/>
      </c>
    </row>
    <row r="230" spans="7:7">
      <c r="G230" s="5" t="str">
        <f t="shared" si="20"/>
        <v/>
      </c>
    </row>
    <row r="231" spans="7:7">
      <c r="G231" s="5" t="str">
        <f t="shared" si="20"/>
        <v/>
      </c>
    </row>
    <row r="232" spans="7:7">
      <c r="G232" s="5" t="str">
        <f t="shared" si="20"/>
        <v/>
      </c>
    </row>
    <row r="233" spans="7:7">
      <c r="G233" s="5" t="str">
        <f t="shared" si="20"/>
        <v/>
      </c>
    </row>
    <row r="234" spans="7:7">
      <c r="G234" s="5" t="str">
        <f t="shared" si="20"/>
        <v/>
      </c>
    </row>
    <row r="235" spans="7:7">
      <c r="G235" s="5" t="str">
        <f t="shared" si="20"/>
        <v/>
      </c>
    </row>
    <row r="236" spans="7:7">
      <c r="G236" s="5" t="str">
        <f t="shared" si="20"/>
        <v/>
      </c>
    </row>
    <row r="237" spans="7:7">
      <c r="G237" s="5" t="str">
        <f t="shared" si="20"/>
        <v/>
      </c>
    </row>
    <row r="238" spans="7:7">
      <c r="G238" s="5" t="str">
        <f t="shared" si="20"/>
        <v/>
      </c>
    </row>
    <row r="239" spans="7:7">
      <c r="G239" s="5" t="str">
        <f t="shared" si="20"/>
        <v/>
      </c>
    </row>
    <row r="240" spans="7:7">
      <c r="G240" s="5" t="str">
        <f t="shared" si="20"/>
        <v/>
      </c>
    </row>
    <row r="241" spans="7:7">
      <c r="G241" s="5" t="str">
        <f t="shared" si="20"/>
        <v/>
      </c>
    </row>
    <row r="242" spans="7:7">
      <c r="G242" s="5" t="str">
        <f t="shared" si="20"/>
        <v/>
      </c>
    </row>
    <row r="243" spans="7:7">
      <c r="G243" s="5" t="str">
        <f t="shared" si="20"/>
        <v/>
      </c>
    </row>
    <row r="244" spans="7:7">
      <c r="G244" s="5" t="str">
        <f t="shared" si="20"/>
        <v/>
      </c>
    </row>
    <row r="245" spans="7:7">
      <c r="G245" s="5" t="str">
        <f t="shared" si="20"/>
        <v/>
      </c>
    </row>
    <row r="246" spans="7:7">
      <c r="G246" s="5" t="str">
        <f t="shared" si="20"/>
        <v/>
      </c>
    </row>
    <row r="247" spans="7:7">
      <c r="G247" s="5" t="str">
        <f t="shared" si="20"/>
        <v/>
      </c>
    </row>
    <row r="248" spans="7:7">
      <c r="G248" s="5" t="str">
        <f t="shared" si="20"/>
        <v/>
      </c>
    </row>
    <row r="249" spans="7:7">
      <c r="G249" s="5" t="str">
        <f t="shared" si="20"/>
        <v/>
      </c>
    </row>
    <row r="250" spans="7:7">
      <c r="G250" s="5" t="str">
        <f t="shared" si="20"/>
        <v/>
      </c>
    </row>
    <row r="251" spans="7:7">
      <c r="G251" s="5" t="str">
        <f t="shared" si="20"/>
        <v/>
      </c>
    </row>
    <row r="252" spans="7:7">
      <c r="G252" s="5" t="str">
        <f t="shared" si="20"/>
        <v/>
      </c>
    </row>
    <row r="253" spans="7:7">
      <c r="G253" s="5" t="str">
        <f t="shared" si="20"/>
        <v/>
      </c>
    </row>
    <row r="254" spans="7:7">
      <c r="G254" s="5" t="str">
        <f t="shared" si="20"/>
        <v/>
      </c>
    </row>
    <row r="255" spans="7:7">
      <c r="G255" s="5" t="str">
        <f t="shared" si="20"/>
        <v/>
      </c>
    </row>
    <row r="256" spans="7:7">
      <c r="G256" s="5" t="str">
        <f t="shared" si="20"/>
        <v/>
      </c>
    </row>
    <row r="257" spans="7:7">
      <c r="G257" s="5" t="str">
        <f t="shared" si="20"/>
        <v/>
      </c>
    </row>
    <row r="258" spans="7:7">
      <c r="G258" s="5" t="str">
        <f t="shared" si="20"/>
        <v/>
      </c>
    </row>
    <row r="259" spans="7:7">
      <c r="G259" s="5" t="str">
        <f t="shared" si="20"/>
        <v/>
      </c>
    </row>
    <row r="260" spans="7:7">
      <c r="G260" s="5" t="str">
        <f t="shared" si="20"/>
        <v/>
      </c>
    </row>
    <row r="261" spans="7:7">
      <c r="G261" s="5" t="str">
        <f t="shared" si="20"/>
        <v/>
      </c>
    </row>
    <row r="262" spans="7:7">
      <c r="G262" s="5" t="str">
        <f t="shared" si="20"/>
        <v/>
      </c>
    </row>
    <row r="263" spans="7:7">
      <c r="G263" s="5" t="str">
        <f t="shared" si="20"/>
        <v/>
      </c>
    </row>
    <row r="264" spans="7:7">
      <c r="G264" s="5" t="str">
        <f t="shared" si="20"/>
        <v/>
      </c>
    </row>
    <row r="265" spans="7:7">
      <c r="G265" s="5" t="str">
        <f t="shared" si="20"/>
        <v/>
      </c>
    </row>
    <row r="266" spans="7:7">
      <c r="G266" s="5" t="str">
        <f t="shared" si="20"/>
        <v/>
      </c>
    </row>
    <row r="267" spans="7:7">
      <c r="G267" s="5" t="str">
        <f t="shared" si="20"/>
        <v/>
      </c>
    </row>
    <row r="268" spans="7:7">
      <c r="G268" s="5" t="str">
        <f t="shared" si="20"/>
        <v/>
      </c>
    </row>
    <row r="269" spans="7:7">
      <c r="G269" s="5" t="str">
        <f t="shared" si="20"/>
        <v/>
      </c>
    </row>
    <row r="270" spans="7:7">
      <c r="G270" s="5" t="str">
        <f t="shared" si="20"/>
        <v/>
      </c>
    </row>
    <row r="271" spans="7:7">
      <c r="G271" s="5" t="str">
        <f t="shared" si="20"/>
        <v/>
      </c>
    </row>
    <row r="272" spans="7:7">
      <c r="G272" s="5" t="str">
        <f t="shared" si="20"/>
        <v/>
      </c>
    </row>
    <row r="273" spans="7:7">
      <c r="G273" s="5" t="str">
        <f t="shared" si="20"/>
        <v/>
      </c>
    </row>
    <row r="274" spans="7:7">
      <c r="G274" s="5" t="str">
        <f t="shared" si="20"/>
        <v/>
      </c>
    </row>
    <row r="275" spans="7:7">
      <c r="G275" s="5" t="str">
        <f t="shared" si="20"/>
        <v/>
      </c>
    </row>
    <row r="276" spans="7:7">
      <c r="G276" s="5" t="str">
        <f t="shared" si="20"/>
        <v/>
      </c>
    </row>
    <row r="277" spans="7:7">
      <c r="G277" s="5" t="str">
        <f t="shared" si="20"/>
        <v/>
      </c>
    </row>
    <row r="278" spans="7:7">
      <c r="G278" s="5" t="str">
        <f t="shared" si="20"/>
        <v/>
      </c>
    </row>
    <row r="279" spans="7:7">
      <c r="G279" s="5" t="str">
        <f t="shared" si="20"/>
        <v/>
      </c>
    </row>
    <row r="280" spans="7:7">
      <c r="G280" s="5" t="str">
        <f t="shared" si="20"/>
        <v/>
      </c>
    </row>
    <row r="281" spans="7:7">
      <c r="G281" s="5" t="str">
        <f t="shared" si="20"/>
        <v/>
      </c>
    </row>
    <row r="282" spans="7:7">
      <c r="G282" s="5" t="str">
        <f t="shared" ref="G282:G345" si="21">IF(B282&lt;&gt;"",SUM(C282:F282),"")</f>
        <v/>
      </c>
    </row>
    <row r="283" spans="7:7">
      <c r="G283" s="5" t="str">
        <f t="shared" si="21"/>
        <v/>
      </c>
    </row>
    <row r="284" spans="7:7">
      <c r="G284" s="5" t="str">
        <f t="shared" si="21"/>
        <v/>
      </c>
    </row>
    <row r="285" spans="7:7">
      <c r="G285" s="5" t="str">
        <f t="shared" si="21"/>
        <v/>
      </c>
    </row>
    <row r="286" spans="7:7">
      <c r="G286" s="5" t="str">
        <f t="shared" si="21"/>
        <v/>
      </c>
    </row>
    <row r="287" spans="7:7">
      <c r="G287" s="5" t="str">
        <f t="shared" si="21"/>
        <v/>
      </c>
    </row>
    <row r="288" spans="7:7">
      <c r="G288" s="5" t="str">
        <f t="shared" si="21"/>
        <v/>
      </c>
    </row>
    <row r="289" spans="7:7">
      <c r="G289" s="5" t="str">
        <f t="shared" si="21"/>
        <v/>
      </c>
    </row>
    <row r="290" spans="7:7">
      <c r="G290" s="5" t="str">
        <f t="shared" si="21"/>
        <v/>
      </c>
    </row>
    <row r="291" spans="7:7">
      <c r="G291" s="5" t="str">
        <f t="shared" si="21"/>
        <v/>
      </c>
    </row>
    <row r="292" spans="7:7">
      <c r="G292" s="5" t="str">
        <f t="shared" si="21"/>
        <v/>
      </c>
    </row>
    <row r="293" spans="7:7">
      <c r="G293" s="5" t="str">
        <f t="shared" si="21"/>
        <v/>
      </c>
    </row>
    <row r="294" spans="7:7">
      <c r="G294" s="5" t="str">
        <f t="shared" si="21"/>
        <v/>
      </c>
    </row>
    <row r="295" spans="7:7">
      <c r="G295" s="5" t="str">
        <f t="shared" si="21"/>
        <v/>
      </c>
    </row>
    <row r="296" spans="7:7">
      <c r="G296" s="5" t="str">
        <f t="shared" si="21"/>
        <v/>
      </c>
    </row>
    <row r="297" spans="7:7">
      <c r="G297" s="5" t="str">
        <f t="shared" si="21"/>
        <v/>
      </c>
    </row>
    <row r="298" spans="7:7">
      <c r="G298" s="5" t="str">
        <f t="shared" si="21"/>
        <v/>
      </c>
    </row>
    <row r="299" spans="7:7">
      <c r="G299" s="5" t="str">
        <f t="shared" si="21"/>
        <v/>
      </c>
    </row>
    <row r="300" spans="7:7">
      <c r="G300" s="5" t="str">
        <f t="shared" si="21"/>
        <v/>
      </c>
    </row>
    <row r="301" spans="7:7">
      <c r="G301" s="5" t="str">
        <f t="shared" si="21"/>
        <v/>
      </c>
    </row>
    <row r="302" spans="7:7">
      <c r="G302" s="5" t="str">
        <f t="shared" si="21"/>
        <v/>
      </c>
    </row>
    <row r="303" spans="7:7">
      <c r="G303" s="5" t="str">
        <f t="shared" si="21"/>
        <v/>
      </c>
    </row>
    <row r="304" spans="7:7">
      <c r="G304" s="5" t="str">
        <f t="shared" si="21"/>
        <v/>
      </c>
    </row>
    <row r="305" spans="7:7">
      <c r="G305" s="5" t="str">
        <f t="shared" si="21"/>
        <v/>
      </c>
    </row>
    <row r="306" spans="7:7">
      <c r="G306" s="5" t="str">
        <f t="shared" si="21"/>
        <v/>
      </c>
    </row>
    <row r="307" spans="7:7">
      <c r="G307" s="5" t="str">
        <f t="shared" si="21"/>
        <v/>
      </c>
    </row>
    <row r="308" spans="7:7">
      <c r="G308" s="5" t="str">
        <f t="shared" si="21"/>
        <v/>
      </c>
    </row>
    <row r="309" spans="7:7">
      <c r="G309" s="5" t="str">
        <f t="shared" si="21"/>
        <v/>
      </c>
    </row>
    <row r="310" spans="7:7">
      <c r="G310" s="5" t="str">
        <f t="shared" si="21"/>
        <v/>
      </c>
    </row>
    <row r="311" spans="7:7">
      <c r="G311" s="5" t="str">
        <f t="shared" si="21"/>
        <v/>
      </c>
    </row>
    <row r="312" spans="7:7">
      <c r="G312" s="5" t="str">
        <f t="shared" si="21"/>
        <v/>
      </c>
    </row>
    <row r="313" spans="7:7">
      <c r="G313" s="5" t="str">
        <f t="shared" si="21"/>
        <v/>
      </c>
    </row>
    <row r="314" spans="7:7">
      <c r="G314" s="5" t="str">
        <f t="shared" si="21"/>
        <v/>
      </c>
    </row>
    <row r="315" spans="7:7">
      <c r="G315" s="5" t="str">
        <f t="shared" si="21"/>
        <v/>
      </c>
    </row>
    <row r="316" spans="7:7">
      <c r="G316" s="5" t="str">
        <f t="shared" si="21"/>
        <v/>
      </c>
    </row>
    <row r="317" spans="7:7">
      <c r="G317" s="5" t="str">
        <f t="shared" si="21"/>
        <v/>
      </c>
    </row>
    <row r="318" spans="7:7">
      <c r="G318" s="5" t="str">
        <f t="shared" si="21"/>
        <v/>
      </c>
    </row>
    <row r="319" spans="7:7">
      <c r="G319" s="5" t="str">
        <f t="shared" si="21"/>
        <v/>
      </c>
    </row>
    <row r="320" spans="7:7">
      <c r="G320" s="5" t="str">
        <f t="shared" si="21"/>
        <v/>
      </c>
    </row>
    <row r="321" spans="7:7">
      <c r="G321" s="5" t="str">
        <f t="shared" si="21"/>
        <v/>
      </c>
    </row>
    <row r="322" spans="7:7">
      <c r="G322" s="5" t="str">
        <f t="shared" si="21"/>
        <v/>
      </c>
    </row>
    <row r="323" spans="7:7">
      <c r="G323" s="5" t="str">
        <f t="shared" si="21"/>
        <v/>
      </c>
    </row>
    <row r="324" spans="7:7">
      <c r="G324" s="5" t="str">
        <f t="shared" si="21"/>
        <v/>
      </c>
    </row>
    <row r="325" spans="7:7">
      <c r="G325" s="5" t="str">
        <f t="shared" si="21"/>
        <v/>
      </c>
    </row>
    <row r="326" spans="7:7">
      <c r="G326" s="5" t="str">
        <f t="shared" si="21"/>
        <v/>
      </c>
    </row>
    <row r="327" spans="7:7">
      <c r="G327" s="5" t="str">
        <f t="shared" si="21"/>
        <v/>
      </c>
    </row>
    <row r="328" spans="7:7">
      <c r="G328" s="5" t="str">
        <f t="shared" si="21"/>
        <v/>
      </c>
    </row>
    <row r="329" spans="7:7">
      <c r="G329" s="5" t="str">
        <f t="shared" si="21"/>
        <v/>
      </c>
    </row>
    <row r="330" spans="7:7">
      <c r="G330" s="5" t="str">
        <f t="shared" si="21"/>
        <v/>
      </c>
    </row>
    <row r="331" spans="7:7">
      <c r="G331" s="5" t="str">
        <f t="shared" si="21"/>
        <v/>
      </c>
    </row>
    <row r="332" spans="7:7">
      <c r="G332" s="5" t="str">
        <f t="shared" si="21"/>
        <v/>
      </c>
    </row>
    <row r="333" spans="7:7">
      <c r="G333" s="5" t="str">
        <f t="shared" si="21"/>
        <v/>
      </c>
    </row>
    <row r="334" spans="7:7">
      <c r="G334" s="5" t="str">
        <f t="shared" si="21"/>
        <v/>
      </c>
    </row>
    <row r="335" spans="7:7">
      <c r="G335" s="5" t="str">
        <f t="shared" si="21"/>
        <v/>
      </c>
    </row>
    <row r="336" spans="7:7">
      <c r="G336" s="5" t="str">
        <f t="shared" si="21"/>
        <v/>
      </c>
    </row>
    <row r="337" spans="7:7">
      <c r="G337" s="5" t="str">
        <f t="shared" si="21"/>
        <v/>
      </c>
    </row>
    <row r="338" spans="7:7">
      <c r="G338" s="5" t="str">
        <f t="shared" si="21"/>
        <v/>
      </c>
    </row>
    <row r="339" spans="7:7">
      <c r="G339" s="5" t="str">
        <f t="shared" si="21"/>
        <v/>
      </c>
    </row>
    <row r="340" spans="7:7">
      <c r="G340" s="5" t="str">
        <f t="shared" si="21"/>
        <v/>
      </c>
    </row>
    <row r="341" spans="7:7">
      <c r="G341" s="5" t="str">
        <f t="shared" si="21"/>
        <v/>
      </c>
    </row>
    <row r="342" spans="7:7">
      <c r="G342" s="5" t="str">
        <f t="shared" si="21"/>
        <v/>
      </c>
    </row>
    <row r="343" spans="7:7">
      <c r="G343" s="5" t="str">
        <f t="shared" si="21"/>
        <v/>
      </c>
    </row>
    <row r="344" spans="7:7">
      <c r="G344" s="5" t="str">
        <f t="shared" si="21"/>
        <v/>
      </c>
    </row>
    <row r="345" spans="7:7">
      <c r="G345" s="5" t="str">
        <f t="shared" si="21"/>
        <v/>
      </c>
    </row>
    <row r="346" spans="7:7">
      <c r="G346" s="5" t="str">
        <f t="shared" ref="G346:G409" si="22">IF(B346&lt;&gt;"",SUM(C346:F346),"")</f>
        <v/>
      </c>
    </row>
    <row r="347" spans="7:7">
      <c r="G347" s="5" t="str">
        <f t="shared" si="22"/>
        <v/>
      </c>
    </row>
    <row r="348" spans="7:7">
      <c r="G348" s="5" t="str">
        <f t="shared" si="22"/>
        <v/>
      </c>
    </row>
    <row r="349" spans="7:7">
      <c r="G349" s="5" t="str">
        <f t="shared" si="22"/>
        <v/>
      </c>
    </row>
    <row r="350" spans="7:7">
      <c r="G350" s="5" t="str">
        <f t="shared" si="22"/>
        <v/>
      </c>
    </row>
    <row r="351" spans="7:7">
      <c r="G351" s="5" t="str">
        <f t="shared" si="22"/>
        <v/>
      </c>
    </row>
    <row r="352" spans="7:7">
      <c r="G352" s="5" t="str">
        <f t="shared" si="22"/>
        <v/>
      </c>
    </row>
    <row r="353" spans="7:7">
      <c r="G353" s="5" t="str">
        <f t="shared" si="22"/>
        <v/>
      </c>
    </row>
    <row r="354" spans="7:7">
      <c r="G354" s="5" t="str">
        <f t="shared" si="22"/>
        <v/>
      </c>
    </row>
    <row r="355" spans="7:7">
      <c r="G355" s="5" t="str">
        <f t="shared" si="22"/>
        <v/>
      </c>
    </row>
    <row r="356" spans="7:7">
      <c r="G356" s="5" t="str">
        <f t="shared" si="22"/>
        <v/>
      </c>
    </row>
    <row r="357" spans="7:7">
      <c r="G357" s="5" t="str">
        <f t="shared" si="22"/>
        <v/>
      </c>
    </row>
    <row r="358" spans="7:7">
      <c r="G358" s="5" t="str">
        <f t="shared" si="22"/>
        <v/>
      </c>
    </row>
    <row r="359" spans="7:7">
      <c r="G359" s="5" t="str">
        <f t="shared" si="22"/>
        <v/>
      </c>
    </row>
    <row r="360" spans="7:7">
      <c r="G360" s="5" t="str">
        <f t="shared" si="22"/>
        <v/>
      </c>
    </row>
    <row r="361" spans="7:7">
      <c r="G361" s="5" t="str">
        <f t="shared" si="22"/>
        <v/>
      </c>
    </row>
    <row r="362" spans="7:7">
      <c r="G362" s="5" t="str">
        <f t="shared" si="22"/>
        <v/>
      </c>
    </row>
    <row r="363" spans="7:7">
      <c r="G363" s="5" t="str">
        <f t="shared" si="22"/>
        <v/>
      </c>
    </row>
    <row r="364" spans="7:7">
      <c r="G364" s="5" t="str">
        <f t="shared" si="22"/>
        <v/>
      </c>
    </row>
    <row r="365" spans="7:7">
      <c r="G365" s="5" t="str">
        <f t="shared" si="22"/>
        <v/>
      </c>
    </row>
    <row r="366" spans="7:7">
      <c r="G366" s="5" t="str">
        <f t="shared" si="22"/>
        <v/>
      </c>
    </row>
    <row r="367" spans="7:7">
      <c r="G367" s="5" t="str">
        <f t="shared" si="22"/>
        <v/>
      </c>
    </row>
    <row r="368" spans="7:7">
      <c r="G368" s="5" t="str">
        <f t="shared" si="22"/>
        <v/>
      </c>
    </row>
    <row r="369" spans="7:7">
      <c r="G369" s="5" t="str">
        <f t="shared" si="22"/>
        <v/>
      </c>
    </row>
    <row r="370" spans="7:7">
      <c r="G370" s="5" t="str">
        <f t="shared" si="22"/>
        <v/>
      </c>
    </row>
    <row r="371" spans="7:7">
      <c r="G371" s="5" t="str">
        <f t="shared" si="22"/>
        <v/>
      </c>
    </row>
    <row r="372" spans="7:7">
      <c r="G372" s="5" t="str">
        <f t="shared" si="22"/>
        <v/>
      </c>
    </row>
    <row r="373" spans="7:7">
      <c r="G373" s="5" t="str">
        <f t="shared" si="22"/>
        <v/>
      </c>
    </row>
    <row r="374" spans="7:7">
      <c r="G374" s="5" t="str">
        <f t="shared" si="22"/>
        <v/>
      </c>
    </row>
    <row r="375" spans="7:7">
      <c r="G375" s="5" t="str">
        <f t="shared" si="22"/>
        <v/>
      </c>
    </row>
    <row r="376" spans="7:7">
      <c r="G376" s="5" t="str">
        <f t="shared" si="22"/>
        <v/>
      </c>
    </row>
    <row r="377" spans="7:7">
      <c r="G377" s="5" t="str">
        <f t="shared" si="22"/>
        <v/>
      </c>
    </row>
    <row r="378" spans="7:7">
      <c r="G378" s="5" t="str">
        <f t="shared" si="22"/>
        <v/>
      </c>
    </row>
    <row r="379" spans="7:7">
      <c r="G379" s="5" t="str">
        <f t="shared" si="22"/>
        <v/>
      </c>
    </row>
    <row r="380" spans="7:7">
      <c r="G380" s="5" t="str">
        <f t="shared" si="22"/>
        <v/>
      </c>
    </row>
    <row r="381" spans="7:7">
      <c r="G381" s="5" t="str">
        <f t="shared" si="22"/>
        <v/>
      </c>
    </row>
    <row r="382" spans="7:7">
      <c r="G382" s="5" t="str">
        <f t="shared" si="22"/>
        <v/>
      </c>
    </row>
    <row r="383" spans="7:7">
      <c r="G383" s="5" t="str">
        <f t="shared" si="22"/>
        <v/>
      </c>
    </row>
    <row r="384" spans="7:7">
      <c r="G384" s="5" t="str">
        <f t="shared" si="22"/>
        <v/>
      </c>
    </row>
    <row r="385" spans="7:7">
      <c r="G385" s="5" t="str">
        <f t="shared" si="22"/>
        <v/>
      </c>
    </row>
    <row r="386" spans="7:7">
      <c r="G386" s="5" t="str">
        <f t="shared" si="22"/>
        <v/>
      </c>
    </row>
    <row r="387" spans="7:7">
      <c r="G387" s="5" t="str">
        <f t="shared" si="22"/>
        <v/>
      </c>
    </row>
    <row r="388" spans="7:7">
      <c r="G388" s="5" t="str">
        <f t="shared" si="22"/>
        <v/>
      </c>
    </row>
    <row r="389" spans="7:7">
      <c r="G389" s="5" t="str">
        <f t="shared" si="22"/>
        <v/>
      </c>
    </row>
    <row r="390" spans="7:7">
      <c r="G390" s="5" t="str">
        <f t="shared" si="22"/>
        <v/>
      </c>
    </row>
    <row r="391" spans="7:7">
      <c r="G391" s="5" t="str">
        <f t="shared" si="22"/>
        <v/>
      </c>
    </row>
    <row r="392" spans="7:7">
      <c r="G392" s="5" t="str">
        <f t="shared" si="22"/>
        <v/>
      </c>
    </row>
    <row r="393" spans="7:7">
      <c r="G393" s="5" t="str">
        <f t="shared" si="22"/>
        <v/>
      </c>
    </row>
    <row r="394" spans="7:7">
      <c r="G394" s="5" t="str">
        <f t="shared" si="22"/>
        <v/>
      </c>
    </row>
    <row r="395" spans="7:7">
      <c r="G395" s="5" t="str">
        <f t="shared" si="22"/>
        <v/>
      </c>
    </row>
    <row r="396" spans="7:7">
      <c r="G396" s="5" t="str">
        <f t="shared" si="22"/>
        <v/>
      </c>
    </row>
    <row r="397" spans="7:7">
      <c r="G397" s="5" t="str">
        <f t="shared" si="22"/>
        <v/>
      </c>
    </row>
    <row r="398" spans="7:7">
      <c r="G398" s="5" t="str">
        <f t="shared" si="22"/>
        <v/>
      </c>
    </row>
    <row r="399" spans="7:7">
      <c r="G399" s="5" t="str">
        <f t="shared" si="22"/>
        <v/>
      </c>
    </row>
    <row r="400" spans="7:7">
      <c r="G400" s="5" t="str">
        <f t="shared" si="22"/>
        <v/>
      </c>
    </row>
    <row r="401" spans="7:7">
      <c r="G401" s="5" t="str">
        <f t="shared" si="22"/>
        <v/>
      </c>
    </row>
    <row r="402" spans="7:7">
      <c r="G402" s="5" t="str">
        <f t="shared" si="22"/>
        <v/>
      </c>
    </row>
    <row r="403" spans="7:7">
      <c r="G403" s="5" t="str">
        <f t="shared" si="22"/>
        <v/>
      </c>
    </row>
    <row r="404" spans="7:7">
      <c r="G404" s="5" t="str">
        <f t="shared" si="22"/>
        <v/>
      </c>
    </row>
    <row r="405" spans="7:7">
      <c r="G405" s="5" t="str">
        <f t="shared" si="22"/>
        <v/>
      </c>
    </row>
    <row r="406" spans="7:7">
      <c r="G406" s="5" t="str">
        <f t="shared" si="22"/>
        <v/>
      </c>
    </row>
    <row r="407" spans="7:7">
      <c r="G407" s="5" t="str">
        <f t="shared" si="22"/>
        <v/>
      </c>
    </row>
    <row r="408" spans="7:7">
      <c r="G408" s="5" t="str">
        <f t="shared" si="22"/>
        <v/>
      </c>
    </row>
    <row r="409" spans="7:7">
      <c r="G409" s="5" t="str">
        <f t="shared" si="22"/>
        <v/>
      </c>
    </row>
    <row r="410" spans="7:7">
      <c r="G410" s="5" t="str">
        <f t="shared" ref="G410:G473" si="23">IF(B410&lt;&gt;"",SUM(C410:F410),"")</f>
        <v/>
      </c>
    </row>
    <row r="411" spans="7:7">
      <c r="G411" s="5" t="str">
        <f t="shared" si="23"/>
        <v/>
      </c>
    </row>
    <row r="412" spans="7:7">
      <c r="G412" s="5" t="str">
        <f t="shared" si="23"/>
        <v/>
      </c>
    </row>
    <row r="413" spans="7:7">
      <c r="G413" s="5" t="str">
        <f t="shared" si="23"/>
        <v/>
      </c>
    </row>
    <row r="414" spans="7:7">
      <c r="G414" s="5" t="str">
        <f t="shared" si="23"/>
        <v/>
      </c>
    </row>
    <row r="415" spans="7:7">
      <c r="G415" s="5" t="str">
        <f t="shared" si="23"/>
        <v/>
      </c>
    </row>
    <row r="416" spans="7:7">
      <c r="G416" s="5" t="str">
        <f t="shared" si="23"/>
        <v/>
      </c>
    </row>
    <row r="417" spans="7:7">
      <c r="G417" s="5" t="str">
        <f t="shared" si="23"/>
        <v/>
      </c>
    </row>
    <row r="418" spans="7:7">
      <c r="G418" s="5" t="str">
        <f t="shared" si="23"/>
        <v/>
      </c>
    </row>
    <row r="419" spans="7:7">
      <c r="G419" s="5" t="str">
        <f t="shared" si="23"/>
        <v/>
      </c>
    </row>
    <row r="420" spans="7:7">
      <c r="G420" s="5" t="str">
        <f t="shared" si="23"/>
        <v/>
      </c>
    </row>
    <row r="421" spans="7:7">
      <c r="G421" s="5" t="str">
        <f t="shared" si="23"/>
        <v/>
      </c>
    </row>
    <row r="422" spans="7:7">
      <c r="G422" s="5" t="str">
        <f t="shared" si="23"/>
        <v/>
      </c>
    </row>
    <row r="423" spans="7:7">
      <c r="G423" s="5" t="str">
        <f t="shared" si="23"/>
        <v/>
      </c>
    </row>
    <row r="424" spans="7:7">
      <c r="G424" s="5" t="str">
        <f t="shared" si="23"/>
        <v/>
      </c>
    </row>
    <row r="425" spans="7:7">
      <c r="G425" s="5" t="str">
        <f t="shared" si="23"/>
        <v/>
      </c>
    </row>
    <row r="426" spans="7:7">
      <c r="G426" s="5" t="str">
        <f t="shared" si="23"/>
        <v/>
      </c>
    </row>
    <row r="427" spans="7:7">
      <c r="G427" s="5" t="str">
        <f t="shared" si="23"/>
        <v/>
      </c>
    </row>
    <row r="428" spans="7:7">
      <c r="G428" s="5" t="str">
        <f t="shared" si="23"/>
        <v/>
      </c>
    </row>
    <row r="429" spans="7:7">
      <c r="G429" s="5" t="str">
        <f t="shared" si="23"/>
        <v/>
      </c>
    </row>
    <row r="430" spans="7:7">
      <c r="G430" s="5" t="str">
        <f t="shared" si="23"/>
        <v/>
      </c>
    </row>
    <row r="431" spans="7:7">
      <c r="G431" s="5" t="str">
        <f t="shared" si="23"/>
        <v/>
      </c>
    </row>
    <row r="432" spans="7:7">
      <c r="G432" s="5" t="str">
        <f t="shared" si="23"/>
        <v/>
      </c>
    </row>
    <row r="433" spans="7:7">
      <c r="G433" s="5" t="str">
        <f t="shared" si="23"/>
        <v/>
      </c>
    </row>
    <row r="434" spans="7:7">
      <c r="G434" s="5" t="str">
        <f t="shared" si="23"/>
        <v/>
      </c>
    </row>
    <row r="435" spans="7:7">
      <c r="G435" s="5" t="str">
        <f t="shared" si="23"/>
        <v/>
      </c>
    </row>
    <row r="436" spans="7:7">
      <c r="G436" s="5" t="str">
        <f t="shared" si="23"/>
        <v/>
      </c>
    </row>
    <row r="437" spans="7:7">
      <c r="G437" s="5" t="str">
        <f t="shared" si="23"/>
        <v/>
      </c>
    </row>
    <row r="438" spans="7:7">
      <c r="G438" s="5" t="str">
        <f t="shared" si="23"/>
        <v/>
      </c>
    </row>
    <row r="439" spans="7:7">
      <c r="G439" s="5" t="str">
        <f t="shared" si="23"/>
        <v/>
      </c>
    </row>
    <row r="440" spans="7:7">
      <c r="G440" s="5" t="str">
        <f t="shared" si="23"/>
        <v/>
      </c>
    </row>
    <row r="441" spans="7:7">
      <c r="G441" s="5" t="str">
        <f t="shared" si="23"/>
        <v/>
      </c>
    </row>
    <row r="442" spans="7:7">
      <c r="G442" s="5" t="str">
        <f t="shared" si="23"/>
        <v/>
      </c>
    </row>
    <row r="443" spans="7:7">
      <c r="G443" s="5" t="str">
        <f t="shared" si="23"/>
        <v/>
      </c>
    </row>
    <row r="444" spans="7:7">
      <c r="G444" s="5" t="str">
        <f t="shared" si="23"/>
        <v/>
      </c>
    </row>
    <row r="445" spans="7:7">
      <c r="G445" s="5" t="str">
        <f t="shared" si="23"/>
        <v/>
      </c>
    </row>
    <row r="446" spans="7:7">
      <c r="G446" s="5" t="str">
        <f t="shared" si="23"/>
        <v/>
      </c>
    </row>
    <row r="447" spans="7:7">
      <c r="G447" s="5" t="str">
        <f t="shared" si="23"/>
        <v/>
      </c>
    </row>
    <row r="448" spans="7:7">
      <c r="G448" s="5" t="str">
        <f t="shared" si="23"/>
        <v/>
      </c>
    </row>
    <row r="449" spans="7:7">
      <c r="G449" s="5" t="str">
        <f t="shared" si="23"/>
        <v/>
      </c>
    </row>
    <row r="450" spans="7:7">
      <c r="G450" s="5" t="str">
        <f t="shared" si="23"/>
        <v/>
      </c>
    </row>
    <row r="451" spans="7:7">
      <c r="G451" s="5" t="str">
        <f t="shared" si="23"/>
        <v/>
      </c>
    </row>
    <row r="452" spans="7:7">
      <c r="G452" s="5" t="str">
        <f t="shared" si="23"/>
        <v/>
      </c>
    </row>
    <row r="453" spans="7:7">
      <c r="G453" s="5" t="str">
        <f t="shared" si="23"/>
        <v/>
      </c>
    </row>
    <row r="454" spans="7:7">
      <c r="G454" s="5" t="str">
        <f t="shared" si="23"/>
        <v/>
      </c>
    </row>
    <row r="455" spans="7:7">
      <c r="G455" s="5" t="str">
        <f t="shared" si="23"/>
        <v/>
      </c>
    </row>
    <row r="456" spans="7:7">
      <c r="G456" s="5" t="str">
        <f t="shared" si="23"/>
        <v/>
      </c>
    </row>
    <row r="457" spans="7:7">
      <c r="G457" s="5" t="str">
        <f t="shared" si="23"/>
        <v/>
      </c>
    </row>
    <row r="458" spans="7:7">
      <c r="G458" s="5" t="str">
        <f t="shared" si="23"/>
        <v/>
      </c>
    </row>
    <row r="459" spans="7:7">
      <c r="G459" s="5" t="str">
        <f t="shared" si="23"/>
        <v/>
      </c>
    </row>
    <row r="460" spans="7:7">
      <c r="G460" s="5" t="str">
        <f t="shared" si="23"/>
        <v/>
      </c>
    </row>
    <row r="461" spans="7:7">
      <c r="G461" s="5" t="str">
        <f t="shared" si="23"/>
        <v/>
      </c>
    </row>
    <row r="462" spans="7:7">
      <c r="G462" s="5" t="str">
        <f t="shared" si="23"/>
        <v/>
      </c>
    </row>
    <row r="463" spans="7:7">
      <c r="G463" s="5" t="str">
        <f t="shared" si="23"/>
        <v/>
      </c>
    </row>
    <row r="464" spans="7:7">
      <c r="G464" s="5" t="str">
        <f t="shared" si="23"/>
        <v/>
      </c>
    </row>
    <row r="465" spans="7:7">
      <c r="G465" s="5" t="str">
        <f t="shared" si="23"/>
        <v/>
      </c>
    </row>
    <row r="466" spans="7:7">
      <c r="G466" s="5" t="str">
        <f t="shared" si="23"/>
        <v/>
      </c>
    </row>
    <row r="467" spans="7:7">
      <c r="G467" s="5" t="str">
        <f t="shared" si="23"/>
        <v/>
      </c>
    </row>
    <row r="468" spans="7:7">
      <c r="G468" s="5" t="str">
        <f t="shared" si="23"/>
        <v/>
      </c>
    </row>
    <row r="469" spans="7:7">
      <c r="G469" s="5" t="str">
        <f t="shared" si="23"/>
        <v/>
      </c>
    </row>
    <row r="470" spans="7:7">
      <c r="G470" s="5" t="str">
        <f t="shared" si="23"/>
        <v/>
      </c>
    </row>
    <row r="471" spans="7:7">
      <c r="G471" s="5" t="str">
        <f t="shared" si="23"/>
        <v/>
      </c>
    </row>
    <row r="472" spans="7:7">
      <c r="G472" s="5" t="str">
        <f t="shared" si="23"/>
        <v/>
      </c>
    </row>
    <row r="473" spans="7:7">
      <c r="G473" s="5" t="str">
        <f t="shared" si="23"/>
        <v/>
      </c>
    </row>
    <row r="474" spans="7:7">
      <c r="G474" s="5" t="str">
        <f t="shared" ref="G474:G505" si="24">IF(B474&lt;&gt;"",SUM(C474:F474),"")</f>
        <v/>
      </c>
    </row>
    <row r="475" spans="7:7">
      <c r="G475" s="5" t="str">
        <f t="shared" si="24"/>
        <v/>
      </c>
    </row>
    <row r="476" spans="7:7">
      <c r="G476" s="5" t="str">
        <f t="shared" si="24"/>
        <v/>
      </c>
    </row>
    <row r="477" spans="7:7">
      <c r="G477" s="5" t="str">
        <f t="shared" si="24"/>
        <v/>
      </c>
    </row>
    <row r="478" spans="7:7">
      <c r="G478" s="5" t="str">
        <f t="shared" si="24"/>
        <v/>
      </c>
    </row>
    <row r="479" spans="7:7">
      <c r="G479" s="5" t="str">
        <f t="shared" si="24"/>
        <v/>
      </c>
    </row>
    <row r="480" spans="7:7">
      <c r="G480" s="5" t="str">
        <f t="shared" si="24"/>
        <v/>
      </c>
    </row>
    <row r="481" spans="7:7">
      <c r="G481" s="5" t="str">
        <f t="shared" si="24"/>
        <v/>
      </c>
    </row>
    <row r="482" spans="7:7">
      <c r="G482" s="5" t="str">
        <f t="shared" si="24"/>
        <v/>
      </c>
    </row>
    <row r="483" spans="7:7">
      <c r="G483" s="5" t="str">
        <f t="shared" si="24"/>
        <v/>
      </c>
    </row>
    <row r="484" spans="7:7">
      <c r="G484" s="5" t="str">
        <f t="shared" si="24"/>
        <v/>
      </c>
    </row>
    <row r="485" spans="7:7">
      <c r="G485" s="5" t="str">
        <f t="shared" si="24"/>
        <v/>
      </c>
    </row>
    <row r="486" spans="7:7">
      <c r="G486" s="5" t="str">
        <f t="shared" si="24"/>
        <v/>
      </c>
    </row>
    <row r="487" spans="7:7">
      <c r="G487" s="5" t="str">
        <f t="shared" si="24"/>
        <v/>
      </c>
    </row>
    <row r="488" spans="7:7">
      <c r="G488" s="5" t="str">
        <f t="shared" si="24"/>
        <v/>
      </c>
    </row>
    <row r="489" spans="7:7">
      <c r="G489" s="5" t="str">
        <f t="shared" si="24"/>
        <v/>
      </c>
    </row>
    <row r="490" spans="7:7">
      <c r="G490" s="5" t="str">
        <f t="shared" si="24"/>
        <v/>
      </c>
    </row>
    <row r="491" spans="7:7">
      <c r="G491" s="5" t="str">
        <f t="shared" si="24"/>
        <v/>
      </c>
    </row>
    <row r="492" spans="7:7">
      <c r="G492" s="5" t="str">
        <f t="shared" si="24"/>
        <v/>
      </c>
    </row>
    <row r="493" spans="7:7">
      <c r="G493" s="5" t="str">
        <f t="shared" si="24"/>
        <v/>
      </c>
    </row>
    <row r="494" spans="7:7">
      <c r="G494" s="5" t="str">
        <f t="shared" si="24"/>
        <v/>
      </c>
    </row>
    <row r="495" spans="7:7">
      <c r="G495" s="5" t="str">
        <f t="shared" si="24"/>
        <v/>
      </c>
    </row>
    <row r="496" spans="7:7">
      <c r="G496" s="5" t="str">
        <f t="shared" si="24"/>
        <v/>
      </c>
    </row>
    <row r="497" spans="7:7">
      <c r="G497" s="5" t="str">
        <f t="shared" si="24"/>
        <v/>
      </c>
    </row>
    <row r="498" spans="7:7">
      <c r="G498" s="5" t="str">
        <f t="shared" si="24"/>
        <v/>
      </c>
    </row>
    <row r="499" spans="7:7">
      <c r="G499" s="5" t="str">
        <f t="shared" si="24"/>
        <v/>
      </c>
    </row>
    <row r="500" spans="7:7">
      <c r="G500" s="5" t="str">
        <f t="shared" si="24"/>
        <v/>
      </c>
    </row>
    <row r="501" spans="7:7">
      <c r="G501" s="5" t="str">
        <f t="shared" si="24"/>
        <v/>
      </c>
    </row>
    <row r="502" spans="7:7">
      <c r="G502" s="5" t="str">
        <f t="shared" si="24"/>
        <v/>
      </c>
    </row>
    <row r="503" spans="7:7">
      <c r="G503" s="5" t="str">
        <f t="shared" si="24"/>
        <v/>
      </c>
    </row>
    <row r="504" spans="7:7">
      <c r="G504" s="5" t="str">
        <f t="shared" si="24"/>
        <v/>
      </c>
    </row>
    <row r="505" spans="7:7">
      <c r="G505" s="5" t="str">
        <f t="shared" si="24"/>
        <v/>
      </c>
    </row>
  </sheetData>
  <sheetProtection algorithmName="SHA-512" hashValue="2Nz3vqj8Az154IfUFW23uzxic2ZC8Wwz8NW5MPYlTcYIlOxrAquN+DBdDJVg4++T+QoAqbdffK5NJc5dnKqBaA==" saltValue="yOyGXF65b7Z5exR4e/fSlw==" spinCount="100000" sheet="1" sort="0" autoFilter="0" pivotTables="0"/>
  <autoFilter ref="H5:H78" xr:uid="{99478328-3A5B-4E8D-9AFF-12BDBB576060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DF39-24EC-465F-8E4E-BF04C5D512A3}">
  <sheetPr codeName="Planilha38">
    <tabColor rgb="FFFF0000"/>
    <pageSetUpPr fitToPage="1"/>
  </sheetPr>
  <dimension ref="B1:S446"/>
  <sheetViews>
    <sheetView workbookViewId="0">
      <pane ySplit="5" topLeftCell="A6" activePane="bottomLeft" state="frozen"/>
      <selection pane="bottomLeft" activeCell="F28" sqref="F28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40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2" t="s">
        <v>6</v>
      </c>
      <c r="C4" s="43"/>
      <c r="D4" s="43"/>
      <c r="E4" s="43"/>
      <c r="F4" s="44"/>
      <c r="G4" s="45"/>
      <c r="H4" s="46"/>
      <c r="I4" s="47" t="s">
        <v>48</v>
      </c>
      <c r="J4" s="48" t="s">
        <v>9</v>
      </c>
      <c r="K4" s="48" t="s">
        <v>9</v>
      </c>
      <c r="L4" s="49">
        <v>4.7619047619047616E-2</v>
      </c>
      <c r="M4" s="50" t="s">
        <v>15</v>
      </c>
      <c r="N4" s="36"/>
      <c r="O4" s="19"/>
      <c r="P4" s="19"/>
      <c r="Q4" s="19"/>
      <c r="R4" s="19"/>
      <c r="S4" s="19"/>
    </row>
    <row r="5" spans="2:19" ht="16.5" thickBot="1">
      <c r="B5" s="51" t="s">
        <v>5</v>
      </c>
      <c r="C5" s="52" t="s">
        <v>0</v>
      </c>
      <c r="D5" s="52" t="s">
        <v>12</v>
      </c>
      <c r="E5" s="52" t="s">
        <v>2</v>
      </c>
      <c r="F5" s="52" t="s">
        <v>3</v>
      </c>
      <c r="G5" s="53" t="s">
        <v>1</v>
      </c>
      <c r="H5" s="54" t="s">
        <v>4</v>
      </c>
      <c r="I5" s="54" t="s">
        <v>7</v>
      </c>
      <c r="J5" s="55" t="s">
        <v>8</v>
      </c>
      <c r="K5" s="55" t="s">
        <v>10</v>
      </c>
      <c r="L5" s="56" t="s">
        <v>11</v>
      </c>
      <c r="M5" s="5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89" t="s">
        <v>400</v>
      </c>
      <c r="C6" s="38"/>
      <c r="D6" s="38"/>
      <c r="E6" s="38"/>
      <c r="F6" s="39"/>
      <c r="G6" s="40"/>
      <c r="H6" s="23">
        <f>SUM(C6:G6)</f>
        <v>0</v>
      </c>
      <c r="I6" s="41">
        <f t="shared" ref="I6:I18" si="0">L6-(L6*J6)</f>
        <v>0</v>
      </c>
      <c r="J6" s="16"/>
      <c r="K6" s="17"/>
      <c r="L6" s="18"/>
      <c r="M6" s="31"/>
      <c r="N6" s="25">
        <f t="shared" ref="N6:N18" si="1">I6*C6</f>
        <v>0</v>
      </c>
      <c r="O6" s="25">
        <f t="shared" ref="O6:O18" si="2">I6*D6</f>
        <v>0</v>
      </c>
      <c r="P6" s="25">
        <f t="shared" ref="P6:P18" si="3">I6*E6</f>
        <v>0</v>
      </c>
      <c r="Q6" s="26">
        <f t="shared" ref="Q6:Q18" si="4">I6*F6</f>
        <v>0</v>
      </c>
      <c r="R6" s="27">
        <f t="shared" ref="R6:R18" si="5">I6*G6</f>
        <v>0</v>
      </c>
      <c r="S6" s="28">
        <f>SUM(N6:R6)</f>
        <v>0</v>
      </c>
    </row>
    <row r="7" spans="2:19">
      <c r="B7" s="89" t="s">
        <v>401</v>
      </c>
      <c r="C7" s="13"/>
      <c r="D7" s="13"/>
      <c r="E7" s="13"/>
      <c r="F7" s="14"/>
      <c r="G7" s="8"/>
      <c r="H7" s="24">
        <f t="shared" ref="H7:H18" si="6">SUM(C7:G7)</f>
        <v>0</v>
      </c>
      <c r="I7" s="34">
        <f t="shared" si="0"/>
        <v>0</v>
      </c>
      <c r="J7" s="10"/>
      <c r="K7" s="12"/>
      <c r="L7" s="11"/>
      <c r="M7" s="32"/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18" si="7">SUM(N7:R7)</f>
        <v>0</v>
      </c>
    </row>
    <row r="8" spans="2:19">
      <c r="B8" s="89" t="s">
        <v>402</v>
      </c>
      <c r="C8" s="13"/>
      <c r="D8" s="13"/>
      <c r="E8" s="13"/>
      <c r="F8" s="14"/>
      <c r="G8" s="8"/>
      <c r="H8" s="24">
        <f t="shared" si="6"/>
        <v>0</v>
      </c>
      <c r="I8" s="34">
        <f t="shared" si="0"/>
        <v>0</v>
      </c>
      <c r="J8" s="10"/>
      <c r="K8" s="12"/>
      <c r="L8" s="11"/>
      <c r="M8" s="32"/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89" t="s">
        <v>403</v>
      </c>
      <c r="C9" s="13"/>
      <c r="D9" s="13"/>
      <c r="E9" s="13"/>
      <c r="F9" s="14"/>
      <c r="G9" s="8"/>
      <c r="H9" s="24">
        <f t="shared" si="6"/>
        <v>0</v>
      </c>
      <c r="I9" s="34">
        <f t="shared" si="0"/>
        <v>0</v>
      </c>
      <c r="J9" s="10"/>
      <c r="K9" s="12"/>
      <c r="L9" s="11"/>
      <c r="M9" s="32"/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89" t="s">
        <v>404</v>
      </c>
      <c r="C10" s="13"/>
      <c r="D10" s="13"/>
      <c r="E10" s="13"/>
      <c r="F10" s="14"/>
      <c r="G10" s="8"/>
      <c r="H10" s="24">
        <f t="shared" si="6"/>
        <v>0</v>
      </c>
      <c r="I10" s="34">
        <f t="shared" si="0"/>
        <v>0</v>
      </c>
      <c r="J10" s="10"/>
      <c r="K10" s="12"/>
      <c r="L10" s="11"/>
      <c r="M10" s="32"/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89" t="s">
        <v>405</v>
      </c>
      <c r="C11" s="13"/>
      <c r="D11" s="13"/>
      <c r="E11" s="13"/>
      <c r="F11" s="14"/>
      <c r="G11" s="8"/>
      <c r="H11" s="24">
        <f t="shared" si="6"/>
        <v>0</v>
      </c>
      <c r="I11" s="34">
        <f t="shared" si="0"/>
        <v>0</v>
      </c>
      <c r="J11" s="10"/>
      <c r="K11" s="12"/>
      <c r="L11" s="11"/>
      <c r="M11" s="32"/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0</v>
      </c>
      <c r="R11" s="27">
        <f t="shared" si="5"/>
        <v>0</v>
      </c>
      <c r="S11" s="28">
        <f t="shared" si="7"/>
        <v>0</v>
      </c>
    </row>
    <row r="12" spans="2:19">
      <c r="B12" s="90" t="s">
        <v>406</v>
      </c>
      <c r="C12" s="13"/>
      <c r="D12" s="13"/>
      <c r="E12" s="13"/>
      <c r="F12" s="14"/>
      <c r="G12" s="8"/>
      <c r="H12" s="24">
        <f t="shared" si="6"/>
        <v>0</v>
      </c>
      <c r="I12" s="34">
        <f t="shared" si="0"/>
        <v>0</v>
      </c>
      <c r="J12" s="10"/>
      <c r="K12" s="12"/>
      <c r="L12" s="11"/>
      <c r="M12" s="32"/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>
      <c r="B13" s="90" t="s">
        <v>407</v>
      </c>
      <c r="C13" s="13"/>
      <c r="D13" s="13"/>
      <c r="E13" s="13"/>
      <c r="F13" s="14"/>
      <c r="G13" s="8"/>
      <c r="H13" s="24">
        <f t="shared" si="6"/>
        <v>0</v>
      </c>
      <c r="I13" s="34">
        <f t="shared" si="0"/>
        <v>0</v>
      </c>
      <c r="J13" s="10"/>
      <c r="K13" s="12"/>
      <c r="L13" s="11"/>
      <c r="M13" s="32"/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>
      <c r="B14" s="90" t="s">
        <v>408</v>
      </c>
      <c r="C14" s="13"/>
      <c r="D14" s="13"/>
      <c r="E14" s="13"/>
      <c r="F14" s="14"/>
      <c r="G14" s="8"/>
      <c r="H14" s="24">
        <f t="shared" si="6"/>
        <v>0</v>
      </c>
      <c r="I14" s="34">
        <f t="shared" si="0"/>
        <v>0</v>
      </c>
      <c r="J14" s="10"/>
      <c r="K14" s="12"/>
      <c r="L14" s="11"/>
      <c r="M14" s="32"/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>
      <c r="B15" s="90" t="s">
        <v>409</v>
      </c>
      <c r="C15" s="13"/>
      <c r="D15" s="13"/>
      <c r="E15" s="13"/>
      <c r="F15" s="14"/>
      <c r="G15" s="8"/>
      <c r="H15" s="24">
        <f t="shared" si="6"/>
        <v>0</v>
      </c>
      <c r="I15" s="34">
        <f t="shared" si="0"/>
        <v>0</v>
      </c>
      <c r="J15" s="10"/>
      <c r="K15" s="12"/>
      <c r="L15" s="11"/>
      <c r="M15" s="32"/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>
      <c r="B16" s="90" t="s">
        <v>410</v>
      </c>
      <c r="C16" s="13"/>
      <c r="D16" s="13"/>
      <c r="E16" s="13"/>
      <c r="F16" s="14"/>
      <c r="G16" s="8"/>
      <c r="H16" s="24">
        <f t="shared" si="6"/>
        <v>0</v>
      </c>
      <c r="I16" s="34">
        <f t="shared" si="0"/>
        <v>0</v>
      </c>
      <c r="J16" s="10"/>
      <c r="K16" s="12"/>
      <c r="L16" s="11"/>
      <c r="M16" s="32"/>
      <c r="N16" s="25">
        <f t="shared" si="1"/>
        <v>0</v>
      </c>
      <c r="O16" s="25">
        <f t="shared" si="2"/>
        <v>0</v>
      </c>
      <c r="P16" s="25">
        <f t="shared" si="3"/>
        <v>0</v>
      </c>
      <c r="Q16" s="26">
        <f t="shared" si="4"/>
        <v>0</v>
      </c>
      <c r="R16" s="27">
        <f t="shared" si="5"/>
        <v>0</v>
      </c>
      <c r="S16" s="28">
        <f t="shared" si="7"/>
        <v>0</v>
      </c>
    </row>
    <row r="17" spans="2:19">
      <c r="B17" s="90" t="s">
        <v>411</v>
      </c>
      <c r="C17" s="13"/>
      <c r="D17" s="13"/>
      <c r="E17" s="13"/>
      <c r="F17" s="14"/>
      <c r="G17" s="8"/>
      <c r="H17" s="24">
        <f t="shared" si="6"/>
        <v>0</v>
      </c>
      <c r="I17" s="34">
        <f t="shared" si="0"/>
        <v>0</v>
      </c>
      <c r="J17" s="10"/>
      <c r="K17" s="12"/>
      <c r="L17" s="11"/>
      <c r="M17" s="32"/>
      <c r="N17" s="25">
        <f t="shared" si="1"/>
        <v>0</v>
      </c>
      <c r="O17" s="25">
        <f t="shared" si="2"/>
        <v>0</v>
      </c>
      <c r="P17" s="25">
        <f t="shared" si="3"/>
        <v>0</v>
      </c>
      <c r="Q17" s="26">
        <f t="shared" si="4"/>
        <v>0</v>
      </c>
      <c r="R17" s="27">
        <f t="shared" si="5"/>
        <v>0</v>
      </c>
      <c r="S17" s="28">
        <f t="shared" si="7"/>
        <v>0</v>
      </c>
    </row>
    <row r="18" spans="2:19">
      <c r="B18" s="90" t="s">
        <v>412</v>
      </c>
      <c r="C18" s="13"/>
      <c r="D18" s="13"/>
      <c r="E18" s="13"/>
      <c r="F18" s="14"/>
      <c r="G18" s="8"/>
      <c r="H18" s="24">
        <f t="shared" si="6"/>
        <v>0</v>
      </c>
      <c r="I18" s="34">
        <f t="shared" si="0"/>
        <v>0</v>
      </c>
      <c r="J18" s="10"/>
      <c r="K18" s="12"/>
      <c r="L18" s="11"/>
      <c r="M18" s="32"/>
      <c r="N18" s="25">
        <f t="shared" si="1"/>
        <v>0</v>
      </c>
      <c r="O18" s="25">
        <f t="shared" si="2"/>
        <v>0</v>
      </c>
      <c r="P18" s="25">
        <f t="shared" si="3"/>
        <v>0</v>
      </c>
      <c r="Q18" s="26">
        <f t="shared" si="4"/>
        <v>0</v>
      </c>
      <c r="R18" s="27">
        <f t="shared" si="5"/>
        <v>0</v>
      </c>
      <c r="S18" s="28">
        <f t="shared" si="7"/>
        <v>0</v>
      </c>
    </row>
    <row r="19" spans="2:19">
      <c r="B19" s="58" t="s">
        <v>13</v>
      </c>
      <c r="C19" s="33">
        <v>0</v>
      </c>
      <c r="D19" s="33">
        <v>0</v>
      </c>
      <c r="E19" s="33">
        <v>0</v>
      </c>
      <c r="F19" s="33">
        <v>0</v>
      </c>
      <c r="G19" s="33">
        <f t="shared" ref="G19:H19" si="8">R19</f>
        <v>0</v>
      </c>
      <c r="H19" s="33">
        <f t="shared" si="8"/>
        <v>0</v>
      </c>
      <c r="N19" s="29">
        <f t="shared" ref="N19:S19" si="9">SUM(N6:N18)</f>
        <v>0</v>
      </c>
      <c r="O19" s="29">
        <f t="shared" si="9"/>
        <v>0</v>
      </c>
      <c r="P19" s="29">
        <f t="shared" si="9"/>
        <v>0</v>
      </c>
      <c r="Q19" s="29">
        <f t="shared" si="9"/>
        <v>0</v>
      </c>
      <c r="R19" s="29">
        <f t="shared" si="9"/>
        <v>0</v>
      </c>
      <c r="S19" s="29">
        <f t="shared" si="9"/>
        <v>0</v>
      </c>
    </row>
    <row r="20" spans="2:19">
      <c r="B20" s="59" t="s">
        <v>46</v>
      </c>
    </row>
    <row r="21" spans="2:19" ht="16.5" thickBot="1">
      <c r="B21" s="2"/>
    </row>
    <row r="22" spans="2:19">
      <c r="B22" s="60" t="s">
        <v>47</v>
      </c>
    </row>
    <row r="23" spans="2:19">
      <c r="B23" s="61" t="s">
        <v>19</v>
      </c>
    </row>
    <row r="24" spans="2:19">
      <c r="B24" s="61" t="s">
        <v>17</v>
      </c>
    </row>
    <row r="25" spans="2:19" ht="16.5" thickBot="1">
      <c r="B25" s="62" t="s">
        <v>18</v>
      </c>
    </row>
    <row r="26" spans="2:19">
      <c r="B26" s="2"/>
    </row>
    <row r="27" spans="2:19">
      <c r="B27" s="30" t="s">
        <v>20</v>
      </c>
    </row>
    <row r="28" spans="2:19">
      <c r="B28" s="35"/>
    </row>
    <row r="29" spans="2:19">
      <c r="B29" s="35"/>
    </row>
    <row r="30" spans="2:19">
      <c r="B30" s="2"/>
      <c r="G30" s="5" t="str">
        <f>IF(B30&lt;&gt;"",SUM(C30:F30),"")</f>
        <v/>
      </c>
    </row>
    <row r="31" spans="2:19">
      <c r="G31" s="5" t="str">
        <f t="shared" ref="G31:G94" si="10">IF(B31&lt;&gt;"",SUM(C31:F31),"")</f>
        <v/>
      </c>
    </row>
    <row r="32" spans="2:19">
      <c r="G32" s="5" t="str">
        <f t="shared" si="10"/>
        <v/>
      </c>
    </row>
    <row r="33" spans="7:7">
      <c r="G33" s="5" t="str">
        <f t="shared" si="10"/>
        <v/>
      </c>
    </row>
    <row r="34" spans="7:7">
      <c r="G34" s="5" t="str">
        <f t="shared" si="10"/>
        <v/>
      </c>
    </row>
    <row r="35" spans="7:7">
      <c r="G35" s="5" t="str">
        <f t="shared" si="10"/>
        <v/>
      </c>
    </row>
    <row r="36" spans="7:7">
      <c r="G36" s="5" t="str">
        <f t="shared" si="10"/>
        <v/>
      </c>
    </row>
    <row r="37" spans="7:7">
      <c r="G37" s="5" t="str">
        <f t="shared" si="10"/>
        <v/>
      </c>
    </row>
    <row r="38" spans="7:7">
      <c r="G38" s="5" t="str">
        <f t="shared" si="10"/>
        <v/>
      </c>
    </row>
    <row r="39" spans="7:7">
      <c r="G39" s="5" t="str">
        <f t="shared" si="10"/>
        <v/>
      </c>
    </row>
    <row r="40" spans="7:7">
      <c r="G40" s="5" t="str">
        <f t="shared" si="10"/>
        <v/>
      </c>
    </row>
    <row r="41" spans="7:7">
      <c r="G41" s="5" t="str">
        <f t="shared" si="10"/>
        <v/>
      </c>
    </row>
    <row r="42" spans="7:7">
      <c r="G42" s="5" t="str">
        <f t="shared" si="10"/>
        <v/>
      </c>
    </row>
    <row r="43" spans="7:7">
      <c r="G43" s="5" t="str">
        <f t="shared" si="10"/>
        <v/>
      </c>
    </row>
    <row r="44" spans="7:7">
      <c r="G44" s="5" t="str">
        <f t="shared" si="10"/>
        <v/>
      </c>
    </row>
    <row r="45" spans="7:7">
      <c r="G45" s="5" t="str">
        <f t="shared" si="10"/>
        <v/>
      </c>
    </row>
    <row r="46" spans="7:7">
      <c r="G46" s="5" t="str">
        <f t="shared" si="10"/>
        <v/>
      </c>
    </row>
    <row r="47" spans="7:7">
      <c r="G47" s="5" t="str">
        <f t="shared" si="10"/>
        <v/>
      </c>
    </row>
    <row r="48" spans="7:7">
      <c r="G48" s="5" t="str">
        <f t="shared" si="10"/>
        <v/>
      </c>
    </row>
    <row r="49" spans="7:7">
      <c r="G49" s="5" t="str">
        <f t="shared" si="10"/>
        <v/>
      </c>
    </row>
    <row r="50" spans="7:7">
      <c r="G50" s="5" t="str">
        <f t="shared" si="10"/>
        <v/>
      </c>
    </row>
    <row r="51" spans="7:7">
      <c r="G51" s="5" t="str">
        <f t="shared" si="10"/>
        <v/>
      </c>
    </row>
    <row r="52" spans="7:7">
      <c r="G52" s="5" t="str">
        <f t="shared" si="10"/>
        <v/>
      </c>
    </row>
    <row r="53" spans="7:7">
      <c r="G53" s="5" t="str">
        <f t="shared" si="10"/>
        <v/>
      </c>
    </row>
    <row r="54" spans="7:7">
      <c r="G54" s="5" t="str">
        <f t="shared" si="10"/>
        <v/>
      </c>
    </row>
    <row r="55" spans="7:7">
      <c r="G55" s="5" t="str">
        <f t="shared" si="10"/>
        <v/>
      </c>
    </row>
    <row r="56" spans="7:7">
      <c r="G56" s="5" t="str">
        <f t="shared" si="10"/>
        <v/>
      </c>
    </row>
    <row r="57" spans="7:7">
      <c r="G57" s="5" t="str">
        <f t="shared" si="10"/>
        <v/>
      </c>
    </row>
    <row r="58" spans="7:7">
      <c r="G58" s="5" t="str">
        <f t="shared" si="10"/>
        <v/>
      </c>
    </row>
    <row r="59" spans="7:7">
      <c r="G59" s="5" t="str">
        <f t="shared" si="10"/>
        <v/>
      </c>
    </row>
    <row r="60" spans="7:7">
      <c r="G60" s="5" t="str">
        <f t="shared" si="10"/>
        <v/>
      </c>
    </row>
    <row r="61" spans="7:7">
      <c r="G61" s="5" t="str">
        <f t="shared" si="10"/>
        <v/>
      </c>
    </row>
    <row r="62" spans="7:7">
      <c r="G62" s="5" t="str">
        <f t="shared" si="10"/>
        <v/>
      </c>
    </row>
    <row r="63" spans="7:7">
      <c r="G63" s="5" t="str">
        <f t="shared" si="10"/>
        <v/>
      </c>
    </row>
    <row r="64" spans="7:7">
      <c r="G64" s="5" t="str">
        <f t="shared" si="10"/>
        <v/>
      </c>
    </row>
    <row r="65" spans="7:7">
      <c r="G65" s="5" t="str">
        <f t="shared" si="10"/>
        <v/>
      </c>
    </row>
    <row r="66" spans="7:7">
      <c r="G66" s="5" t="str">
        <f t="shared" si="10"/>
        <v/>
      </c>
    </row>
    <row r="67" spans="7:7">
      <c r="G67" s="5" t="str">
        <f t="shared" si="10"/>
        <v/>
      </c>
    </row>
    <row r="68" spans="7:7">
      <c r="G68" s="5" t="str">
        <f t="shared" si="10"/>
        <v/>
      </c>
    </row>
    <row r="69" spans="7:7">
      <c r="G69" s="5" t="str">
        <f t="shared" si="10"/>
        <v/>
      </c>
    </row>
    <row r="70" spans="7:7">
      <c r="G70" s="5" t="str">
        <f t="shared" si="10"/>
        <v/>
      </c>
    </row>
    <row r="71" spans="7:7">
      <c r="G71" s="5" t="str">
        <f t="shared" si="10"/>
        <v/>
      </c>
    </row>
    <row r="72" spans="7:7">
      <c r="G72" s="5" t="str">
        <f t="shared" si="10"/>
        <v/>
      </c>
    </row>
    <row r="73" spans="7:7">
      <c r="G73" s="5" t="str">
        <f t="shared" si="10"/>
        <v/>
      </c>
    </row>
    <row r="74" spans="7:7">
      <c r="G74" s="5" t="str">
        <f t="shared" si="10"/>
        <v/>
      </c>
    </row>
    <row r="75" spans="7:7">
      <c r="G75" s="5" t="str">
        <f t="shared" si="10"/>
        <v/>
      </c>
    </row>
    <row r="76" spans="7:7">
      <c r="G76" s="5" t="str">
        <f t="shared" si="10"/>
        <v/>
      </c>
    </row>
    <row r="77" spans="7:7">
      <c r="G77" s="5" t="str">
        <f t="shared" si="10"/>
        <v/>
      </c>
    </row>
    <row r="78" spans="7:7">
      <c r="G78" s="5" t="str">
        <f t="shared" si="10"/>
        <v/>
      </c>
    </row>
    <row r="79" spans="7:7">
      <c r="G79" s="5" t="str">
        <f t="shared" si="10"/>
        <v/>
      </c>
    </row>
    <row r="80" spans="7:7">
      <c r="G80" s="5" t="str">
        <f t="shared" si="10"/>
        <v/>
      </c>
    </row>
    <row r="81" spans="7:7">
      <c r="G81" s="5" t="str">
        <f t="shared" si="10"/>
        <v/>
      </c>
    </row>
    <row r="82" spans="7:7">
      <c r="G82" s="5" t="str">
        <f t="shared" si="10"/>
        <v/>
      </c>
    </row>
    <row r="83" spans="7:7">
      <c r="G83" s="5" t="str">
        <f t="shared" si="10"/>
        <v/>
      </c>
    </row>
    <row r="84" spans="7:7">
      <c r="G84" s="5" t="str">
        <f t="shared" si="10"/>
        <v/>
      </c>
    </row>
    <row r="85" spans="7:7">
      <c r="G85" s="5" t="str">
        <f t="shared" si="10"/>
        <v/>
      </c>
    </row>
    <row r="86" spans="7:7">
      <c r="G86" s="5" t="str">
        <f t="shared" si="10"/>
        <v/>
      </c>
    </row>
    <row r="87" spans="7:7">
      <c r="G87" s="5" t="str">
        <f t="shared" si="10"/>
        <v/>
      </c>
    </row>
    <row r="88" spans="7:7">
      <c r="G88" s="5" t="str">
        <f t="shared" si="10"/>
        <v/>
      </c>
    </row>
    <row r="89" spans="7:7">
      <c r="G89" s="5" t="str">
        <f t="shared" si="10"/>
        <v/>
      </c>
    </row>
    <row r="90" spans="7:7">
      <c r="G90" s="5" t="str">
        <f t="shared" si="10"/>
        <v/>
      </c>
    </row>
    <row r="91" spans="7:7">
      <c r="G91" s="5" t="str">
        <f t="shared" si="10"/>
        <v/>
      </c>
    </row>
    <row r="92" spans="7:7">
      <c r="G92" s="5" t="str">
        <f t="shared" si="10"/>
        <v/>
      </c>
    </row>
    <row r="93" spans="7:7">
      <c r="G93" s="5" t="str">
        <f t="shared" si="10"/>
        <v/>
      </c>
    </row>
    <row r="94" spans="7:7">
      <c r="G94" s="5" t="str">
        <f t="shared" si="10"/>
        <v/>
      </c>
    </row>
    <row r="95" spans="7:7">
      <c r="G95" s="5" t="str">
        <f t="shared" ref="G95:G158" si="11">IF(B95&lt;&gt;"",SUM(C95:F95),"")</f>
        <v/>
      </c>
    </row>
    <row r="96" spans="7:7">
      <c r="G96" s="5" t="str">
        <f t="shared" si="11"/>
        <v/>
      </c>
    </row>
    <row r="97" spans="7:7">
      <c r="G97" s="5" t="str">
        <f t="shared" si="11"/>
        <v/>
      </c>
    </row>
    <row r="98" spans="7:7">
      <c r="G98" s="5" t="str">
        <f t="shared" si="11"/>
        <v/>
      </c>
    </row>
    <row r="99" spans="7:7">
      <c r="G99" s="5" t="str">
        <f t="shared" si="11"/>
        <v/>
      </c>
    </row>
    <row r="100" spans="7:7">
      <c r="G100" s="5" t="str">
        <f t="shared" si="11"/>
        <v/>
      </c>
    </row>
    <row r="101" spans="7:7">
      <c r="G101" s="5" t="str">
        <f t="shared" si="11"/>
        <v/>
      </c>
    </row>
    <row r="102" spans="7:7">
      <c r="G102" s="5" t="str">
        <f t="shared" si="11"/>
        <v/>
      </c>
    </row>
    <row r="103" spans="7:7">
      <c r="G103" s="5" t="str">
        <f t="shared" si="11"/>
        <v/>
      </c>
    </row>
    <row r="104" spans="7:7">
      <c r="G104" s="5" t="str">
        <f t="shared" si="11"/>
        <v/>
      </c>
    </row>
    <row r="105" spans="7:7">
      <c r="G105" s="5" t="str">
        <f t="shared" si="11"/>
        <v/>
      </c>
    </row>
    <row r="106" spans="7:7">
      <c r="G106" s="5" t="str">
        <f t="shared" si="11"/>
        <v/>
      </c>
    </row>
    <row r="107" spans="7:7">
      <c r="G107" s="5" t="str">
        <f t="shared" si="11"/>
        <v/>
      </c>
    </row>
    <row r="108" spans="7:7">
      <c r="G108" s="5" t="str">
        <f t="shared" si="11"/>
        <v/>
      </c>
    </row>
    <row r="109" spans="7:7">
      <c r="G109" s="5" t="str">
        <f t="shared" si="11"/>
        <v/>
      </c>
    </row>
    <row r="110" spans="7:7">
      <c r="G110" s="5" t="str">
        <f t="shared" si="11"/>
        <v/>
      </c>
    </row>
    <row r="111" spans="7:7">
      <c r="G111" s="5" t="str">
        <f t="shared" si="11"/>
        <v/>
      </c>
    </row>
    <row r="112" spans="7:7">
      <c r="G112" s="5" t="str">
        <f t="shared" si="11"/>
        <v/>
      </c>
    </row>
    <row r="113" spans="7:7">
      <c r="G113" s="5" t="str">
        <f t="shared" si="11"/>
        <v/>
      </c>
    </row>
    <row r="114" spans="7:7">
      <c r="G114" s="5" t="str">
        <f t="shared" si="11"/>
        <v/>
      </c>
    </row>
    <row r="115" spans="7:7">
      <c r="G115" s="5" t="str">
        <f t="shared" si="11"/>
        <v/>
      </c>
    </row>
    <row r="116" spans="7:7">
      <c r="G116" s="5" t="str">
        <f t="shared" si="11"/>
        <v/>
      </c>
    </row>
    <row r="117" spans="7:7">
      <c r="G117" s="5" t="str">
        <f t="shared" si="11"/>
        <v/>
      </c>
    </row>
    <row r="118" spans="7:7">
      <c r="G118" s="5" t="str">
        <f t="shared" si="11"/>
        <v/>
      </c>
    </row>
    <row r="119" spans="7:7">
      <c r="G119" s="5" t="str">
        <f t="shared" si="11"/>
        <v/>
      </c>
    </row>
    <row r="120" spans="7:7">
      <c r="G120" s="5" t="str">
        <f t="shared" si="11"/>
        <v/>
      </c>
    </row>
    <row r="121" spans="7:7">
      <c r="G121" s="5" t="str">
        <f t="shared" si="11"/>
        <v/>
      </c>
    </row>
    <row r="122" spans="7:7">
      <c r="G122" s="5" t="str">
        <f t="shared" si="11"/>
        <v/>
      </c>
    </row>
    <row r="123" spans="7:7">
      <c r="G123" s="5" t="str">
        <f t="shared" si="11"/>
        <v/>
      </c>
    </row>
    <row r="124" spans="7:7">
      <c r="G124" s="5" t="str">
        <f t="shared" si="11"/>
        <v/>
      </c>
    </row>
    <row r="125" spans="7:7">
      <c r="G125" s="5" t="str">
        <f t="shared" si="11"/>
        <v/>
      </c>
    </row>
    <row r="126" spans="7:7">
      <c r="G126" s="5" t="str">
        <f t="shared" si="11"/>
        <v/>
      </c>
    </row>
    <row r="127" spans="7:7">
      <c r="G127" s="5" t="str">
        <f t="shared" si="11"/>
        <v/>
      </c>
    </row>
    <row r="128" spans="7:7">
      <c r="G128" s="5" t="str">
        <f t="shared" si="11"/>
        <v/>
      </c>
    </row>
    <row r="129" spans="7:7">
      <c r="G129" s="5" t="str">
        <f t="shared" si="11"/>
        <v/>
      </c>
    </row>
    <row r="130" spans="7:7">
      <c r="G130" s="5" t="str">
        <f t="shared" si="11"/>
        <v/>
      </c>
    </row>
    <row r="131" spans="7:7">
      <c r="G131" s="5" t="str">
        <f t="shared" si="11"/>
        <v/>
      </c>
    </row>
    <row r="132" spans="7:7">
      <c r="G132" s="5" t="str">
        <f t="shared" si="11"/>
        <v/>
      </c>
    </row>
    <row r="133" spans="7:7">
      <c r="G133" s="5" t="str">
        <f t="shared" si="11"/>
        <v/>
      </c>
    </row>
    <row r="134" spans="7:7">
      <c r="G134" s="5" t="str">
        <f t="shared" si="11"/>
        <v/>
      </c>
    </row>
    <row r="135" spans="7:7">
      <c r="G135" s="5" t="str">
        <f t="shared" si="11"/>
        <v/>
      </c>
    </row>
    <row r="136" spans="7:7">
      <c r="G136" s="5" t="str">
        <f t="shared" si="11"/>
        <v/>
      </c>
    </row>
    <row r="137" spans="7:7">
      <c r="G137" s="5" t="str">
        <f t="shared" si="11"/>
        <v/>
      </c>
    </row>
    <row r="138" spans="7:7">
      <c r="G138" s="5" t="str">
        <f t="shared" si="11"/>
        <v/>
      </c>
    </row>
    <row r="139" spans="7:7">
      <c r="G139" s="5" t="str">
        <f t="shared" si="11"/>
        <v/>
      </c>
    </row>
    <row r="140" spans="7:7">
      <c r="G140" s="5" t="str">
        <f t="shared" si="11"/>
        <v/>
      </c>
    </row>
    <row r="141" spans="7:7">
      <c r="G141" s="5" t="str">
        <f t="shared" si="11"/>
        <v/>
      </c>
    </row>
    <row r="142" spans="7:7">
      <c r="G142" s="5" t="str">
        <f t="shared" si="11"/>
        <v/>
      </c>
    </row>
    <row r="143" spans="7:7">
      <c r="G143" s="5" t="str">
        <f t="shared" si="11"/>
        <v/>
      </c>
    </row>
    <row r="144" spans="7:7">
      <c r="G144" s="5" t="str">
        <f t="shared" si="11"/>
        <v/>
      </c>
    </row>
    <row r="145" spans="7:7">
      <c r="G145" s="5" t="str">
        <f t="shared" si="11"/>
        <v/>
      </c>
    </row>
    <row r="146" spans="7:7">
      <c r="G146" s="5" t="str">
        <f t="shared" si="11"/>
        <v/>
      </c>
    </row>
    <row r="147" spans="7:7">
      <c r="G147" s="5" t="str">
        <f t="shared" si="11"/>
        <v/>
      </c>
    </row>
    <row r="148" spans="7:7">
      <c r="G148" s="5" t="str">
        <f t="shared" si="11"/>
        <v/>
      </c>
    </row>
    <row r="149" spans="7:7">
      <c r="G149" s="5" t="str">
        <f t="shared" si="11"/>
        <v/>
      </c>
    </row>
    <row r="150" spans="7:7">
      <c r="G150" s="5" t="str">
        <f t="shared" si="11"/>
        <v/>
      </c>
    </row>
    <row r="151" spans="7:7">
      <c r="G151" s="5" t="str">
        <f t="shared" si="11"/>
        <v/>
      </c>
    </row>
    <row r="152" spans="7:7">
      <c r="G152" s="5" t="str">
        <f t="shared" si="11"/>
        <v/>
      </c>
    </row>
    <row r="153" spans="7:7">
      <c r="G153" s="5" t="str">
        <f t="shared" si="11"/>
        <v/>
      </c>
    </row>
    <row r="154" spans="7:7">
      <c r="G154" s="5" t="str">
        <f t="shared" si="11"/>
        <v/>
      </c>
    </row>
    <row r="155" spans="7:7">
      <c r="G155" s="5" t="str">
        <f t="shared" si="11"/>
        <v/>
      </c>
    </row>
    <row r="156" spans="7:7">
      <c r="G156" s="5" t="str">
        <f t="shared" si="11"/>
        <v/>
      </c>
    </row>
    <row r="157" spans="7:7">
      <c r="G157" s="5" t="str">
        <f t="shared" si="11"/>
        <v/>
      </c>
    </row>
    <row r="158" spans="7:7">
      <c r="G158" s="5" t="str">
        <f t="shared" si="11"/>
        <v/>
      </c>
    </row>
    <row r="159" spans="7:7">
      <c r="G159" s="5" t="str">
        <f t="shared" ref="G159:G222" si="12">IF(B159&lt;&gt;"",SUM(C159:F159),"")</f>
        <v/>
      </c>
    </row>
    <row r="160" spans="7:7">
      <c r="G160" s="5" t="str">
        <f t="shared" si="12"/>
        <v/>
      </c>
    </row>
    <row r="161" spans="7:7">
      <c r="G161" s="5" t="str">
        <f t="shared" si="12"/>
        <v/>
      </c>
    </row>
    <row r="162" spans="7:7">
      <c r="G162" s="5" t="str">
        <f t="shared" si="12"/>
        <v/>
      </c>
    </row>
    <row r="163" spans="7:7">
      <c r="G163" s="5" t="str">
        <f t="shared" si="12"/>
        <v/>
      </c>
    </row>
    <row r="164" spans="7:7">
      <c r="G164" s="5" t="str">
        <f t="shared" si="12"/>
        <v/>
      </c>
    </row>
    <row r="165" spans="7:7">
      <c r="G165" s="5" t="str">
        <f t="shared" si="12"/>
        <v/>
      </c>
    </row>
    <row r="166" spans="7:7">
      <c r="G166" s="5" t="str">
        <f t="shared" si="12"/>
        <v/>
      </c>
    </row>
    <row r="167" spans="7:7">
      <c r="G167" s="5" t="str">
        <f t="shared" si="12"/>
        <v/>
      </c>
    </row>
    <row r="168" spans="7:7">
      <c r="G168" s="5" t="str">
        <f t="shared" si="12"/>
        <v/>
      </c>
    </row>
    <row r="169" spans="7:7">
      <c r="G169" s="5" t="str">
        <f t="shared" si="12"/>
        <v/>
      </c>
    </row>
    <row r="170" spans="7:7">
      <c r="G170" s="5" t="str">
        <f t="shared" si="12"/>
        <v/>
      </c>
    </row>
    <row r="171" spans="7:7">
      <c r="G171" s="5" t="str">
        <f t="shared" si="12"/>
        <v/>
      </c>
    </row>
    <row r="172" spans="7:7">
      <c r="G172" s="5" t="str">
        <f t="shared" si="12"/>
        <v/>
      </c>
    </row>
    <row r="173" spans="7:7">
      <c r="G173" s="5" t="str">
        <f t="shared" si="12"/>
        <v/>
      </c>
    </row>
    <row r="174" spans="7:7">
      <c r="G174" s="5" t="str">
        <f t="shared" si="12"/>
        <v/>
      </c>
    </row>
    <row r="175" spans="7:7">
      <c r="G175" s="5" t="str">
        <f t="shared" si="12"/>
        <v/>
      </c>
    </row>
    <row r="176" spans="7:7">
      <c r="G176" s="5" t="str">
        <f t="shared" si="12"/>
        <v/>
      </c>
    </row>
    <row r="177" spans="7:7">
      <c r="G177" s="5" t="str">
        <f t="shared" si="12"/>
        <v/>
      </c>
    </row>
    <row r="178" spans="7:7">
      <c r="G178" s="5" t="str">
        <f t="shared" si="12"/>
        <v/>
      </c>
    </row>
    <row r="179" spans="7:7">
      <c r="G179" s="5" t="str">
        <f t="shared" si="12"/>
        <v/>
      </c>
    </row>
    <row r="180" spans="7:7">
      <c r="G180" s="5" t="str">
        <f t="shared" si="12"/>
        <v/>
      </c>
    </row>
    <row r="181" spans="7:7">
      <c r="G181" s="5" t="str">
        <f t="shared" si="12"/>
        <v/>
      </c>
    </row>
    <row r="182" spans="7:7">
      <c r="G182" s="5" t="str">
        <f t="shared" si="12"/>
        <v/>
      </c>
    </row>
    <row r="183" spans="7:7">
      <c r="G183" s="5" t="str">
        <f t="shared" si="12"/>
        <v/>
      </c>
    </row>
    <row r="184" spans="7:7">
      <c r="G184" s="5" t="str">
        <f t="shared" si="12"/>
        <v/>
      </c>
    </row>
    <row r="185" spans="7:7">
      <c r="G185" s="5" t="str">
        <f t="shared" si="12"/>
        <v/>
      </c>
    </row>
    <row r="186" spans="7:7">
      <c r="G186" s="5" t="str">
        <f t="shared" si="12"/>
        <v/>
      </c>
    </row>
    <row r="187" spans="7:7">
      <c r="G187" s="5" t="str">
        <f t="shared" si="12"/>
        <v/>
      </c>
    </row>
    <row r="188" spans="7:7">
      <c r="G188" s="5" t="str">
        <f t="shared" si="12"/>
        <v/>
      </c>
    </row>
    <row r="189" spans="7:7">
      <c r="G189" s="5" t="str">
        <f t="shared" si="12"/>
        <v/>
      </c>
    </row>
    <row r="190" spans="7:7">
      <c r="G190" s="5" t="str">
        <f t="shared" si="12"/>
        <v/>
      </c>
    </row>
    <row r="191" spans="7:7">
      <c r="G191" s="5" t="str">
        <f t="shared" si="12"/>
        <v/>
      </c>
    </row>
    <row r="192" spans="7:7">
      <c r="G192" s="5" t="str">
        <f t="shared" si="12"/>
        <v/>
      </c>
    </row>
    <row r="193" spans="7:7">
      <c r="G193" s="5" t="str">
        <f t="shared" si="12"/>
        <v/>
      </c>
    </row>
    <row r="194" spans="7:7">
      <c r="G194" s="5" t="str">
        <f t="shared" si="12"/>
        <v/>
      </c>
    </row>
    <row r="195" spans="7:7">
      <c r="G195" s="5" t="str">
        <f t="shared" si="12"/>
        <v/>
      </c>
    </row>
    <row r="196" spans="7:7">
      <c r="G196" s="5" t="str">
        <f t="shared" si="12"/>
        <v/>
      </c>
    </row>
    <row r="197" spans="7:7">
      <c r="G197" s="5" t="str">
        <f t="shared" si="12"/>
        <v/>
      </c>
    </row>
    <row r="198" spans="7:7">
      <c r="G198" s="5" t="str">
        <f t="shared" si="12"/>
        <v/>
      </c>
    </row>
    <row r="199" spans="7:7">
      <c r="G199" s="5" t="str">
        <f t="shared" si="12"/>
        <v/>
      </c>
    </row>
    <row r="200" spans="7:7">
      <c r="G200" s="5" t="str">
        <f t="shared" si="12"/>
        <v/>
      </c>
    </row>
    <row r="201" spans="7:7">
      <c r="G201" s="5" t="str">
        <f t="shared" si="12"/>
        <v/>
      </c>
    </row>
    <row r="202" spans="7:7">
      <c r="G202" s="5" t="str">
        <f t="shared" si="12"/>
        <v/>
      </c>
    </row>
    <row r="203" spans="7:7">
      <c r="G203" s="5" t="str">
        <f t="shared" si="12"/>
        <v/>
      </c>
    </row>
    <row r="204" spans="7:7">
      <c r="G204" s="5" t="str">
        <f t="shared" si="12"/>
        <v/>
      </c>
    </row>
    <row r="205" spans="7:7">
      <c r="G205" s="5" t="str">
        <f t="shared" si="12"/>
        <v/>
      </c>
    </row>
    <row r="206" spans="7:7">
      <c r="G206" s="5" t="str">
        <f t="shared" si="12"/>
        <v/>
      </c>
    </row>
    <row r="207" spans="7:7">
      <c r="G207" s="5" t="str">
        <f t="shared" si="12"/>
        <v/>
      </c>
    </row>
    <row r="208" spans="7:7">
      <c r="G208" s="5" t="str">
        <f t="shared" si="12"/>
        <v/>
      </c>
    </row>
    <row r="209" spans="7:7">
      <c r="G209" s="5" t="str">
        <f t="shared" si="12"/>
        <v/>
      </c>
    </row>
    <row r="210" spans="7:7">
      <c r="G210" s="5" t="str">
        <f t="shared" si="12"/>
        <v/>
      </c>
    </row>
    <row r="211" spans="7:7">
      <c r="G211" s="5" t="str">
        <f t="shared" si="12"/>
        <v/>
      </c>
    </row>
    <row r="212" spans="7:7">
      <c r="G212" s="5" t="str">
        <f t="shared" si="12"/>
        <v/>
      </c>
    </row>
    <row r="213" spans="7:7">
      <c r="G213" s="5" t="str">
        <f t="shared" si="12"/>
        <v/>
      </c>
    </row>
    <row r="214" spans="7:7">
      <c r="G214" s="5" t="str">
        <f t="shared" si="12"/>
        <v/>
      </c>
    </row>
    <row r="215" spans="7:7">
      <c r="G215" s="5" t="str">
        <f t="shared" si="12"/>
        <v/>
      </c>
    </row>
    <row r="216" spans="7:7">
      <c r="G216" s="5" t="str">
        <f t="shared" si="12"/>
        <v/>
      </c>
    </row>
    <row r="217" spans="7:7">
      <c r="G217" s="5" t="str">
        <f t="shared" si="12"/>
        <v/>
      </c>
    </row>
    <row r="218" spans="7:7">
      <c r="G218" s="5" t="str">
        <f t="shared" si="12"/>
        <v/>
      </c>
    </row>
    <row r="219" spans="7:7">
      <c r="G219" s="5" t="str">
        <f t="shared" si="12"/>
        <v/>
      </c>
    </row>
    <row r="220" spans="7:7">
      <c r="G220" s="5" t="str">
        <f t="shared" si="12"/>
        <v/>
      </c>
    </row>
    <row r="221" spans="7:7">
      <c r="G221" s="5" t="str">
        <f t="shared" si="12"/>
        <v/>
      </c>
    </row>
    <row r="222" spans="7:7">
      <c r="G222" s="5" t="str">
        <f t="shared" si="12"/>
        <v/>
      </c>
    </row>
    <row r="223" spans="7:7">
      <c r="G223" s="5" t="str">
        <f t="shared" ref="G223:G286" si="13">IF(B223&lt;&gt;"",SUM(C223:F223),"")</f>
        <v/>
      </c>
    </row>
    <row r="224" spans="7:7">
      <c r="G224" s="5" t="str">
        <f t="shared" si="13"/>
        <v/>
      </c>
    </row>
    <row r="225" spans="7:7">
      <c r="G225" s="5" t="str">
        <f t="shared" si="13"/>
        <v/>
      </c>
    </row>
    <row r="226" spans="7:7">
      <c r="G226" s="5" t="str">
        <f t="shared" si="13"/>
        <v/>
      </c>
    </row>
    <row r="227" spans="7:7">
      <c r="G227" s="5" t="str">
        <f t="shared" si="13"/>
        <v/>
      </c>
    </row>
    <row r="228" spans="7:7">
      <c r="G228" s="5" t="str">
        <f t="shared" si="13"/>
        <v/>
      </c>
    </row>
    <row r="229" spans="7:7">
      <c r="G229" s="5" t="str">
        <f t="shared" si="13"/>
        <v/>
      </c>
    </row>
    <row r="230" spans="7:7">
      <c r="G230" s="5" t="str">
        <f t="shared" si="13"/>
        <v/>
      </c>
    </row>
    <row r="231" spans="7:7">
      <c r="G231" s="5" t="str">
        <f t="shared" si="13"/>
        <v/>
      </c>
    </row>
    <row r="232" spans="7:7">
      <c r="G232" s="5" t="str">
        <f t="shared" si="13"/>
        <v/>
      </c>
    </row>
    <row r="233" spans="7:7">
      <c r="G233" s="5" t="str">
        <f t="shared" si="13"/>
        <v/>
      </c>
    </row>
    <row r="234" spans="7:7">
      <c r="G234" s="5" t="str">
        <f t="shared" si="13"/>
        <v/>
      </c>
    </row>
    <row r="235" spans="7:7">
      <c r="G235" s="5" t="str">
        <f t="shared" si="13"/>
        <v/>
      </c>
    </row>
    <row r="236" spans="7:7">
      <c r="G236" s="5" t="str">
        <f t="shared" si="13"/>
        <v/>
      </c>
    </row>
    <row r="237" spans="7:7">
      <c r="G237" s="5" t="str">
        <f t="shared" si="13"/>
        <v/>
      </c>
    </row>
    <row r="238" spans="7:7">
      <c r="G238" s="5" t="str">
        <f t="shared" si="13"/>
        <v/>
      </c>
    </row>
    <row r="239" spans="7:7">
      <c r="G239" s="5" t="str">
        <f t="shared" si="13"/>
        <v/>
      </c>
    </row>
    <row r="240" spans="7:7">
      <c r="G240" s="5" t="str">
        <f t="shared" si="13"/>
        <v/>
      </c>
    </row>
    <row r="241" spans="7:7">
      <c r="G241" s="5" t="str">
        <f t="shared" si="13"/>
        <v/>
      </c>
    </row>
    <row r="242" spans="7:7">
      <c r="G242" s="5" t="str">
        <f t="shared" si="13"/>
        <v/>
      </c>
    </row>
    <row r="243" spans="7:7">
      <c r="G243" s="5" t="str">
        <f t="shared" si="13"/>
        <v/>
      </c>
    </row>
    <row r="244" spans="7:7">
      <c r="G244" s="5" t="str">
        <f t="shared" si="13"/>
        <v/>
      </c>
    </row>
    <row r="245" spans="7:7">
      <c r="G245" s="5" t="str">
        <f t="shared" si="13"/>
        <v/>
      </c>
    </row>
    <row r="246" spans="7:7">
      <c r="G246" s="5" t="str">
        <f t="shared" si="13"/>
        <v/>
      </c>
    </row>
    <row r="247" spans="7:7">
      <c r="G247" s="5" t="str">
        <f t="shared" si="13"/>
        <v/>
      </c>
    </row>
    <row r="248" spans="7:7">
      <c r="G248" s="5" t="str">
        <f t="shared" si="13"/>
        <v/>
      </c>
    </row>
    <row r="249" spans="7:7">
      <c r="G249" s="5" t="str">
        <f t="shared" si="13"/>
        <v/>
      </c>
    </row>
    <row r="250" spans="7:7">
      <c r="G250" s="5" t="str">
        <f t="shared" si="13"/>
        <v/>
      </c>
    </row>
    <row r="251" spans="7:7">
      <c r="G251" s="5" t="str">
        <f t="shared" si="13"/>
        <v/>
      </c>
    </row>
    <row r="252" spans="7:7">
      <c r="G252" s="5" t="str">
        <f t="shared" si="13"/>
        <v/>
      </c>
    </row>
    <row r="253" spans="7:7">
      <c r="G253" s="5" t="str">
        <f t="shared" si="13"/>
        <v/>
      </c>
    </row>
    <row r="254" spans="7:7">
      <c r="G254" s="5" t="str">
        <f t="shared" si="13"/>
        <v/>
      </c>
    </row>
    <row r="255" spans="7:7">
      <c r="G255" s="5" t="str">
        <f t="shared" si="13"/>
        <v/>
      </c>
    </row>
    <row r="256" spans="7:7">
      <c r="G256" s="5" t="str">
        <f t="shared" si="13"/>
        <v/>
      </c>
    </row>
    <row r="257" spans="7:7">
      <c r="G257" s="5" t="str">
        <f t="shared" si="13"/>
        <v/>
      </c>
    </row>
    <row r="258" spans="7:7">
      <c r="G258" s="5" t="str">
        <f t="shared" si="13"/>
        <v/>
      </c>
    </row>
    <row r="259" spans="7:7">
      <c r="G259" s="5" t="str">
        <f t="shared" si="13"/>
        <v/>
      </c>
    </row>
    <row r="260" spans="7:7">
      <c r="G260" s="5" t="str">
        <f t="shared" si="13"/>
        <v/>
      </c>
    </row>
    <row r="261" spans="7:7">
      <c r="G261" s="5" t="str">
        <f t="shared" si="13"/>
        <v/>
      </c>
    </row>
    <row r="262" spans="7:7">
      <c r="G262" s="5" t="str">
        <f t="shared" si="13"/>
        <v/>
      </c>
    </row>
    <row r="263" spans="7:7">
      <c r="G263" s="5" t="str">
        <f t="shared" si="13"/>
        <v/>
      </c>
    </row>
    <row r="264" spans="7:7">
      <c r="G264" s="5" t="str">
        <f t="shared" si="13"/>
        <v/>
      </c>
    </row>
    <row r="265" spans="7:7">
      <c r="G265" s="5" t="str">
        <f t="shared" si="13"/>
        <v/>
      </c>
    </row>
    <row r="266" spans="7:7">
      <c r="G266" s="5" t="str">
        <f t="shared" si="13"/>
        <v/>
      </c>
    </row>
    <row r="267" spans="7:7">
      <c r="G267" s="5" t="str">
        <f t="shared" si="13"/>
        <v/>
      </c>
    </row>
    <row r="268" spans="7:7">
      <c r="G268" s="5" t="str">
        <f t="shared" si="13"/>
        <v/>
      </c>
    </row>
    <row r="269" spans="7:7">
      <c r="G269" s="5" t="str">
        <f t="shared" si="13"/>
        <v/>
      </c>
    </row>
    <row r="270" spans="7:7">
      <c r="G270" s="5" t="str">
        <f t="shared" si="13"/>
        <v/>
      </c>
    </row>
    <row r="271" spans="7:7">
      <c r="G271" s="5" t="str">
        <f t="shared" si="13"/>
        <v/>
      </c>
    </row>
    <row r="272" spans="7:7">
      <c r="G272" s="5" t="str">
        <f t="shared" si="13"/>
        <v/>
      </c>
    </row>
    <row r="273" spans="7:7">
      <c r="G273" s="5" t="str">
        <f t="shared" si="13"/>
        <v/>
      </c>
    </row>
    <row r="274" spans="7:7">
      <c r="G274" s="5" t="str">
        <f t="shared" si="13"/>
        <v/>
      </c>
    </row>
    <row r="275" spans="7:7">
      <c r="G275" s="5" t="str">
        <f t="shared" si="13"/>
        <v/>
      </c>
    </row>
    <row r="276" spans="7:7">
      <c r="G276" s="5" t="str">
        <f t="shared" si="13"/>
        <v/>
      </c>
    </row>
    <row r="277" spans="7:7">
      <c r="G277" s="5" t="str">
        <f t="shared" si="13"/>
        <v/>
      </c>
    </row>
    <row r="278" spans="7:7">
      <c r="G278" s="5" t="str">
        <f t="shared" si="13"/>
        <v/>
      </c>
    </row>
    <row r="279" spans="7:7">
      <c r="G279" s="5" t="str">
        <f t="shared" si="13"/>
        <v/>
      </c>
    </row>
    <row r="280" spans="7:7">
      <c r="G280" s="5" t="str">
        <f t="shared" si="13"/>
        <v/>
      </c>
    </row>
    <row r="281" spans="7:7">
      <c r="G281" s="5" t="str">
        <f t="shared" si="13"/>
        <v/>
      </c>
    </row>
    <row r="282" spans="7:7">
      <c r="G282" s="5" t="str">
        <f t="shared" si="13"/>
        <v/>
      </c>
    </row>
    <row r="283" spans="7:7">
      <c r="G283" s="5" t="str">
        <f t="shared" si="13"/>
        <v/>
      </c>
    </row>
    <row r="284" spans="7:7">
      <c r="G284" s="5" t="str">
        <f t="shared" si="13"/>
        <v/>
      </c>
    </row>
    <row r="285" spans="7:7">
      <c r="G285" s="5" t="str">
        <f t="shared" si="13"/>
        <v/>
      </c>
    </row>
    <row r="286" spans="7:7">
      <c r="G286" s="5" t="str">
        <f t="shared" si="13"/>
        <v/>
      </c>
    </row>
    <row r="287" spans="7:7">
      <c r="G287" s="5" t="str">
        <f t="shared" ref="G287:G350" si="14">IF(B287&lt;&gt;"",SUM(C287:F287),"")</f>
        <v/>
      </c>
    </row>
    <row r="288" spans="7:7">
      <c r="G288" s="5" t="str">
        <f t="shared" si="14"/>
        <v/>
      </c>
    </row>
    <row r="289" spans="7:7">
      <c r="G289" s="5" t="str">
        <f t="shared" si="14"/>
        <v/>
      </c>
    </row>
    <row r="290" spans="7:7">
      <c r="G290" s="5" t="str">
        <f t="shared" si="14"/>
        <v/>
      </c>
    </row>
    <row r="291" spans="7:7">
      <c r="G291" s="5" t="str">
        <f t="shared" si="14"/>
        <v/>
      </c>
    </row>
    <row r="292" spans="7:7">
      <c r="G292" s="5" t="str">
        <f t="shared" si="14"/>
        <v/>
      </c>
    </row>
    <row r="293" spans="7:7">
      <c r="G293" s="5" t="str">
        <f t="shared" si="14"/>
        <v/>
      </c>
    </row>
    <row r="294" spans="7:7">
      <c r="G294" s="5" t="str">
        <f t="shared" si="14"/>
        <v/>
      </c>
    </row>
    <row r="295" spans="7:7">
      <c r="G295" s="5" t="str">
        <f t="shared" si="14"/>
        <v/>
      </c>
    </row>
    <row r="296" spans="7:7">
      <c r="G296" s="5" t="str">
        <f t="shared" si="14"/>
        <v/>
      </c>
    </row>
    <row r="297" spans="7:7">
      <c r="G297" s="5" t="str">
        <f t="shared" si="14"/>
        <v/>
      </c>
    </row>
    <row r="298" spans="7:7">
      <c r="G298" s="5" t="str">
        <f t="shared" si="14"/>
        <v/>
      </c>
    </row>
    <row r="299" spans="7:7">
      <c r="G299" s="5" t="str">
        <f t="shared" si="14"/>
        <v/>
      </c>
    </row>
    <row r="300" spans="7:7">
      <c r="G300" s="5" t="str">
        <f t="shared" si="14"/>
        <v/>
      </c>
    </row>
    <row r="301" spans="7:7">
      <c r="G301" s="5" t="str">
        <f t="shared" si="14"/>
        <v/>
      </c>
    </row>
    <row r="302" spans="7:7">
      <c r="G302" s="5" t="str">
        <f t="shared" si="14"/>
        <v/>
      </c>
    </row>
    <row r="303" spans="7:7">
      <c r="G303" s="5" t="str">
        <f t="shared" si="14"/>
        <v/>
      </c>
    </row>
    <row r="304" spans="7:7">
      <c r="G304" s="5" t="str">
        <f t="shared" si="14"/>
        <v/>
      </c>
    </row>
    <row r="305" spans="7:7">
      <c r="G305" s="5" t="str">
        <f t="shared" si="14"/>
        <v/>
      </c>
    </row>
    <row r="306" spans="7:7">
      <c r="G306" s="5" t="str">
        <f t="shared" si="14"/>
        <v/>
      </c>
    </row>
    <row r="307" spans="7:7">
      <c r="G307" s="5" t="str">
        <f t="shared" si="14"/>
        <v/>
      </c>
    </row>
    <row r="308" spans="7:7">
      <c r="G308" s="5" t="str">
        <f t="shared" si="14"/>
        <v/>
      </c>
    </row>
    <row r="309" spans="7:7">
      <c r="G309" s="5" t="str">
        <f t="shared" si="14"/>
        <v/>
      </c>
    </row>
    <row r="310" spans="7:7">
      <c r="G310" s="5" t="str">
        <f t="shared" si="14"/>
        <v/>
      </c>
    </row>
    <row r="311" spans="7:7">
      <c r="G311" s="5" t="str">
        <f t="shared" si="14"/>
        <v/>
      </c>
    </row>
    <row r="312" spans="7:7">
      <c r="G312" s="5" t="str">
        <f t="shared" si="14"/>
        <v/>
      </c>
    </row>
    <row r="313" spans="7:7">
      <c r="G313" s="5" t="str">
        <f t="shared" si="14"/>
        <v/>
      </c>
    </row>
    <row r="314" spans="7:7">
      <c r="G314" s="5" t="str">
        <f t="shared" si="14"/>
        <v/>
      </c>
    </row>
    <row r="315" spans="7:7">
      <c r="G315" s="5" t="str">
        <f t="shared" si="14"/>
        <v/>
      </c>
    </row>
    <row r="316" spans="7:7">
      <c r="G316" s="5" t="str">
        <f t="shared" si="14"/>
        <v/>
      </c>
    </row>
    <row r="317" spans="7:7">
      <c r="G317" s="5" t="str">
        <f t="shared" si="14"/>
        <v/>
      </c>
    </row>
    <row r="318" spans="7:7">
      <c r="G318" s="5" t="str">
        <f t="shared" si="14"/>
        <v/>
      </c>
    </row>
    <row r="319" spans="7:7">
      <c r="G319" s="5" t="str">
        <f t="shared" si="14"/>
        <v/>
      </c>
    </row>
    <row r="320" spans="7:7">
      <c r="G320" s="5" t="str">
        <f t="shared" si="14"/>
        <v/>
      </c>
    </row>
    <row r="321" spans="7:7">
      <c r="G321" s="5" t="str">
        <f t="shared" si="14"/>
        <v/>
      </c>
    </row>
    <row r="322" spans="7:7">
      <c r="G322" s="5" t="str">
        <f t="shared" si="14"/>
        <v/>
      </c>
    </row>
    <row r="323" spans="7:7">
      <c r="G323" s="5" t="str">
        <f t="shared" si="14"/>
        <v/>
      </c>
    </row>
    <row r="324" spans="7:7">
      <c r="G324" s="5" t="str">
        <f t="shared" si="14"/>
        <v/>
      </c>
    </row>
    <row r="325" spans="7:7">
      <c r="G325" s="5" t="str">
        <f t="shared" si="14"/>
        <v/>
      </c>
    </row>
    <row r="326" spans="7:7">
      <c r="G326" s="5" t="str">
        <f t="shared" si="14"/>
        <v/>
      </c>
    </row>
    <row r="327" spans="7:7">
      <c r="G327" s="5" t="str">
        <f t="shared" si="14"/>
        <v/>
      </c>
    </row>
    <row r="328" spans="7:7">
      <c r="G328" s="5" t="str">
        <f t="shared" si="14"/>
        <v/>
      </c>
    </row>
    <row r="329" spans="7:7">
      <c r="G329" s="5" t="str">
        <f t="shared" si="14"/>
        <v/>
      </c>
    </row>
    <row r="330" spans="7:7">
      <c r="G330" s="5" t="str">
        <f t="shared" si="14"/>
        <v/>
      </c>
    </row>
    <row r="331" spans="7:7">
      <c r="G331" s="5" t="str">
        <f t="shared" si="14"/>
        <v/>
      </c>
    </row>
    <row r="332" spans="7:7">
      <c r="G332" s="5" t="str">
        <f t="shared" si="14"/>
        <v/>
      </c>
    </row>
    <row r="333" spans="7:7">
      <c r="G333" s="5" t="str">
        <f t="shared" si="14"/>
        <v/>
      </c>
    </row>
    <row r="334" spans="7:7">
      <c r="G334" s="5" t="str">
        <f t="shared" si="14"/>
        <v/>
      </c>
    </row>
    <row r="335" spans="7:7">
      <c r="G335" s="5" t="str">
        <f t="shared" si="14"/>
        <v/>
      </c>
    </row>
    <row r="336" spans="7:7">
      <c r="G336" s="5" t="str">
        <f t="shared" si="14"/>
        <v/>
      </c>
    </row>
    <row r="337" spans="7:7">
      <c r="G337" s="5" t="str">
        <f t="shared" si="14"/>
        <v/>
      </c>
    </row>
    <row r="338" spans="7:7">
      <c r="G338" s="5" t="str">
        <f t="shared" si="14"/>
        <v/>
      </c>
    </row>
    <row r="339" spans="7:7">
      <c r="G339" s="5" t="str">
        <f t="shared" si="14"/>
        <v/>
      </c>
    </row>
    <row r="340" spans="7:7">
      <c r="G340" s="5" t="str">
        <f t="shared" si="14"/>
        <v/>
      </c>
    </row>
    <row r="341" spans="7:7">
      <c r="G341" s="5" t="str">
        <f t="shared" si="14"/>
        <v/>
      </c>
    </row>
    <row r="342" spans="7:7">
      <c r="G342" s="5" t="str">
        <f t="shared" si="14"/>
        <v/>
      </c>
    </row>
    <row r="343" spans="7:7">
      <c r="G343" s="5" t="str">
        <f t="shared" si="14"/>
        <v/>
      </c>
    </row>
    <row r="344" spans="7:7">
      <c r="G344" s="5" t="str">
        <f t="shared" si="14"/>
        <v/>
      </c>
    </row>
    <row r="345" spans="7:7">
      <c r="G345" s="5" t="str">
        <f t="shared" si="14"/>
        <v/>
      </c>
    </row>
    <row r="346" spans="7:7">
      <c r="G346" s="5" t="str">
        <f t="shared" si="14"/>
        <v/>
      </c>
    </row>
    <row r="347" spans="7:7">
      <c r="G347" s="5" t="str">
        <f t="shared" si="14"/>
        <v/>
      </c>
    </row>
    <row r="348" spans="7:7">
      <c r="G348" s="5" t="str">
        <f t="shared" si="14"/>
        <v/>
      </c>
    </row>
    <row r="349" spans="7:7">
      <c r="G349" s="5" t="str">
        <f t="shared" si="14"/>
        <v/>
      </c>
    </row>
    <row r="350" spans="7:7">
      <c r="G350" s="5" t="str">
        <f t="shared" si="14"/>
        <v/>
      </c>
    </row>
    <row r="351" spans="7:7">
      <c r="G351" s="5" t="str">
        <f t="shared" ref="G351:G414" si="15">IF(B351&lt;&gt;"",SUM(C351:F351),"")</f>
        <v/>
      </c>
    </row>
    <row r="352" spans="7:7">
      <c r="G352" s="5" t="str">
        <f t="shared" si="15"/>
        <v/>
      </c>
    </row>
    <row r="353" spans="7:7">
      <c r="G353" s="5" t="str">
        <f t="shared" si="15"/>
        <v/>
      </c>
    </row>
    <row r="354" spans="7:7">
      <c r="G354" s="5" t="str">
        <f t="shared" si="15"/>
        <v/>
      </c>
    </row>
    <row r="355" spans="7:7">
      <c r="G355" s="5" t="str">
        <f t="shared" si="15"/>
        <v/>
      </c>
    </row>
    <row r="356" spans="7:7">
      <c r="G356" s="5" t="str">
        <f t="shared" si="15"/>
        <v/>
      </c>
    </row>
    <row r="357" spans="7:7">
      <c r="G357" s="5" t="str">
        <f t="shared" si="15"/>
        <v/>
      </c>
    </row>
    <row r="358" spans="7:7">
      <c r="G358" s="5" t="str">
        <f t="shared" si="15"/>
        <v/>
      </c>
    </row>
    <row r="359" spans="7:7">
      <c r="G359" s="5" t="str">
        <f t="shared" si="15"/>
        <v/>
      </c>
    </row>
    <row r="360" spans="7:7">
      <c r="G360" s="5" t="str">
        <f t="shared" si="15"/>
        <v/>
      </c>
    </row>
    <row r="361" spans="7:7">
      <c r="G361" s="5" t="str">
        <f t="shared" si="15"/>
        <v/>
      </c>
    </row>
    <row r="362" spans="7:7">
      <c r="G362" s="5" t="str">
        <f t="shared" si="15"/>
        <v/>
      </c>
    </row>
    <row r="363" spans="7:7">
      <c r="G363" s="5" t="str">
        <f t="shared" si="15"/>
        <v/>
      </c>
    </row>
    <row r="364" spans="7:7">
      <c r="G364" s="5" t="str">
        <f t="shared" si="15"/>
        <v/>
      </c>
    </row>
    <row r="365" spans="7:7">
      <c r="G365" s="5" t="str">
        <f t="shared" si="15"/>
        <v/>
      </c>
    </row>
    <row r="366" spans="7:7">
      <c r="G366" s="5" t="str">
        <f t="shared" si="15"/>
        <v/>
      </c>
    </row>
    <row r="367" spans="7:7">
      <c r="G367" s="5" t="str">
        <f t="shared" si="15"/>
        <v/>
      </c>
    </row>
    <row r="368" spans="7:7">
      <c r="G368" s="5" t="str">
        <f t="shared" si="15"/>
        <v/>
      </c>
    </row>
    <row r="369" spans="7:7">
      <c r="G369" s="5" t="str">
        <f t="shared" si="15"/>
        <v/>
      </c>
    </row>
    <row r="370" spans="7:7">
      <c r="G370" s="5" t="str">
        <f t="shared" si="15"/>
        <v/>
      </c>
    </row>
    <row r="371" spans="7:7">
      <c r="G371" s="5" t="str">
        <f t="shared" si="15"/>
        <v/>
      </c>
    </row>
    <row r="372" spans="7:7">
      <c r="G372" s="5" t="str">
        <f t="shared" si="15"/>
        <v/>
      </c>
    </row>
    <row r="373" spans="7:7">
      <c r="G373" s="5" t="str">
        <f t="shared" si="15"/>
        <v/>
      </c>
    </row>
    <row r="374" spans="7:7">
      <c r="G374" s="5" t="str">
        <f t="shared" si="15"/>
        <v/>
      </c>
    </row>
    <row r="375" spans="7:7">
      <c r="G375" s="5" t="str">
        <f t="shared" si="15"/>
        <v/>
      </c>
    </row>
    <row r="376" spans="7:7">
      <c r="G376" s="5" t="str">
        <f t="shared" si="15"/>
        <v/>
      </c>
    </row>
    <row r="377" spans="7:7">
      <c r="G377" s="5" t="str">
        <f t="shared" si="15"/>
        <v/>
      </c>
    </row>
    <row r="378" spans="7:7">
      <c r="G378" s="5" t="str">
        <f t="shared" si="15"/>
        <v/>
      </c>
    </row>
    <row r="379" spans="7:7">
      <c r="G379" s="5" t="str">
        <f t="shared" si="15"/>
        <v/>
      </c>
    </row>
    <row r="380" spans="7:7">
      <c r="G380" s="5" t="str">
        <f t="shared" si="15"/>
        <v/>
      </c>
    </row>
    <row r="381" spans="7:7">
      <c r="G381" s="5" t="str">
        <f t="shared" si="15"/>
        <v/>
      </c>
    </row>
    <row r="382" spans="7:7">
      <c r="G382" s="5" t="str">
        <f t="shared" si="15"/>
        <v/>
      </c>
    </row>
    <row r="383" spans="7:7">
      <c r="G383" s="5" t="str">
        <f t="shared" si="15"/>
        <v/>
      </c>
    </row>
    <row r="384" spans="7:7">
      <c r="G384" s="5" t="str">
        <f t="shared" si="15"/>
        <v/>
      </c>
    </row>
    <row r="385" spans="7:7">
      <c r="G385" s="5" t="str">
        <f t="shared" si="15"/>
        <v/>
      </c>
    </row>
    <row r="386" spans="7:7">
      <c r="G386" s="5" t="str">
        <f t="shared" si="15"/>
        <v/>
      </c>
    </row>
    <row r="387" spans="7:7">
      <c r="G387" s="5" t="str">
        <f t="shared" si="15"/>
        <v/>
      </c>
    </row>
    <row r="388" spans="7:7">
      <c r="G388" s="5" t="str">
        <f t="shared" si="15"/>
        <v/>
      </c>
    </row>
    <row r="389" spans="7:7">
      <c r="G389" s="5" t="str">
        <f t="shared" si="15"/>
        <v/>
      </c>
    </row>
    <row r="390" spans="7:7">
      <c r="G390" s="5" t="str">
        <f t="shared" si="15"/>
        <v/>
      </c>
    </row>
    <row r="391" spans="7:7">
      <c r="G391" s="5" t="str">
        <f t="shared" si="15"/>
        <v/>
      </c>
    </row>
    <row r="392" spans="7:7">
      <c r="G392" s="5" t="str">
        <f t="shared" si="15"/>
        <v/>
      </c>
    </row>
    <row r="393" spans="7:7">
      <c r="G393" s="5" t="str">
        <f t="shared" si="15"/>
        <v/>
      </c>
    </row>
    <row r="394" spans="7:7">
      <c r="G394" s="5" t="str">
        <f t="shared" si="15"/>
        <v/>
      </c>
    </row>
    <row r="395" spans="7:7">
      <c r="G395" s="5" t="str">
        <f t="shared" si="15"/>
        <v/>
      </c>
    </row>
    <row r="396" spans="7:7">
      <c r="G396" s="5" t="str">
        <f t="shared" si="15"/>
        <v/>
      </c>
    </row>
    <row r="397" spans="7:7">
      <c r="G397" s="5" t="str">
        <f t="shared" si="15"/>
        <v/>
      </c>
    </row>
    <row r="398" spans="7:7">
      <c r="G398" s="5" t="str">
        <f t="shared" si="15"/>
        <v/>
      </c>
    </row>
    <row r="399" spans="7:7">
      <c r="G399" s="5" t="str">
        <f t="shared" si="15"/>
        <v/>
      </c>
    </row>
    <row r="400" spans="7:7">
      <c r="G400" s="5" t="str">
        <f t="shared" si="15"/>
        <v/>
      </c>
    </row>
    <row r="401" spans="7:7">
      <c r="G401" s="5" t="str">
        <f t="shared" si="15"/>
        <v/>
      </c>
    </row>
    <row r="402" spans="7:7">
      <c r="G402" s="5" t="str">
        <f t="shared" si="15"/>
        <v/>
      </c>
    </row>
    <row r="403" spans="7:7">
      <c r="G403" s="5" t="str">
        <f t="shared" si="15"/>
        <v/>
      </c>
    </row>
    <row r="404" spans="7:7">
      <c r="G404" s="5" t="str">
        <f t="shared" si="15"/>
        <v/>
      </c>
    </row>
    <row r="405" spans="7:7">
      <c r="G405" s="5" t="str">
        <f t="shared" si="15"/>
        <v/>
      </c>
    </row>
    <row r="406" spans="7:7">
      <c r="G406" s="5" t="str">
        <f t="shared" si="15"/>
        <v/>
      </c>
    </row>
    <row r="407" spans="7:7">
      <c r="G407" s="5" t="str">
        <f t="shared" si="15"/>
        <v/>
      </c>
    </row>
    <row r="408" spans="7:7">
      <c r="G408" s="5" t="str">
        <f t="shared" si="15"/>
        <v/>
      </c>
    </row>
    <row r="409" spans="7:7">
      <c r="G409" s="5" t="str">
        <f t="shared" si="15"/>
        <v/>
      </c>
    </row>
    <row r="410" spans="7:7">
      <c r="G410" s="5" t="str">
        <f t="shared" si="15"/>
        <v/>
      </c>
    </row>
    <row r="411" spans="7:7">
      <c r="G411" s="5" t="str">
        <f t="shared" si="15"/>
        <v/>
      </c>
    </row>
    <row r="412" spans="7:7">
      <c r="G412" s="5" t="str">
        <f t="shared" si="15"/>
        <v/>
      </c>
    </row>
    <row r="413" spans="7:7">
      <c r="G413" s="5" t="str">
        <f t="shared" si="15"/>
        <v/>
      </c>
    </row>
    <row r="414" spans="7:7">
      <c r="G414" s="5" t="str">
        <f t="shared" si="15"/>
        <v/>
      </c>
    </row>
    <row r="415" spans="7:7">
      <c r="G415" s="5" t="str">
        <f t="shared" ref="G415:G446" si="16">IF(B415&lt;&gt;"",SUM(C415:F415),"")</f>
        <v/>
      </c>
    </row>
    <row r="416" spans="7:7">
      <c r="G416" s="5" t="str">
        <f t="shared" si="16"/>
        <v/>
      </c>
    </row>
    <row r="417" spans="7:7">
      <c r="G417" s="5" t="str">
        <f t="shared" si="16"/>
        <v/>
      </c>
    </row>
    <row r="418" spans="7:7">
      <c r="G418" s="5" t="str">
        <f t="shared" si="16"/>
        <v/>
      </c>
    </row>
    <row r="419" spans="7:7">
      <c r="G419" s="5" t="str">
        <f t="shared" si="16"/>
        <v/>
      </c>
    </row>
    <row r="420" spans="7:7">
      <c r="G420" s="5" t="str">
        <f t="shared" si="16"/>
        <v/>
      </c>
    </row>
    <row r="421" spans="7:7">
      <c r="G421" s="5" t="str">
        <f t="shared" si="16"/>
        <v/>
      </c>
    </row>
    <row r="422" spans="7:7">
      <c r="G422" s="5" t="str">
        <f t="shared" si="16"/>
        <v/>
      </c>
    </row>
    <row r="423" spans="7:7">
      <c r="G423" s="5" t="str">
        <f t="shared" si="16"/>
        <v/>
      </c>
    </row>
    <row r="424" spans="7:7">
      <c r="G424" s="5" t="str">
        <f t="shared" si="16"/>
        <v/>
      </c>
    </row>
    <row r="425" spans="7:7">
      <c r="G425" s="5" t="str">
        <f t="shared" si="16"/>
        <v/>
      </c>
    </row>
    <row r="426" spans="7:7">
      <c r="G426" s="5" t="str">
        <f t="shared" si="16"/>
        <v/>
      </c>
    </row>
    <row r="427" spans="7:7">
      <c r="G427" s="5" t="str">
        <f t="shared" si="16"/>
        <v/>
      </c>
    </row>
    <row r="428" spans="7:7">
      <c r="G428" s="5" t="str">
        <f t="shared" si="16"/>
        <v/>
      </c>
    </row>
    <row r="429" spans="7:7">
      <c r="G429" s="5" t="str">
        <f t="shared" si="16"/>
        <v/>
      </c>
    </row>
    <row r="430" spans="7:7">
      <c r="G430" s="5" t="str">
        <f t="shared" si="16"/>
        <v/>
      </c>
    </row>
    <row r="431" spans="7:7">
      <c r="G431" s="5" t="str">
        <f t="shared" si="16"/>
        <v/>
      </c>
    </row>
    <row r="432" spans="7:7">
      <c r="G432" s="5" t="str">
        <f t="shared" si="16"/>
        <v/>
      </c>
    </row>
    <row r="433" spans="7:7">
      <c r="G433" s="5" t="str">
        <f t="shared" si="16"/>
        <v/>
      </c>
    </row>
    <row r="434" spans="7:7">
      <c r="G434" s="5" t="str">
        <f t="shared" si="16"/>
        <v/>
      </c>
    </row>
    <row r="435" spans="7:7">
      <c r="G435" s="5" t="str">
        <f t="shared" si="16"/>
        <v/>
      </c>
    </row>
    <row r="436" spans="7:7">
      <c r="G436" s="5" t="str">
        <f t="shared" si="16"/>
        <v/>
      </c>
    </row>
    <row r="437" spans="7:7">
      <c r="G437" s="5" t="str">
        <f t="shared" si="16"/>
        <v/>
      </c>
    </row>
    <row r="438" spans="7:7">
      <c r="G438" s="5" t="str">
        <f t="shared" si="16"/>
        <v/>
      </c>
    </row>
    <row r="439" spans="7:7">
      <c r="G439" s="5" t="str">
        <f t="shared" si="16"/>
        <v/>
      </c>
    </row>
    <row r="440" spans="7:7">
      <c r="G440" s="5" t="str">
        <f t="shared" si="16"/>
        <v/>
      </c>
    </row>
    <row r="441" spans="7:7">
      <c r="G441" s="5" t="str">
        <f t="shared" si="16"/>
        <v/>
      </c>
    </row>
    <row r="442" spans="7:7">
      <c r="G442" s="5" t="str">
        <f t="shared" si="16"/>
        <v/>
      </c>
    </row>
    <row r="443" spans="7:7">
      <c r="G443" s="5" t="str">
        <f t="shared" si="16"/>
        <v/>
      </c>
    </row>
    <row r="444" spans="7:7">
      <c r="G444" s="5" t="str">
        <f t="shared" si="16"/>
        <v/>
      </c>
    </row>
    <row r="445" spans="7:7">
      <c r="G445" s="5" t="str">
        <f t="shared" si="16"/>
        <v/>
      </c>
    </row>
    <row r="446" spans="7:7">
      <c r="G446" s="5" t="str">
        <f t="shared" si="16"/>
        <v/>
      </c>
    </row>
  </sheetData>
  <sheetProtection algorithmName="SHA-512" hashValue="hSfwry33aDDKoYfBmGsLdCVfq5vJ2QtYzeQlTbDgF/TBXWQtEQo4Lk859/gzOCq5YSII8D4WnuzRoWwtKp4jSw==" saltValue="9uaKOAj5ozgB4fwipUpe0Q==" spinCount="100000" sheet="1" sort="0" autoFilter="0" pivotTables="0"/>
  <autoFilter ref="H5:H20" xr:uid="{9F44CB19-7E4E-4336-ABC6-46CF6DE76865}"/>
  <pageMargins left="0.78740157480314965" right="0.78740157480314965" top="0.78740157480314965" bottom="0.78740157480314965" header="0" footer="0"/>
  <pageSetup paperSize="9" scale="10" orientation="landscape" horizontalDpi="4294967295" verticalDpi="4294967295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FE4E9-608F-4B1E-B7ED-75443110B36D}">
  <sheetPr codeName="Planilha39">
    <tabColor rgb="FFFF0000"/>
    <pageSetUpPr fitToPage="1"/>
  </sheetPr>
  <dimension ref="B1:S493"/>
  <sheetViews>
    <sheetView zoomScaleNormal="100" workbookViewId="0">
      <pane ySplit="5" topLeftCell="A9" activePane="bottomLeft" state="frozen"/>
      <selection pane="bottomLeft" activeCell="M33" sqref="M33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42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9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50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554" t="s">
        <v>1280</v>
      </c>
      <c r="C6" s="38"/>
      <c r="D6" s="38"/>
      <c r="E6" s="38"/>
      <c r="F6" s="39"/>
      <c r="G6" s="40"/>
      <c r="H6" s="23">
        <f>SUM(C6:G6)</f>
        <v>0</v>
      </c>
      <c r="I6" s="464">
        <f t="shared" ref="I6:I36" si="0">L6-(L6*J6)</f>
        <v>102.4</v>
      </c>
      <c r="J6" s="16"/>
      <c r="K6" s="17"/>
      <c r="L6" s="236">
        <v>102.4</v>
      </c>
      <c r="M6" s="112"/>
      <c r="N6" s="25">
        <f t="shared" ref="N6:N36" si="1">I6*C6</f>
        <v>0</v>
      </c>
      <c r="O6" s="25">
        <f t="shared" ref="O6:O36" si="2">I6*D6</f>
        <v>0</v>
      </c>
      <c r="P6" s="25">
        <f t="shared" ref="P6:P36" si="3">I6*E6</f>
        <v>0</v>
      </c>
      <c r="Q6" s="26">
        <f t="shared" ref="Q6:Q36" si="4">I6*F6</f>
        <v>0</v>
      </c>
      <c r="R6" s="27">
        <f t="shared" ref="R6:R36" si="5">I6*G6</f>
        <v>0</v>
      </c>
      <c r="S6" s="28">
        <f>SUM(N6:R6)</f>
        <v>0</v>
      </c>
    </row>
    <row r="7" spans="2:19">
      <c r="B7" s="554" t="s">
        <v>2312</v>
      </c>
      <c r="C7" s="13"/>
      <c r="D7" s="13"/>
      <c r="E7" s="13"/>
      <c r="F7" s="14"/>
      <c r="G7" s="8"/>
      <c r="H7" s="24">
        <f t="shared" ref="H7:H65" si="6">SUM(C7:G7)</f>
        <v>0</v>
      </c>
      <c r="I7" s="456">
        <f t="shared" si="0"/>
        <v>67</v>
      </c>
      <c r="J7" s="10"/>
      <c r="K7" s="12"/>
      <c r="L7" s="236">
        <v>67</v>
      </c>
      <c r="M7" s="112"/>
      <c r="N7" s="25">
        <f t="shared" ref="N7:N26" si="7">I7*C7</f>
        <v>0</v>
      </c>
      <c r="O7" s="25">
        <f t="shared" ref="O7:O26" si="8">I7*D7</f>
        <v>0</v>
      </c>
      <c r="P7" s="25">
        <f t="shared" ref="P7:P26" si="9">I7*E7</f>
        <v>0</v>
      </c>
      <c r="Q7" s="26">
        <f t="shared" ref="Q7:Q26" si="10">I7*F7</f>
        <v>0</v>
      </c>
      <c r="R7" s="27">
        <f t="shared" ref="R7:R26" si="11">I7*G7</f>
        <v>0</v>
      </c>
      <c r="S7" s="28">
        <f t="shared" ref="S7:S26" si="12">SUM(N7:R7)</f>
        <v>0</v>
      </c>
    </row>
    <row r="8" spans="2:19">
      <c r="B8" s="554" t="s">
        <v>2313</v>
      </c>
      <c r="C8" s="13"/>
      <c r="D8" s="13"/>
      <c r="E8" s="13"/>
      <c r="F8" s="14"/>
      <c r="G8" s="8"/>
      <c r="H8" s="24">
        <f t="shared" si="6"/>
        <v>0</v>
      </c>
      <c r="I8" s="456">
        <f t="shared" si="0"/>
        <v>55.3</v>
      </c>
      <c r="J8" s="10"/>
      <c r="K8" s="12"/>
      <c r="L8" s="236">
        <v>55.3</v>
      </c>
      <c r="M8" s="112"/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2:19">
      <c r="B9" s="554" t="s">
        <v>1281</v>
      </c>
      <c r="C9" s="13"/>
      <c r="D9" s="13"/>
      <c r="E9" s="13"/>
      <c r="F9" s="14"/>
      <c r="G9" s="8"/>
      <c r="H9" s="24">
        <f t="shared" si="6"/>
        <v>0</v>
      </c>
      <c r="I9" s="456">
        <f t="shared" si="0"/>
        <v>89.5</v>
      </c>
      <c r="J9" s="10"/>
      <c r="K9" s="12"/>
      <c r="L9" s="236">
        <v>89.5</v>
      </c>
      <c r="M9" s="112"/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</row>
    <row r="10" spans="2:19">
      <c r="B10" s="554" t="s">
        <v>1282</v>
      </c>
      <c r="C10" s="13"/>
      <c r="D10" s="13"/>
      <c r="E10" s="13"/>
      <c r="F10" s="14"/>
      <c r="G10" s="8"/>
      <c r="H10" s="24">
        <f t="shared" si="6"/>
        <v>0</v>
      </c>
      <c r="I10" s="456">
        <f t="shared" si="0"/>
        <v>270.60000000000002</v>
      </c>
      <c r="J10" s="10"/>
      <c r="K10" s="12"/>
      <c r="L10" s="236">
        <v>270.60000000000002</v>
      </c>
      <c r="M10" s="112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2:19">
      <c r="B11" s="554" t="s">
        <v>1283</v>
      </c>
      <c r="C11" s="13"/>
      <c r="D11" s="13"/>
      <c r="E11" s="13"/>
      <c r="F11" s="14"/>
      <c r="G11" s="8"/>
      <c r="H11" s="24">
        <f t="shared" si="6"/>
        <v>0</v>
      </c>
      <c r="I11" s="456">
        <f t="shared" si="0"/>
        <v>649</v>
      </c>
      <c r="J11" s="10"/>
      <c r="K11" s="12"/>
      <c r="L11" s="236">
        <v>649</v>
      </c>
      <c r="M11" s="112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>
      <c r="B12" s="554" t="s">
        <v>1284</v>
      </c>
      <c r="C12" s="13"/>
      <c r="D12" s="13"/>
      <c r="E12" s="13"/>
      <c r="F12" s="14"/>
      <c r="G12" s="8"/>
      <c r="H12" s="24">
        <f t="shared" si="6"/>
        <v>0</v>
      </c>
      <c r="I12" s="456">
        <f t="shared" si="0"/>
        <v>97</v>
      </c>
      <c r="J12" s="10"/>
      <c r="K12" s="12"/>
      <c r="L12" s="236">
        <v>97</v>
      </c>
      <c r="M12" s="112"/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>
      <c r="B13" s="554" t="s">
        <v>1285</v>
      </c>
      <c r="C13" s="13"/>
      <c r="D13" s="13"/>
      <c r="E13" s="13"/>
      <c r="F13" s="14"/>
      <c r="G13" s="8"/>
      <c r="H13" s="24">
        <f t="shared" si="6"/>
        <v>0</v>
      </c>
      <c r="I13" s="456">
        <f t="shared" si="0"/>
        <v>261.5</v>
      </c>
      <c r="J13" s="10"/>
      <c r="K13" s="12"/>
      <c r="L13" s="236">
        <v>261.5</v>
      </c>
      <c r="M13" s="112"/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>
      <c r="B14" s="554" t="s">
        <v>1286</v>
      </c>
      <c r="C14" s="13"/>
      <c r="D14" s="13"/>
      <c r="E14" s="13"/>
      <c r="F14" s="14"/>
      <c r="G14" s="8"/>
      <c r="H14" s="24">
        <f t="shared" si="6"/>
        <v>0</v>
      </c>
      <c r="I14" s="456">
        <f t="shared" si="0"/>
        <v>323</v>
      </c>
      <c r="J14" s="10"/>
      <c r="K14" s="12"/>
      <c r="L14" s="236">
        <v>323</v>
      </c>
      <c r="M14" s="112"/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</row>
    <row r="15" spans="2:19">
      <c r="B15" s="554" t="s">
        <v>1287</v>
      </c>
      <c r="C15" s="13"/>
      <c r="D15" s="13"/>
      <c r="E15" s="13"/>
      <c r="F15" s="14"/>
      <c r="G15" s="8"/>
      <c r="H15" s="24">
        <f t="shared" si="6"/>
        <v>0</v>
      </c>
      <c r="I15" s="456">
        <f t="shared" si="0"/>
        <v>873</v>
      </c>
      <c r="J15" s="10"/>
      <c r="K15" s="12"/>
      <c r="L15" s="236">
        <v>873</v>
      </c>
      <c r="M15" s="112"/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2:19">
      <c r="B16" s="545" t="s">
        <v>1288</v>
      </c>
      <c r="C16" s="13"/>
      <c r="D16" s="13"/>
      <c r="E16" s="13"/>
      <c r="F16" s="14"/>
      <c r="G16" s="8"/>
      <c r="H16" s="24">
        <f t="shared" si="6"/>
        <v>0</v>
      </c>
      <c r="I16" s="456">
        <f t="shared" si="0"/>
        <v>1142.6600000000001</v>
      </c>
      <c r="J16" s="10"/>
      <c r="K16" s="12"/>
      <c r="L16" s="236">
        <v>1142.6600000000001</v>
      </c>
      <c r="M16" s="112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>
      <c r="B17" s="554" t="s">
        <v>1289</v>
      </c>
      <c r="C17" s="13"/>
      <c r="D17" s="13"/>
      <c r="E17" s="13"/>
      <c r="F17" s="14"/>
      <c r="G17" s="8"/>
      <c r="H17" s="24">
        <f t="shared" si="6"/>
        <v>0</v>
      </c>
      <c r="I17" s="456">
        <f t="shared" si="0"/>
        <v>398.4</v>
      </c>
      <c r="J17" s="10"/>
      <c r="K17" s="12"/>
      <c r="L17" s="236">
        <v>398.4</v>
      </c>
      <c r="M17" s="112"/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>
      <c r="B18" s="545" t="s">
        <v>2314</v>
      </c>
      <c r="C18" s="13"/>
      <c r="D18" s="13"/>
      <c r="E18" s="13"/>
      <c r="F18" s="14"/>
      <c r="G18" s="8"/>
      <c r="H18" s="24">
        <f t="shared" si="6"/>
        <v>0</v>
      </c>
      <c r="I18" s="456">
        <f t="shared" si="0"/>
        <v>341.4</v>
      </c>
      <c r="J18" s="10"/>
      <c r="K18" s="12"/>
      <c r="L18" s="236">
        <v>341.4</v>
      </c>
      <c r="M18" s="112"/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>
      <c r="B19" s="554" t="s">
        <v>1290</v>
      </c>
      <c r="C19" s="13"/>
      <c r="D19" s="13"/>
      <c r="E19" s="13"/>
      <c r="F19" s="14"/>
      <c r="G19" s="8"/>
      <c r="H19" s="24">
        <f t="shared" si="6"/>
        <v>0</v>
      </c>
      <c r="I19" s="456">
        <f t="shared" si="0"/>
        <v>1170</v>
      </c>
      <c r="J19" s="10"/>
      <c r="K19" s="12"/>
      <c r="L19" s="236">
        <v>1170</v>
      </c>
      <c r="M19" s="112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>
      <c r="B20" s="554" t="s">
        <v>2315</v>
      </c>
      <c r="C20" s="13"/>
      <c r="D20" s="13"/>
      <c r="E20" s="13"/>
      <c r="F20" s="14"/>
      <c r="G20" s="8"/>
      <c r="H20" s="24">
        <f t="shared" si="6"/>
        <v>0</v>
      </c>
      <c r="I20" s="456">
        <f t="shared" si="0"/>
        <v>980.6</v>
      </c>
      <c r="J20" s="10"/>
      <c r="K20" s="12"/>
      <c r="L20" s="236">
        <v>980.6</v>
      </c>
      <c r="M20" s="112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2:19">
      <c r="B21" s="554" t="s">
        <v>1291</v>
      </c>
      <c r="C21" s="13"/>
      <c r="D21" s="13"/>
      <c r="E21" s="13"/>
      <c r="F21" s="14"/>
      <c r="G21" s="8"/>
      <c r="H21" s="24">
        <f t="shared" ref="H21:H25" si="13">SUM(C21:G21)</f>
        <v>0</v>
      </c>
      <c r="I21" s="456">
        <f t="shared" ref="I21:I25" si="14">L21-(L21*J21)</f>
        <v>537</v>
      </c>
      <c r="J21" s="10"/>
      <c r="K21" s="12"/>
      <c r="L21" s="236">
        <v>537</v>
      </c>
      <c r="M21" s="112"/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>
      <c r="B22" s="554" t="s">
        <v>1292</v>
      </c>
      <c r="C22" s="13"/>
      <c r="D22" s="13"/>
      <c r="E22" s="13"/>
      <c r="F22" s="14"/>
      <c r="G22" s="8"/>
      <c r="H22" s="24">
        <f t="shared" si="13"/>
        <v>0</v>
      </c>
      <c r="I22" s="456">
        <f t="shared" si="14"/>
        <v>153</v>
      </c>
      <c r="J22" s="10"/>
      <c r="K22" s="12"/>
      <c r="L22" s="236">
        <v>153</v>
      </c>
      <c r="M22" s="112"/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2:19">
      <c r="B23" s="554" t="s">
        <v>1293</v>
      </c>
      <c r="C23" s="13"/>
      <c r="D23" s="13"/>
      <c r="E23" s="13"/>
      <c r="F23" s="14"/>
      <c r="G23" s="8"/>
      <c r="H23" s="24">
        <f t="shared" si="13"/>
        <v>0</v>
      </c>
      <c r="I23" s="456">
        <f t="shared" si="14"/>
        <v>68.45</v>
      </c>
      <c r="J23" s="10"/>
      <c r="K23" s="12"/>
      <c r="L23" s="236">
        <v>68.45</v>
      </c>
      <c r="M23" s="112"/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2:19">
      <c r="B24" s="554" t="s">
        <v>2316</v>
      </c>
      <c r="C24" s="13"/>
      <c r="D24" s="13"/>
      <c r="E24" s="13"/>
      <c r="F24" s="14"/>
      <c r="G24" s="8"/>
      <c r="H24" s="24">
        <f t="shared" si="13"/>
        <v>0</v>
      </c>
      <c r="I24" s="456">
        <f t="shared" si="14"/>
        <v>61.6</v>
      </c>
      <c r="J24" s="10"/>
      <c r="K24" s="12"/>
      <c r="L24" s="236">
        <v>61.6</v>
      </c>
      <c r="M24" s="112"/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>
      <c r="B25" s="554" t="s">
        <v>1294</v>
      </c>
      <c r="C25" s="13"/>
      <c r="D25" s="13"/>
      <c r="E25" s="13"/>
      <c r="F25" s="14"/>
      <c r="G25" s="8"/>
      <c r="H25" s="24">
        <f t="shared" si="13"/>
        <v>0</v>
      </c>
      <c r="I25" s="456">
        <f t="shared" si="14"/>
        <v>36</v>
      </c>
      <c r="J25" s="10"/>
      <c r="K25" s="12"/>
      <c r="L25" s="236">
        <v>36</v>
      </c>
      <c r="M25" s="112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>
      <c r="B26" s="554" t="s">
        <v>1295</v>
      </c>
      <c r="C26" s="13"/>
      <c r="D26" s="13"/>
      <c r="E26" s="13"/>
      <c r="F26" s="14"/>
      <c r="G26" s="8"/>
      <c r="H26" s="24">
        <f t="shared" si="6"/>
        <v>0</v>
      </c>
      <c r="I26" s="456">
        <f t="shared" si="0"/>
        <v>91</v>
      </c>
      <c r="J26" s="10"/>
      <c r="K26" s="12"/>
      <c r="L26" s="236">
        <v>91</v>
      </c>
      <c r="M26" s="112"/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>
      <c r="B27" s="554" t="s">
        <v>1296</v>
      </c>
      <c r="C27" s="13"/>
      <c r="D27" s="13"/>
      <c r="E27" s="13"/>
      <c r="F27" s="14"/>
      <c r="G27" s="8"/>
      <c r="H27" s="24">
        <f t="shared" si="6"/>
        <v>0</v>
      </c>
      <c r="I27" s="456">
        <f t="shared" si="0"/>
        <v>79</v>
      </c>
      <c r="J27" s="10"/>
      <c r="K27" s="12"/>
      <c r="L27" s="237">
        <v>79</v>
      </c>
      <c r="M27" s="112"/>
      <c r="N27" s="25">
        <f t="shared" si="1"/>
        <v>0</v>
      </c>
      <c r="O27" s="25">
        <f t="shared" si="2"/>
        <v>0</v>
      </c>
      <c r="P27" s="25">
        <f t="shared" si="3"/>
        <v>0</v>
      </c>
      <c r="Q27" s="26">
        <f t="shared" si="4"/>
        <v>0</v>
      </c>
      <c r="R27" s="27">
        <f t="shared" si="5"/>
        <v>0</v>
      </c>
      <c r="S27" s="28">
        <f t="shared" ref="S27:S65" si="15">SUM(N27:R27)</f>
        <v>0</v>
      </c>
    </row>
    <row r="28" spans="2:19">
      <c r="B28" s="554" t="s">
        <v>2317</v>
      </c>
      <c r="C28" s="14"/>
      <c r="D28" s="14"/>
      <c r="E28" s="14"/>
      <c r="F28" s="14"/>
      <c r="G28" s="8"/>
      <c r="H28" s="24">
        <f t="shared" si="6"/>
        <v>0</v>
      </c>
      <c r="I28" s="456">
        <f t="shared" si="0"/>
        <v>192</v>
      </c>
      <c r="J28" s="10"/>
      <c r="K28" s="12"/>
      <c r="L28" s="236">
        <v>192</v>
      </c>
      <c r="M28" s="112"/>
      <c r="N28" s="25">
        <f t="shared" si="1"/>
        <v>0</v>
      </c>
      <c r="O28" s="25">
        <f t="shared" si="2"/>
        <v>0</v>
      </c>
      <c r="P28" s="25">
        <f t="shared" si="3"/>
        <v>0</v>
      </c>
      <c r="Q28" s="26">
        <f t="shared" si="4"/>
        <v>0</v>
      </c>
      <c r="R28" s="27">
        <f t="shared" si="5"/>
        <v>0</v>
      </c>
      <c r="S28" s="28">
        <f t="shared" si="15"/>
        <v>0</v>
      </c>
    </row>
    <row r="29" spans="2:19">
      <c r="B29" s="554" t="s">
        <v>2318</v>
      </c>
      <c r="C29" s="14"/>
      <c r="D29" s="14"/>
      <c r="E29" s="14"/>
      <c r="F29" s="14"/>
      <c r="G29" s="8"/>
      <c r="H29" s="24">
        <f t="shared" si="6"/>
        <v>0</v>
      </c>
      <c r="I29" s="456">
        <f t="shared" si="0"/>
        <v>144.5</v>
      </c>
      <c r="J29" s="10"/>
      <c r="K29" s="12"/>
      <c r="L29" s="236">
        <v>144.5</v>
      </c>
      <c r="M29" s="112"/>
      <c r="N29" s="25">
        <f t="shared" si="1"/>
        <v>0</v>
      </c>
      <c r="O29" s="25">
        <f t="shared" si="2"/>
        <v>0</v>
      </c>
      <c r="P29" s="25">
        <f t="shared" si="3"/>
        <v>0</v>
      </c>
      <c r="Q29" s="26">
        <f t="shared" si="4"/>
        <v>0</v>
      </c>
      <c r="R29" s="27">
        <f t="shared" si="5"/>
        <v>0</v>
      </c>
      <c r="S29" s="28">
        <f t="shared" si="15"/>
        <v>0</v>
      </c>
    </row>
    <row r="30" spans="2:19">
      <c r="B30" s="554" t="s">
        <v>1297</v>
      </c>
      <c r="C30" s="14"/>
      <c r="D30" s="14"/>
      <c r="E30" s="14"/>
      <c r="F30" s="14"/>
      <c r="G30" s="8"/>
      <c r="H30" s="24">
        <f t="shared" si="6"/>
        <v>0</v>
      </c>
      <c r="I30" s="456">
        <f t="shared" si="0"/>
        <v>384</v>
      </c>
      <c r="J30" s="10"/>
      <c r="K30" s="12"/>
      <c r="L30" s="236">
        <v>384</v>
      </c>
      <c r="M30" s="112"/>
      <c r="N30" s="25">
        <f t="shared" si="1"/>
        <v>0</v>
      </c>
      <c r="O30" s="25">
        <f t="shared" si="2"/>
        <v>0</v>
      </c>
      <c r="P30" s="25">
        <f t="shared" si="3"/>
        <v>0</v>
      </c>
      <c r="Q30" s="26">
        <f t="shared" si="4"/>
        <v>0</v>
      </c>
      <c r="R30" s="27">
        <f t="shared" si="5"/>
        <v>0</v>
      </c>
      <c r="S30" s="28">
        <f t="shared" si="15"/>
        <v>0</v>
      </c>
    </row>
    <row r="31" spans="2:19">
      <c r="B31" s="545" t="s">
        <v>1298</v>
      </c>
      <c r="C31" s="14"/>
      <c r="D31" s="14"/>
      <c r="E31" s="14"/>
      <c r="F31" s="14"/>
      <c r="G31" s="8"/>
      <c r="H31" s="24">
        <f t="shared" si="6"/>
        <v>0</v>
      </c>
      <c r="I31" s="456">
        <f t="shared" si="0"/>
        <v>154</v>
      </c>
      <c r="J31" s="10"/>
      <c r="K31" s="12"/>
      <c r="L31" s="236">
        <v>154</v>
      </c>
      <c r="M31" s="112"/>
      <c r="N31" s="25">
        <f t="shared" si="1"/>
        <v>0</v>
      </c>
      <c r="O31" s="25">
        <f t="shared" si="2"/>
        <v>0</v>
      </c>
      <c r="P31" s="25">
        <f t="shared" si="3"/>
        <v>0</v>
      </c>
      <c r="Q31" s="26">
        <f t="shared" si="4"/>
        <v>0</v>
      </c>
      <c r="R31" s="27">
        <f t="shared" si="5"/>
        <v>0</v>
      </c>
      <c r="S31" s="28">
        <f t="shared" si="15"/>
        <v>0</v>
      </c>
    </row>
    <row r="32" spans="2:19">
      <c r="B32" s="554" t="s">
        <v>1299</v>
      </c>
      <c r="C32" s="14"/>
      <c r="D32" s="14"/>
      <c r="E32" s="14"/>
      <c r="F32" s="14"/>
      <c r="G32" s="8"/>
      <c r="H32" s="24">
        <f t="shared" si="6"/>
        <v>0</v>
      </c>
      <c r="I32" s="456">
        <f t="shared" si="0"/>
        <v>694.3</v>
      </c>
      <c r="J32" s="10"/>
      <c r="K32" s="12"/>
      <c r="L32" s="236">
        <v>694.3</v>
      </c>
      <c r="M32" s="112"/>
      <c r="N32" s="25">
        <f t="shared" si="1"/>
        <v>0</v>
      </c>
      <c r="O32" s="25">
        <f t="shared" si="2"/>
        <v>0</v>
      </c>
      <c r="P32" s="25">
        <f t="shared" si="3"/>
        <v>0</v>
      </c>
      <c r="Q32" s="26">
        <f t="shared" si="4"/>
        <v>0</v>
      </c>
      <c r="R32" s="27">
        <f t="shared" si="5"/>
        <v>0</v>
      </c>
      <c r="S32" s="28">
        <f t="shared" si="15"/>
        <v>0</v>
      </c>
    </row>
    <row r="33" spans="2:19">
      <c r="B33" s="554" t="s">
        <v>1300</v>
      </c>
      <c r="C33" s="14"/>
      <c r="D33" s="14"/>
      <c r="E33" s="14"/>
      <c r="F33" s="14"/>
      <c r="G33" s="8"/>
      <c r="H33" s="24">
        <f t="shared" si="6"/>
        <v>0</v>
      </c>
      <c r="I33" s="456">
        <f t="shared" si="0"/>
        <v>188</v>
      </c>
      <c r="J33" s="10"/>
      <c r="K33" s="12"/>
      <c r="L33" s="236">
        <v>188</v>
      </c>
      <c r="M33" s="112"/>
      <c r="N33" s="25">
        <f t="shared" si="1"/>
        <v>0</v>
      </c>
      <c r="O33" s="25">
        <f t="shared" si="2"/>
        <v>0</v>
      </c>
      <c r="P33" s="25">
        <f t="shared" si="3"/>
        <v>0</v>
      </c>
      <c r="Q33" s="26">
        <f t="shared" si="4"/>
        <v>0</v>
      </c>
      <c r="R33" s="27">
        <f t="shared" si="5"/>
        <v>0</v>
      </c>
      <c r="S33" s="28">
        <f t="shared" si="15"/>
        <v>0</v>
      </c>
    </row>
    <row r="34" spans="2:19">
      <c r="B34" s="554" t="s">
        <v>2319</v>
      </c>
      <c r="C34" s="14"/>
      <c r="D34" s="14"/>
      <c r="E34" s="14"/>
      <c r="F34" s="14"/>
      <c r="G34" s="8"/>
      <c r="H34" s="24">
        <f t="shared" si="6"/>
        <v>0</v>
      </c>
      <c r="I34" s="456">
        <f t="shared" si="0"/>
        <v>220</v>
      </c>
      <c r="J34" s="10"/>
      <c r="K34" s="12"/>
      <c r="L34" s="236">
        <v>220</v>
      </c>
      <c r="M34" s="112"/>
      <c r="N34" s="25">
        <f t="shared" si="1"/>
        <v>0</v>
      </c>
      <c r="O34" s="25">
        <f t="shared" si="2"/>
        <v>0</v>
      </c>
      <c r="P34" s="25">
        <f t="shared" si="3"/>
        <v>0</v>
      </c>
      <c r="Q34" s="26">
        <f t="shared" si="4"/>
        <v>0</v>
      </c>
      <c r="R34" s="27">
        <f t="shared" si="5"/>
        <v>0</v>
      </c>
      <c r="S34" s="28">
        <f t="shared" si="15"/>
        <v>0</v>
      </c>
    </row>
    <row r="35" spans="2:19">
      <c r="B35" s="555" t="s">
        <v>1301</v>
      </c>
      <c r="C35" s="14"/>
      <c r="D35" s="14"/>
      <c r="E35" s="14"/>
      <c r="F35" s="14"/>
      <c r="G35" s="8"/>
      <c r="H35" s="24">
        <f t="shared" si="6"/>
        <v>0</v>
      </c>
      <c r="I35" s="456">
        <f t="shared" si="0"/>
        <v>23.3</v>
      </c>
      <c r="J35" s="10"/>
      <c r="K35" s="12"/>
      <c r="L35" s="236">
        <v>23.3</v>
      </c>
      <c r="M35" s="112"/>
      <c r="N35" s="25">
        <f t="shared" si="1"/>
        <v>0</v>
      </c>
      <c r="O35" s="25">
        <f t="shared" si="2"/>
        <v>0</v>
      </c>
      <c r="P35" s="25">
        <f t="shared" si="3"/>
        <v>0</v>
      </c>
      <c r="Q35" s="26">
        <f t="shared" si="4"/>
        <v>0</v>
      </c>
      <c r="R35" s="27">
        <f t="shared" si="5"/>
        <v>0</v>
      </c>
      <c r="S35" s="28">
        <f t="shared" si="15"/>
        <v>0</v>
      </c>
    </row>
    <row r="36" spans="2:19">
      <c r="B36" s="554" t="s">
        <v>1302</v>
      </c>
      <c r="C36" s="14"/>
      <c r="D36" s="14"/>
      <c r="E36" s="14"/>
      <c r="F36" s="14"/>
      <c r="G36" s="8"/>
      <c r="H36" s="24">
        <f t="shared" si="6"/>
        <v>0</v>
      </c>
      <c r="I36" s="456">
        <f t="shared" si="0"/>
        <v>68.900000000000006</v>
      </c>
      <c r="J36" s="10"/>
      <c r="K36" s="12"/>
      <c r="L36" s="420">
        <v>68.900000000000006</v>
      </c>
      <c r="M36" s="112"/>
      <c r="N36" s="25">
        <f t="shared" si="1"/>
        <v>0</v>
      </c>
      <c r="O36" s="25">
        <f t="shared" si="2"/>
        <v>0</v>
      </c>
      <c r="P36" s="25">
        <f t="shared" si="3"/>
        <v>0</v>
      </c>
      <c r="Q36" s="26">
        <f t="shared" si="4"/>
        <v>0</v>
      </c>
      <c r="R36" s="27">
        <f t="shared" si="5"/>
        <v>0</v>
      </c>
      <c r="S36" s="28">
        <f t="shared" si="15"/>
        <v>0</v>
      </c>
    </row>
    <row r="37" spans="2:19">
      <c r="B37" s="554" t="s">
        <v>1303</v>
      </c>
      <c r="C37" s="14"/>
      <c r="D37" s="14"/>
      <c r="E37" s="14"/>
      <c r="F37" s="14"/>
      <c r="G37" s="8"/>
      <c r="H37" s="24">
        <f t="shared" si="6"/>
        <v>0</v>
      </c>
      <c r="I37" s="456">
        <f t="shared" ref="I37:I65" si="16">L37-(L37*J37)</f>
        <v>973.8</v>
      </c>
      <c r="J37" s="10"/>
      <c r="K37" s="12"/>
      <c r="L37" s="236">
        <v>973.8</v>
      </c>
      <c r="M37" s="112"/>
      <c r="N37" s="25">
        <f t="shared" ref="N37:N65" si="17">I37*C37</f>
        <v>0</v>
      </c>
      <c r="O37" s="25">
        <f t="shared" ref="O37:O65" si="18">I37*D37</f>
        <v>0</v>
      </c>
      <c r="P37" s="25">
        <f t="shared" ref="P37:P65" si="19">I37*E37</f>
        <v>0</v>
      </c>
      <c r="Q37" s="26">
        <f t="shared" ref="Q37:Q65" si="20">I37*F37</f>
        <v>0</v>
      </c>
      <c r="R37" s="27">
        <f t="shared" ref="R37:R65" si="21">I37*G37</f>
        <v>0</v>
      </c>
      <c r="S37" s="28">
        <f t="shared" si="15"/>
        <v>0</v>
      </c>
    </row>
    <row r="38" spans="2:19">
      <c r="B38" s="554" t="s">
        <v>2320</v>
      </c>
      <c r="C38" s="14"/>
      <c r="D38" s="14"/>
      <c r="E38" s="14"/>
      <c r="F38" s="14"/>
      <c r="G38" s="8"/>
      <c r="H38" s="24">
        <f t="shared" si="6"/>
        <v>0</v>
      </c>
      <c r="I38" s="456">
        <f t="shared" si="16"/>
        <v>0</v>
      </c>
      <c r="J38" s="10"/>
      <c r="K38" s="12"/>
      <c r="L38" s="236">
        <v>0</v>
      </c>
      <c r="M38" s="112"/>
      <c r="N38" s="25">
        <f t="shared" si="17"/>
        <v>0</v>
      </c>
      <c r="O38" s="25">
        <f t="shared" si="18"/>
        <v>0</v>
      </c>
      <c r="P38" s="25">
        <f t="shared" si="19"/>
        <v>0</v>
      </c>
      <c r="Q38" s="26">
        <f t="shared" si="20"/>
        <v>0</v>
      </c>
      <c r="R38" s="27">
        <f t="shared" si="21"/>
        <v>0</v>
      </c>
      <c r="S38" s="28">
        <f t="shared" si="15"/>
        <v>0</v>
      </c>
    </row>
    <row r="39" spans="2:19">
      <c r="B39" s="554" t="s">
        <v>2321</v>
      </c>
      <c r="C39" s="14"/>
      <c r="D39" s="14"/>
      <c r="E39" s="14"/>
      <c r="F39" s="14"/>
      <c r="G39" s="8"/>
      <c r="H39" s="24">
        <f t="shared" si="6"/>
        <v>0</v>
      </c>
      <c r="I39" s="456">
        <f t="shared" si="16"/>
        <v>0</v>
      </c>
      <c r="J39" s="10"/>
      <c r="K39" s="12"/>
      <c r="L39" s="236">
        <v>0</v>
      </c>
      <c r="M39" s="112"/>
      <c r="N39" s="25">
        <f t="shared" si="17"/>
        <v>0</v>
      </c>
      <c r="O39" s="25">
        <f t="shared" si="18"/>
        <v>0</v>
      </c>
      <c r="P39" s="25">
        <f t="shared" si="19"/>
        <v>0</v>
      </c>
      <c r="Q39" s="26">
        <f t="shared" si="20"/>
        <v>0</v>
      </c>
      <c r="R39" s="27">
        <f t="shared" si="21"/>
        <v>0</v>
      </c>
      <c r="S39" s="28">
        <f t="shared" si="15"/>
        <v>0</v>
      </c>
    </row>
    <row r="40" spans="2:19">
      <c r="B40" s="554" t="s">
        <v>1304</v>
      </c>
      <c r="C40" s="14"/>
      <c r="D40" s="14"/>
      <c r="E40" s="14"/>
      <c r="F40" s="14"/>
      <c r="G40" s="8"/>
      <c r="H40" s="24">
        <f t="shared" si="6"/>
        <v>0</v>
      </c>
      <c r="I40" s="456">
        <f>(L40-(L40*J40))/12</f>
        <v>128.58333333333334</v>
      </c>
      <c r="J40" s="10"/>
      <c r="K40" s="12"/>
      <c r="L40" s="236">
        <v>1543</v>
      </c>
      <c r="M40" s="111"/>
      <c r="N40" s="25">
        <f t="shared" si="17"/>
        <v>0</v>
      </c>
      <c r="O40" s="25">
        <f t="shared" si="18"/>
        <v>0</v>
      </c>
      <c r="P40" s="25">
        <f t="shared" si="19"/>
        <v>0</v>
      </c>
      <c r="Q40" s="26">
        <f t="shared" si="20"/>
        <v>0</v>
      </c>
      <c r="R40" s="27">
        <f t="shared" si="21"/>
        <v>0</v>
      </c>
      <c r="S40" s="28">
        <f t="shared" si="15"/>
        <v>0</v>
      </c>
    </row>
    <row r="41" spans="2:19">
      <c r="B41" s="554" t="s">
        <v>1305</v>
      </c>
      <c r="C41" s="14"/>
      <c r="D41" s="14"/>
      <c r="E41" s="14"/>
      <c r="F41" s="14"/>
      <c r="G41" s="8"/>
      <c r="H41" s="24">
        <f t="shared" si="6"/>
        <v>0</v>
      </c>
      <c r="I41" s="456">
        <f t="shared" si="16"/>
        <v>1281</v>
      </c>
      <c r="J41" s="10"/>
      <c r="K41" s="12"/>
      <c r="L41" s="236">
        <v>1281</v>
      </c>
      <c r="M41" s="112"/>
      <c r="N41" s="25">
        <f t="shared" si="17"/>
        <v>0</v>
      </c>
      <c r="O41" s="25">
        <f t="shared" si="18"/>
        <v>0</v>
      </c>
      <c r="P41" s="25">
        <f t="shared" si="19"/>
        <v>0</v>
      </c>
      <c r="Q41" s="26">
        <f t="shared" si="20"/>
        <v>0</v>
      </c>
      <c r="R41" s="27">
        <f t="shared" si="21"/>
        <v>0</v>
      </c>
      <c r="S41" s="28">
        <f t="shared" si="15"/>
        <v>0</v>
      </c>
    </row>
    <row r="42" spans="2:19">
      <c r="B42" s="554" t="s">
        <v>2322</v>
      </c>
      <c r="C42" s="14"/>
      <c r="D42" s="14"/>
      <c r="E42" s="14"/>
      <c r="F42" s="14"/>
      <c r="G42" s="8"/>
      <c r="H42" s="24">
        <f t="shared" si="6"/>
        <v>0</v>
      </c>
      <c r="I42" s="456">
        <f t="shared" si="16"/>
        <v>268.2</v>
      </c>
      <c r="J42" s="10"/>
      <c r="K42" s="12"/>
      <c r="L42" s="236">
        <v>268.2</v>
      </c>
      <c r="M42" s="112"/>
      <c r="N42" s="25">
        <f t="shared" si="17"/>
        <v>0</v>
      </c>
      <c r="O42" s="25">
        <f t="shared" si="18"/>
        <v>0</v>
      </c>
      <c r="P42" s="25">
        <f t="shared" si="19"/>
        <v>0</v>
      </c>
      <c r="Q42" s="26">
        <f t="shared" si="20"/>
        <v>0</v>
      </c>
      <c r="R42" s="27">
        <f t="shared" si="21"/>
        <v>0</v>
      </c>
      <c r="S42" s="28">
        <f t="shared" si="15"/>
        <v>0</v>
      </c>
    </row>
    <row r="43" spans="2:19">
      <c r="B43" s="554" t="s">
        <v>2323</v>
      </c>
      <c r="C43" s="14"/>
      <c r="D43" s="14"/>
      <c r="E43" s="14"/>
      <c r="F43" s="14"/>
      <c r="G43" s="8"/>
      <c r="H43" s="24">
        <f t="shared" si="6"/>
        <v>0</v>
      </c>
      <c r="I43" s="456">
        <f t="shared" si="16"/>
        <v>282.56</v>
      </c>
      <c r="J43" s="10"/>
      <c r="K43" s="12"/>
      <c r="L43" s="236">
        <v>282.56</v>
      </c>
      <c r="M43" s="112"/>
      <c r="N43" s="25">
        <f t="shared" si="17"/>
        <v>0</v>
      </c>
      <c r="O43" s="25">
        <f t="shared" si="18"/>
        <v>0</v>
      </c>
      <c r="P43" s="25">
        <f t="shared" si="19"/>
        <v>0</v>
      </c>
      <c r="Q43" s="26">
        <f t="shared" si="20"/>
        <v>0</v>
      </c>
      <c r="R43" s="27">
        <f t="shared" si="21"/>
        <v>0</v>
      </c>
      <c r="S43" s="28">
        <f t="shared" si="15"/>
        <v>0</v>
      </c>
    </row>
    <row r="44" spans="2:19">
      <c r="B44" s="554" t="s">
        <v>1306</v>
      </c>
      <c r="C44" s="14"/>
      <c r="D44" s="14"/>
      <c r="E44" s="14"/>
      <c r="F44" s="14"/>
      <c r="G44" s="8"/>
      <c r="H44" s="24">
        <f t="shared" si="6"/>
        <v>0</v>
      </c>
      <c r="I44" s="456">
        <f t="shared" si="16"/>
        <v>594.61</v>
      </c>
      <c r="J44" s="10"/>
      <c r="K44" s="12"/>
      <c r="L44" s="236">
        <v>594.61</v>
      </c>
      <c r="M44" s="112"/>
      <c r="N44" s="25">
        <f t="shared" si="17"/>
        <v>0</v>
      </c>
      <c r="O44" s="25">
        <f t="shared" si="18"/>
        <v>0</v>
      </c>
      <c r="P44" s="25">
        <f t="shared" si="19"/>
        <v>0</v>
      </c>
      <c r="Q44" s="26">
        <f t="shared" si="20"/>
        <v>0</v>
      </c>
      <c r="R44" s="27">
        <f t="shared" si="21"/>
        <v>0</v>
      </c>
      <c r="S44" s="28">
        <f t="shared" si="15"/>
        <v>0</v>
      </c>
    </row>
    <row r="45" spans="2:19">
      <c r="B45" s="554" t="s">
        <v>1307</v>
      </c>
      <c r="C45" s="14"/>
      <c r="D45" s="14"/>
      <c r="E45" s="14"/>
      <c r="F45" s="14"/>
      <c r="G45" s="8"/>
      <c r="H45" s="24">
        <f t="shared" si="6"/>
        <v>0</v>
      </c>
      <c r="I45" s="456">
        <f t="shared" si="16"/>
        <v>535.44000000000005</v>
      </c>
      <c r="J45" s="10"/>
      <c r="K45" s="12"/>
      <c r="L45" s="236">
        <v>535.44000000000005</v>
      </c>
      <c r="M45" s="112"/>
      <c r="N45" s="25">
        <f t="shared" si="17"/>
        <v>0</v>
      </c>
      <c r="O45" s="25">
        <f t="shared" si="18"/>
        <v>0</v>
      </c>
      <c r="P45" s="25">
        <f t="shared" si="19"/>
        <v>0</v>
      </c>
      <c r="Q45" s="26">
        <f t="shared" si="20"/>
        <v>0</v>
      </c>
      <c r="R45" s="27">
        <f t="shared" si="21"/>
        <v>0</v>
      </c>
      <c r="S45" s="28">
        <f t="shared" si="15"/>
        <v>0</v>
      </c>
    </row>
    <row r="46" spans="2:19">
      <c r="B46" s="554" t="s">
        <v>1308</v>
      </c>
      <c r="C46" s="14"/>
      <c r="D46" s="14"/>
      <c r="E46" s="14"/>
      <c r="F46" s="14"/>
      <c r="G46" s="8"/>
      <c r="H46" s="24">
        <f t="shared" si="6"/>
        <v>0</v>
      </c>
      <c r="I46" s="456">
        <f t="shared" si="16"/>
        <v>173.6</v>
      </c>
      <c r="J46" s="10"/>
      <c r="K46" s="12"/>
      <c r="L46" s="236">
        <v>173.6</v>
      </c>
      <c r="M46" s="112"/>
      <c r="N46" s="25">
        <f t="shared" si="17"/>
        <v>0</v>
      </c>
      <c r="O46" s="25">
        <f t="shared" si="18"/>
        <v>0</v>
      </c>
      <c r="P46" s="25">
        <f t="shared" si="19"/>
        <v>0</v>
      </c>
      <c r="Q46" s="26">
        <f t="shared" si="20"/>
        <v>0</v>
      </c>
      <c r="R46" s="27">
        <f t="shared" si="21"/>
        <v>0</v>
      </c>
      <c r="S46" s="28">
        <f t="shared" si="15"/>
        <v>0</v>
      </c>
    </row>
    <row r="47" spans="2:19">
      <c r="B47" s="554" t="s">
        <v>2324</v>
      </c>
      <c r="C47" s="14"/>
      <c r="D47" s="14"/>
      <c r="E47" s="14"/>
      <c r="F47" s="14"/>
      <c r="G47" s="8"/>
      <c r="H47" s="24">
        <f t="shared" si="6"/>
        <v>0</v>
      </c>
      <c r="I47" s="456">
        <f t="shared" si="16"/>
        <v>29</v>
      </c>
      <c r="J47" s="10"/>
      <c r="K47" s="12"/>
      <c r="L47" s="236">
        <v>29</v>
      </c>
      <c r="M47" s="112"/>
      <c r="N47" s="25">
        <f t="shared" si="17"/>
        <v>0</v>
      </c>
      <c r="O47" s="25">
        <f t="shared" si="18"/>
        <v>0</v>
      </c>
      <c r="P47" s="25">
        <f t="shared" si="19"/>
        <v>0</v>
      </c>
      <c r="Q47" s="26">
        <f t="shared" si="20"/>
        <v>0</v>
      </c>
      <c r="R47" s="27">
        <f t="shared" si="21"/>
        <v>0</v>
      </c>
      <c r="S47" s="28">
        <f t="shared" si="15"/>
        <v>0</v>
      </c>
    </row>
    <row r="48" spans="2:19">
      <c r="B48" s="554" t="s">
        <v>1309</v>
      </c>
      <c r="C48" s="14"/>
      <c r="D48" s="14"/>
      <c r="E48" s="14"/>
      <c r="F48" s="14"/>
      <c r="G48" s="8"/>
      <c r="H48" s="24">
        <f t="shared" si="6"/>
        <v>0</v>
      </c>
      <c r="I48" s="456">
        <f t="shared" si="16"/>
        <v>1926</v>
      </c>
      <c r="J48" s="10"/>
      <c r="K48" s="12"/>
      <c r="L48" s="236">
        <v>1926</v>
      </c>
      <c r="M48" s="112"/>
      <c r="N48" s="25">
        <f t="shared" si="17"/>
        <v>0</v>
      </c>
      <c r="O48" s="25">
        <f t="shared" si="18"/>
        <v>0</v>
      </c>
      <c r="P48" s="25">
        <f t="shared" si="19"/>
        <v>0</v>
      </c>
      <c r="Q48" s="26">
        <f t="shared" si="20"/>
        <v>0</v>
      </c>
      <c r="R48" s="27">
        <f t="shared" si="21"/>
        <v>0</v>
      </c>
      <c r="S48" s="28">
        <f t="shared" si="15"/>
        <v>0</v>
      </c>
    </row>
    <row r="49" spans="2:19">
      <c r="B49" s="554" t="s">
        <v>1310</v>
      </c>
      <c r="C49" s="14"/>
      <c r="D49" s="14"/>
      <c r="E49" s="14"/>
      <c r="F49" s="14"/>
      <c r="G49" s="8"/>
      <c r="H49" s="24">
        <f t="shared" si="6"/>
        <v>0</v>
      </c>
      <c r="I49" s="456">
        <f t="shared" si="16"/>
        <v>292</v>
      </c>
      <c r="J49" s="10"/>
      <c r="K49" s="12"/>
      <c r="L49" s="236">
        <v>292</v>
      </c>
      <c r="M49" s="112"/>
      <c r="N49" s="25">
        <f t="shared" si="17"/>
        <v>0</v>
      </c>
      <c r="O49" s="25">
        <f t="shared" si="18"/>
        <v>0</v>
      </c>
      <c r="P49" s="25">
        <f t="shared" si="19"/>
        <v>0</v>
      </c>
      <c r="Q49" s="26">
        <f t="shared" si="20"/>
        <v>0</v>
      </c>
      <c r="R49" s="27">
        <f t="shared" si="21"/>
        <v>0</v>
      </c>
      <c r="S49" s="28">
        <f t="shared" si="15"/>
        <v>0</v>
      </c>
    </row>
    <row r="50" spans="2:19">
      <c r="B50" s="554" t="s">
        <v>1311</v>
      </c>
      <c r="C50" s="14"/>
      <c r="D50" s="14"/>
      <c r="E50" s="14"/>
      <c r="F50" s="14"/>
      <c r="G50" s="8"/>
      <c r="H50" s="24">
        <f t="shared" si="6"/>
        <v>0</v>
      </c>
      <c r="I50" s="456">
        <f t="shared" si="16"/>
        <v>185</v>
      </c>
      <c r="J50" s="10"/>
      <c r="K50" s="12"/>
      <c r="L50" s="236">
        <v>185</v>
      </c>
      <c r="M50" s="112"/>
      <c r="N50" s="25">
        <f t="shared" si="17"/>
        <v>0</v>
      </c>
      <c r="O50" s="25">
        <f t="shared" si="18"/>
        <v>0</v>
      </c>
      <c r="P50" s="25">
        <f t="shared" si="19"/>
        <v>0</v>
      </c>
      <c r="Q50" s="26">
        <f t="shared" si="20"/>
        <v>0</v>
      </c>
      <c r="R50" s="27">
        <f t="shared" si="21"/>
        <v>0</v>
      </c>
      <c r="S50" s="28">
        <f t="shared" si="15"/>
        <v>0</v>
      </c>
    </row>
    <row r="51" spans="2:19">
      <c r="B51" s="554" t="s">
        <v>2325</v>
      </c>
      <c r="C51" s="14"/>
      <c r="D51" s="14"/>
      <c r="E51" s="14"/>
      <c r="F51" s="14"/>
      <c r="G51" s="8"/>
      <c r="H51" s="24">
        <f t="shared" si="6"/>
        <v>0</v>
      </c>
      <c r="I51" s="456">
        <f t="shared" si="16"/>
        <v>592</v>
      </c>
      <c r="J51" s="10"/>
      <c r="K51" s="12"/>
      <c r="L51" s="236">
        <v>592</v>
      </c>
      <c r="M51" s="112"/>
      <c r="N51" s="25">
        <f t="shared" si="17"/>
        <v>0</v>
      </c>
      <c r="O51" s="25">
        <f t="shared" si="18"/>
        <v>0</v>
      </c>
      <c r="P51" s="25">
        <f t="shared" si="19"/>
        <v>0</v>
      </c>
      <c r="Q51" s="26">
        <f t="shared" si="20"/>
        <v>0</v>
      </c>
      <c r="R51" s="27">
        <f t="shared" si="21"/>
        <v>0</v>
      </c>
      <c r="S51" s="28">
        <f t="shared" si="15"/>
        <v>0</v>
      </c>
    </row>
    <row r="52" spans="2:19">
      <c r="B52" s="554" t="s">
        <v>1312</v>
      </c>
      <c r="C52" s="14"/>
      <c r="D52" s="14"/>
      <c r="E52" s="14"/>
      <c r="F52" s="14"/>
      <c r="G52" s="8"/>
      <c r="H52" s="24">
        <f t="shared" si="6"/>
        <v>0</v>
      </c>
      <c r="I52" s="456">
        <f t="shared" si="16"/>
        <v>22</v>
      </c>
      <c r="J52" s="10"/>
      <c r="K52" s="12"/>
      <c r="L52" s="236">
        <v>22</v>
      </c>
      <c r="M52" s="112"/>
      <c r="N52" s="25">
        <f t="shared" si="17"/>
        <v>0</v>
      </c>
      <c r="O52" s="25">
        <f t="shared" si="18"/>
        <v>0</v>
      </c>
      <c r="P52" s="25">
        <f t="shared" si="19"/>
        <v>0</v>
      </c>
      <c r="Q52" s="26">
        <f t="shared" si="20"/>
        <v>0</v>
      </c>
      <c r="R52" s="27">
        <f t="shared" si="21"/>
        <v>0</v>
      </c>
      <c r="S52" s="28">
        <f t="shared" si="15"/>
        <v>0</v>
      </c>
    </row>
    <row r="53" spans="2:19">
      <c r="B53" s="554" t="s">
        <v>1313</v>
      </c>
      <c r="C53" s="14"/>
      <c r="D53" s="14"/>
      <c r="E53" s="14"/>
      <c r="F53" s="14"/>
      <c r="G53" s="8"/>
      <c r="H53" s="24">
        <f t="shared" si="6"/>
        <v>0</v>
      </c>
      <c r="I53" s="456">
        <f t="shared" si="16"/>
        <v>1135</v>
      </c>
      <c r="J53" s="10"/>
      <c r="K53" s="12"/>
      <c r="L53" s="236">
        <v>1135</v>
      </c>
      <c r="M53" s="112"/>
      <c r="N53" s="25">
        <f t="shared" si="17"/>
        <v>0</v>
      </c>
      <c r="O53" s="25">
        <f t="shared" si="18"/>
        <v>0</v>
      </c>
      <c r="P53" s="25">
        <f t="shared" si="19"/>
        <v>0</v>
      </c>
      <c r="Q53" s="26">
        <f t="shared" si="20"/>
        <v>0</v>
      </c>
      <c r="R53" s="27">
        <f t="shared" si="21"/>
        <v>0</v>
      </c>
      <c r="S53" s="28">
        <f t="shared" si="15"/>
        <v>0</v>
      </c>
    </row>
    <row r="54" spans="2:19">
      <c r="B54" s="554" t="s">
        <v>1314</v>
      </c>
      <c r="C54" s="14"/>
      <c r="D54" s="14"/>
      <c r="E54" s="14"/>
      <c r="F54" s="14"/>
      <c r="G54" s="8"/>
      <c r="H54" s="24">
        <f t="shared" si="6"/>
        <v>0</v>
      </c>
      <c r="I54" s="456">
        <f t="shared" si="16"/>
        <v>141.4</v>
      </c>
      <c r="J54" s="10"/>
      <c r="K54" s="12"/>
      <c r="L54" s="236">
        <v>141.4</v>
      </c>
      <c r="M54" s="112"/>
      <c r="N54" s="25">
        <f t="shared" si="17"/>
        <v>0</v>
      </c>
      <c r="O54" s="25">
        <f t="shared" si="18"/>
        <v>0</v>
      </c>
      <c r="P54" s="25">
        <f t="shared" si="19"/>
        <v>0</v>
      </c>
      <c r="Q54" s="26">
        <f t="shared" si="20"/>
        <v>0</v>
      </c>
      <c r="R54" s="27">
        <f t="shared" si="21"/>
        <v>0</v>
      </c>
      <c r="S54" s="28">
        <f t="shared" si="15"/>
        <v>0</v>
      </c>
    </row>
    <row r="55" spans="2:19">
      <c r="B55" s="554" t="s">
        <v>2326</v>
      </c>
      <c r="C55" s="14"/>
      <c r="D55" s="14"/>
      <c r="E55" s="14"/>
      <c r="F55" s="14"/>
      <c r="G55" s="8"/>
      <c r="H55" s="24">
        <f t="shared" si="6"/>
        <v>0</v>
      </c>
      <c r="I55" s="456">
        <f t="shared" si="16"/>
        <v>68</v>
      </c>
      <c r="J55" s="10"/>
      <c r="K55" s="12"/>
      <c r="L55" s="236">
        <v>68</v>
      </c>
      <c r="M55" s="112"/>
      <c r="N55" s="25">
        <f t="shared" si="17"/>
        <v>0</v>
      </c>
      <c r="O55" s="25">
        <f t="shared" si="18"/>
        <v>0</v>
      </c>
      <c r="P55" s="25">
        <f t="shared" si="19"/>
        <v>0</v>
      </c>
      <c r="Q55" s="26">
        <f t="shared" si="20"/>
        <v>0</v>
      </c>
      <c r="R55" s="27">
        <f t="shared" si="21"/>
        <v>0</v>
      </c>
      <c r="S55" s="28">
        <f t="shared" si="15"/>
        <v>0</v>
      </c>
    </row>
    <row r="56" spans="2:19">
      <c r="B56" s="554" t="s">
        <v>1315</v>
      </c>
      <c r="C56" s="14"/>
      <c r="D56" s="14"/>
      <c r="E56" s="14"/>
      <c r="F56" s="14"/>
      <c r="G56" s="8"/>
      <c r="H56" s="24">
        <f t="shared" si="6"/>
        <v>0</v>
      </c>
      <c r="I56" s="456">
        <f t="shared" si="16"/>
        <v>100.8</v>
      </c>
      <c r="J56" s="10"/>
      <c r="K56" s="12"/>
      <c r="L56" s="236">
        <v>100.8</v>
      </c>
      <c r="M56" s="112"/>
      <c r="N56" s="25">
        <f t="shared" si="17"/>
        <v>0</v>
      </c>
      <c r="O56" s="25">
        <f t="shared" si="18"/>
        <v>0</v>
      </c>
      <c r="P56" s="25">
        <f t="shared" si="19"/>
        <v>0</v>
      </c>
      <c r="Q56" s="26">
        <f t="shared" si="20"/>
        <v>0</v>
      </c>
      <c r="R56" s="27">
        <f t="shared" si="21"/>
        <v>0</v>
      </c>
      <c r="S56" s="28">
        <f t="shared" si="15"/>
        <v>0</v>
      </c>
    </row>
    <row r="57" spans="2:19">
      <c r="B57" s="554" t="s">
        <v>2327</v>
      </c>
      <c r="C57" s="14"/>
      <c r="D57" s="14"/>
      <c r="E57" s="14"/>
      <c r="F57" s="14"/>
      <c r="G57" s="8"/>
      <c r="H57" s="24">
        <f t="shared" si="6"/>
        <v>0</v>
      </c>
      <c r="I57" s="456">
        <f t="shared" si="16"/>
        <v>31</v>
      </c>
      <c r="J57" s="10"/>
      <c r="K57" s="12"/>
      <c r="L57" s="236">
        <v>31</v>
      </c>
      <c r="M57" s="112"/>
      <c r="N57" s="25">
        <f t="shared" si="17"/>
        <v>0</v>
      </c>
      <c r="O57" s="25">
        <f t="shared" si="18"/>
        <v>0</v>
      </c>
      <c r="P57" s="25">
        <f t="shared" si="19"/>
        <v>0</v>
      </c>
      <c r="Q57" s="26">
        <f t="shared" si="20"/>
        <v>0</v>
      </c>
      <c r="R57" s="27">
        <f t="shared" si="21"/>
        <v>0</v>
      </c>
      <c r="S57" s="28">
        <f t="shared" si="15"/>
        <v>0</v>
      </c>
    </row>
    <row r="58" spans="2:19">
      <c r="B58" s="554" t="s">
        <v>1316</v>
      </c>
      <c r="C58" s="14"/>
      <c r="D58" s="14"/>
      <c r="E58" s="14"/>
      <c r="F58" s="14"/>
      <c r="G58" s="8"/>
      <c r="H58" s="24">
        <f t="shared" si="6"/>
        <v>0</v>
      </c>
      <c r="I58" s="456">
        <f t="shared" si="16"/>
        <v>50</v>
      </c>
      <c r="J58" s="10"/>
      <c r="K58" s="12"/>
      <c r="L58" s="236">
        <v>50</v>
      </c>
      <c r="M58" s="112"/>
      <c r="N58" s="25">
        <f t="shared" si="17"/>
        <v>0</v>
      </c>
      <c r="O58" s="25">
        <f t="shared" si="18"/>
        <v>0</v>
      </c>
      <c r="P58" s="25">
        <f t="shared" si="19"/>
        <v>0</v>
      </c>
      <c r="Q58" s="26">
        <f t="shared" si="20"/>
        <v>0</v>
      </c>
      <c r="R58" s="27">
        <f t="shared" si="21"/>
        <v>0</v>
      </c>
      <c r="S58" s="28">
        <f t="shared" si="15"/>
        <v>0</v>
      </c>
    </row>
    <row r="59" spans="2:19">
      <c r="B59" s="554" t="s">
        <v>1317</v>
      </c>
      <c r="C59" s="14"/>
      <c r="D59" s="14"/>
      <c r="E59" s="14"/>
      <c r="F59" s="14"/>
      <c r="G59" s="8"/>
      <c r="H59" s="24">
        <f t="shared" si="6"/>
        <v>0</v>
      </c>
      <c r="I59" s="456">
        <f t="shared" si="16"/>
        <v>81.5</v>
      </c>
      <c r="J59" s="10"/>
      <c r="K59" s="12"/>
      <c r="L59" s="236">
        <v>81.5</v>
      </c>
      <c r="M59" s="112"/>
      <c r="N59" s="25">
        <f t="shared" si="17"/>
        <v>0</v>
      </c>
      <c r="O59" s="25">
        <f t="shared" si="18"/>
        <v>0</v>
      </c>
      <c r="P59" s="25">
        <f t="shared" si="19"/>
        <v>0</v>
      </c>
      <c r="Q59" s="26">
        <f t="shared" si="20"/>
        <v>0</v>
      </c>
      <c r="R59" s="27">
        <f t="shared" si="21"/>
        <v>0</v>
      </c>
      <c r="S59" s="28">
        <f t="shared" si="15"/>
        <v>0</v>
      </c>
    </row>
    <row r="60" spans="2:19">
      <c r="B60" s="554" t="s">
        <v>2328</v>
      </c>
      <c r="C60" s="14"/>
      <c r="D60" s="14"/>
      <c r="E60" s="14"/>
      <c r="F60" s="14"/>
      <c r="G60" s="8"/>
      <c r="H60" s="24">
        <f t="shared" si="6"/>
        <v>0</v>
      </c>
      <c r="I60" s="456">
        <f t="shared" si="16"/>
        <v>123</v>
      </c>
      <c r="J60" s="10"/>
      <c r="K60" s="12"/>
      <c r="L60" s="236">
        <v>123</v>
      </c>
      <c r="M60" s="112"/>
      <c r="N60" s="25">
        <f t="shared" si="17"/>
        <v>0</v>
      </c>
      <c r="O60" s="25">
        <f t="shared" si="18"/>
        <v>0</v>
      </c>
      <c r="P60" s="25">
        <f t="shared" si="19"/>
        <v>0</v>
      </c>
      <c r="Q60" s="26">
        <f t="shared" si="20"/>
        <v>0</v>
      </c>
      <c r="R60" s="27">
        <f t="shared" si="21"/>
        <v>0</v>
      </c>
      <c r="S60" s="28">
        <f t="shared" si="15"/>
        <v>0</v>
      </c>
    </row>
    <row r="61" spans="2:19">
      <c r="B61" s="554" t="s">
        <v>1318</v>
      </c>
      <c r="C61" s="14"/>
      <c r="D61" s="14"/>
      <c r="E61" s="14"/>
      <c r="F61" s="14"/>
      <c r="G61" s="8"/>
      <c r="H61" s="24">
        <f t="shared" si="6"/>
        <v>0</v>
      </c>
      <c r="I61" s="456">
        <f t="shared" si="16"/>
        <v>518</v>
      </c>
      <c r="J61" s="10"/>
      <c r="K61" s="12"/>
      <c r="L61" s="236">
        <v>518</v>
      </c>
      <c r="M61" s="112"/>
      <c r="N61" s="25">
        <f t="shared" si="17"/>
        <v>0</v>
      </c>
      <c r="O61" s="25">
        <f t="shared" si="18"/>
        <v>0</v>
      </c>
      <c r="P61" s="25">
        <f t="shared" si="19"/>
        <v>0</v>
      </c>
      <c r="Q61" s="26">
        <f t="shared" si="20"/>
        <v>0</v>
      </c>
      <c r="R61" s="27">
        <f t="shared" si="21"/>
        <v>0</v>
      </c>
      <c r="S61" s="28">
        <f t="shared" si="15"/>
        <v>0</v>
      </c>
    </row>
    <row r="62" spans="2:19">
      <c r="B62" s="554" t="s">
        <v>1319</v>
      </c>
      <c r="C62" s="14"/>
      <c r="D62" s="14"/>
      <c r="E62" s="14"/>
      <c r="F62" s="14"/>
      <c r="G62" s="8"/>
      <c r="H62" s="24">
        <f t="shared" si="6"/>
        <v>0</v>
      </c>
      <c r="I62" s="456">
        <f t="shared" si="16"/>
        <v>170</v>
      </c>
      <c r="J62" s="10"/>
      <c r="K62" s="12"/>
      <c r="L62" s="236">
        <v>170</v>
      </c>
      <c r="M62" s="112"/>
      <c r="N62" s="25">
        <f t="shared" si="17"/>
        <v>0</v>
      </c>
      <c r="O62" s="25">
        <f t="shared" si="18"/>
        <v>0</v>
      </c>
      <c r="P62" s="25">
        <f t="shared" si="19"/>
        <v>0</v>
      </c>
      <c r="Q62" s="26">
        <f t="shared" si="20"/>
        <v>0</v>
      </c>
      <c r="R62" s="27">
        <f t="shared" si="21"/>
        <v>0</v>
      </c>
      <c r="S62" s="28">
        <f t="shared" si="15"/>
        <v>0</v>
      </c>
    </row>
    <row r="63" spans="2:19">
      <c r="B63" s="554" t="s">
        <v>2329</v>
      </c>
      <c r="C63" s="14"/>
      <c r="D63" s="14"/>
      <c r="E63" s="14"/>
      <c r="F63" s="14"/>
      <c r="G63" s="8"/>
      <c r="H63" s="24">
        <f t="shared" si="6"/>
        <v>0</v>
      </c>
      <c r="I63" s="456">
        <f t="shared" si="16"/>
        <v>213.4</v>
      </c>
      <c r="J63" s="10"/>
      <c r="K63" s="12"/>
      <c r="L63" s="236">
        <v>213.4</v>
      </c>
      <c r="M63" s="112"/>
      <c r="N63" s="25">
        <f t="shared" si="17"/>
        <v>0</v>
      </c>
      <c r="O63" s="25">
        <f t="shared" si="18"/>
        <v>0</v>
      </c>
      <c r="P63" s="25">
        <f t="shared" si="19"/>
        <v>0</v>
      </c>
      <c r="Q63" s="26">
        <f t="shared" si="20"/>
        <v>0</v>
      </c>
      <c r="R63" s="27">
        <f t="shared" si="21"/>
        <v>0</v>
      </c>
      <c r="S63" s="28">
        <f t="shared" si="15"/>
        <v>0</v>
      </c>
    </row>
    <row r="64" spans="2:19">
      <c r="B64" s="554" t="s">
        <v>1320</v>
      </c>
      <c r="C64" s="14"/>
      <c r="D64" s="14"/>
      <c r="E64" s="14"/>
      <c r="F64" s="14"/>
      <c r="G64" s="8"/>
      <c r="H64" s="24">
        <f t="shared" si="6"/>
        <v>0</v>
      </c>
      <c r="I64" s="456">
        <f t="shared" si="16"/>
        <v>42.2</v>
      </c>
      <c r="J64" s="10"/>
      <c r="K64" s="12"/>
      <c r="L64" s="238">
        <v>42.2</v>
      </c>
      <c r="M64" s="112"/>
      <c r="N64" s="25">
        <f t="shared" si="17"/>
        <v>0</v>
      </c>
      <c r="O64" s="25">
        <f t="shared" si="18"/>
        <v>0</v>
      </c>
      <c r="P64" s="25">
        <f t="shared" si="19"/>
        <v>0</v>
      </c>
      <c r="Q64" s="26">
        <f t="shared" si="20"/>
        <v>0</v>
      </c>
      <c r="R64" s="27">
        <f t="shared" si="21"/>
        <v>0</v>
      </c>
      <c r="S64" s="28">
        <f t="shared" si="15"/>
        <v>0</v>
      </c>
    </row>
    <row r="65" spans="2:19">
      <c r="B65" s="554" t="s">
        <v>2330</v>
      </c>
      <c r="C65" s="14"/>
      <c r="D65" s="14"/>
      <c r="E65" s="14"/>
      <c r="F65" s="14"/>
      <c r="G65" s="8"/>
      <c r="H65" s="24">
        <f t="shared" si="6"/>
        <v>0</v>
      </c>
      <c r="I65" s="456">
        <f t="shared" si="16"/>
        <v>96</v>
      </c>
      <c r="J65" s="10"/>
      <c r="K65" s="12"/>
      <c r="L65" s="236">
        <v>96</v>
      </c>
      <c r="M65" s="112"/>
      <c r="N65" s="25">
        <f t="shared" si="17"/>
        <v>0</v>
      </c>
      <c r="O65" s="25">
        <f t="shared" si="18"/>
        <v>0</v>
      </c>
      <c r="P65" s="25">
        <f t="shared" si="19"/>
        <v>0</v>
      </c>
      <c r="Q65" s="26">
        <f t="shared" si="20"/>
        <v>0</v>
      </c>
      <c r="R65" s="27">
        <f t="shared" si="21"/>
        <v>0</v>
      </c>
      <c r="S65" s="28">
        <f t="shared" si="15"/>
        <v>0</v>
      </c>
    </row>
    <row r="66" spans="2:19">
      <c r="B66" s="58"/>
      <c r="C66" s="544">
        <f t="shared" ref="C66" si="22">N66</f>
        <v>0</v>
      </c>
      <c r="D66" s="544">
        <f t="shared" ref="D66" si="23">O66</f>
        <v>0</v>
      </c>
      <c r="E66" s="544">
        <f t="shared" ref="E66" si="24">P66</f>
        <v>0</v>
      </c>
      <c r="F66" s="544">
        <f t="shared" ref="F66" si="25">Q66</f>
        <v>0</v>
      </c>
      <c r="G66" s="544">
        <f t="shared" ref="G66" si="26">R66</f>
        <v>0</v>
      </c>
      <c r="H66" s="544">
        <f t="shared" ref="H66" si="27">S66</f>
        <v>0</v>
      </c>
      <c r="N66" s="29">
        <f t="shared" ref="N66:S66" si="28">SUM(N6:N65)</f>
        <v>0</v>
      </c>
      <c r="O66" s="29">
        <f t="shared" si="28"/>
        <v>0</v>
      </c>
      <c r="P66" s="29">
        <f t="shared" si="28"/>
        <v>0</v>
      </c>
      <c r="Q66" s="29">
        <f t="shared" si="28"/>
        <v>0</v>
      </c>
      <c r="R66" s="29">
        <f t="shared" si="28"/>
        <v>0</v>
      </c>
      <c r="S66" s="29">
        <f t="shared" si="28"/>
        <v>0</v>
      </c>
    </row>
    <row r="67" spans="2:19">
      <c r="B67" s="59"/>
    </row>
    <row r="68" spans="2:19" ht="16.5" thickBot="1">
      <c r="B68" s="2"/>
    </row>
    <row r="69" spans="2:19">
      <c r="B69" s="60" t="s">
        <v>47</v>
      </c>
    </row>
    <row r="70" spans="2:19">
      <c r="B70" s="61" t="s">
        <v>19</v>
      </c>
    </row>
    <row r="71" spans="2:19">
      <c r="B71" s="61" t="s">
        <v>17</v>
      </c>
    </row>
    <row r="72" spans="2:19" ht="16.5" thickBot="1">
      <c r="B72" s="62" t="s">
        <v>18</v>
      </c>
    </row>
    <row r="73" spans="2:19">
      <c r="B73" s="2"/>
    </row>
    <row r="74" spans="2:19">
      <c r="B74" s="30" t="s">
        <v>20</v>
      </c>
    </row>
    <row r="75" spans="2:19">
      <c r="B75" s="35"/>
    </row>
    <row r="76" spans="2:19">
      <c r="B76" s="35"/>
    </row>
    <row r="77" spans="2:19">
      <c r="B77" s="2"/>
      <c r="G77" s="5" t="str">
        <f>IF(B77&lt;&gt;"",SUM(C77:F77),"")</f>
        <v/>
      </c>
    </row>
    <row r="78" spans="2:19">
      <c r="G78" s="5" t="str">
        <f t="shared" ref="G78:G141" si="29">IF(B78&lt;&gt;"",SUM(C78:F78),"")</f>
        <v/>
      </c>
    </row>
    <row r="79" spans="2:19">
      <c r="G79" s="5" t="str">
        <f t="shared" si="29"/>
        <v/>
      </c>
    </row>
    <row r="80" spans="2:19">
      <c r="G80" s="5" t="str">
        <f t="shared" si="29"/>
        <v/>
      </c>
    </row>
    <row r="81" spans="7:7">
      <c r="G81" s="5" t="str">
        <f t="shared" si="29"/>
        <v/>
      </c>
    </row>
    <row r="82" spans="7:7">
      <c r="G82" s="5" t="str">
        <f t="shared" si="29"/>
        <v/>
      </c>
    </row>
    <row r="83" spans="7:7">
      <c r="G83" s="5" t="str">
        <f t="shared" si="29"/>
        <v/>
      </c>
    </row>
    <row r="84" spans="7:7">
      <c r="G84" s="5" t="str">
        <f t="shared" si="29"/>
        <v/>
      </c>
    </row>
    <row r="85" spans="7:7">
      <c r="G85" s="5" t="str">
        <f t="shared" si="29"/>
        <v/>
      </c>
    </row>
    <row r="86" spans="7:7">
      <c r="G86" s="5" t="str">
        <f t="shared" si="29"/>
        <v/>
      </c>
    </row>
    <row r="87" spans="7:7">
      <c r="G87" s="5" t="str">
        <f t="shared" si="29"/>
        <v/>
      </c>
    </row>
    <row r="88" spans="7:7">
      <c r="G88" s="5" t="str">
        <f t="shared" si="29"/>
        <v/>
      </c>
    </row>
    <row r="89" spans="7:7">
      <c r="G89" s="5" t="str">
        <f t="shared" si="29"/>
        <v/>
      </c>
    </row>
    <row r="90" spans="7:7">
      <c r="G90" s="5" t="str">
        <f t="shared" si="29"/>
        <v/>
      </c>
    </row>
    <row r="91" spans="7:7">
      <c r="G91" s="5" t="str">
        <f t="shared" si="29"/>
        <v/>
      </c>
    </row>
    <row r="92" spans="7:7">
      <c r="G92" s="5" t="str">
        <f t="shared" si="29"/>
        <v/>
      </c>
    </row>
    <row r="93" spans="7:7">
      <c r="G93" s="5" t="str">
        <f t="shared" si="29"/>
        <v/>
      </c>
    </row>
    <row r="94" spans="7:7">
      <c r="G94" s="5" t="str">
        <f t="shared" si="29"/>
        <v/>
      </c>
    </row>
    <row r="95" spans="7:7">
      <c r="G95" s="5" t="str">
        <f t="shared" si="29"/>
        <v/>
      </c>
    </row>
    <row r="96" spans="7:7">
      <c r="G96" s="5" t="str">
        <f t="shared" si="29"/>
        <v/>
      </c>
    </row>
    <row r="97" spans="7:7">
      <c r="G97" s="5" t="str">
        <f t="shared" si="29"/>
        <v/>
      </c>
    </row>
    <row r="98" spans="7:7">
      <c r="G98" s="5" t="str">
        <f t="shared" si="29"/>
        <v/>
      </c>
    </row>
    <row r="99" spans="7:7">
      <c r="G99" s="5" t="str">
        <f t="shared" si="29"/>
        <v/>
      </c>
    </row>
    <row r="100" spans="7:7">
      <c r="G100" s="5" t="str">
        <f t="shared" si="29"/>
        <v/>
      </c>
    </row>
    <row r="101" spans="7:7">
      <c r="G101" s="5" t="str">
        <f t="shared" si="29"/>
        <v/>
      </c>
    </row>
    <row r="102" spans="7:7">
      <c r="G102" s="5" t="str">
        <f t="shared" si="29"/>
        <v/>
      </c>
    </row>
    <row r="103" spans="7:7">
      <c r="G103" s="5" t="str">
        <f t="shared" si="29"/>
        <v/>
      </c>
    </row>
    <row r="104" spans="7:7">
      <c r="G104" s="5" t="str">
        <f t="shared" si="29"/>
        <v/>
      </c>
    </row>
    <row r="105" spans="7:7">
      <c r="G105" s="5" t="str">
        <f t="shared" si="29"/>
        <v/>
      </c>
    </row>
    <row r="106" spans="7:7">
      <c r="G106" s="5" t="str">
        <f t="shared" si="29"/>
        <v/>
      </c>
    </row>
    <row r="107" spans="7:7">
      <c r="G107" s="5" t="str">
        <f t="shared" si="29"/>
        <v/>
      </c>
    </row>
    <row r="108" spans="7:7">
      <c r="G108" s="5" t="str">
        <f t="shared" si="29"/>
        <v/>
      </c>
    </row>
    <row r="109" spans="7:7">
      <c r="G109" s="5" t="str">
        <f t="shared" si="29"/>
        <v/>
      </c>
    </row>
    <row r="110" spans="7:7">
      <c r="G110" s="5" t="str">
        <f t="shared" si="29"/>
        <v/>
      </c>
    </row>
    <row r="111" spans="7:7">
      <c r="G111" s="5" t="str">
        <f t="shared" si="29"/>
        <v/>
      </c>
    </row>
    <row r="112" spans="7:7">
      <c r="G112" s="5" t="str">
        <f t="shared" si="29"/>
        <v/>
      </c>
    </row>
    <row r="113" spans="7:7">
      <c r="G113" s="5" t="str">
        <f t="shared" si="29"/>
        <v/>
      </c>
    </row>
    <row r="114" spans="7:7">
      <c r="G114" s="5" t="str">
        <f t="shared" si="29"/>
        <v/>
      </c>
    </row>
    <row r="115" spans="7:7">
      <c r="G115" s="5" t="str">
        <f t="shared" si="29"/>
        <v/>
      </c>
    </row>
    <row r="116" spans="7:7">
      <c r="G116" s="5" t="str">
        <f t="shared" si="29"/>
        <v/>
      </c>
    </row>
    <row r="117" spans="7:7">
      <c r="G117" s="5" t="str">
        <f t="shared" si="29"/>
        <v/>
      </c>
    </row>
    <row r="118" spans="7:7">
      <c r="G118" s="5" t="str">
        <f t="shared" si="29"/>
        <v/>
      </c>
    </row>
    <row r="119" spans="7:7">
      <c r="G119" s="5" t="str">
        <f t="shared" si="29"/>
        <v/>
      </c>
    </row>
    <row r="120" spans="7:7">
      <c r="G120" s="5" t="str">
        <f t="shared" si="29"/>
        <v/>
      </c>
    </row>
    <row r="121" spans="7:7">
      <c r="G121" s="5" t="str">
        <f t="shared" si="29"/>
        <v/>
      </c>
    </row>
    <row r="122" spans="7:7">
      <c r="G122" s="5" t="str">
        <f t="shared" si="29"/>
        <v/>
      </c>
    </row>
    <row r="123" spans="7:7">
      <c r="G123" s="5" t="str">
        <f t="shared" si="29"/>
        <v/>
      </c>
    </row>
    <row r="124" spans="7:7">
      <c r="G124" s="5" t="str">
        <f t="shared" si="29"/>
        <v/>
      </c>
    </row>
    <row r="125" spans="7:7">
      <c r="G125" s="5" t="str">
        <f t="shared" si="29"/>
        <v/>
      </c>
    </row>
    <row r="126" spans="7:7">
      <c r="G126" s="5" t="str">
        <f t="shared" si="29"/>
        <v/>
      </c>
    </row>
    <row r="127" spans="7:7">
      <c r="G127" s="5" t="str">
        <f t="shared" si="29"/>
        <v/>
      </c>
    </row>
    <row r="128" spans="7:7">
      <c r="G128" s="5" t="str">
        <f t="shared" si="29"/>
        <v/>
      </c>
    </row>
    <row r="129" spans="7:7">
      <c r="G129" s="5" t="str">
        <f t="shared" si="29"/>
        <v/>
      </c>
    </row>
    <row r="130" spans="7:7">
      <c r="G130" s="5" t="str">
        <f t="shared" si="29"/>
        <v/>
      </c>
    </row>
    <row r="131" spans="7:7">
      <c r="G131" s="5" t="str">
        <f t="shared" si="29"/>
        <v/>
      </c>
    </row>
    <row r="132" spans="7:7">
      <c r="G132" s="5" t="str">
        <f t="shared" si="29"/>
        <v/>
      </c>
    </row>
    <row r="133" spans="7:7">
      <c r="G133" s="5" t="str">
        <f t="shared" si="29"/>
        <v/>
      </c>
    </row>
    <row r="134" spans="7:7">
      <c r="G134" s="5" t="str">
        <f t="shared" si="29"/>
        <v/>
      </c>
    </row>
    <row r="135" spans="7:7">
      <c r="G135" s="5" t="str">
        <f t="shared" si="29"/>
        <v/>
      </c>
    </row>
    <row r="136" spans="7:7">
      <c r="G136" s="5" t="str">
        <f t="shared" si="29"/>
        <v/>
      </c>
    </row>
    <row r="137" spans="7:7">
      <c r="G137" s="5" t="str">
        <f t="shared" si="29"/>
        <v/>
      </c>
    </row>
    <row r="138" spans="7:7">
      <c r="G138" s="5" t="str">
        <f t="shared" si="29"/>
        <v/>
      </c>
    </row>
    <row r="139" spans="7:7">
      <c r="G139" s="5" t="str">
        <f t="shared" si="29"/>
        <v/>
      </c>
    </row>
    <row r="140" spans="7:7">
      <c r="G140" s="5" t="str">
        <f t="shared" si="29"/>
        <v/>
      </c>
    </row>
    <row r="141" spans="7:7">
      <c r="G141" s="5" t="str">
        <f t="shared" si="29"/>
        <v/>
      </c>
    </row>
    <row r="142" spans="7:7">
      <c r="G142" s="5" t="str">
        <f t="shared" ref="G142:G205" si="30">IF(B142&lt;&gt;"",SUM(C142:F142),"")</f>
        <v/>
      </c>
    </row>
    <row r="143" spans="7:7">
      <c r="G143" s="5" t="str">
        <f t="shared" si="30"/>
        <v/>
      </c>
    </row>
    <row r="144" spans="7:7">
      <c r="G144" s="5" t="str">
        <f t="shared" si="30"/>
        <v/>
      </c>
    </row>
    <row r="145" spans="7:7">
      <c r="G145" s="5" t="str">
        <f t="shared" si="30"/>
        <v/>
      </c>
    </row>
    <row r="146" spans="7:7">
      <c r="G146" s="5" t="str">
        <f t="shared" si="30"/>
        <v/>
      </c>
    </row>
    <row r="147" spans="7:7">
      <c r="G147" s="5" t="str">
        <f t="shared" si="30"/>
        <v/>
      </c>
    </row>
    <row r="148" spans="7:7">
      <c r="G148" s="5" t="str">
        <f t="shared" si="30"/>
        <v/>
      </c>
    </row>
    <row r="149" spans="7:7">
      <c r="G149" s="5" t="str">
        <f t="shared" si="30"/>
        <v/>
      </c>
    </row>
    <row r="150" spans="7:7">
      <c r="G150" s="5" t="str">
        <f t="shared" si="30"/>
        <v/>
      </c>
    </row>
    <row r="151" spans="7:7">
      <c r="G151" s="5" t="str">
        <f t="shared" si="30"/>
        <v/>
      </c>
    </row>
    <row r="152" spans="7:7">
      <c r="G152" s="5" t="str">
        <f t="shared" si="30"/>
        <v/>
      </c>
    </row>
    <row r="153" spans="7:7">
      <c r="G153" s="5" t="str">
        <f t="shared" si="30"/>
        <v/>
      </c>
    </row>
    <row r="154" spans="7:7">
      <c r="G154" s="5" t="str">
        <f t="shared" si="30"/>
        <v/>
      </c>
    </row>
    <row r="155" spans="7:7">
      <c r="G155" s="5" t="str">
        <f t="shared" si="30"/>
        <v/>
      </c>
    </row>
    <row r="156" spans="7:7">
      <c r="G156" s="5" t="str">
        <f t="shared" si="30"/>
        <v/>
      </c>
    </row>
    <row r="157" spans="7:7">
      <c r="G157" s="5" t="str">
        <f t="shared" si="30"/>
        <v/>
      </c>
    </row>
    <row r="158" spans="7:7">
      <c r="G158" s="5" t="str">
        <f t="shared" si="30"/>
        <v/>
      </c>
    </row>
    <row r="159" spans="7:7">
      <c r="G159" s="5" t="str">
        <f t="shared" si="30"/>
        <v/>
      </c>
    </row>
    <row r="160" spans="7:7">
      <c r="G160" s="5" t="str">
        <f t="shared" si="30"/>
        <v/>
      </c>
    </row>
    <row r="161" spans="7:7">
      <c r="G161" s="5" t="str">
        <f t="shared" si="30"/>
        <v/>
      </c>
    </row>
    <row r="162" spans="7:7">
      <c r="G162" s="5" t="str">
        <f t="shared" si="30"/>
        <v/>
      </c>
    </row>
    <row r="163" spans="7:7">
      <c r="G163" s="5" t="str">
        <f t="shared" si="30"/>
        <v/>
      </c>
    </row>
    <row r="164" spans="7:7">
      <c r="G164" s="5" t="str">
        <f t="shared" si="30"/>
        <v/>
      </c>
    </row>
    <row r="165" spans="7:7">
      <c r="G165" s="5" t="str">
        <f t="shared" si="30"/>
        <v/>
      </c>
    </row>
    <row r="166" spans="7:7">
      <c r="G166" s="5" t="str">
        <f t="shared" si="30"/>
        <v/>
      </c>
    </row>
    <row r="167" spans="7:7">
      <c r="G167" s="5" t="str">
        <f t="shared" si="30"/>
        <v/>
      </c>
    </row>
    <row r="168" spans="7:7">
      <c r="G168" s="5" t="str">
        <f t="shared" si="30"/>
        <v/>
      </c>
    </row>
    <row r="169" spans="7:7">
      <c r="G169" s="5" t="str">
        <f t="shared" si="30"/>
        <v/>
      </c>
    </row>
    <row r="170" spans="7:7">
      <c r="G170" s="5" t="str">
        <f t="shared" si="30"/>
        <v/>
      </c>
    </row>
    <row r="171" spans="7:7">
      <c r="G171" s="5" t="str">
        <f t="shared" si="30"/>
        <v/>
      </c>
    </row>
    <row r="172" spans="7:7">
      <c r="G172" s="5" t="str">
        <f t="shared" si="30"/>
        <v/>
      </c>
    </row>
    <row r="173" spans="7:7">
      <c r="G173" s="5" t="str">
        <f t="shared" si="30"/>
        <v/>
      </c>
    </row>
    <row r="174" spans="7:7">
      <c r="G174" s="5" t="str">
        <f t="shared" si="30"/>
        <v/>
      </c>
    </row>
    <row r="175" spans="7:7">
      <c r="G175" s="5" t="str">
        <f t="shared" si="30"/>
        <v/>
      </c>
    </row>
    <row r="176" spans="7:7">
      <c r="G176" s="5" t="str">
        <f t="shared" si="30"/>
        <v/>
      </c>
    </row>
    <row r="177" spans="7:7">
      <c r="G177" s="5" t="str">
        <f t="shared" si="30"/>
        <v/>
      </c>
    </row>
    <row r="178" spans="7:7">
      <c r="G178" s="5" t="str">
        <f t="shared" si="30"/>
        <v/>
      </c>
    </row>
    <row r="179" spans="7:7">
      <c r="G179" s="5" t="str">
        <f t="shared" si="30"/>
        <v/>
      </c>
    </row>
    <row r="180" spans="7:7">
      <c r="G180" s="5" t="str">
        <f t="shared" si="30"/>
        <v/>
      </c>
    </row>
    <row r="181" spans="7:7">
      <c r="G181" s="5" t="str">
        <f t="shared" si="30"/>
        <v/>
      </c>
    </row>
    <row r="182" spans="7:7">
      <c r="G182" s="5" t="str">
        <f t="shared" si="30"/>
        <v/>
      </c>
    </row>
    <row r="183" spans="7:7">
      <c r="G183" s="5" t="str">
        <f t="shared" si="30"/>
        <v/>
      </c>
    </row>
    <row r="184" spans="7:7">
      <c r="G184" s="5" t="str">
        <f t="shared" si="30"/>
        <v/>
      </c>
    </row>
    <row r="185" spans="7:7">
      <c r="G185" s="5" t="str">
        <f t="shared" si="30"/>
        <v/>
      </c>
    </row>
    <row r="186" spans="7:7">
      <c r="G186" s="5" t="str">
        <f t="shared" si="30"/>
        <v/>
      </c>
    </row>
    <row r="187" spans="7:7">
      <c r="G187" s="5" t="str">
        <f t="shared" si="30"/>
        <v/>
      </c>
    </row>
    <row r="188" spans="7:7">
      <c r="G188" s="5" t="str">
        <f t="shared" si="30"/>
        <v/>
      </c>
    </row>
    <row r="189" spans="7:7">
      <c r="G189" s="5" t="str">
        <f t="shared" si="30"/>
        <v/>
      </c>
    </row>
    <row r="190" spans="7:7">
      <c r="G190" s="5" t="str">
        <f t="shared" si="30"/>
        <v/>
      </c>
    </row>
    <row r="191" spans="7:7">
      <c r="G191" s="5" t="str">
        <f t="shared" si="30"/>
        <v/>
      </c>
    </row>
    <row r="192" spans="7:7">
      <c r="G192" s="5" t="str">
        <f t="shared" si="30"/>
        <v/>
      </c>
    </row>
    <row r="193" spans="7:7">
      <c r="G193" s="5" t="str">
        <f t="shared" si="30"/>
        <v/>
      </c>
    </row>
    <row r="194" spans="7:7">
      <c r="G194" s="5" t="str">
        <f t="shared" si="30"/>
        <v/>
      </c>
    </row>
    <row r="195" spans="7:7">
      <c r="G195" s="5" t="str">
        <f t="shared" si="30"/>
        <v/>
      </c>
    </row>
    <row r="196" spans="7:7">
      <c r="G196" s="5" t="str">
        <f t="shared" si="30"/>
        <v/>
      </c>
    </row>
    <row r="197" spans="7:7">
      <c r="G197" s="5" t="str">
        <f t="shared" si="30"/>
        <v/>
      </c>
    </row>
    <row r="198" spans="7:7">
      <c r="G198" s="5" t="str">
        <f t="shared" si="30"/>
        <v/>
      </c>
    </row>
    <row r="199" spans="7:7">
      <c r="G199" s="5" t="str">
        <f t="shared" si="30"/>
        <v/>
      </c>
    </row>
    <row r="200" spans="7:7">
      <c r="G200" s="5" t="str">
        <f t="shared" si="30"/>
        <v/>
      </c>
    </row>
    <row r="201" spans="7:7">
      <c r="G201" s="5" t="str">
        <f t="shared" si="30"/>
        <v/>
      </c>
    </row>
    <row r="202" spans="7:7">
      <c r="G202" s="5" t="str">
        <f t="shared" si="30"/>
        <v/>
      </c>
    </row>
    <row r="203" spans="7:7">
      <c r="G203" s="5" t="str">
        <f t="shared" si="30"/>
        <v/>
      </c>
    </row>
    <row r="204" spans="7:7">
      <c r="G204" s="5" t="str">
        <f t="shared" si="30"/>
        <v/>
      </c>
    </row>
    <row r="205" spans="7:7">
      <c r="G205" s="5" t="str">
        <f t="shared" si="30"/>
        <v/>
      </c>
    </row>
    <row r="206" spans="7:7">
      <c r="G206" s="5" t="str">
        <f t="shared" ref="G206:G269" si="31">IF(B206&lt;&gt;"",SUM(C206:F206),"")</f>
        <v/>
      </c>
    </row>
    <row r="207" spans="7:7">
      <c r="G207" s="5" t="str">
        <f t="shared" si="31"/>
        <v/>
      </c>
    </row>
    <row r="208" spans="7:7">
      <c r="G208" s="5" t="str">
        <f t="shared" si="31"/>
        <v/>
      </c>
    </row>
    <row r="209" spans="7:7">
      <c r="G209" s="5" t="str">
        <f t="shared" si="31"/>
        <v/>
      </c>
    </row>
    <row r="210" spans="7:7">
      <c r="G210" s="5" t="str">
        <f t="shared" si="31"/>
        <v/>
      </c>
    </row>
    <row r="211" spans="7:7">
      <c r="G211" s="5" t="str">
        <f t="shared" si="31"/>
        <v/>
      </c>
    </row>
    <row r="212" spans="7:7">
      <c r="G212" s="5" t="str">
        <f t="shared" si="31"/>
        <v/>
      </c>
    </row>
    <row r="213" spans="7:7">
      <c r="G213" s="5" t="str">
        <f t="shared" si="31"/>
        <v/>
      </c>
    </row>
    <row r="214" spans="7:7">
      <c r="G214" s="5" t="str">
        <f t="shared" si="31"/>
        <v/>
      </c>
    </row>
    <row r="215" spans="7:7">
      <c r="G215" s="5" t="str">
        <f t="shared" si="31"/>
        <v/>
      </c>
    </row>
    <row r="216" spans="7:7">
      <c r="G216" s="5" t="str">
        <f t="shared" si="31"/>
        <v/>
      </c>
    </row>
    <row r="217" spans="7:7">
      <c r="G217" s="5" t="str">
        <f t="shared" si="31"/>
        <v/>
      </c>
    </row>
    <row r="218" spans="7:7">
      <c r="G218" s="5" t="str">
        <f t="shared" si="31"/>
        <v/>
      </c>
    </row>
    <row r="219" spans="7:7">
      <c r="G219" s="5" t="str">
        <f t="shared" si="31"/>
        <v/>
      </c>
    </row>
    <row r="220" spans="7:7">
      <c r="G220" s="5" t="str">
        <f t="shared" si="31"/>
        <v/>
      </c>
    </row>
    <row r="221" spans="7:7">
      <c r="G221" s="5" t="str">
        <f t="shared" si="31"/>
        <v/>
      </c>
    </row>
    <row r="222" spans="7:7">
      <c r="G222" s="5" t="str">
        <f t="shared" si="31"/>
        <v/>
      </c>
    </row>
    <row r="223" spans="7:7">
      <c r="G223" s="5" t="str">
        <f t="shared" si="31"/>
        <v/>
      </c>
    </row>
    <row r="224" spans="7:7">
      <c r="G224" s="5" t="str">
        <f t="shared" si="31"/>
        <v/>
      </c>
    </row>
    <row r="225" spans="7:7">
      <c r="G225" s="5" t="str">
        <f t="shared" si="31"/>
        <v/>
      </c>
    </row>
    <row r="226" spans="7:7">
      <c r="G226" s="5" t="str">
        <f t="shared" si="31"/>
        <v/>
      </c>
    </row>
    <row r="227" spans="7:7">
      <c r="G227" s="5" t="str">
        <f t="shared" si="31"/>
        <v/>
      </c>
    </row>
    <row r="228" spans="7:7">
      <c r="G228" s="5" t="str">
        <f t="shared" si="31"/>
        <v/>
      </c>
    </row>
    <row r="229" spans="7:7">
      <c r="G229" s="5" t="str">
        <f t="shared" si="31"/>
        <v/>
      </c>
    </row>
    <row r="230" spans="7:7">
      <c r="G230" s="5" t="str">
        <f t="shared" si="31"/>
        <v/>
      </c>
    </row>
    <row r="231" spans="7:7">
      <c r="G231" s="5" t="str">
        <f t="shared" si="31"/>
        <v/>
      </c>
    </row>
    <row r="232" spans="7:7">
      <c r="G232" s="5" t="str">
        <f t="shared" si="31"/>
        <v/>
      </c>
    </row>
    <row r="233" spans="7:7">
      <c r="G233" s="5" t="str">
        <f t="shared" si="31"/>
        <v/>
      </c>
    </row>
    <row r="234" spans="7:7">
      <c r="G234" s="5" t="str">
        <f t="shared" si="31"/>
        <v/>
      </c>
    </row>
    <row r="235" spans="7:7">
      <c r="G235" s="5" t="str">
        <f t="shared" si="31"/>
        <v/>
      </c>
    </row>
    <row r="236" spans="7:7">
      <c r="G236" s="5" t="str">
        <f t="shared" si="31"/>
        <v/>
      </c>
    </row>
    <row r="237" spans="7:7">
      <c r="G237" s="5" t="str">
        <f t="shared" si="31"/>
        <v/>
      </c>
    </row>
    <row r="238" spans="7:7">
      <c r="G238" s="5" t="str">
        <f t="shared" si="31"/>
        <v/>
      </c>
    </row>
    <row r="239" spans="7:7">
      <c r="G239" s="5" t="str">
        <f t="shared" si="31"/>
        <v/>
      </c>
    </row>
    <row r="240" spans="7:7">
      <c r="G240" s="5" t="str">
        <f t="shared" si="31"/>
        <v/>
      </c>
    </row>
    <row r="241" spans="7:7">
      <c r="G241" s="5" t="str">
        <f t="shared" si="31"/>
        <v/>
      </c>
    </row>
    <row r="242" spans="7:7">
      <c r="G242" s="5" t="str">
        <f t="shared" si="31"/>
        <v/>
      </c>
    </row>
    <row r="243" spans="7:7">
      <c r="G243" s="5" t="str">
        <f t="shared" si="31"/>
        <v/>
      </c>
    </row>
    <row r="244" spans="7:7">
      <c r="G244" s="5" t="str">
        <f t="shared" si="31"/>
        <v/>
      </c>
    </row>
    <row r="245" spans="7:7">
      <c r="G245" s="5" t="str">
        <f t="shared" si="31"/>
        <v/>
      </c>
    </row>
    <row r="246" spans="7:7">
      <c r="G246" s="5" t="str">
        <f t="shared" si="31"/>
        <v/>
      </c>
    </row>
    <row r="247" spans="7:7">
      <c r="G247" s="5" t="str">
        <f t="shared" si="31"/>
        <v/>
      </c>
    </row>
    <row r="248" spans="7:7">
      <c r="G248" s="5" t="str">
        <f t="shared" si="31"/>
        <v/>
      </c>
    </row>
    <row r="249" spans="7:7">
      <c r="G249" s="5" t="str">
        <f t="shared" si="31"/>
        <v/>
      </c>
    </row>
    <row r="250" spans="7:7">
      <c r="G250" s="5" t="str">
        <f t="shared" si="31"/>
        <v/>
      </c>
    </row>
    <row r="251" spans="7:7">
      <c r="G251" s="5" t="str">
        <f t="shared" si="31"/>
        <v/>
      </c>
    </row>
    <row r="252" spans="7:7">
      <c r="G252" s="5" t="str">
        <f t="shared" si="31"/>
        <v/>
      </c>
    </row>
    <row r="253" spans="7:7">
      <c r="G253" s="5" t="str">
        <f t="shared" si="31"/>
        <v/>
      </c>
    </row>
    <row r="254" spans="7:7">
      <c r="G254" s="5" t="str">
        <f t="shared" si="31"/>
        <v/>
      </c>
    </row>
    <row r="255" spans="7:7">
      <c r="G255" s="5" t="str">
        <f t="shared" si="31"/>
        <v/>
      </c>
    </row>
    <row r="256" spans="7:7">
      <c r="G256" s="5" t="str">
        <f t="shared" si="31"/>
        <v/>
      </c>
    </row>
    <row r="257" spans="7:7">
      <c r="G257" s="5" t="str">
        <f t="shared" si="31"/>
        <v/>
      </c>
    </row>
    <row r="258" spans="7:7">
      <c r="G258" s="5" t="str">
        <f t="shared" si="31"/>
        <v/>
      </c>
    </row>
    <row r="259" spans="7:7">
      <c r="G259" s="5" t="str">
        <f t="shared" si="31"/>
        <v/>
      </c>
    </row>
    <row r="260" spans="7:7">
      <c r="G260" s="5" t="str">
        <f t="shared" si="31"/>
        <v/>
      </c>
    </row>
    <row r="261" spans="7:7">
      <c r="G261" s="5" t="str">
        <f t="shared" si="31"/>
        <v/>
      </c>
    </row>
    <row r="262" spans="7:7">
      <c r="G262" s="5" t="str">
        <f t="shared" si="31"/>
        <v/>
      </c>
    </row>
    <row r="263" spans="7:7">
      <c r="G263" s="5" t="str">
        <f t="shared" si="31"/>
        <v/>
      </c>
    </row>
    <row r="264" spans="7:7">
      <c r="G264" s="5" t="str">
        <f t="shared" si="31"/>
        <v/>
      </c>
    </row>
    <row r="265" spans="7:7">
      <c r="G265" s="5" t="str">
        <f t="shared" si="31"/>
        <v/>
      </c>
    </row>
    <row r="266" spans="7:7">
      <c r="G266" s="5" t="str">
        <f t="shared" si="31"/>
        <v/>
      </c>
    </row>
    <row r="267" spans="7:7">
      <c r="G267" s="5" t="str">
        <f t="shared" si="31"/>
        <v/>
      </c>
    </row>
    <row r="268" spans="7:7">
      <c r="G268" s="5" t="str">
        <f t="shared" si="31"/>
        <v/>
      </c>
    </row>
    <row r="269" spans="7:7">
      <c r="G269" s="5" t="str">
        <f t="shared" si="31"/>
        <v/>
      </c>
    </row>
    <row r="270" spans="7:7">
      <c r="G270" s="5" t="str">
        <f t="shared" ref="G270:G333" si="32">IF(B270&lt;&gt;"",SUM(C270:F270),"")</f>
        <v/>
      </c>
    </row>
    <row r="271" spans="7:7">
      <c r="G271" s="5" t="str">
        <f t="shared" si="32"/>
        <v/>
      </c>
    </row>
    <row r="272" spans="7:7">
      <c r="G272" s="5" t="str">
        <f t="shared" si="32"/>
        <v/>
      </c>
    </row>
    <row r="273" spans="7:7">
      <c r="G273" s="5" t="str">
        <f t="shared" si="32"/>
        <v/>
      </c>
    </row>
    <row r="274" spans="7:7">
      <c r="G274" s="5" t="str">
        <f t="shared" si="32"/>
        <v/>
      </c>
    </row>
    <row r="275" spans="7:7">
      <c r="G275" s="5" t="str">
        <f t="shared" si="32"/>
        <v/>
      </c>
    </row>
    <row r="276" spans="7:7">
      <c r="G276" s="5" t="str">
        <f t="shared" si="32"/>
        <v/>
      </c>
    </row>
    <row r="277" spans="7:7">
      <c r="G277" s="5" t="str">
        <f t="shared" si="32"/>
        <v/>
      </c>
    </row>
    <row r="278" spans="7:7">
      <c r="G278" s="5" t="str">
        <f t="shared" si="32"/>
        <v/>
      </c>
    </row>
    <row r="279" spans="7:7">
      <c r="G279" s="5" t="str">
        <f t="shared" si="32"/>
        <v/>
      </c>
    </row>
    <row r="280" spans="7:7">
      <c r="G280" s="5" t="str">
        <f t="shared" si="32"/>
        <v/>
      </c>
    </row>
    <row r="281" spans="7:7">
      <c r="G281" s="5" t="str">
        <f t="shared" si="32"/>
        <v/>
      </c>
    </row>
    <row r="282" spans="7:7">
      <c r="G282" s="5" t="str">
        <f t="shared" si="32"/>
        <v/>
      </c>
    </row>
    <row r="283" spans="7:7">
      <c r="G283" s="5" t="str">
        <f t="shared" si="32"/>
        <v/>
      </c>
    </row>
    <row r="284" spans="7:7">
      <c r="G284" s="5" t="str">
        <f t="shared" si="32"/>
        <v/>
      </c>
    </row>
    <row r="285" spans="7:7">
      <c r="G285" s="5" t="str">
        <f t="shared" si="32"/>
        <v/>
      </c>
    </row>
    <row r="286" spans="7:7">
      <c r="G286" s="5" t="str">
        <f t="shared" si="32"/>
        <v/>
      </c>
    </row>
    <row r="287" spans="7:7">
      <c r="G287" s="5" t="str">
        <f t="shared" si="32"/>
        <v/>
      </c>
    </row>
    <row r="288" spans="7:7">
      <c r="G288" s="5" t="str">
        <f t="shared" si="32"/>
        <v/>
      </c>
    </row>
    <row r="289" spans="7:7">
      <c r="G289" s="5" t="str">
        <f t="shared" si="32"/>
        <v/>
      </c>
    </row>
    <row r="290" spans="7:7">
      <c r="G290" s="5" t="str">
        <f t="shared" si="32"/>
        <v/>
      </c>
    </row>
    <row r="291" spans="7:7">
      <c r="G291" s="5" t="str">
        <f t="shared" si="32"/>
        <v/>
      </c>
    </row>
    <row r="292" spans="7:7">
      <c r="G292" s="5" t="str">
        <f t="shared" si="32"/>
        <v/>
      </c>
    </row>
    <row r="293" spans="7:7">
      <c r="G293" s="5" t="str">
        <f t="shared" si="32"/>
        <v/>
      </c>
    </row>
    <row r="294" spans="7:7">
      <c r="G294" s="5" t="str">
        <f t="shared" si="32"/>
        <v/>
      </c>
    </row>
    <row r="295" spans="7:7">
      <c r="G295" s="5" t="str">
        <f t="shared" si="32"/>
        <v/>
      </c>
    </row>
    <row r="296" spans="7:7">
      <c r="G296" s="5" t="str">
        <f t="shared" si="32"/>
        <v/>
      </c>
    </row>
    <row r="297" spans="7:7">
      <c r="G297" s="5" t="str">
        <f t="shared" si="32"/>
        <v/>
      </c>
    </row>
    <row r="298" spans="7:7">
      <c r="G298" s="5" t="str">
        <f t="shared" si="32"/>
        <v/>
      </c>
    </row>
    <row r="299" spans="7:7">
      <c r="G299" s="5" t="str">
        <f t="shared" si="32"/>
        <v/>
      </c>
    </row>
    <row r="300" spans="7:7">
      <c r="G300" s="5" t="str">
        <f t="shared" si="32"/>
        <v/>
      </c>
    </row>
    <row r="301" spans="7:7">
      <c r="G301" s="5" t="str">
        <f t="shared" si="32"/>
        <v/>
      </c>
    </row>
    <row r="302" spans="7:7">
      <c r="G302" s="5" t="str">
        <f t="shared" si="32"/>
        <v/>
      </c>
    </row>
    <row r="303" spans="7:7">
      <c r="G303" s="5" t="str">
        <f t="shared" si="32"/>
        <v/>
      </c>
    </row>
    <row r="304" spans="7:7">
      <c r="G304" s="5" t="str">
        <f t="shared" si="32"/>
        <v/>
      </c>
    </row>
    <row r="305" spans="7:7">
      <c r="G305" s="5" t="str">
        <f t="shared" si="32"/>
        <v/>
      </c>
    </row>
    <row r="306" spans="7:7">
      <c r="G306" s="5" t="str">
        <f t="shared" si="32"/>
        <v/>
      </c>
    </row>
    <row r="307" spans="7:7">
      <c r="G307" s="5" t="str">
        <f t="shared" si="32"/>
        <v/>
      </c>
    </row>
    <row r="308" spans="7:7">
      <c r="G308" s="5" t="str">
        <f t="shared" si="32"/>
        <v/>
      </c>
    </row>
    <row r="309" spans="7:7">
      <c r="G309" s="5" t="str">
        <f t="shared" si="32"/>
        <v/>
      </c>
    </row>
    <row r="310" spans="7:7">
      <c r="G310" s="5" t="str">
        <f t="shared" si="32"/>
        <v/>
      </c>
    </row>
    <row r="311" spans="7:7">
      <c r="G311" s="5" t="str">
        <f t="shared" si="32"/>
        <v/>
      </c>
    </row>
    <row r="312" spans="7:7">
      <c r="G312" s="5" t="str">
        <f t="shared" si="32"/>
        <v/>
      </c>
    </row>
    <row r="313" spans="7:7">
      <c r="G313" s="5" t="str">
        <f t="shared" si="32"/>
        <v/>
      </c>
    </row>
    <row r="314" spans="7:7">
      <c r="G314" s="5" t="str">
        <f t="shared" si="32"/>
        <v/>
      </c>
    </row>
    <row r="315" spans="7:7">
      <c r="G315" s="5" t="str">
        <f t="shared" si="32"/>
        <v/>
      </c>
    </row>
    <row r="316" spans="7:7">
      <c r="G316" s="5" t="str">
        <f t="shared" si="32"/>
        <v/>
      </c>
    </row>
    <row r="317" spans="7:7">
      <c r="G317" s="5" t="str">
        <f t="shared" si="32"/>
        <v/>
      </c>
    </row>
    <row r="318" spans="7:7">
      <c r="G318" s="5" t="str">
        <f t="shared" si="32"/>
        <v/>
      </c>
    </row>
    <row r="319" spans="7:7">
      <c r="G319" s="5" t="str">
        <f t="shared" si="32"/>
        <v/>
      </c>
    </row>
    <row r="320" spans="7:7">
      <c r="G320" s="5" t="str">
        <f t="shared" si="32"/>
        <v/>
      </c>
    </row>
    <row r="321" spans="7:7">
      <c r="G321" s="5" t="str">
        <f t="shared" si="32"/>
        <v/>
      </c>
    </row>
    <row r="322" spans="7:7">
      <c r="G322" s="5" t="str">
        <f t="shared" si="32"/>
        <v/>
      </c>
    </row>
    <row r="323" spans="7:7">
      <c r="G323" s="5" t="str">
        <f t="shared" si="32"/>
        <v/>
      </c>
    </row>
    <row r="324" spans="7:7">
      <c r="G324" s="5" t="str">
        <f t="shared" si="32"/>
        <v/>
      </c>
    </row>
    <row r="325" spans="7:7">
      <c r="G325" s="5" t="str">
        <f t="shared" si="32"/>
        <v/>
      </c>
    </row>
    <row r="326" spans="7:7">
      <c r="G326" s="5" t="str">
        <f t="shared" si="32"/>
        <v/>
      </c>
    </row>
    <row r="327" spans="7:7">
      <c r="G327" s="5" t="str">
        <f t="shared" si="32"/>
        <v/>
      </c>
    </row>
    <row r="328" spans="7:7">
      <c r="G328" s="5" t="str">
        <f t="shared" si="32"/>
        <v/>
      </c>
    </row>
    <row r="329" spans="7:7">
      <c r="G329" s="5" t="str">
        <f t="shared" si="32"/>
        <v/>
      </c>
    </row>
    <row r="330" spans="7:7">
      <c r="G330" s="5" t="str">
        <f t="shared" si="32"/>
        <v/>
      </c>
    </row>
    <row r="331" spans="7:7">
      <c r="G331" s="5" t="str">
        <f t="shared" si="32"/>
        <v/>
      </c>
    </row>
    <row r="332" spans="7:7">
      <c r="G332" s="5" t="str">
        <f t="shared" si="32"/>
        <v/>
      </c>
    </row>
    <row r="333" spans="7:7">
      <c r="G333" s="5" t="str">
        <f t="shared" si="32"/>
        <v/>
      </c>
    </row>
    <row r="334" spans="7:7">
      <c r="G334" s="5" t="str">
        <f t="shared" ref="G334:G397" si="33">IF(B334&lt;&gt;"",SUM(C334:F334),"")</f>
        <v/>
      </c>
    </row>
    <row r="335" spans="7:7">
      <c r="G335" s="5" t="str">
        <f t="shared" si="33"/>
        <v/>
      </c>
    </row>
    <row r="336" spans="7:7">
      <c r="G336" s="5" t="str">
        <f t="shared" si="33"/>
        <v/>
      </c>
    </row>
    <row r="337" spans="7:7">
      <c r="G337" s="5" t="str">
        <f t="shared" si="33"/>
        <v/>
      </c>
    </row>
    <row r="338" spans="7:7">
      <c r="G338" s="5" t="str">
        <f t="shared" si="33"/>
        <v/>
      </c>
    </row>
    <row r="339" spans="7:7">
      <c r="G339" s="5" t="str">
        <f t="shared" si="33"/>
        <v/>
      </c>
    </row>
    <row r="340" spans="7:7">
      <c r="G340" s="5" t="str">
        <f t="shared" si="33"/>
        <v/>
      </c>
    </row>
    <row r="341" spans="7:7">
      <c r="G341" s="5" t="str">
        <f t="shared" si="33"/>
        <v/>
      </c>
    </row>
    <row r="342" spans="7:7">
      <c r="G342" s="5" t="str">
        <f t="shared" si="33"/>
        <v/>
      </c>
    </row>
    <row r="343" spans="7:7">
      <c r="G343" s="5" t="str">
        <f t="shared" si="33"/>
        <v/>
      </c>
    </row>
    <row r="344" spans="7:7">
      <c r="G344" s="5" t="str">
        <f t="shared" si="33"/>
        <v/>
      </c>
    </row>
    <row r="345" spans="7:7">
      <c r="G345" s="5" t="str">
        <f t="shared" si="33"/>
        <v/>
      </c>
    </row>
    <row r="346" spans="7:7">
      <c r="G346" s="5" t="str">
        <f t="shared" si="33"/>
        <v/>
      </c>
    </row>
    <row r="347" spans="7:7">
      <c r="G347" s="5" t="str">
        <f t="shared" si="33"/>
        <v/>
      </c>
    </row>
    <row r="348" spans="7:7">
      <c r="G348" s="5" t="str">
        <f t="shared" si="33"/>
        <v/>
      </c>
    </row>
    <row r="349" spans="7:7">
      <c r="G349" s="5" t="str">
        <f t="shared" si="33"/>
        <v/>
      </c>
    </row>
    <row r="350" spans="7:7">
      <c r="G350" s="5" t="str">
        <f t="shared" si="33"/>
        <v/>
      </c>
    </row>
    <row r="351" spans="7:7">
      <c r="G351" s="5" t="str">
        <f t="shared" si="33"/>
        <v/>
      </c>
    </row>
    <row r="352" spans="7:7">
      <c r="G352" s="5" t="str">
        <f t="shared" si="33"/>
        <v/>
      </c>
    </row>
    <row r="353" spans="7:7">
      <c r="G353" s="5" t="str">
        <f t="shared" si="33"/>
        <v/>
      </c>
    </row>
    <row r="354" spans="7:7">
      <c r="G354" s="5" t="str">
        <f t="shared" si="33"/>
        <v/>
      </c>
    </row>
    <row r="355" spans="7:7">
      <c r="G355" s="5" t="str">
        <f t="shared" si="33"/>
        <v/>
      </c>
    </row>
    <row r="356" spans="7:7">
      <c r="G356" s="5" t="str">
        <f t="shared" si="33"/>
        <v/>
      </c>
    </row>
    <row r="357" spans="7:7">
      <c r="G357" s="5" t="str">
        <f t="shared" si="33"/>
        <v/>
      </c>
    </row>
    <row r="358" spans="7:7">
      <c r="G358" s="5" t="str">
        <f t="shared" si="33"/>
        <v/>
      </c>
    </row>
    <row r="359" spans="7:7">
      <c r="G359" s="5" t="str">
        <f t="shared" si="33"/>
        <v/>
      </c>
    </row>
    <row r="360" spans="7:7">
      <c r="G360" s="5" t="str">
        <f t="shared" si="33"/>
        <v/>
      </c>
    </row>
    <row r="361" spans="7:7">
      <c r="G361" s="5" t="str">
        <f t="shared" si="33"/>
        <v/>
      </c>
    </row>
    <row r="362" spans="7:7">
      <c r="G362" s="5" t="str">
        <f t="shared" si="33"/>
        <v/>
      </c>
    </row>
    <row r="363" spans="7:7">
      <c r="G363" s="5" t="str">
        <f t="shared" si="33"/>
        <v/>
      </c>
    </row>
    <row r="364" spans="7:7">
      <c r="G364" s="5" t="str">
        <f t="shared" si="33"/>
        <v/>
      </c>
    </row>
    <row r="365" spans="7:7">
      <c r="G365" s="5" t="str">
        <f t="shared" si="33"/>
        <v/>
      </c>
    </row>
    <row r="366" spans="7:7">
      <c r="G366" s="5" t="str">
        <f t="shared" si="33"/>
        <v/>
      </c>
    </row>
    <row r="367" spans="7:7">
      <c r="G367" s="5" t="str">
        <f t="shared" si="33"/>
        <v/>
      </c>
    </row>
    <row r="368" spans="7:7">
      <c r="G368" s="5" t="str">
        <f t="shared" si="33"/>
        <v/>
      </c>
    </row>
    <row r="369" spans="7:7">
      <c r="G369" s="5" t="str">
        <f t="shared" si="33"/>
        <v/>
      </c>
    </row>
    <row r="370" spans="7:7">
      <c r="G370" s="5" t="str">
        <f t="shared" si="33"/>
        <v/>
      </c>
    </row>
    <row r="371" spans="7:7">
      <c r="G371" s="5" t="str">
        <f t="shared" si="33"/>
        <v/>
      </c>
    </row>
    <row r="372" spans="7:7">
      <c r="G372" s="5" t="str">
        <f t="shared" si="33"/>
        <v/>
      </c>
    </row>
    <row r="373" spans="7:7">
      <c r="G373" s="5" t="str">
        <f t="shared" si="33"/>
        <v/>
      </c>
    </row>
    <row r="374" spans="7:7">
      <c r="G374" s="5" t="str">
        <f t="shared" si="33"/>
        <v/>
      </c>
    </row>
    <row r="375" spans="7:7">
      <c r="G375" s="5" t="str">
        <f t="shared" si="33"/>
        <v/>
      </c>
    </row>
    <row r="376" spans="7:7">
      <c r="G376" s="5" t="str">
        <f t="shared" si="33"/>
        <v/>
      </c>
    </row>
    <row r="377" spans="7:7">
      <c r="G377" s="5" t="str">
        <f t="shared" si="33"/>
        <v/>
      </c>
    </row>
    <row r="378" spans="7:7">
      <c r="G378" s="5" t="str">
        <f t="shared" si="33"/>
        <v/>
      </c>
    </row>
    <row r="379" spans="7:7">
      <c r="G379" s="5" t="str">
        <f t="shared" si="33"/>
        <v/>
      </c>
    </row>
    <row r="380" spans="7:7">
      <c r="G380" s="5" t="str">
        <f t="shared" si="33"/>
        <v/>
      </c>
    </row>
    <row r="381" spans="7:7">
      <c r="G381" s="5" t="str">
        <f t="shared" si="33"/>
        <v/>
      </c>
    </row>
    <row r="382" spans="7:7">
      <c r="G382" s="5" t="str">
        <f t="shared" si="33"/>
        <v/>
      </c>
    </row>
    <row r="383" spans="7:7">
      <c r="G383" s="5" t="str">
        <f t="shared" si="33"/>
        <v/>
      </c>
    </row>
    <row r="384" spans="7:7">
      <c r="G384" s="5" t="str">
        <f t="shared" si="33"/>
        <v/>
      </c>
    </row>
    <row r="385" spans="7:7">
      <c r="G385" s="5" t="str">
        <f t="shared" si="33"/>
        <v/>
      </c>
    </row>
    <row r="386" spans="7:7">
      <c r="G386" s="5" t="str">
        <f t="shared" si="33"/>
        <v/>
      </c>
    </row>
    <row r="387" spans="7:7">
      <c r="G387" s="5" t="str">
        <f t="shared" si="33"/>
        <v/>
      </c>
    </row>
    <row r="388" spans="7:7">
      <c r="G388" s="5" t="str">
        <f t="shared" si="33"/>
        <v/>
      </c>
    </row>
    <row r="389" spans="7:7">
      <c r="G389" s="5" t="str">
        <f t="shared" si="33"/>
        <v/>
      </c>
    </row>
    <row r="390" spans="7:7">
      <c r="G390" s="5" t="str">
        <f t="shared" si="33"/>
        <v/>
      </c>
    </row>
    <row r="391" spans="7:7">
      <c r="G391" s="5" t="str">
        <f t="shared" si="33"/>
        <v/>
      </c>
    </row>
    <row r="392" spans="7:7">
      <c r="G392" s="5" t="str">
        <f t="shared" si="33"/>
        <v/>
      </c>
    </row>
    <row r="393" spans="7:7">
      <c r="G393" s="5" t="str">
        <f t="shared" si="33"/>
        <v/>
      </c>
    </row>
    <row r="394" spans="7:7">
      <c r="G394" s="5" t="str">
        <f t="shared" si="33"/>
        <v/>
      </c>
    </row>
    <row r="395" spans="7:7">
      <c r="G395" s="5" t="str">
        <f t="shared" si="33"/>
        <v/>
      </c>
    </row>
    <row r="396" spans="7:7">
      <c r="G396" s="5" t="str">
        <f t="shared" si="33"/>
        <v/>
      </c>
    </row>
    <row r="397" spans="7:7">
      <c r="G397" s="5" t="str">
        <f t="shared" si="33"/>
        <v/>
      </c>
    </row>
    <row r="398" spans="7:7">
      <c r="G398" s="5" t="str">
        <f t="shared" ref="G398:G461" si="34">IF(B398&lt;&gt;"",SUM(C398:F398),"")</f>
        <v/>
      </c>
    </row>
    <row r="399" spans="7:7">
      <c r="G399" s="5" t="str">
        <f t="shared" si="34"/>
        <v/>
      </c>
    </row>
    <row r="400" spans="7:7">
      <c r="G400" s="5" t="str">
        <f t="shared" si="34"/>
        <v/>
      </c>
    </row>
    <row r="401" spans="7:7">
      <c r="G401" s="5" t="str">
        <f t="shared" si="34"/>
        <v/>
      </c>
    </row>
    <row r="402" spans="7:7">
      <c r="G402" s="5" t="str">
        <f t="shared" si="34"/>
        <v/>
      </c>
    </row>
    <row r="403" spans="7:7">
      <c r="G403" s="5" t="str">
        <f t="shared" si="34"/>
        <v/>
      </c>
    </row>
    <row r="404" spans="7:7">
      <c r="G404" s="5" t="str">
        <f t="shared" si="34"/>
        <v/>
      </c>
    </row>
    <row r="405" spans="7:7">
      <c r="G405" s="5" t="str">
        <f t="shared" si="34"/>
        <v/>
      </c>
    </row>
    <row r="406" spans="7:7">
      <c r="G406" s="5" t="str">
        <f t="shared" si="34"/>
        <v/>
      </c>
    </row>
    <row r="407" spans="7:7">
      <c r="G407" s="5" t="str">
        <f t="shared" si="34"/>
        <v/>
      </c>
    </row>
    <row r="408" spans="7:7">
      <c r="G408" s="5" t="str">
        <f t="shared" si="34"/>
        <v/>
      </c>
    </row>
    <row r="409" spans="7:7">
      <c r="G409" s="5" t="str">
        <f t="shared" si="34"/>
        <v/>
      </c>
    </row>
    <row r="410" spans="7:7">
      <c r="G410" s="5" t="str">
        <f t="shared" si="34"/>
        <v/>
      </c>
    </row>
    <row r="411" spans="7:7">
      <c r="G411" s="5" t="str">
        <f t="shared" si="34"/>
        <v/>
      </c>
    </row>
    <row r="412" spans="7:7">
      <c r="G412" s="5" t="str">
        <f t="shared" si="34"/>
        <v/>
      </c>
    </row>
    <row r="413" spans="7:7">
      <c r="G413" s="5" t="str">
        <f t="shared" si="34"/>
        <v/>
      </c>
    </row>
    <row r="414" spans="7:7">
      <c r="G414" s="5" t="str">
        <f t="shared" si="34"/>
        <v/>
      </c>
    </row>
    <row r="415" spans="7:7">
      <c r="G415" s="5" t="str">
        <f t="shared" si="34"/>
        <v/>
      </c>
    </row>
    <row r="416" spans="7:7">
      <c r="G416" s="5" t="str">
        <f t="shared" si="34"/>
        <v/>
      </c>
    </row>
    <row r="417" spans="7:7">
      <c r="G417" s="5" t="str">
        <f t="shared" si="34"/>
        <v/>
      </c>
    </row>
    <row r="418" spans="7:7">
      <c r="G418" s="5" t="str">
        <f t="shared" si="34"/>
        <v/>
      </c>
    </row>
    <row r="419" spans="7:7">
      <c r="G419" s="5" t="str">
        <f t="shared" si="34"/>
        <v/>
      </c>
    </row>
    <row r="420" spans="7:7">
      <c r="G420" s="5" t="str">
        <f t="shared" si="34"/>
        <v/>
      </c>
    </row>
    <row r="421" spans="7:7">
      <c r="G421" s="5" t="str">
        <f t="shared" si="34"/>
        <v/>
      </c>
    </row>
    <row r="422" spans="7:7">
      <c r="G422" s="5" t="str">
        <f t="shared" si="34"/>
        <v/>
      </c>
    </row>
    <row r="423" spans="7:7">
      <c r="G423" s="5" t="str">
        <f t="shared" si="34"/>
        <v/>
      </c>
    </row>
    <row r="424" spans="7:7">
      <c r="G424" s="5" t="str">
        <f t="shared" si="34"/>
        <v/>
      </c>
    </row>
    <row r="425" spans="7:7">
      <c r="G425" s="5" t="str">
        <f t="shared" si="34"/>
        <v/>
      </c>
    </row>
    <row r="426" spans="7:7">
      <c r="G426" s="5" t="str">
        <f t="shared" si="34"/>
        <v/>
      </c>
    </row>
    <row r="427" spans="7:7">
      <c r="G427" s="5" t="str">
        <f t="shared" si="34"/>
        <v/>
      </c>
    </row>
    <row r="428" spans="7:7">
      <c r="G428" s="5" t="str">
        <f t="shared" si="34"/>
        <v/>
      </c>
    </row>
    <row r="429" spans="7:7">
      <c r="G429" s="5" t="str">
        <f t="shared" si="34"/>
        <v/>
      </c>
    </row>
    <row r="430" spans="7:7">
      <c r="G430" s="5" t="str">
        <f t="shared" si="34"/>
        <v/>
      </c>
    </row>
    <row r="431" spans="7:7">
      <c r="G431" s="5" t="str">
        <f t="shared" si="34"/>
        <v/>
      </c>
    </row>
    <row r="432" spans="7:7">
      <c r="G432" s="5" t="str">
        <f t="shared" si="34"/>
        <v/>
      </c>
    </row>
    <row r="433" spans="7:7">
      <c r="G433" s="5" t="str">
        <f t="shared" si="34"/>
        <v/>
      </c>
    </row>
    <row r="434" spans="7:7">
      <c r="G434" s="5" t="str">
        <f t="shared" si="34"/>
        <v/>
      </c>
    </row>
    <row r="435" spans="7:7">
      <c r="G435" s="5" t="str">
        <f t="shared" si="34"/>
        <v/>
      </c>
    </row>
    <row r="436" spans="7:7">
      <c r="G436" s="5" t="str">
        <f t="shared" si="34"/>
        <v/>
      </c>
    </row>
    <row r="437" spans="7:7">
      <c r="G437" s="5" t="str">
        <f t="shared" si="34"/>
        <v/>
      </c>
    </row>
    <row r="438" spans="7:7">
      <c r="G438" s="5" t="str">
        <f t="shared" si="34"/>
        <v/>
      </c>
    </row>
    <row r="439" spans="7:7">
      <c r="G439" s="5" t="str">
        <f t="shared" si="34"/>
        <v/>
      </c>
    </row>
    <row r="440" spans="7:7">
      <c r="G440" s="5" t="str">
        <f t="shared" si="34"/>
        <v/>
      </c>
    </row>
    <row r="441" spans="7:7">
      <c r="G441" s="5" t="str">
        <f t="shared" si="34"/>
        <v/>
      </c>
    </row>
    <row r="442" spans="7:7">
      <c r="G442" s="5" t="str">
        <f t="shared" si="34"/>
        <v/>
      </c>
    </row>
    <row r="443" spans="7:7">
      <c r="G443" s="5" t="str">
        <f t="shared" si="34"/>
        <v/>
      </c>
    </row>
    <row r="444" spans="7:7">
      <c r="G444" s="5" t="str">
        <f t="shared" si="34"/>
        <v/>
      </c>
    </row>
    <row r="445" spans="7:7">
      <c r="G445" s="5" t="str">
        <f t="shared" si="34"/>
        <v/>
      </c>
    </row>
    <row r="446" spans="7:7">
      <c r="G446" s="5" t="str">
        <f t="shared" si="34"/>
        <v/>
      </c>
    </row>
    <row r="447" spans="7:7">
      <c r="G447" s="5" t="str">
        <f t="shared" si="34"/>
        <v/>
      </c>
    </row>
    <row r="448" spans="7:7">
      <c r="G448" s="5" t="str">
        <f t="shared" si="34"/>
        <v/>
      </c>
    </row>
    <row r="449" spans="7:7">
      <c r="G449" s="5" t="str">
        <f t="shared" si="34"/>
        <v/>
      </c>
    </row>
    <row r="450" spans="7:7">
      <c r="G450" s="5" t="str">
        <f t="shared" si="34"/>
        <v/>
      </c>
    </row>
    <row r="451" spans="7:7">
      <c r="G451" s="5" t="str">
        <f t="shared" si="34"/>
        <v/>
      </c>
    </row>
    <row r="452" spans="7:7">
      <c r="G452" s="5" t="str">
        <f t="shared" si="34"/>
        <v/>
      </c>
    </row>
    <row r="453" spans="7:7">
      <c r="G453" s="5" t="str">
        <f t="shared" si="34"/>
        <v/>
      </c>
    </row>
    <row r="454" spans="7:7">
      <c r="G454" s="5" t="str">
        <f t="shared" si="34"/>
        <v/>
      </c>
    </row>
    <row r="455" spans="7:7">
      <c r="G455" s="5" t="str">
        <f t="shared" si="34"/>
        <v/>
      </c>
    </row>
    <row r="456" spans="7:7">
      <c r="G456" s="5" t="str">
        <f t="shared" si="34"/>
        <v/>
      </c>
    </row>
    <row r="457" spans="7:7">
      <c r="G457" s="5" t="str">
        <f t="shared" si="34"/>
        <v/>
      </c>
    </row>
    <row r="458" spans="7:7">
      <c r="G458" s="5" t="str">
        <f t="shared" si="34"/>
        <v/>
      </c>
    </row>
    <row r="459" spans="7:7">
      <c r="G459" s="5" t="str">
        <f t="shared" si="34"/>
        <v/>
      </c>
    </row>
    <row r="460" spans="7:7">
      <c r="G460" s="5" t="str">
        <f t="shared" si="34"/>
        <v/>
      </c>
    </row>
    <row r="461" spans="7:7">
      <c r="G461" s="5" t="str">
        <f t="shared" si="34"/>
        <v/>
      </c>
    </row>
    <row r="462" spans="7:7">
      <c r="G462" s="5" t="str">
        <f t="shared" ref="G462:G493" si="35">IF(B462&lt;&gt;"",SUM(C462:F462),"")</f>
        <v/>
      </c>
    </row>
    <row r="463" spans="7:7">
      <c r="G463" s="5" t="str">
        <f t="shared" si="35"/>
        <v/>
      </c>
    </row>
    <row r="464" spans="7:7">
      <c r="G464" s="5" t="str">
        <f t="shared" si="35"/>
        <v/>
      </c>
    </row>
    <row r="465" spans="7:7">
      <c r="G465" s="5" t="str">
        <f t="shared" si="35"/>
        <v/>
      </c>
    </row>
    <row r="466" spans="7:7">
      <c r="G466" s="5" t="str">
        <f t="shared" si="35"/>
        <v/>
      </c>
    </row>
    <row r="467" spans="7:7">
      <c r="G467" s="5" t="str">
        <f t="shared" si="35"/>
        <v/>
      </c>
    </row>
    <row r="468" spans="7:7">
      <c r="G468" s="5" t="str">
        <f t="shared" si="35"/>
        <v/>
      </c>
    </row>
    <row r="469" spans="7:7">
      <c r="G469" s="5" t="str">
        <f t="shared" si="35"/>
        <v/>
      </c>
    </row>
    <row r="470" spans="7:7">
      <c r="G470" s="5" t="str">
        <f t="shared" si="35"/>
        <v/>
      </c>
    </row>
    <row r="471" spans="7:7">
      <c r="G471" s="5" t="str">
        <f t="shared" si="35"/>
        <v/>
      </c>
    </row>
    <row r="472" spans="7:7">
      <c r="G472" s="5" t="str">
        <f t="shared" si="35"/>
        <v/>
      </c>
    </row>
    <row r="473" spans="7:7">
      <c r="G473" s="5" t="str">
        <f t="shared" si="35"/>
        <v/>
      </c>
    </row>
    <row r="474" spans="7:7">
      <c r="G474" s="5" t="str">
        <f t="shared" si="35"/>
        <v/>
      </c>
    </row>
    <row r="475" spans="7:7">
      <c r="G475" s="5" t="str">
        <f t="shared" si="35"/>
        <v/>
      </c>
    </row>
    <row r="476" spans="7:7">
      <c r="G476" s="5" t="str">
        <f t="shared" si="35"/>
        <v/>
      </c>
    </row>
    <row r="477" spans="7:7">
      <c r="G477" s="5" t="str">
        <f t="shared" si="35"/>
        <v/>
      </c>
    </row>
    <row r="478" spans="7:7">
      <c r="G478" s="5" t="str">
        <f t="shared" si="35"/>
        <v/>
      </c>
    </row>
    <row r="479" spans="7:7">
      <c r="G479" s="5" t="str">
        <f t="shared" si="35"/>
        <v/>
      </c>
    </row>
    <row r="480" spans="7:7">
      <c r="G480" s="5" t="str">
        <f t="shared" si="35"/>
        <v/>
      </c>
    </row>
    <row r="481" spans="7:7">
      <c r="G481" s="5" t="str">
        <f t="shared" si="35"/>
        <v/>
      </c>
    </row>
    <row r="482" spans="7:7">
      <c r="G482" s="5" t="str">
        <f t="shared" si="35"/>
        <v/>
      </c>
    </row>
    <row r="483" spans="7:7">
      <c r="G483" s="5" t="str">
        <f t="shared" si="35"/>
        <v/>
      </c>
    </row>
    <row r="484" spans="7:7">
      <c r="G484" s="5" t="str">
        <f t="shared" si="35"/>
        <v/>
      </c>
    </row>
    <row r="485" spans="7:7">
      <c r="G485" s="5" t="str">
        <f t="shared" si="35"/>
        <v/>
      </c>
    </row>
    <row r="486" spans="7:7">
      <c r="G486" s="5" t="str">
        <f t="shared" si="35"/>
        <v/>
      </c>
    </row>
    <row r="487" spans="7:7">
      <c r="G487" s="5" t="str">
        <f t="shared" si="35"/>
        <v/>
      </c>
    </row>
    <row r="488" spans="7:7">
      <c r="G488" s="5" t="str">
        <f t="shared" si="35"/>
        <v/>
      </c>
    </row>
    <row r="489" spans="7:7">
      <c r="G489" s="5" t="str">
        <f t="shared" si="35"/>
        <v/>
      </c>
    </row>
    <row r="490" spans="7:7">
      <c r="G490" s="5" t="str">
        <f t="shared" si="35"/>
        <v/>
      </c>
    </row>
    <row r="491" spans="7:7">
      <c r="G491" s="5" t="str">
        <f t="shared" si="35"/>
        <v/>
      </c>
    </row>
    <row r="492" spans="7:7">
      <c r="G492" s="5" t="str">
        <f t="shared" si="35"/>
        <v/>
      </c>
    </row>
    <row r="493" spans="7:7">
      <c r="G493" s="5" t="str">
        <f t="shared" si="35"/>
        <v/>
      </c>
    </row>
  </sheetData>
  <sheetProtection algorithmName="SHA-512" hashValue="IluaxH+tNaDJXIkYwNWvg1Q6M0Vmd3A3WUTHSwI0XeWdAcLDE9rHbkiy2ahOT0dY0/bThgZb4dRwioRsMWarwQ==" saltValue="MbaGzwkaJm4gDTmjT4+UwA==" spinCount="100000" sheet="1" sort="0" autoFilter="0" pivotTables="0"/>
  <autoFilter ref="H5:H71" xr:uid="{153C6B66-DC1F-49F8-AE07-830AF796BF35}"/>
  <pageMargins left="0.78740157480314965" right="0.78740157480314965" top="0.78740157480314965" bottom="0.78740157480314965" header="0" footer="0"/>
  <pageSetup paperSize="9" scale="89" orientation="landscape" verticalDpi="4294967295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88221-2B78-4980-AA10-A0D6E17E4C14}">
  <sheetPr codeName="Planilha40" filterMode="1">
    <tabColor rgb="FF006600"/>
    <pageSetUpPr fitToPage="1"/>
  </sheetPr>
  <dimension ref="A1:S350"/>
  <sheetViews>
    <sheetView topLeftCell="B1" workbookViewId="0">
      <pane ySplit="5" topLeftCell="A6" activePane="bottomLeft" state="frozen"/>
      <selection pane="bottomLeft" activeCell="B75" sqref="B75"/>
    </sheetView>
  </sheetViews>
  <sheetFormatPr defaultColWidth="9.140625" defaultRowHeight="15.75"/>
  <cols>
    <col min="1" max="1" width="1.42578125" style="1" hidden="1" customWidth="1"/>
    <col min="2" max="2" width="99.5703125" style="3" bestFit="1" customWidth="1"/>
    <col min="3" max="6" width="18" style="15" customWidth="1"/>
    <col min="7" max="7" width="18" style="5" customWidth="1"/>
    <col min="8" max="8" width="18" style="1" customWidth="1"/>
    <col min="9" max="9" width="16" style="1" bestFit="1" customWidth="1"/>
    <col min="10" max="11" width="9.5703125" style="9" customWidth="1"/>
    <col min="12" max="12" width="18.42578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1:19" ht="4.5" customHeight="1">
      <c r="B1" s="1"/>
      <c r="C1" s="4"/>
      <c r="D1" s="4"/>
      <c r="E1" s="4"/>
      <c r="F1" s="4"/>
      <c r="G1" s="4"/>
    </row>
    <row r="2" spans="1:19" ht="59.25" customHeight="1">
      <c r="A2" s="63" t="s">
        <v>44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1:19" ht="4.5" customHeight="1" thickBot="1">
      <c r="B3" s="1"/>
      <c r="C3" s="4"/>
      <c r="D3" s="4"/>
      <c r="E3" s="4"/>
      <c r="F3" s="4"/>
      <c r="G3" s="4"/>
    </row>
    <row r="4" spans="1:19">
      <c r="A4" s="673" t="s">
        <v>6</v>
      </c>
      <c r="B4" s="674"/>
      <c r="C4" s="602"/>
      <c r="D4" s="602"/>
      <c r="E4" s="602"/>
      <c r="F4" s="603"/>
      <c r="G4" s="604"/>
      <c r="H4" s="618"/>
      <c r="I4" s="618" t="s">
        <v>48</v>
      </c>
      <c r="J4" s="619" t="s">
        <v>9</v>
      </c>
      <c r="K4" s="619" t="s">
        <v>9</v>
      </c>
      <c r="L4" s="172">
        <v>4.7619047619047616E-2</v>
      </c>
      <c r="M4" s="624" t="s">
        <v>15</v>
      </c>
      <c r="N4" s="36"/>
      <c r="O4" s="19"/>
      <c r="P4" s="19"/>
      <c r="Q4" s="19"/>
      <c r="R4" s="19"/>
      <c r="S4" s="19"/>
    </row>
    <row r="5" spans="1:19" ht="16.5" thickBot="1">
      <c r="A5" s="572" t="s">
        <v>5</v>
      </c>
      <c r="B5" s="630" t="s">
        <v>2554</v>
      </c>
      <c r="C5" s="620" t="s">
        <v>0</v>
      </c>
      <c r="D5" s="620" t="s">
        <v>12</v>
      </c>
      <c r="E5" s="620" t="s">
        <v>2</v>
      </c>
      <c r="F5" s="620" t="s">
        <v>3</v>
      </c>
      <c r="G5" s="621" t="s">
        <v>1</v>
      </c>
      <c r="H5" s="622" t="s">
        <v>4</v>
      </c>
      <c r="I5" s="622" t="s">
        <v>7</v>
      </c>
      <c r="J5" s="623" t="s">
        <v>8</v>
      </c>
      <c r="K5" s="623" t="s">
        <v>10</v>
      </c>
      <c r="L5" s="426" t="s">
        <v>11</v>
      </c>
      <c r="M5" s="62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1:19" ht="15.75" hidden="1" customHeight="1">
      <c r="A6" s="416"/>
      <c r="B6" s="556" t="s">
        <v>2331</v>
      </c>
      <c r="C6" s="106"/>
      <c r="D6" s="38"/>
      <c r="E6" s="38"/>
      <c r="F6" s="39"/>
      <c r="G6" s="40"/>
      <c r="H6" s="23">
        <f>SUM(C6:G6)</f>
        <v>0</v>
      </c>
      <c r="I6" s="432">
        <f t="shared" ref="I6:I12" si="0">L6-(L6*J6)</f>
        <v>17.271910563599999</v>
      </c>
      <c r="J6" s="16"/>
      <c r="K6" s="557"/>
      <c r="L6" s="417">
        <v>17.271910563599999</v>
      </c>
      <c r="M6" s="31"/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0</v>
      </c>
      <c r="R6" s="27">
        <f t="shared" ref="R6" si="5">I6*G6</f>
        <v>0</v>
      </c>
      <c r="S6" s="28">
        <f>SUM(N6:R6)</f>
        <v>0</v>
      </c>
    </row>
    <row r="7" spans="1:19" ht="15.75" hidden="1" customHeight="1">
      <c r="A7" s="416"/>
      <c r="B7" s="556" t="s">
        <v>2332</v>
      </c>
      <c r="C7" s="107"/>
      <c r="D7" s="13"/>
      <c r="E7" s="13"/>
      <c r="F7" s="14"/>
      <c r="G7" s="8"/>
      <c r="H7" s="24">
        <f t="shared" ref="H7:H12" si="6">SUM(C7:G7)</f>
        <v>0</v>
      </c>
      <c r="I7" s="433">
        <f t="shared" si="0"/>
        <v>6.2859124999999985</v>
      </c>
      <c r="J7" s="10"/>
      <c r="K7" s="557"/>
      <c r="L7" s="417">
        <v>6.2859124999999985</v>
      </c>
      <c r="M7" s="32"/>
      <c r="N7" s="25">
        <f t="shared" ref="N7:N70" si="7">I7*C7</f>
        <v>0</v>
      </c>
      <c r="O7" s="25">
        <f t="shared" ref="O7:O70" si="8">I7*D7</f>
        <v>0</v>
      </c>
      <c r="P7" s="25">
        <f t="shared" ref="P7:P70" si="9">I7*E7</f>
        <v>0</v>
      </c>
      <c r="Q7" s="26">
        <f t="shared" ref="Q7:Q70" si="10">I7*F7</f>
        <v>0</v>
      </c>
      <c r="R7" s="27">
        <f t="shared" ref="R7:R70" si="11">I7*G7</f>
        <v>0</v>
      </c>
      <c r="S7" s="28">
        <f t="shared" ref="S7:S70" si="12">SUM(N7:R7)</f>
        <v>0</v>
      </c>
    </row>
    <row r="8" spans="1:19" ht="15.75" hidden="1" customHeight="1">
      <c r="A8" s="416"/>
      <c r="B8" s="556" t="s">
        <v>2333</v>
      </c>
      <c r="C8" s="107"/>
      <c r="D8" s="13"/>
      <c r="E8" s="13"/>
      <c r="F8" s="14"/>
      <c r="G8" s="8"/>
      <c r="H8" s="24">
        <f t="shared" si="6"/>
        <v>0</v>
      </c>
      <c r="I8" s="433">
        <f t="shared" si="0"/>
        <v>6.2859124999999985</v>
      </c>
      <c r="J8" s="10"/>
      <c r="K8" s="557"/>
      <c r="L8" s="417">
        <v>6.2859124999999985</v>
      </c>
      <c r="M8" s="32"/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1:19" ht="15.75" hidden="1" customHeight="1">
      <c r="A9" s="416"/>
      <c r="B9" s="556" t="s">
        <v>2334</v>
      </c>
      <c r="C9" s="107"/>
      <c r="D9" s="13"/>
      <c r="E9" s="13"/>
      <c r="F9" s="14"/>
      <c r="G9" s="8"/>
      <c r="H9" s="24">
        <f t="shared" si="6"/>
        <v>0</v>
      </c>
      <c r="I9" s="433">
        <f t="shared" si="0"/>
        <v>85.039696674799956</v>
      </c>
      <c r="J9" s="10"/>
      <c r="K9" s="557"/>
      <c r="L9" s="417">
        <v>85.039696674799956</v>
      </c>
      <c r="M9" s="32"/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</row>
    <row r="10" spans="1:19" ht="15.75" hidden="1" customHeight="1">
      <c r="A10" s="416"/>
      <c r="B10" s="556" t="s">
        <v>2335</v>
      </c>
      <c r="C10" s="107"/>
      <c r="D10" s="13"/>
      <c r="E10" s="13"/>
      <c r="F10" s="14"/>
      <c r="G10" s="8"/>
      <c r="H10" s="24">
        <f t="shared" si="6"/>
        <v>0</v>
      </c>
      <c r="I10" s="433">
        <f t="shared" si="0"/>
        <v>45.130994404999981</v>
      </c>
      <c r="J10" s="10"/>
      <c r="K10" s="557"/>
      <c r="L10" s="417">
        <v>45.130994404999981</v>
      </c>
      <c r="M10" s="32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1:19" ht="15.75" hidden="1" customHeight="1">
      <c r="A11" s="416"/>
      <c r="B11" s="556" t="s">
        <v>2336</v>
      </c>
      <c r="C11" s="107"/>
      <c r="D11" s="13"/>
      <c r="E11" s="13"/>
      <c r="F11" s="14"/>
      <c r="G11" s="8"/>
      <c r="H11" s="24">
        <f t="shared" si="6"/>
        <v>0</v>
      </c>
      <c r="I11" s="433">
        <f t="shared" si="0"/>
        <v>3.9762724049999991</v>
      </c>
      <c r="J11" s="10"/>
      <c r="K11" s="557"/>
      <c r="L11" s="417">
        <v>3.9762724049999991</v>
      </c>
      <c r="M11" s="32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1:19" ht="15.75" hidden="1" customHeight="1">
      <c r="A12" s="416"/>
      <c r="B12" s="556" t="s">
        <v>2337</v>
      </c>
      <c r="C12" s="107"/>
      <c r="D12" s="13"/>
      <c r="E12" s="13"/>
      <c r="F12" s="14"/>
      <c r="G12" s="8"/>
      <c r="H12" s="24">
        <f t="shared" si="6"/>
        <v>0</v>
      </c>
      <c r="I12" s="433">
        <f t="shared" si="0"/>
        <v>6.0647999999999991</v>
      </c>
      <c r="J12" s="10"/>
      <c r="K12" s="557"/>
      <c r="L12" s="417">
        <v>6.0647999999999991</v>
      </c>
      <c r="M12" s="32"/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1:19">
      <c r="A13" s="416"/>
      <c r="B13" s="634" t="s">
        <v>2338</v>
      </c>
      <c r="C13" s="635"/>
      <c r="D13" s="636">
        <v>48</v>
      </c>
      <c r="E13" s="636">
        <v>10</v>
      </c>
      <c r="F13" s="637">
        <v>15</v>
      </c>
      <c r="G13" s="638"/>
      <c r="H13" s="626">
        <f t="shared" ref="H13:H44" si="13">SUM(C13:G13)</f>
        <v>73</v>
      </c>
      <c r="I13" s="631">
        <v>99.96</v>
      </c>
      <c r="J13" s="627"/>
      <c r="K13" s="632"/>
      <c r="L13" s="417">
        <v>4.1517851899999991</v>
      </c>
      <c r="M13" s="628"/>
      <c r="N13" s="25">
        <f t="shared" si="7"/>
        <v>0</v>
      </c>
      <c r="O13" s="25">
        <f t="shared" si="8"/>
        <v>4798.08</v>
      </c>
      <c r="P13" s="25">
        <f t="shared" si="9"/>
        <v>999.59999999999991</v>
      </c>
      <c r="Q13" s="26">
        <f t="shared" si="10"/>
        <v>1499.3999999999999</v>
      </c>
      <c r="R13" s="27">
        <f t="shared" si="11"/>
        <v>0</v>
      </c>
      <c r="S13" s="28">
        <f t="shared" si="12"/>
        <v>7297.08</v>
      </c>
    </row>
    <row r="14" spans="1:19">
      <c r="A14" s="416"/>
      <c r="B14" s="634" t="s">
        <v>2339</v>
      </c>
      <c r="C14" s="635"/>
      <c r="D14" s="636"/>
      <c r="E14" s="636"/>
      <c r="F14" s="637">
        <v>15</v>
      </c>
      <c r="G14" s="638"/>
      <c r="H14" s="626">
        <f t="shared" si="13"/>
        <v>15</v>
      </c>
      <c r="I14" s="631">
        <v>99.52</v>
      </c>
      <c r="J14" s="627"/>
      <c r="K14" s="632"/>
      <c r="L14" s="417">
        <v>4.1517851899999991</v>
      </c>
      <c r="M14" s="628"/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1492.8</v>
      </c>
      <c r="R14" s="27">
        <f t="shared" si="11"/>
        <v>0</v>
      </c>
      <c r="S14" s="28">
        <f t="shared" si="12"/>
        <v>1492.8</v>
      </c>
    </row>
    <row r="15" spans="1:19">
      <c r="A15" s="416"/>
      <c r="B15" s="634" t="s">
        <v>2340</v>
      </c>
      <c r="C15" s="635"/>
      <c r="D15" s="636">
        <v>12</v>
      </c>
      <c r="E15" s="636"/>
      <c r="F15" s="637"/>
      <c r="G15" s="638"/>
      <c r="H15" s="626">
        <f t="shared" si="13"/>
        <v>12</v>
      </c>
      <c r="I15" s="631">
        <f>L15-(L15*J15)</f>
        <v>4.1517851899999991</v>
      </c>
      <c r="J15" s="627"/>
      <c r="K15" s="632"/>
      <c r="L15" s="417">
        <v>4.1517851899999991</v>
      </c>
      <c r="M15" s="628"/>
      <c r="N15" s="25">
        <f t="shared" si="7"/>
        <v>0</v>
      </c>
      <c r="O15" s="25">
        <f t="shared" si="8"/>
        <v>49.821422279999993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49.821422279999993</v>
      </c>
    </row>
    <row r="16" spans="1:19" ht="15.75" hidden="1" customHeight="1">
      <c r="A16" s="416"/>
      <c r="B16" s="556" t="s">
        <v>2341</v>
      </c>
      <c r="C16" s="107"/>
      <c r="D16" s="13"/>
      <c r="E16" s="13"/>
      <c r="F16" s="14"/>
      <c r="G16" s="8"/>
      <c r="H16" s="24">
        <f t="shared" si="13"/>
        <v>0</v>
      </c>
      <c r="I16" s="433">
        <f>L16-(L16*J16)</f>
        <v>19.66</v>
      </c>
      <c r="J16" s="10"/>
      <c r="K16" s="557"/>
      <c r="L16" s="417">
        <v>19.66</v>
      </c>
      <c r="M16" s="32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1:19">
      <c r="A17" s="416"/>
      <c r="B17" s="634" t="s">
        <v>2548</v>
      </c>
      <c r="C17" s="635">
        <v>1</v>
      </c>
      <c r="D17" s="636"/>
      <c r="E17" s="636"/>
      <c r="F17" s="637"/>
      <c r="G17" s="638"/>
      <c r="H17" s="626">
        <f t="shared" si="13"/>
        <v>1</v>
      </c>
      <c r="I17" s="631">
        <v>244.12</v>
      </c>
      <c r="J17" s="627"/>
      <c r="K17" s="632"/>
      <c r="L17" s="417">
        <v>65.775074471959982</v>
      </c>
      <c r="M17" s="628"/>
      <c r="N17" s="25">
        <f t="shared" si="7"/>
        <v>244.12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244.12</v>
      </c>
    </row>
    <row r="18" spans="1:19">
      <c r="A18" s="416"/>
      <c r="B18" s="634" t="s">
        <v>2342</v>
      </c>
      <c r="C18" s="635"/>
      <c r="D18" s="636">
        <v>24</v>
      </c>
      <c r="E18" s="636">
        <v>12</v>
      </c>
      <c r="F18" s="637"/>
      <c r="G18" s="638"/>
      <c r="H18" s="626">
        <f t="shared" si="13"/>
        <v>36</v>
      </c>
      <c r="I18" s="631">
        <v>225.5</v>
      </c>
      <c r="J18" s="627"/>
      <c r="K18" s="632"/>
      <c r="L18" s="417">
        <v>3.9828678749999993</v>
      </c>
      <c r="M18" s="628"/>
      <c r="N18" s="25">
        <f t="shared" si="7"/>
        <v>0</v>
      </c>
      <c r="O18" s="25">
        <f t="shared" si="8"/>
        <v>5412</v>
      </c>
      <c r="P18" s="25">
        <f t="shared" si="9"/>
        <v>2706</v>
      </c>
      <c r="Q18" s="26">
        <f t="shared" si="10"/>
        <v>0</v>
      </c>
      <c r="R18" s="27">
        <f t="shared" si="11"/>
        <v>0</v>
      </c>
      <c r="S18" s="28">
        <f t="shared" si="12"/>
        <v>8118</v>
      </c>
    </row>
    <row r="19" spans="1:19" ht="15.75" hidden="1" customHeight="1">
      <c r="A19" s="416"/>
      <c r="B19" s="556" t="s">
        <v>2343</v>
      </c>
      <c r="C19" s="107"/>
      <c r="D19" s="13"/>
      <c r="E19" s="13"/>
      <c r="F19" s="14"/>
      <c r="G19" s="8"/>
      <c r="H19" s="24">
        <f t="shared" si="13"/>
        <v>0</v>
      </c>
      <c r="I19" s="433">
        <f>L19-(L19*J19)</f>
        <v>9.1231545642999983</v>
      </c>
      <c r="J19" s="10"/>
      <c r="K19" s="557"/>
      <c r="L19" s="417">
        <v>9.1231545642999983</v>
      </c>
      <c r="M19" s="32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1:19" ht="15.75" hidden="1" customHeight="1">
      <c r="A20" s="416"/>
      <c r="B20" s="556" t="s">
        <v>2343</v>
      </c>
      <c r="C20" s="107"/>
      <c r="D20" s="13"/>
      <c r="E20" s="13"/>
      <c r="F20" s="14"/>
      <c r="G20" s="8"/>
      <c r="H20" s="24">
        <f t="shared" si="13"/>
        <v>0</v>
      </c>
      <c r="I20" s="433">
        <f>L20-(L20*J20)</f>
        <v>48.68124281131999</v>
      </c>
      <c r="J20" s="10"/>
      <c r="K20" s="557"/>
      <c r="L20" s="417">
        <v>48.68124281131999</v>
      </c>
      <c r="M20" s="32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1:19" ht="15.75" hidden="1" customHeight="1">
      <c r="A21" s="416"/>
      <c r="B21" s="556" t="s">
        <v>2344</v>
      </c>
      <c r="C21" s="107"/>
      <c r="D21" s="13"/>
      <c r="E21" s="13"/>
      <c r="F21" s="14"/>
      <c r="G21" s="8"/>
      <c r="H21" s="24">
        <f t="shared" si="13"/>
        <v>0</v>
      </c>
      <c r="I21" s="433">
        <f>L21-(L21*J21)</f>
        <v>198.65063544654998</v>
      </c>
      <c r="J21" s="10"/>
      <c r="K21" s="557"/>
      <c r="L21" s="417">
        <v>198.65063544654998</v>
      </c>
      <c r="M21" s="32"/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1:19" ht="15.75" hidden="1" customHeight="1">
      <c r="A22" s="416"/>
      <c r="B22" s="556" t="s">
        <v>2344</v>
      </c>
      <c r="C22" s="107"/>
      <c r="D22" s="13"/>
      <c r="E22" s="13"/>
      <c r="F22" s="14"/>
      <c r="G22" s="8"/>
      <c r="H22" s="24">
        <f t="shared" si="13"/>
        <v>0</v>
      </c>
      <c r="I22" s="433">
        <f>L22-(L22*J22)</f>
        <v>96.548493638799982</v>
      </c>
      <c r="J22" s="10"/>
      <c r="K22" s="557"/>
      <c r="L22" s="417">
        <v>96.548493638799982</v>
      </c>
      <c r="M22" s="32"/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1:19" ht="15" hidden="1" customHeight="1">
      <c r="A23" s="416"/>
      <c r="B23" s="556" t="s">
        <v>2345</v>
      </c>
      <c r="C23" s="107"/>
      <c r="D23" s="13"/>
      <c r="E23" s="13"/>
      <c r="F23" s="14"/>
      <c r="G23" s="8"/>
      <c r="H23" s="24">
        <f t="shared" si="13"/>
        <v>0</v>
      </c>
      <c r="I23" s="433">
        <f>L23-(L23*J23)</f>
        <v>19.326656894089993</v>
      </c>
      <c r="J23" s="10"/>
      <c r="K23" s="557"/>
      <c r="L23" s="417">
        <v>19.326656894089993</v>
      </c>
      <c r="M23" s="32"/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1:19">
      <c r="A24" s="416"/>
      <c r="B24" s="634" t="s">
        <v>2346</v>
      </c>
      <c r="C24" s="635">
        <v>2</v>
      </c>
      <c r="D24" s="636"/>
      <c r="E24" s="636"/>
      <c r="F24" s="637"/>
      <c r="G24" s="638"/>
      <c r="H24" s="626">
        <f t="shared" si="13"/>
        <v>2</v>
      </c>
      <c r="I24" s="631">
        <v>391.84</v>
      </c>
      <c r="J24" s="627"/>
      <c r="K24" s="632"/>
      <c r="L24" s="417">
        <v>6.1840779883399986</v>
      </c>
      <c r="M24" s="628"/>
      <c r="N24" s="25">
        <f t="shared" si="7"/>
        <v>783.68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783.68</v>
      </c>
    </row>
    <row r="25" spans="1:19" ht="15.75" hidden="1" customHeight="1">
      <c r="A25" s="416"/>
      <c r="B25" s="556" t="s">
        <v>2347</v>
      </c>
      <c r="C25" s="107"/>
      <c r="D25" s="13"/>
      <c r="E25" s="13"/>
      <c r="F25" s="14"/>
      <c r="G25" s="8"/>
      <c r="H25" s="24">
        <f t="shared" si="13"/>
        <v>0</v>
      </c>
      <c r="I25" s="433">
        <f t="shared" ref="I25:I34" si="14">L25-(L25*J25)</f>
        <v>227.73686836767993</v>
      </c>
      <c r="J25" s="10"/>
      <c r="K25" s="557"/>
      <c r="L25" s="417">
        <v>227.73686836767993</v>
      </c>
      <c r="M25" s="32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1:19" ht="15.75" hidden="1" customHeight="1">
      <c r="A26" s="416"/>
      <c r="B26" s="556" t="s">
        <v>2348</v>
      </c>
      <c r="C26" s="108"/>
      <c r="D26" s="14"/>
      <c r="E26" s="14"/>
      <c r="F26" s="14"/>
      <c r="G26" s="8"/>
      <c r="H26" s="24">
        <f t="shared" si="13"/>
        <v>0</v>
      </c>
      <c r="I26" s="433">
        <f t="shared" si="14"/>
        <v>3.5344643599999994</v>
      </c>
      <c r="J26" s="10"/>
      <c r="K26" s="557"/>
      <c r="L26" s="417">
        <v>3.5344643599999994</v>
      </c>
      <c r="M26" s="32"/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1:19" ht="15.75" hidden="1" customHeight="1">
      <c r="A27" s="416"/>
      <c r="B27" s="556" t="s">
        <v>2349</v>
      </c>
      <c r="C27" s="108"/>
      <c r="D27" s="14"/>
      <c r="E27" s="14"/>
      <c r="F27" s="14"/>
      <c r="G27" s="8"/>
      <c r="H27" s="24">
        <f t="shared" si="13"/>
        <v>0</v>
      </c>
      <c r="I27" s="433">
        <f t="shared" si="14"/>
        <v>23.330527499999995</v>
      </c>
      <c r="J27" s="10"/>
      <c r="K27" s="557"/>
      <c r="L27" s="417">
        <v>23.330527499999995</v>
      </c>
      <c r="M27" s="32"/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1:19">
      <c r="A28" s="416"/>
      <c r="B28" s="634" t="s">
        <v>2350</v>
      </c>
      <c r="C28" s="639"/>
      <c r="D28" s="637">
        <v>3</v>
      </c>
      <c r="E28" s="637"/>
      <c r="F28" s="637"/>
      <c r="G28" s="638"/>
      <c r="H28" s="626">
        <f t="shared" si="13"/>
        <v>3</v>
      </c>
      <c r="I28" s="631">
        <f t="shared" si="14"/>
        <v>6.6649624999999997</v>
      </c>
      <c r="J28" s="627"/>
      <c r="K28" s="632"/>
      <c r="L28" s="417">
        <v>6.6649624999999997</v>
      </c>
      <c r="M28" s="628"/>
      <c r="N28" s="25">
        <f t="shared" si="7"/>
        <v>0</v>
      </c>
      <c r="O28" s="25">
        <f t="shared" si="8"/>
        <v>19.994887499999997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19.994887499999997</v>
      </c>
    </row>
    <row r="29" spans="1:19" ht="15.75" hidden="1" customHeight="1">
      <c r="A29" s="416"/>
      <c r="B29" s="556" t="s">
        <v>2351</v>
      </c>
      <c r="C29" s="108"/>
      <c r="D29" s="14"/>
      <c r="E29" s="14"/>
      <c r="F29" s="14"/>
      <c r="G29" s="8"/>
      <c r="H29" s="24">
        <f t="shared" si="13"/>
        <v>0</v>
      </c>
      <c r="I29" s="433">
        <f t="shared" si="14"/>
        <v>9.6119878049999983</v>
      </c>
      <c r="J29" s="10"/>
      <c r="K29" s="557"/>
      <c r="L29" s="417">
        <v>9.6119878049999983</v>
      </c>
      <c r="M29" s="32"/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1:19">
      <c r="A30" s="416"/>
      <c r="B30" s="634" t="s">
        <v>2352</v>
      </c>
      <c r="C30" s="639"/>
      <c r="D30" s="637">
        <v>140</v>
      </c>
      <c r="E30" s="637"/>
      <c r="F30" s="637"/>
      <c r="G30" s="638"/>
      <c r="H30" s="626">
        <f t="shared" si="13"/>
        <v>140</v>
      </c>
      <c r="I30" s="631">
        <f t="shared" si="14"/>
        <v>62.224296933499986</v>
      </c>
      <c r="J30" s="627"/>
      <c r="K30" s="632"/>
      <c r="L30" s="417">
        <v>62.224296933499986</v>
      </c>
      <c r="M30" s="628"/>
      <c r="N30" s="25">
        <f t="shared" si="7"/>
        <v>0</v>
      </c>
      <c r="O30" s="25">
        <f t="shared" si="8"/>
        <v>8711.4015706899972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8711.4015706899972</v>
      </c>
    </row>
    <row r="31" spans="1:19" ht="15.75" hidden="1" customHeight="1">
      <c r="A31" s="416"/>
      <c r="B31" s="556" t="s">
        <v>2352</v>
      </c>
      <c r="C31" s="108"/>
      <c r="D31" s="14"/>
      <c r="E31" s="14"/>
      <c r="F31" s="14"/>
      <c r="G31" s="8"/>
      <c r="H31" s="24">
        <f t="shared" si="13"/>
        <v>0</v>
      </c>
      <c r="I31" s="433">
        <f t="shared" si="14"/>
        <v>222.47418408326996</v>
      </c>
      <c r="J31" s="10"/>
      <c r="K31" s="557"/>
      <c r="L31" s="417">
        <v>222.47418408326996</v>
      </c>
      <c r="M31" s="32"/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1:19" ht="15.75" hidden="1" customHeight="1">
      <c r="A32" s="416"/>
      <c r="B32" s="556" t="s">
        <v>2353</v>
      </c>
      <c r="C32" s="108"/>
      <c r="D32" s="14"/>
      <c r="E32" s="14"/>
      <c r="F32" s="14"/>
      <c r="G32" s="8"/>
      <c r="H32" s="24">
        <f t="shared" si="13"/>
        <v>0</v>
      </c>
      <c r="I32" s="433">
        <f t="shared" si="14"/>
        <v>13.618457859999999</v>
      </c>
      <c r="J32" s="10"/>
      <c r="K32" s="557"/>
      <c r="L32" s="417">
        <v>13.618457859999999</v>
      </c>
      <c r="M32" s="32"/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1:19" ht="15.75" hidden="1" customHeight="1">
      <c r="A33" s="416"/>
      <c r="B33" s="556" t="s">
        <v>2354</v>
      </c>
      <c r="C33" s="108"/>
      <c r="D33" s="14"/>
      <c r="E33" s="14"/>
      <c r="F33" s="14"/>
      <c r="G33" s="8"/>
      <c r="H33" s="24">
        <f t="shared" si="13"/>
        <v>0</v>
      </c>
      <c r="I33" s="433">
        <f t="shared" si="14"/>
        <v>9.1969788729699999</v>
      </c>
      <c r="J33" s="10"/>
      <c r="K33" s="557"/>
      <c r="L33" s="417">
        <v>9.1969788729699999</v>
      </c>
      <c r="M33" s="32"/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1:19" ht="15.75" hidden="1" customHeight="1">
      <c r="A34" s="416"/>
      <c r="B34" s="556" t="s">
        <v>2355</v>
      </c>
      <c r="C34" s="108"/>
      <c r="D34" s="14"/>
      <c r="E34" s="14"/>
      <c r="F34" s="14"/>
      <c r="G34" s="8"/>
      <c r="H34" s="24">
        <f t="shared" si="13"/>
        <v>0</v>
      </c>
      <c r="I34" s="433">
        <f t="shared" si="14"/>
        <v>16.115910735610001</v>
      </c>
      <c r="J34" s="10"/>
      <c r="K34" s="557"/>
      <c r="L34" s="417">
        <v>16.115910735610001</v>
      </c>
      <c r="M34" s="32"/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1:19">
      <c r="A35" s="416"/>
      <c r="B35" s="634" t="s">
        <v>2356</v>
      </c>
      <c r="C35" s="639"/>
      <c r="D35" s="637"/>
      <c r="E35" s="637">
        <v>12</v>
      </c>
      <c r="F35" s="637"/>
      <c r="G35" s="638"/>
      <c r="H35" s="626">
        <f t="shared" si="13"/>
        <v>12</v>
      </c>
      <c r="I35" s="631">
        <v>221.4</v>
      </c>
      <c r="J35" s="627"/>
      <c r="K35" s="632"/>
      <c r="L35" s="417">
        <v>260.01567193119996</v>
      </c>
      <c r="M35" s="628"/>
      <c r="N35" s="25">
        <f t="shared" si="7"/>
        <v>0</v>
      </c>
      <c r="O35" s="25">
        <f t="shared" si="8"/>
        <v>0</v>
      </c>
      <c r="P35" s="25">
        <f t="shared" si="9"/>
        <v>2656.8</v>
      </c>
      <c r="Q35" s="26">
        <f t="shared" si="10"/>
        <v>0</v>
      </c>
      <c r="R35" s="27">
        <f t="shared" si="11"/>
        <v>0</v>
      </c>
      <c r="S35" s="28">
        <f t="shared" si="12"/>
        <v>2656.8</v>
      </c>
    </row>
    <row r="36" spans="1:19" ht="15.75" hidden="1" customHeight="1">
      <c r="A36" s="416"/>
      <c r="B36" s="556" t="s">
        <v>2357</v>
      </c>
      <c r="C36" s="108"/>
      <c r="D36" s="14"/>
      <c r="E36" s="14"/>
      <c r="F36" s="14"/>
      <c r="G36" s="8"/>
      <c r="H36" s="24">
        <f t="shared" si="13"/>
        <v>0</v>
      </c>
      <c r="I36" s="433">
        <f t="shared" ref="I36:I43" si="15">L36-(L36*J36)</f>
        <v>28.365359547979995</v>
      </c>
      <c r="J36" s="10"/>
      <c r="K36" s="557"/>
      <c r="L36" s="417">
        <v>28.365359547979995</v>
      </c>
      <c r="M36" s="32"/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1:19" ht="15.75" hidden="1" customHeight="1">
      <c r="A37" s="416"/>
      <c r="B37" s="556" t="s">
        <v>2358</v>
      </c>
      <c r="C37" s="108"/>
      <c r="D37" s="14"/>
      <c r="E37" s="14"/>
      <c r="F37" s="14"/>
      <c r="G37" s="8"/>
      <c r="H37" s="24">
        <f t="shared" si="13"/>
        <v>0</v>
      </c>
      <c r="I37" s="433">
        <f t="shared" si="15"/>
        <v>27.449618566159991</v>
      </c>
      <c r="J37" s="10"/>
      <c r="K37" s="557"/>
      <c r="L37" s="417">
        <v>27.449618566159991</v>
      </c>
      <c r="M37" s="32"/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1:19" ht="15.75" hidden="1" customHeight="1">
      <c r="A38" s="416"/>
      <c r="B38" s="556" t="s">
        <v>2359</v>
      </c>
      <c r="C38" s="108"/>
      <c r="D38" s="14"/>
      <c r="E38" s="14"/>
      <c r="F38" s="14"/>
      <c r="G38" s="8"/>
      <c r="H38" s="24">
        <f t="shared" si="13"/>
        <v>0</v>
      </c>
      <c r="I38" s="433">
        <f t="shared" si="15"/>
        <v>3.086604149999999</v>
      </c>
      <c r="J38" s="10"/>
      <c r="K38" s="557"/>
      <c r="L38" s="417">
        <v>3.086604149999999</v>
      </c>
      <c r="M38" s="32"/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1:19" ht="15.75" hidden="1" customHeight="1">
      <c r="A39" s="416"/>
      <c r="B39" s="556" t="s">
        <v>2360</v>
      </c>
      <c r="C39" s="108"/>
      <c r="D39" s="14"/>
      <c r="E39" s="14"/>
      <c r="F39" s="14"/>
      <c r="G39" s="8"/>
      <c r="H39" s="24">
        <f t="shared" si="13"/>
        <v>0</v>
      </c>
      <c r="I39" s="433">
        <f t="shared" si="15"/>
        <v>5.2231152296399994</v>
      </c>
      <c r="J39" s="10"/>
      <c r="K39" s="557"/>
      <c r="L39" s="417">
        <v>5.2231152296399994</v>
      </c>
      <c r="M39" s="32"/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</row>
    <row r="40" spans="1:19" ht="15.75" hidden="1" customHeight="1">
      <c r="A40" s="416"/>
      <c r="B40" s="556" t="s">
        <v>2361</v>
      </c>
      <c r="C40" s="108"/>
      <c r="D40" s="14"/>
      <c r="E40" s="14"/>
      <c r="F40" s="14"/>
      <c r="G40" s="8"/>
      <c r="H40" s="24">
        <f t="shared" si="13"/>
        <v>0</v>
      </c>
      <c r="I40" s="433">
        <f t="shared" si="15"/>
        <v>7.3412761449999984</v>
      </c>
      <c r="J40" s="10"/>
      <c r="K40" s="557"/>
      <c r="L40" s="417">
        <v>7.3412761449999984</v>
      </c>
      <c r="M40" s="32"/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1:19" ht="15.75" hidden="1" customHeight="1">
      <c r="A41" s="416"/>
      <c r="B41" s="556" t="s">
        <v>2362</v>
      </c>
      <c r="C41" s="108"/>
      <c r="D41" s="14"/>
      <c r="E41" s="14"/>
      <c r="F41" s="14"/>
      <c r="G41" s="8"/>
      <c r="H41" s="24">
        <f t="shared" si="13"/>
        <v>0</v>
      </c>
      <c r="I41" s="433">
        <f t="shared" si="15"/>
        <v>20.129343433709998</v>
      </c>
      <c r="J41" s="10"/>
      <c r="K41" s="557"/>
      <c r="L41" s="417">
        <v>20.129343433709998</v>
      </c>
      <c r="M41" s="32"/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1:19" ht="15.75" hidden="1" customHeight="1">
      <c r="A42" s="416"/>
      <c r="B42" s="556" t="s">
        <v>2363</v>
      </c>
      <c r="C42" s="108"/>
      <c r="D42" s="14"/>
      <c r="E42" s="14"/>
      <c r="F42" s="14"/>
      <c r="G42" s="8"/>
      <c r="H42" s="24">
        <f t="shared" si="13"/>
        <v>0</v>
      </c>
      <c r="I42" s="433">
        <f t="shared" si="15"/>
        <v>26.449086752689997</v>
      </c>
      <c r="J42" s="10"/>
      <c r="K42" s="557"/>
      <c r="L42" s="417">
        <v>26.449086752689997</v>
      </c>
      <c r="M42" s="32"/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1:19" ht="15.75" hidden="1" customHeight="1">
      <c r="A43" s="416"/>
      <c r="B43" s="556" t="s">
        <v>2364</v>
      </c>
      <c r="C43" s="108"/>
      <c r="D43" s="14"/>
      <c r="E43" s="14"/>
      <c r="F43" s="14"/>
      <c r="G43" s="8"/>
      <c r="H43" s="24">
        <f t="shared" si="13"/>
        <v>0</v>
      </c>
      <c r="I43" s="433">
        <f t="shared" si="15"/>
        <v>44.865655387069985</v>
      </c>
      <c r="J43" s="10"/>
      <c r="K43" s="557"/>
      <c r="L43" s="417">
        <v>44.865655387069985</v>
      </c>
      <c r="M43" s="32"/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1:19">
      <c r="A44" s="416"/>
      <c r="B44" s="634" t="s">
        <v>2365</v>
      </c>
      <c r="C44" s="639">
        <v>1</v>
      </c>
      <c r="D44" s="637"/>
      <c r="E44" s="637"/>
      <c r="F44" s="637"/>
      <c r="G44" s="638"/>
      <c r="H44" s="626">
        <f t="shared" si="13"/>
        <v>1</v>
      </c>
      <c r="I44" s="631">
        <v>373.18</v>
      </c>
      <c r="J44" s="627"/>
      <c r="K44" s="632"/>
      <c r="L44" s="417">
        <v>126.51922626601998</v>
      </c>
      <c r="M44" s="628"/>
      <c r="N44" s="25">
        <f t="shared" si="7"/>
        <v>373.18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373.18</v>
      </c>
    </row>
    <row r="45" spans="1:19" ht="15.75" hidden="1" customHeight="1">
      <c r="A45" s="416"/>
      <c r="B45" s="556" t="s">
        <v>2366</v>
      </c>
      <c r="C45" s="108"/>
      <c r="D45" s="14"/>
      <c r="E45" s="14"/>
      <c r="F45" s="14"/>
      <c r="G45" s="8"/>
      <c r="H45" s="24">
        <f t="shared" ref="H45:H76" si="16">SUM(C45:G45)</f>
        <v>0</v>
      </c>
      <c r="I45" s="433">
        <f t="shared" ref="I45:I62" si="17">L45-(L45*J45)</f>
        <v>5.6583748321099989</v>
      </c>
      <c r="J45" s="10"/>
      <c r="K45" s="557"/>
      <c r="L45" s="417">
        <v>5.6583748321099989</v>
      </c>
      <c r="M45" s="32"/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1:19" ht="15.75" hidden="1" customHeight="1">
      <c r="A46" s="416"/>
      <c r="B46" s="556" t="s">
        <v>2367</v>
      </c>
      <c r="C46" s="108"/>
      <c r="D46" s="14"/>
      <c r="E46" s="14"/>
      <c r="F46" s="14"/>
      <c r="G46" s="8"/>
      <c r="H46" s="24">
        <f t="shared" si="16"/>
        <v>0</v>
      </c>
      <c r="I46" s="433">
        <f t="shared" si="17"/>
        <v>93.235998482339966</v>
      </c>
      <c r="J46" s="10"/>
      <c r="K46" s="557"/>
      <c r="L46" s="417">
        <v>93.235998482339966</v>
      </c>
      <c r="M46" s="32"/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1:19" ht="15.75" hidden="1" customHeight="1">
      <c r="A47" s="416"/>
      <c r="B47" s="556" t="s">
        <v>2368</v>
      </c>
      <c r="C47" s="108"/>
      <c r="D47" s="14"/>
      <c r="E47" s="14"/>
      <c r="F47" s="14"/>
      <c r="G47" s="8"/>
      <c r="H47" s="24">
        <f t="shared" si="16"/>
        <v>0</v>
      </c>
      <c r="I47" s="433">
        <f t="shared" si="17"/>
        <v>525.8500941502499</v>
      </c>
      <c r="J47" s="10"/>
      <c r="K47" s="557"/>
      <c r="L47" s="417">
        <v>525.8500941502499</v>
      </c>
      <c r="M47" s="32"/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1:19" ht="15.75" hidden="1" customHeight="1">
      <c r="A48" s="416"/>
      <c r="B48" s="556" t="s">
        <v>2368</v>
      </c>
      <c r="C48" s="108"/>
      <c r="D48" s="14"/>
      <c r="E48" s="14"/>
      <c r="F48" s="14"/>
      <c r="G48" s="8"/>
      <c r="H48" s="24">
        <f t="shared" si="16"/>
        <v>0</v>
      </c>
      <c r="I48" s="433">
        <f t="shared" si="17"/>
        <v>5.6583748321099989</v>
      </c>
      <c r="J48" s="10"/>
      <c r="K48" s="557"/>
      <c r="L48" s="417">
        <v>5.6583748321099989</v>
      </c>
      <c r="M48" s="32"/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1:19">
      <c r="A49" s="416"/>
      <c r="B49" s="634" t="s">
        <v>2369</v>
      </c>
      <c r="C49" s="639"/>
      <c r="D49" s="637">
        <v>160</v>
      </c>
      <c r="E49" s="637"/>
      <c r="F49" s="637"/>
      <c r="G49" s="638"/>
      <c r="H49" s="626">
        <f t="shared" si="16"/>
        <v>160</v>
      </c>
      <c r="I49" s="631">
        <f t="shared" si="17"/>
        <v>4.1517851899999991</v>
      </c>
      <c r="J49" s="627"/>
      <c r="K49" s="632"/>
      <c r="L49" s="417">
        <v>4.1517851899999991</v>
      </c>
      <c r="M49" s="628"/>
      <c r="N49" s="25">
        <f t="shared" si="7"/>
        <v>0</v>
      </c>
      <c r="O49" s="25">
        <f t="shared" si="8"/>
        <v>664.28563039999983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664.28563039999983</v>
      </c>
    </row>
    <row r="50" spans="1:19">
      <c r="A50" s="416"/>
      <c r="B50" s="634" t="s">
        <v>2370</v>
      </c>
      <c r="C50" s="639"/>
      <c r="D50" s="637">
        <v>16</v>
      </c>
      <c r="E50" s="637"/>
      <c r="F50" s="637"/>
      <c r="G50" s="638"/>
      <c r="H50" s="626">
        <f t="shared" si="16"/>
        <v>16</v>
      </c>
      <c r="I50" s="631">
        <f t="shared" si="17"/>
        <v>4.1517851899999991</v>
      </c>
      <c r="J50" s="627"/>
      <c r="K50" s="632"/>
      <c r="L50" s="417">
        <v>4.1517851899999991</v>
      </c>
      <c r="M50" s="628"/>
      <c r="N50" s="25">
        <f t="shared" si="7"/>
        <v>0</v>
      </c>
      <c r="O50" s="25">
        <f t="shared" si="8"/>
        <v>66.428563039999986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66.428563039999986</v>
      </c>
    </row>
    <row r="51" spans="1:19">
      <c r="A51" s="416"/>
      <c r="B51" s="634" t="s">
        <v>2371</v>
      </c>
      <c r="C51" s="639"/>
      <c r="D51" s="637">
        <v>12</v>
      </c>
      <c r="E51" s="637"/>
      <c r="F51" s="637"/>
      <c r="G51" s="638"/>
      <c r="H51" s="626">
        <f t="shared" si="16"/>
        <v>12</v>
      </c>
      <c r="I51" s="631">
        <f t="shared" si="17"/>
        <v>4.1517851899999991</v>
      </c>
      <c r="J51" s="627"/>
      <c r="K51" s="632"/>
      <c r="L51" s="417">
        <v>4.1517851899999991</v>
      </c>
      <c r="M51" s="628"/>
      <c r="N51" s="25">
        <f t="shared" si="7"/>
        <v>0</v>
      </c>
      <c r="O51" s="25">
        <f t="shared" si="8"/>
        <v>49.821422279999993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49.821422279999993</v>
      </c>
    </row>
    <row r="52" spans="1:19" ht="15.75" hidden="1" customHeight="1">
      <c r="A52" s="416"/>
      <c r="B52" s="556" t="s">
        <v>2372</v>
      </c>
      <c r="C52" s="108"/>
      <c r="D52" s="14"/>
      <c r="E52" s="14"/>
      <c r="F52" s="14"/>
      <c r="G52" s="8"/>
      <c r="H52" s="24">
        <f t="shared" si="16"/>
        <v>0</v>
      </c>
      <c r="I52" s="433">
        <f t="shared" si="17"/>
        <v>3.9762724049999991</v>
      </c>
      <c r="J52" s="10"/>
      <c r="K52" s="557"/>
      <c r="L52" s="417">
        <v>3.9762724049999991</v>
      </c>
      <c r="M52" s="32"/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1:19" ht="15.75" hidden="1" customHeight="1">
      <c r="A53" s="416"/>
      <c r="B53" s="556" t="s">
        <v>2373</v>
      </c>
      <c r="C53" s="108"/>
      <c r="D53" s="14"/>
      <c r="E53" s="14"/>
      <c r="F53" s="14"/>
      <c r="G53" s="8"/>
      <c r="H53" s="24">
        <f t="shared" si="16"/>
        <v>0</v>
      </c>
      <c r="I53" s="433">
        <f t="shared" si="17"/>
        <v>4.1517851899999991</v>
      </c>
      <c r="J53" s="10"/>
      <c r="K53" s="557"/>
      <c r="L53" s="417">
        <v>4.1517851899999991</v>
      </c>
      <c r="M53" s="32"/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1:19" ht="15.75" hidden="1" customHeight="1">
      <c r="A54" s="416"/>
      <c r="B54" s="556" t="s">
        <v>2374</v>
      </c>
      <c r="C54" s="108"/>
      <c r="D54" s="14"/>
      <c r="E54" s="14"/>
      <c r="F54" s="14"/>
      <c r="G54" s="8"/>
      <c r="H54" s="24">
        <f t="shared" si="16"/>
        <v>0</v>
      </c>
      <c r="I54" s="433">
        <f t="shared" si="17"/>
        <v>6.9418332549999988</v>
      </c>
      <c r="J54" s="10"/>
      <c r="K54" s="557"/>
      <c r="L54" s="417">
        <v>6.9418332549999988</v>
      </c>
      <c r="M54" s="32"/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1:19" ht="15.75" hidden="1" customHeight="1">
      <c r="A55" s="416"/>
      <c r="B55" s="556" t="s">
        <v>2375</v>
      </c>
      <c r="C55" s="108"/>
      <c r="D55" s="14"/>
      <c r="E55" s="14"/>
      <c r="F55" s="14"/>
      <c r="G55" s="8"/>
      <c r="H55" s="24">
        <f t="shared" si="16"/>
        <v>0</v>
      </c>
      <c r="I55" s="433">
        <f t="shared" si="17"/>
        <v>3.2621169349999994</v>
      </c>
      <c r="J55" s="10"/>
      <c r="K55" s="557"/>
      <c r="L55" s="417">
        <v>3.2621169349999994</v>
      </c>
      <c r="M55" s="32"/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</row>
    <row r="56" spans="1:19" ht="15.75" hidden="1" customHeight="1">
      <c r="A56" s="416"/>
      <c r="B56" s="556" t="s">
        <v>2376</v>
      </c>
      <c r="C56" s="108"/>
      <c r="D56" s="14"/>
      <c r="E56" s="14"/>
      <c r="F56" s="14"/>
      <c r="G56" s="8"/>
      <c r="H56" s="24">
        <f t="shared" si="16"/>
        <v>0</v>
      </c>
      <c r="I56" s="433">
        <f t="shared" si="17"/>
        <v>3.5883399999999992</v>
      </c>
      <c r="J56" s="10"/>
      <c r="K56" s="557"/>
      <c r="L56" s="417">
        <v>3.5883399999999992</v>
      </c>
      <c r="M56" s="32"/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1:19">
      <c r="A57" s="416"/>
      <c r="B57" s="634" t="s">
        <v>2377</v>
      </c>
      <c r="C57" s="639"/>
      <c r="D57" s="637">
        <v>60</v>
      </c>
      <c r="E57" s="637"/>
      <c r="F57" s="637"/>
      <c r="G57" s="638"/>
      <c r="H57" s="626">
        <f t="shared" si="16"/>
        <v>60</v>
      </c>
      <c r="I57" s="631">
        <f t="shared" si="17"/>
        <v>5.8247349999999996</v>
      </c>
      <c r="J57" s="627"/>
      <c r="K57" s="632"/>
      <c r="L57" s="417">
        <v>5.8247349999999996</v>
      </c>
      <c r="M57" s="628"/>
      <c r="N57" s="25">
        <f t="shared" si="7"/>
        <v>0</v>
      </c>
      <c r="O57" s="25">
        <f t="shared" si="8"/>
        <v>349.48409999999996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349.48409999999996</v>
      </c>
    </row>
    <row r="58" spans="1:19" ht="15.75" hidden="1" customHeight="1">
      <c r="A58" s="416"/>
      <c r="B58" s="556" t="s">
        <v>2378</v>
      </c>
      <c r="C58" s="108"/>
      <c r="D58" s="14"/>
      <c r="E58" s="14"/>
      <c r="F58" s="14"/>
      <c r="G58" s="8"/>
      <c r="H58" s="24">
        <f t="shared" si="16"/>
        <v>0</v>
      </c>
      <c r="I58" s="433">
        <f t="shared" si="17"/>
        <v>3.146115</v>
      </c>
      <c r="J58" s="10"/>
      <c r="K58" s="557"/>
      <c r="L58" s="417">
        <v>3.146115</v>
      </c>
      <c r="M58" s="32"/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</row>
    <row r="59" spans="1:19" ht="15.75" hidden="1" customHeight="1">
      <c r="A59" s="416"/>
      <c r="B59" s="556" t="s">
        <v>2379</v>
      </c>
      <c r="C59" s="108"/>
      <c r="D59" s="14"/>
      <c r="E59" s="14"/>
      <c r="F59" s="14"/>
      <c r="G59" s="8"/>
      <c r="H59" s="24">
        <f t="shared" si="16"/>
        <v>0</v>
      </c>
      <c r="I59" s="433">
        <f t="shared" si="17"/>
        <v>15.182102285000001</v>
      </c>
      <c r="J59" s="10"/>
      <c r="K59" s="557"/>
      <c r="L59" s="417">
        <v>15.182102285000001</v>
      </c>
      <c r="M59" s="32"/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1:19" ht="15.75" hidden="1" customHeight="1">
      <c r="A60" s="416"/>
      <c r="B60" s="556" t="s">
        <v>2380</v>
      </c>
      <c r="C60" s="108"/>
      <c r="D60" s="14"/>
      <c r="E60" s="14"/>
      <c r="F60" s="14"/>
      <c r="G60" s="8"/>
      <c r="H60" s="24">
        <f t="shared" si="16"/>
        <v>0</v>
      </c>
      <c r="I60" s="433">
        <f t="shared" si="17"/>
        <v>5.8109983290799985</v>
      </c>
      <c r="J60" s="10"/>
      <c r="K60" s="557"/>
      <c r="L60" s="417">
        <v>5.8109983290799985</v>
      </c>
      <c r="M60" s="32"/>
      <c r="N60" s="25">
        <f t="shared" si="7"/>
        <v>0</v>
      </c>
      <c r="O60" s="25">
        <f t="shared" si="8"/>
        <v>0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0</v>
      </c>
    </row>
    <row r="61" spans="1:19" ht="15.75" hidden="1" customHeight="1">
      <c r="A61" s="416"/>
      <c r="B61" s="556" t="s">
        <v>2381</v>
      </c>
      <c r="C61" s="108"/>
      <c r="D61" s="14"/>
      <c r="E61" s="14"/>
      <c r="F61" s="14"/>
      <c r="G61" s="8"/>
      <c r="H61" s="24">
        <f t="shared" si="16"/>
        <v>0</v>
      </c>
      <c r="I61" s="433">
        <f t="shared" si="17"/>
        <v>23.425163649999995</v>
      </c>
      <c r="J61" s="10"/>
      <c r="K61" s="557"/>
      <c r="L61" s="417">
        <v>23.425163649999995</v>
      </c>
      <c r="M61" s="32"/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0</v>
      </c>
      <c r="R61" s="27">
        <f t="shared" si="11"/>
        <v>0</v>
      </c>
      <c r="S61" s="28">
        <f t="shared" si="12"/>
        <v>0</v>
      </c>
    </row>
    <row r="62" spans="1:19" ht="15.75" hidden="1" customHeight="1">
      <c r="A62" s="416"/>
      <c r="B62" s="556" t="s">
        <v>2382</v>
      </c>
      <c r="C62" s="108"/>
      <c r="D62" s="14"/>
      <c r="E62" s="14"/>
      <c r="F62" s="14"/>
      <c r="G62" s="8"/>
      <c r="H62" s="24">
        <f t="shared" si="16"/>
        <v>0</v>
      </c>
      <c r="I62" s="433">
        <f t="shared" si="17"/>
        <v>10.171174999999998</v>
      </c>
      <c r="J62" s="10"/>
      <c r="K62" s="557"/>
      <c r="L62" s="417">
        <v>10.171174999999998</v>
      </c>
      <c r="M62" s="32"/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0</v>
      </c>
      <c r="R62" s="27">
        <f t="shared" si="11"/>
        <v>0</v>
      </c>
      <c r="S62" s="28">
        <f t="shared" si="12"/>
        <v>0</v>
      </c>
    </row>
    <row r="63" spans="1:19">
      <c r="A63" s="649"/>
      <c r="B63" s="634" t="s">
        <v>2555</v>
      </c>
      <c r="C63" s="639"/>
      <c r="D63" s="637"/>
      <c r="E63" s="637"/>
      <c r="F63" s="637"/>
      <c r="G63" s="638">
        <v>10</v>
      </c>
      <c r="H63" s="626">
        <f t="shared" si="16"/>
        <v>10</v>
      </c>
      <c r="I63" s="631">
        <v>67.8</v>
      </c>
      <c r="J63" s="627"/>
      <c r="K63" s="632"/>
      <c r="L63" s="417">
        <v>6.2859124999999985</v>
      </c>
      <c r="M63" s="628"/>
      <c r="N63" s="25">
        <f t="shared" si="7"/>
        <v>0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678</v>
      </c>
      <c r="S63" s="28">
        <f t="shared" si="12"/>
        <v>678</v>
      </c>
    </row>
    <row r="64" spans="1:19">
      <c r="A64" s="651"/>
      <c r="B64" s="642" t="s">
        <v>2549</v>
      </c>
      <c r="C64" s="639"/>
      <c r="D64" s="637"/>
      <c r="E64" s="637"/>
      <c r="F64" s="637"/>
      <c r="G64" s="637">
        <v>2</v>
      </c>
      <c r="H64" s="626">
        <f t="shared" si="16"/>
        <v>2</v>
      </c>
      <c r="I64" s="631">
        <v>1321.5</v>
      </c>
      <c r="J64" s="627"/>
      <c r="K64" s="632"/>
      <c r="L64" s="417">
        <v>12.2859125</v>
      </c>
      <c r="M64" s="628"/>
      <c r="N64" s="25">
        <f t="shared" si="7"/>
        <v>0</v>
      </c>
      <c r="O64" s="25">
        <f t="shared" si="8"/>
        <v>0</v>
      </c>
      <c r="P64" s="25">
        <f t="shared" si="9"/>
        <v>0</v>
      </c>
      <c r="Q64" s="26">
        <f t="shared" si="10"/>
        <v>0</v>
      </c>
      <c r="R64" s="27">
        <f t="shared" si="11"/>
        <v>2643</v>
      </c>
      <c r="S64" s="28">
        <f t="shared" si="12"/>
        <v>2643</v>
      </c>
    </row>
    <row r="65" spans="1:19" ht="15.75" hidden="1" customHeight="1">
      <c r="A65" s="416"/>
      <c r="B65" s="556" t="s">
        <v>2385</v>
      </c>
      <c r="C65" s="108"/>
      <c r="D65" s="14"/>
      <c r="E65" s="14"/>
      <c r="F65" s="14"/>
      <c r="G65" s="8"/>
      <c r="H65" s="24">
        <f t="shared" si="16"/>
        <v>0</v>
      </c>
      <c r="I65" s="433">
        <f>L65-(L65*J65)</f>
        <v>4.1517851899999991</v>
      </c>
      <c r="J65" s="10"/>
      <c r="K65" s="557"/>
      <c r="L65" s="417">
        <v>4.1517851899999991</v>
      </c>
      <c r="M65" s="32"/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</row>
    <row r="66" spans="1:19" ht="15.75" hidden="1" customHeight="1">
      <c r="A66" s="416"/>
      <c r="B66" s="556" t="s">
        <v>2386</v>
      </c>
      <c r="C66" s="108"/>
      <c r="D66" s="14"/>
      <c r="E66" s="14"/>
      <c r="F66" s="14"/>
      <c r="G66" s="8"/>
      <c r="H66" s="24">
        <f t="shared" si="16"/>
        <v>0</v>
      </c>
      <c r="I66" s="433">
        <f>L66-(L66*J66)</f>
        <v>2.8315226871499997</v>
      </c>
      <c r="J66" s="10"/>
      <c r="K66" s="557"/>
      <c r="L66" s="417">
        <v>2.8315226871499997</v>
      </c>
      <c r="M66" s="32"/>
      <c r="N66" s="25">
        <f t="shared" si="7"/>
        <v>0</v>
      </c>
      <c r="O66" s="25">
        <f t="shared" si="8"/>
        <v>0</v>
      </c>
      <c r="P66" s="25">
        <f t="shared" si="9"/>
        <v>0</v>
      </c>
      <c r="Q66" s="26">
        <f t="shared" si="10"/>
        <v>0</v>
      </c>
      <c r="R66" s="27">
        <f t="shared" si="11"/>
        <v>0</v>
      </c>
      <c r="S66" s="28">
        <f t="shared" si="12"/>
        <v>0</v>
      </c>
    </row>
    <row r="67" spans="1:19">
      <c r="A67" s="651"/>
      <c r="B67" s="640" t="s">
        <v>2519</v>
      </c>
      <c r="C67" s="639"/>
      <c r="D67" s="637"/>
      <c r="E67" s="641">
        <v>4</v>
      </c>
      <c r="F67" s="637"/>
      <c r="G67" s="638"/>
      <c r="H67" s="626">
        <f t="shared" si="16"/>
        <v>4</v>
      </c>
      <c r="I67" s="631">
        <v>260.26</v>
      </c>
      <c r="J67" s="627"/>
      <c r="K67" s="632"/>
      <c r="L67" s="417">
        <v>7.2859125000000002</v>
      </c>
      <c r="M67" s="628"/>
      <c r="N67" s="25">
        <f t="shared" si="7"/>
        <v>0</v>
      </c>
      <c r="O67" s="25">
        <f t="shared" si="8"/>
        <v>0</v>
      </c>
      <c r="P67" s="25">
        <f t="shared" si="9"/>
        <v>1041.04</v>
      </c>
      <c r="Q67" s="26">
        <f t="shared" si="10"/>
        <v>0</v>
      </c>
      <c r="R67" s="27">
        <f t="shared" si="11"/>
        <v>0</v>
      </c>
      <c r="S67" s="28">
        <f t="shared" si="12"/>
        <v>1041.04</v>
      </c>
    </row>
    <row r="68" spans="1:19" ht="15.75" hidden="1" customHeight="1">
      <c r="A68" s="416"/>
      <c r="B68" s="556" t="s">
        <v>2388</v>
      </c>
      <c r="C68" s="108"/>
      <c r="D68" s="14"/>
      <c r="E68" s="14"/>
      <c r="F68" s="14"/>
      <c r="G68" s="8"/>
      <c r="H68" s="24">
        <f t="shared" si="16"/>
        <v>0</v>
      </c>
      <c r="I68" s="433">
        <f t="shared" ref="I68:I74" si="18">L68-(L68*J68)</f>
        <v>8.1622099999999982</v>
      </c>
      <c r="J68" s="10"/>
      <c r="K68" s="557"/>
      <c r="L68" s="417">
        <v>8.1622099999999982</v>
      </c>
      <c r="M68" s="32"/>
      <c r="N68" s="25">
        <f t="shared" si="7"/>
        <v>0</v>
      </c>
      <c r="O68" s="25">
        <f t="shared" si="8"/>
        <v>0</v>
      </c>
      <c r="P68" s="25">
        <f t="shared" si="9"/>
        <v>0</v>
      </c>
      <c r="Q68" s="26">
        <f t="shared" si="10"/>
        <v>0</v>
      </c>
      <c r="R68" s="27">
        <f t="shared" si="11"/>
        <v>0</v>
      </c>
      <c r="S68" s="28">
        <f t="shared" si="12"/>
        <v>0</v>
      </c>
    </row>
    <row r="69" spans="1:19" ht="15.75" hidden="1" customHeight="1">
      <c r="A69" s="416"/>
      <c r="B69" s="556" t="s">
        <v>2389</v>
      </c>
      <c r="C69" s="108"/>
      <c r="D69" s="14"/>
      <c r="E69" s="14"/>
      <c r="F69" s="14"/>
      <c r="G69" s="8"/>
      <c r="H69" s="24">
        <f t="shared" si="16"/>
        <v>0</v>
      </c>
      <c r="I69" s="433">
        <f t="shared" si="18"/>
        <v>3.9989774999999992</v>
      </c>
      <c r="J69" s="10"/>
      <c r="K69" s="557"/>
      <c r="L69" s="417">
        <v>3.9989774999999992</v>
      </c>
      <c r="M69" s="32"/>
      <c r="N69" s="25">
        <f t="shared" si="7"/>
        <v>0</v>
      </c>
      <c r="O69" s="25">
        <f t="shared" si="8"/>
        <v>0</v>
      </c>
      <c r="P69" s="25">
        <f t="shared" si="9"/>
        <v>0</v>
      </c>
      <c r="Q69" s="26">
        <f t="shared" si="10"/>
        <v>0</v>
      </c>
      <c r="R69" s="27">
        <f t="shared" si="11"/>
        <v>0</v>
      </c>
      <c r="S69" s="28">
        <f t="shared" si="12"/>
        <v>0</v>
      </c>
    </row>
    <row r="70" spans="1:19" ht="15.75" hidden="1" customHeight="1">
      <c r="A70" s="416"/>
      <c r="B70" s="556" t="s">
        <v>2390</v>
      </c>
      <c r="C70" s="108"/>
      <c r="D70" s="14"/>
      <c r="E70" s="14"/>
      <c r="F70" s="14"/>
      <c r="G70" s="8"/>
      <c r="H70" s="24">
        <f t="shared" si="16"/>
        <v>0</v>
      </c>
      <c r="I70" s="433">
        <f t="shared" si="18"/>
        <v>7.5776391260999985</v>
      </c>
      <c r="J70" s="10"/>
      <c r="K70" s="557"/>
      <c r="L70" s="417">
        <v>7.5776391260999985</v>
      </c>
      <c r="M70" s="32"/>
      <c r="N70" s="25">
        <f t="shared" si="7"/>
        <v>0</v>
      </c>
      <c r="O70" s="25">
        <f t="shared" si="8"/>
        <v>0</v>
      </c>
      <c r="P70" s="25">
        <f t="shared" si="9"/>
        <v>0</v>
      </c>
      <c r="Q70" s="26">
        <f t="shared" si="10"/>
        <v>0</v>
      </c>
      <c r="R70" s="27">
        <f t="shared" si="11"/>
        <v>0</v>
      </c>
      <c r="S70" s="28">
        <f t="shared" si="12"/>
        <v>0</v>
      </c>
    </row>
    <row r="71" spans="1:19" ht="15.75" hidden="1" customHeight="1">
      <c r="A71" s="416"/>
      <c r="B71" s="556" t="s">
        <v>2390</v>
      </c>
      <c r="C71" s="108"/>
      <c r="D71" s="14"/>
      <c r="E71" s="14"/>
      <c r="F71" s="14"/>
      <c r="G71" s="8"/>
      <c r="H71" s="24">
        <f t="shared" si="16"/>
        <v>0</v>
      </c>
      <c r="I71" s="433">
        <f t="shared" si="18"/>
        <v>27.685357139999997</v>
      </c>
      <c r="J71" s="10"/>
      <c r="K71" s="557"/>
      <c r="L71" s="417">
        <v>27.685357139999997</v>
      </c>
      <c r="M71" s="32"/>
      <c r="N71" s="25">
        <f t="shared" ref="N71:N104" si="19">I71*C71</f>
        <v>0</v>
      </c>
      <c r="O71" s="25">
        <f t="shared" ref="O71:O104" si="20">I71*D71</f>
        <v>0</v>
      </c>
      <c r="P71" s="25">
        <f t="shared" ref="P71:P104" si="21">I71*E71</f>
        <v>0</v>
      </c>
      <c r="Q71" s="26">
        <f t="shared" ref="Q71:Q104" si="22">I71*F71</f>
        <v>0</v>
      </c>
      <c r="R71" s="27">
        <f t="shared" ref="R71:R104" si="23">I71*G71</f>
        <v>0</v>
      </c>
      <c r="S71" s="28">
        <f t="shared" ref="S71:S104" si="24">SUM(N71:R71)</f>
        <v>0</v>
      </c>
    </row>
    <row r="72" spans="1:19" ht="15.75" hidden="1" customHeight="1">
      <c r="A72" s="416"/>
      <c r="B72" s="556" t="s">
        <v>2391</v>
      </c>
      <c r="C72" s="108"/>
      <c r="D72" s="14"/>
      <c r="E72" s="14"/>
      <c r="F72" s="14"/>
      <c r="G72" s="8"/>
      <c r="H72" s="24">
        <f t="shared" si="16"/>
        <v>0</v>
      </c>
      <c r="I72" s="433">
        <f t="shared" si="18"/>
        <v>15.199904999999998</v>
      </c>
      <c r="J72" s="10"/>
      <c r="K72" s="557"/>
      <c r="L72" s="417">
        <v>15.199904999999998</v>
      </c>
      <c r="M72" s="32"/>
      <c r="N72" s="25">
        <f t="shared" si="19"/>
        <v>0</v>
      </c>
      <c r="O72" s="25">
        <f t="shared" si="20"/>
        <v>0</v>
      </c>
      <c r="P72" s="25">
        <f t="shared" si="21"/>
        <v>0</v>
      </c>
      <c r="Q72" s="26">
        <f t="shared" si="22"/>
        <v>0</v>
      </c>
      <c r="R72" s="27">
        <f t="shared" si="23"/>
        <v>0</v>
      </c>
      <c r="S72" s="28">
        <f t="shared" si="24"/>
        <v>0</v>
      </c>
    </row>
    <row r="73" spans="1:19" ht="15.75" hidden="1" customHeight="1">
      <c r="A73" s="416"/>
      <c r="B73" s="556" t="s">
        <v>2392</v>
      </c>
      <c r="C73" s="108"/>
      <c r="D73" s="14"/>
      <c r="E73" s="14"/>
      <c r="F73" s="14"/>
      <c r="G73" s="8"/>
      <c r="H73" s="24">
        <f t="shared" si="16"/>
        <v>0</v>
      </c>
      <c r="I73" s="433">
        <f t="shared" si="18"/>
        <v>13.883666509999998</v>
      </c>
      <c r="J73" s="10"/>
      <c r="K73" s="557"/>
      <c r="L73" s="417">
        <v>13.883666509999998</v>
      </c>
      <c r="M73" s="32"/>
      <c r="N73" s="25">
        <f t="shared" si="19"/>
        <v>0</v>
      </c>
      <c r="O73" s="25">
        <f t="shared" si="20"/>
        <v>0</v>
      </c>
      <c r="P73" s="25">
        <f t="shared" si="21"/>
        <v>0</v>
      </c>
      <c r="Q73" s="26">
        <f t="shared" si="22"/>
        <v>0</v>
      </c>
      <c r="R73" s="27">
        <f t="shared" si="23"/>
        <v>0</v>
      </c>
      <c r="S73" s="28">
        <f t="shared" si="24"/>
        <v>0</v>
      </c>
    </row>
    <row r="74" spans="1:19" ht="15.75" hidden="1" customHeight="1">
      <c r="A74" s="416"/>
      <c r="B74" s="556" t="s">
        <v>2393</v>
      </c>
      <c r="C74" s="108"/>
      <c r="D74" s="14"/>
      <c r="E74" s="14"/>
      <c r="F74" s="14"/>
      <c r="G74" s="8"/>
      <c r="H74" s="24">
        <f t="shared" si="16"/>
        <v>0</v>
      </c>
      <c r="I74" s="433">
        <f t="shared" si="18"/>
        <v>6.2859124999999985</v>
      </c>
      <c r="J74" s="10"/>
      <c r="K74" s="557"/>
      <c r="L74" s="417">
        <v>6.2859124999999985</v>
      </c>
      <c r="M74" s="32"/>
      <c r="N74" s="25">
        <f t="shared" si="19"/>
        <v>0</v>
      </c>
      <c r="O74" s="25">
        <f t="shared" si="20"/>
        <v>0</v>
      </c>
      <c r="P74" s="25">
        <f t="shared" si="21"/>
        <v>0</v>
      </c>
      <c r="Q74" s="26">
        <f t="shared" si="22"/>
        <v>0</v>
      </c>
      <c r="R74" s="27">
        <f t="shared" si="23"/>
        <v>0</v>
      </c>
      <c r="S74" s="28">
        <f t="shared" si="24"/>
        <v>0</v>
      </c>
    </row>
    <row r="75" spans="1:19">
      <c r="A75" s="651"/>
      <c r="B75" s="642" t="s">
        <v>2551</v>
      </c>
      <c r="C75" s="639"/>
      <c r="D75" s="637"/>
      <c r="E75" s="637"/>
      <c r="F75" s="637"/>
      <c r="G75" s="637">
        <v>6</v>
      </c>
      <c r="H75" s="626">
        <f t="shared" si="16"/>
        <v>6</v>
      </c>
      <c r="I75" s="631">
        <v>69.7</v>
      </c>
      <c r="J75" s="627"/>
      <c r="K75" s="632"/>
      <c r="L75" s="417">
        <v>14.2859125</v>
      </c>
      <c r="M75" s="628"/>
      <c r="N75" s="25">
        <f t="shared" si="19"/>
        <v>0</v>
      </c>
      <c r="O75" s="25">
        <f t="shared" si="20"/>
        <v>0</v>
      </c>
      <c r="P75" s="25">
        <f t="shared" si="21"/>
        <v>0</v>
      </c>
      <c r="Q75" s="26">
        <f t="shared" si="22"/>
        <v>0</v>
      </c>
      <c r="R75" s="27">
        <f t="shared" si="23"/>
        <v>418.20000000000005</v>
      </c>
      <c r="S75" s="28">
        <f t="shared" si="24"/>
        <v>418.20000000000005</v>
      </c>
    </row>
    <row r="76" spans="1:19">
      <c r="A76" s="651"/>
      <c r="B76" s="642" t="s">
        <v>2550</v>
      </c>
      <c r="C76" s="639"/>
      <c r="D76" s="637"/>
      <c r="E76" s="637"/>
      <c r="F76" s="637"/>
      <c r="G76" s="637">
        <v>6</v>
      </c>
      <c r="H76" s="626">
        <f t="shared" si="16"/>
        <v>6</v>
      </c>
      <c r="I76" s="631">
        <v>246</v>
      </c>
      <c r="J76" s="627"/>
      <c r="K76" s="632"/>
      <c r="L76" s="417">
        <v>13.2859125</v>
      </c>
      <c r="M76" s="628"/>
      <c r="N76" s="25">
        <f t="shared" si="19"/>
        <v>0</v>
      </c>
      <c r="O76" s="25">
        <f t="shared" si="20"/>
        <v>0</v>
      </c>
      <c r="P76" s="25">
        <f t="shared" si="21"/>
        <v>0</v>
      </c>
      <c r="Q76" s="26">
        <f t="shared" si="22"/>
        <v>0</v>
      </c>
      <c r="R76" s="27">
        <f t="shared" si="23"/>
        <v>1476</v>
      </c>
      <c r="S76" s="28">
        <f t="shared" si="24"/>
        <v>1476</v>
      </c>
    </row>
    <row r="77" spans="1:19" ht="15.75" hidden="1" customHeight="1">
      <c r="A77" s="416"/>
      <c r="B77" s="556" t="s">
        <v>2396</v>
      </c>
      <c r="C77" s="108"/>
      <c r="D77" s="14"/>
      <c r="E77" s="14"/>
      <c r="F77" s="14"/>
      <c r="G77" s="8"/>
      <c r="H77" s="24">
        <f t="shared" ref="H77:H104" si="25">SUM(C77:G77)</f>
        <v>0</v>
      </c>
      <c r="I77" s="433">
        <f>L77-(L77*J77)</f>
        <v>14.662917499999999</v>
      </c>
      <c r="J77" s="10"/>
      <c r="K77" s="557"/>
      <c r="L77" s="417">
        <v>14.662917499999999</v>
      </c>
      <c r="M77" s="32"/>
      <c r="N77" s="25">
        <f t="shared" si="19"/>
        <v>0</v>
      </c>
      <c r="O77" s="25">
        <f t="shared" si="20"/>
        <v>0</v>
      </c>
      <c r="P77" s="25">
        <f t="shared" si="21"/>
        <v>0</v>
      </c>
      <c r="Q77" s="26">
        <f t="shared" si="22"/>
        <v>0</v>
      </c>
      <c r="R77" s="27">
        <f t="shared" si="23"/>
        <v>0</v>
      </c>
      <c r="S77" s="28">
        <f t="shared" si="24"/>
        <v>0</v>
      </c>
    </row>
    <row r="78" spans="1:19" ht="15.75" hidden="1" customHeight="1">
      <c r="A78" s="416"/>
      <c r="B78" s="556" t="s">
        <v>2397</v>
      </c>
      <c r="C78" s="108"/>
      <c r="D78" s="14"/>
      <c r="E78" s="14"/>
      <c r="F78" s="14"/>
      <c r="G78" s="8"/>
      <c r="H78" s="24">
        <f t="shared" si="25"/>
        <v>0</v>
      </c>
      <c r="I78" s="433">
        <f>L78-(L78*J78)</f>
        <v>8.2632899999999978</v>
      </c>
      <c r="J78" s="10"/>
      <c r="K78" s="557"/>
      <c r="L78" s="417">
        <v>8.2632899999999978</v>
      </c>
      <c r="M78" s="32"/>
      <c r="N78" s="25">
        <f t="shared" si="19"/>
        <v>0</v>
      </c>
      <c r="O78" s="25">
        <f t="shared" si="20"/>
        <v>0</v>
      </c>
      <c r="P78" s="25">
        <f t="shared" si="21"/>
        <v>0</v>
      </c>
      <c r="Q78" s="26">
        <f t="shared" si="22"/>
        <v>0</v>
      </c>
      <c r="R78" s="27">
        <f t="shared" si="23"/>
        <v>0</v>
      </c>
      <c r="S78" s="28">
        <f t="shared" si="24"/>
        <v>0</v>
      </c>
    </row>
    <row r="79" spans="1:19" ht="15.75" hidden="1" customHeight="1">
      <c r="A79" s="416"/>
      <c r="B79" s="556" t="s">
        <v>2398</v>
      </c>
      <c r="C79" s="108"/>
      <c r="D79" s="14"/>
      <c r="E79" s="14"/>
      <c r="F79" s="14"/>
      <c r="G79" s="8"/>
      <c r="H79" s="24">
        <f t="shared" si="25"/>
        <v>0</v>
      </c>
      <c r="I79" s="433">
        <f>L79-(L79*J79)</f>
        <v>6.3554049999999993</v>
      </c>
      <c r="J79" s="10"/>
      <c r="K79" s="557"/>
      <c r="L79" s="417">
        <v>6.3554049999999993</v>
      </c>
      <c r="M79" s="32"/>
      <c r="N79" s="25">
        <f t="shared" si="19"/>
        <v>0</v>
      </c>
      <c r="O79" s="25">
        <f t="shared" si="20"/>
        <v>0</v>
      </c>
      <c r="P79" s="25">
        <f t="shared" si="21"/>
        <v>0</v>
      </c>
      <c r="Q79" s="26">
        <f t="shared" si="22"/>
        <v>0</v>
      </c>
      <c r="R79" s="27">
        <f t="shared" si="23"/>
        <v>0</v>
      </c>
      <c r="S79" s="28">
        <f t="shared" si="24"/>
        <v>0</v>
      </c>
    </row>
    <row r="80" spans="1:19" ht="15.75" hidden="1" customHeight="1">
      <c r="A80" s="416"/>
      <c r="B80" s="556" t="s">
        <v>2399</v>
      </c>
      <c r="C80" s="108"/>
      <c r="D80" s="14"/>
      <c r="E80" s="14"/>
      <c r="F80" s="14"/>
      <c r="G80" s="8"/>
      <c r="H80" s="24">
        <f t="shared" si="25"/>
        <v>0</v>
      </c>
      <c r="I80" s="433">
        <f>L80-(L80*J80)</f>
        <v>11.365182499999998</v>
      </c>
      <c r="J80" s="10"/>
      <c r="K80" s="557"/>
      <c r="L80" s="417">
        <v>11.365182499999998</v>
      </c>
      <c r="M80" s="32"/>
      <c r="N80" s="25">
        <f t="shared" si="19"/>
        <v>0</v>
      </c>
      <c r="O80" s="25">
        <f t="shared" si="20"/>
        <v>0</v>
      </c>
      <c r="P80" s="25">
        <f t="shared" si="21"/>
        <v>0</v>
      </c>
      <c r="Q80" s="26">
        <f t="shared" si="22"/>
        <v>0</v>
      </c>
      <c r="R80" s="27">
        <f t="shared" si="23"/>
        <v>0</v>
      </c>
      <c r="S80" s="28">
        <f t="shared" si="24"/>
        <v>0</v>
      </c>
    </row>
    <row r="81" spans="1:19" ht="15.75" hidden="1" customHeight="1">
      <c r="A81" s="416"/>
      <c r="B81" s="556" t="s">
        <v>2400</v>
      </c>
      <c r="C81" s="108"/>
      <c r="D81" s="14"/>
      <c r="E81" s="14"/>
      <c r="F81" s="14"/>
      <c r="G81" s="8"/>
      <c r="H81" s="24">
        <f t="shared" si="25"/>
        <v>0</v>
      </c>
      <c r="I81" s="433">
        <f>L81-(L81*J81)</f>
        <v>50.192537499999993</v>
      </c>
      <c r="J81" s="10"/>
      <c r="K81" s="557"/>
      <c r="L81" s="417">
        <v>50.192537499999993</v>
      </c>
      <c r="M81" s="32"/>
      <c r="N81" s="25">
        <f t="shared" si="19"/>
        <v>0</v>
      </c>
      <c r="O81" s="25">
        <f t="shared" si="20"/>
        <v>0</v>
      </c>
      <c r="P81" s="25">
        <f t="shared" si="21"/>
        <v>0</v>
      </c>
      <c r="Q81" s="26">
        <f t="shared" si="22"/>
        <v>0</v>
      </c>
      <c r="R81" s="27">
        <f t="shared" si="23"/>
        <v>0</v>
      </c>
      <c r="S81" s="28">
        <f t="shared" si="24"/>
        <v>0</v>
      </c>
    </row>
    <row r="82" spans="1:19">
      <c r="A82" s="651"/>
      <c r="B82" s="640" t="s">
        <v>2520</v>
      </c>
      <c r="C82" s="639"/>
      <c r="D82" s="637"/>
      <c r="E82" s="641">
        <v>4</v>
      </c>
      <c r="F82" s="637"/>
      <c r="G82" s="638"/>
      <c r="H82" s="626">
        <f t="shared" si="25"/>
        <v>4</v>
      </c>
      <c r="I82" s="631">
        <v>391.84</v>
      </c>
      <c r="J82" s="627"/>
      <c r="K82" s="632"/>
      <c r="L82" s="417">
        <v>8.2859125000000002</v>
      </c>
      <c r="M82" s="628"/>
      <c r="N82" s="25">
        <f t="shared" si="19"/>
        <v>0</v>
      </c>
      <c r="O82" s="25">
        <f t="shared" si="20"/>
        <v>0</v>
      </c>
      <c r="P82" s="25">
        <f t="shared" si="21"/>
        <v>1567.36</v>
      </c>
      <c r="Q82" s="26">
        <f t="shared" si="22"/>
        <v>0</v>
      </c>
      <c r="R82" s="27">
        <f t="shared" si="23"/>
        <v>0</v>
      </c>
      <c r="S82" s="28">
        <f t="shared" si="24"/>
        <v>1567.36</v>
      </c>
    </row>
    <row r="83" spans="1:19" ht="15.75" hidden="1" customHeight="1">
      <c r="A83" s="416"/>
      <c r="B83" s="556" t="s">
        <v>2402</v>
      </c>
      <c r="C83" s="108"/>
      <c r="D83" s="14"/>
      <c r="E83" s="14"/>
      <c r="F83" s="14"/>
      <c r="G83" s="8"/>
      <c r="H83" s="24">
        <f t="shared" si="25"/>
        <v>0</v>
      </c>
      <c r="I83" s="433">
        <f>L83-(L83*J83)</f>
        <v>4.1517851899999991</v>
      </c>
      <c r="J83" s="10"/>
      <c r="K83" s="557"/>
      <c r="L83" s="417">
        <v>4.1517851899999991</v>
      </c>
      <c r="M83" s="32"/>
      <c r="N83" s="25">
        <f t="shared" si="19"/>
        <v>0</v>
      </c>
      <c r="O83" s="25">
        <f t="shared" si="20"/>
        <v>0</v>
      </c>
      <c r="P83" s="25">
        <f t="shared" si="21"/>
        <v>0</v>
      </c>
      <c r="Q83" s="26">
        <f t="shared" si="22"/>
        <v>0</v>
      </c>
      <c r="R83" s="27">
        <f t="shared" si="23"/>
        <v>0</v>
      </c>
      <c r="S83" s="28">
        <f t="shared" si="24"/>
        <v>0</v>
      </c>
    </row>
    <row r="84" spans="1:19" ht="15.75" hidden="1" customHeight="1">
      <c r="A84" s="416"/>
      <c r="B84" s="556" t="s">
        <v>2403</v>
      </c>
      <c r="C84" s="108"/>
      <c r="D84" s="14"/>
      <c r="E84" s="14"/>
      <c r="F84" s="14"/>
      <c r="G84" s="8"/>
      <c r="H84" s="24">
        <f t="shared" si="25"/>
        <v>0</v>
      </c>
      <c r="I84" s="433">
        <f>L84-(L84*J84)</f>
        <v>4.1517851899999991</v>
      </c>
      <c r="J84" s="10"/>
      <c r="K84" s="557"/>
      <c r="L84" s="417">
        <v>4.1517851899999991</v>
      </c>
      <c r="M84" s="32"/>
      <c r="N84" s="25">
        <f t="shared" si="19"/>
        <v>0</v>
      </c>
      <c r="O84" s="25">
        <f t="shared" si="20"/>
        <v>0</v>
      </c>
      <c r="P84" s="25">
        <f t="shared" si="21"/>
        <v>0</v>
      </c>
      <c r="Q84" s="26">
        <f t="shared" si="22"/>
        <v>0</v>
      </c>
      <c r="R84" s="27">
        <f t="shared" si="23"/>
        <v>0</v>
      </c>
      <c r="S84" s="28">
        <f t="shared" si="24"/>
        <v>0</v>
      </c>
    </row>
    <row r="85" spans="1:19">
      <c r="A85" s="651"/>
      <c r="B85" s="640" t="s">
        <v>2521</v>
      </c>
      <c r="C85" s="639"/>
      <c r="D85" s="637"/>
      <c r="E85" s="641">
        <v>2</v>
      </c>
      <c r="F85" s="637"/>
      <c r="G85" s="638"/>
      <c r="H85" s="626">
        <f t="shared" si="25"/>
        <v>2</v>
      </c>
      <c r="I85" s="631">
        <v>83.51</v>
      </c>
      <c r="J85" s="627"/>
      <c r="K85" s="632"/>
      <c r="L85" s="417">
        <v>9.2859125000000002</v>
      </c>
      <c r="M85" s="628"/>
      <c r="N85" s="25">
        <f t="shared" si="19"/>
        <v>0</v>
      </c>
      <c r="O85" s="25">
        <f t="shared" si="20"/>
        <v>0</v>
      </c>
      <c r="P85" s="25">
        <f t="shared" si="21"/>
        <v>167.02</v>
      </c>
      <c r="Q85" s="26">
        <f t="shared" si="22"/>
        <v>0</v>
      </c>
      <c r="R85" s="27">
        <f t="shared" si="23"/>
        <v>0</v>
      </c>
      <c r="S85" s="28">
        <f t="shared" si="24"/>
        <v>167.02</v>
      </c>
    </row>
    <row r="86" spans="1:19" ht="15.75" hidden="1" customHeight="1">
      <c r="A86" s="58"/>
      <c r="B86" s="556" t="s">
        <v>2405</v>
      </c>
      <c r="C86" s="108"/>
      <c r="D86" s="14"/>
      <c r="E86" s="14"/>
      <c r="F86" s="14"/>
      <c r="G86" s="8"/>
      <c r="H86" s="24">
        <f t="shared" si="25"/>
        <v>0</v>
      </c>
      <c r="I86" s="433">
        <f>L86-(L86*J86)</f>
        <v>10.306836994999998</v>
      </c>
      <c r="J86" s="10"/>
      <c r="K86" s="557"/>
      <c r="L86" s="417">
        <v>10.306836994999998</v>
      </c>
      <c r="M86" s="32"/>
      <c r="N86" s="25">
        <f t="shared" si="19"/>
        <v>0</v>
      </c>
      <c r="O86" s="25">
        <f t="shared" si="20"/>
        <v>0</v>
      </c>
      <c r="P86" s="25">
        <f t="shared" si="21"/>
        <v>0</v>
      </c>
      <c r="Q86" s="26">
        <f t="shared" si="22"/>
        <v>0</v>
      </c>
      <c r="R86" s="27">
        <f t="shared" si="23"/>
        <v>0</v>
      </c>
      <c r="S86" s="28">
        <f t="shared" si="24"/>
        <v>0</v>
      </c>
    </row>
    <row r="87" spans="1:19" ht="15.75" hidden="1" customHeight="1">
      <c r="A87" s="59"/>
      <c r="B87" s="556" t="s">
        <v>2406</v>
      </c>
      <c r="C87" s="108"/>
      <c r="D87" s="14"/>
      <c r="E87" s="14"/>
      <c r="F87" s="14"/>
      <c r="G87" s="8"/>
      <c r="H87" s="24">
        <f t="shared" si="25"/>
        <v>0</v>
      </c>
      <c r="I87" s="433">
        <f>L87-(L87*J87)</f>
        <v>56.10571749999999</v>
      </c>
      <c r="J87" s="10"/>
      <c r="K87" s="557"/>
      <c r="L87" s="417">
        <v>56.10571749999999</v>
      </c>
      <c r="M87" s="32"/>
      <c r="N87" s="25">
        <f t="shared" si="19"/>
        <v>0</v>
      </c>
      <c r="O87" s="25">
        <f t="shared" si="20"/>
        <v>0</v>
      </c>
      <c r="P87" s="25">
        <f t="shared" si="21"/>
        <v>0</v>
      </c>
      <c r="Q87" s="26">
        <f t="shared" si="22"/>
        <v>0</v>
      </c>
      <c r="R87" s="27">
        <f t="shared" si="23"/>
        <v>0</v>
      </c>
      <c r="S87" s="28">
        <f t="shared" si="24"/>
        <v>0</v>
      </c>
    </row>
    <row r="88" spans="1:19">
      <c r="B88" s="640" t="s">
        <v>2522</v>
      </c>
      <c r="C88" s="639"/>
      <c r="D88" s="637"/>
      <c r="E88" s="641">
        <v>6</v>
      </c>
      <c r="F88" s="637"/>
      <c r="G88" s="638"/>
      <c r="H88" s="626">
        <f t="shared" si="25"/>
        <v>6</v>
      </c>
      <c r="I88" s="631">
        <v>198.72</v>
      </c>
      <c r="J88" s="627"/>
      <c r="K88" s="632"/>
      <c r="L88" s="417">
        <v>10.2859125</v>
      </c>
      <c r="M88" s="628"/>
      <c r="N88" s="25">
        <f t="shared" si="19"/>
        <v>0</v>
      </c>
      <c r="O88" s="25">
        <f t="shared" si="20"/>
        <v>0</v>
      </c>
      <c r="P88" s="25">
        <f t="shared" si="21"/>
        <v>1192.32</v>
      </c>
      <c r="Q88" s="26">
        <f t="shared" si="22"/>
        <v>0</v>
      </c>
      <c r="R88" s="27">
        <f t="shared" si="23"/>
        <v>0</v>
      </c>
      <c r="S88" s="28">
        <f t="shared" si="24"/>
        <v>1192.32</v>
      </c>
    </row>
    <row r="89" spans="1:19" ht="15.75" hidden="1" customHeight="1">
      <c r="A89" s="60"/>
      <c r="B89" s="556" t="s">
        <v>2408</v>
      </c>
      <c r="C89" s="108"/>
      <c r="D89" s="14"/>
      <c r="E89" s="14"/>
      <c r="F89" s="14"/>
      <c r="G89" s="8"/>
      <c r="H89" s="24">
        <f t="shared" si="25"/>
        <v>0</v>
      </c>
      <c r="I89" s="433">
        <f>L89-(L89*J89)</f>
        <v>4.091263539999999</v>
      </c>
      <c r="J89" s="10"/>
      <c r="K89" s="557"/>
      <c r="L89" s="417">
        <v>4.091263539999999</v>
      </c>
      <c r="M89" s="32"/>
      <c r="N89" s="25">
        <f t="shared" si="19"/>
        <v>0</v>
      </c>
      <c r="O89" s="25">
        <f t="shared" si="20"/>
        <v>0</v>
      </c>
      <c r="P89" s="25">
        <f t="shared" si="21"/>
        <v>0</v>
      </c>
      <c r="Q89" s="26">
        <f t="shared" si="22"/>
        <v>0</v>
      </c>
      <c r="R89" s="27">
        <f t="shared" si="23"/>
        <v>0</v>
      </c>
      <c r="S89" s="28">
        <f t="shared" si="24"/>
        <v>0</v>
      </c>
    </row>
    <row r="90" spans="1:19" ht="15.75" hidden="1" customHeight="1">
      <c r="A90" s="61"/>
      <c r="B90" s="556" t="s">
        <v>2409</v>
      </c>
      <c r="C90" s="108"/>
      <c r="D90" s="14"/>
      <c r="E90" s="14"/>
      <c r="F90" s="14"/>
      <c r="G90" s="8"/>
      <c r="H90" s="24">
        <f t="shared" si="25"/>
        <v>0</v>
      </c>
      <c r="I90" s="433">
        <f>L90-(L90*J90)</f>
        <v>6.2859124999999985</v>
      </c>
      <c r="J90" s="10"/>
      <c r="K90" s="557"/>
      <c r="L90" s="417">
        <v>6.2859124999999985</v>
      </c>
      <c r="M90" s="32"/>
      <c r="N90" s="25">
        <f t="shared" si="19"/>
        <v>0</v>
      </c>
      <c r="O90" s="25">
        <f t="shared" si="20"/>
        <v>0</v>
      </c>
      <c r="P90" s="25">
        <f t="shared" si="21"/>
        <v>0</v>
      </c>
      <c r="Q90" s="26">
        <f t="shared" si="22"/>
        <v>0</v>
      </c>
      <c r="R90" s="27">
        <f t="shared" si="23"/>
        <v>0</v>
      </c>
      <c r="S90" s="28">
        <f t="shared" si="24"/>
        <v>0</v>
      </c>
    </row>
    <row r="91" spans="1:19">
      <c r="A91" s="652"/>
      <c r="B91" s="640" t="s">
        <v>2523</v>
      </c>
      <c r="C91" s="639"/>
      <c r="D91" s="637"/>
      <c r="E91" s="641">
        <v>6</v>
      </c>
      <c r="F91" s="637"/>
      <c r="G91" s="638"/>
      <c r="H91" s="626">
        <f t="shared" si="25"/>
        <v>6</v>
      </c>
      <c r="I91" s="631">
        <v>149.28</v>
      </c>
      <c r="J91" s="627"/>
      <c r="K91" s="632"/>
      <c r="L91" s="417">
        <v>11.2859125</v>
      </c>
      <c r="M91" s="628"/>
      <c r="N91" s="25">
        <f t="shared" si="19"/>
        <v>0</v>
      </c>
      <c r="O91" s="25">
        <f t="shared" si="20"/>
        <v>0</v>
      </c>
      <c r="P91" s="25">
        <f t="shared" si="21"/>
        <v>895.68000000000006</v>
      </c>
      <c r="Q91" s="26">
        <f t="shared" si="22"/>
        <v>0</v>
      </c>
      <c r="R91" s="27">
        <f t="shared" si="23"/>
        <v>0</v>
      </c>
      <c r="S91" s="28">
        <f t="shared" si="24"/>
        <v>895.68000000000006</v>
      </c>
    </row>
    <row r="92" spans="1:19" ht="16.5" hidden="1" customHeight="1" thickBot="1">
      <c r="A92" s="62"/>
      <c r="B92" s="556" t="s">
        <v>2411</v>
      </c>
      <c r="C92" s="108"/>
      <c r="D92" s="14"/>
      <c r="E92" s="14"/>
      <c r="F92" s="14"/>
      <c r="G92" s="8"/>
      <c r="H92" s="24">
        <f t="shared" si="25"/>
        <v>0</v>
      </c>
      <c r="I92" s="433">
        <f>L92-(L92*J92)</f>
        <v>11.365182499999998</v>
      </c>
      <c r="J92" s="10"/>
      <c r="K92" s="557"/>
      <c r="L92" s="417">
        <v>11.365182499999998</v>
      </c>
      <c r="M92" s="32"/>
      <c r="N92" s="25">
        <f t="shared" si="19"/>
        <v>0</v>
      </c>
      <c r="O92" s="25">
        <f t="shared" si="20"/>
        <v>0</v>
      </c>
      <c r="P92" s="25">
        <f t="shared" si="21"/>
        <v>0</v>
      </c>
      <c r="Q92" s="26">
        <f t="shared" si="22"/>
        <v>0</v>
      </c>
      <c r="R92" s="27">
        <f t="shared" si="23"/>
        <v>0</v>
      </c>
      <c r="S92" s="28">
        <f t="shared" si="24"/>
        <v>0</v>
      </c>
    </row>
    <row r="93" spans="1:19" ht="15.75" hidden="1" customHeight="1">
      <c r="A93" s="2"/>
      <c r="B93" s="556" t="s">
        <v>2412</v>
      </c>
      <c r="C93" s="108"/>
      <c r="D93" s="14"/>
      <c r="E93" s="14"/>
      <c r="F93" s="14"/>
      <c r="G93" s="8"/>
      <c r="H93" s="24">
        <f t="shared" si="25"/>
        <v>0</v>
      </c>
      <c r="I93" s="433">
        <f>L93-(L93*J93)</f>
        <v>11.365182499999998</v>
      </c>
      <c r="J93" s="10"/>
      <c r="K93" s="557"/>
      <c r="L93" s="417">
        <v>11.365182499999998</v>
      </c>
      <c r="M93" s="32"/>
      <c r="N93" s="25">
        <f t="shared" si="19"/>
        <v>0</v>
      </c>
      <c r="O93" s="25">
        <f t="shared" si="20"/>
        <v>0</v>
      </c>
      <c r="P93" s="25">
        <f t="shared" si="21"/>
        <v>0</v>
      </c>
      <c r="Q93" s="26">
        <f t="shared" si="22"/>
        <v>0</v>
      </c>
      <c r="R93" s="27">
        <f t="shared" si="23"/>
        <v>0</v>
      </c>
      <c r="S93" s="28">
        <f t="shared" si="24"/>
        <v>0</v>
      </c>
    </row>
    <row r="94" spans="1:19" ht="15.75" customHeight="1">
      <c r="A94" s="650"/>
      <c r="B94" s="634" t="s">
        <v>2383</v>
      </c>
      <c r="C94" s="639">
        <v>2</v>
      </c>
      <c r="D94" s="637"/>
      <c r="E94" s="637"/>
      <c r="F94" s="637"/>
      <c r="G94" s="638"/>
      <c r="H94" s="626">
        <f t="shared" si="25"/>
        <v>2</v>
      </c>
      <c r="I94" s="631">
        <v>37.24</v>
      </c>
      <c r="J94" s="627"/>
      <c r="K94" s="632"/>
      <c r="L94" s="417">
        <v>5.6164091199999984</v>
      </c>
      <c r="M94" s="628"/>
      <c r="N94" s="25">
        <f t="shared" si="19"/>
        <v>74.48</v>
      </c>
      <c r="O94" s="25">
        <f t="shared" si="20"/>
        <v>0</v>
      </c>
      <c r="P94" s="25">
        <f t="shared" si="21"/>
        <v>0</v>
      </c>
      <c r="Q94" s="26">
        <f t="shared" si="22"/>
        <v>0</v>
      </c>
      <c r="R94" s="27">
        <f t="shared" si="23"/>
        <v>0</v>
      </c>
      <c r="S94" s="28">
        <f t="shared" si="24"/>
        <v>74.48</v>
      </c>
    </row>
    <row r="95" spans="1:19">
      <c r="A95" s="650"/>
      <c r="B95" s="634" t="s">
        <v>2384</v>
      </c>
      <c r="C95" s="637">
        <v>2</v>
      </c>
      <c r="D95" s="637"/>
      <c r="E95" s="637"/>
      <c r="F95" s="637"/>
      <c r="G95" s="638"/>
      <c r="H95" s="626">
        <f t="shared" si="25"/>
        <v>2</v>
      </c>
      <c r="I95" s="631">
        <v>50.46</v>
      </c>
      <c r="J95" s="627"/>
      <c r="K95" s="632"/>
      <c r="L95" s="417">
        <v>3.6434033299999991</v>
      </c>
      <c r="M95" s="628"/>
      <c r="N95" s="25">
        <f t="shared" si="19"/>
        <v>100.92</v>
      </c>
      <c r="O95" s="25">
        <f t="shared" si="20"/>
        <v>0</v>
      </c>
      <c r="P95" s="25">
        <f t="shared" si="21"/>
        <v>0</v>
      </c>
      <c r="Q95" s="26">
        <f t="shared" si="22"/>
        <v>0</v>
      </c>
      <c r="R95" s="27">
        <f t="shared" si="23"/>
        <v>0</v>
      </c>
      <c r="S95" s="28">
        <f t="shared" si="24"/>
        <v>100.92</v>
      </c>
    </row>
    <row r="96" spans="1:19">
      <c r="A96" s="650"/>
      <c r="B96" s="634" t="s">
        <v>2387</v>
      </c>
      <c r="C96" s="637">
        <v>12</v>
      </c>
      <c r="D96" s="637"/>
      <c r="E96" s="637"/>
      <c r="F96" s="637"/>
      <c r="G96" s="638"/>
      <c r="H96" s="626">
        <f t="shared" si="25"/>
        <v>12</v>
      </c>
      <c r="I96" s="631">
        <v>47.99</v>
      </c>
      <c r="J96" s="627"/>
      <c r="K96" s="632"/>
      <c r="L96" s="417">
        <v>4.6884479524499998</v>
      </c>
      <c r="M96" s="628"/>
      <c r="N96" s="25">
        <f t="shared" si="19"/>
        <v>575.88</v>
      </c>
      <c r="O96" s="25">
        <f t="shared" si="20"/>
        <v>0</v>
      </c>
      <c r="P96" s="25">
        <f t="shared" si="21"/>
        <v>0</v>
      </c>
      <c r="Q96" s="26">
        <f t="shared" si="22"/>
        <v>0</v>
      </c>
      <c r="R96" s="27">
        <f t="shared" si="23"/>
        <v>0</v>
      </c>
      <c r="S96" s="28">
        <f t="shared" si="24"/>
        <v>575.88</v>
      </c>
    </row>
    <row r="97" spans="1:19">
      <c r="B97" s="642" t="s">
        <v>2552</v>
      </c>
      <c r="C97" s="637"/>
      <c r="D97" s="637"/>
      <c r="E97" s="637"/>
      <c r="F97" s="637"/>
      <c r="G97" s="637">
        <v>5</v>
      </c>
      <c r="H97" s="626">
        <f t="shared" si="25"/>
        <v>5</v>
      </c>
      <c r="I97" s="631">
        <v>366.12</v>
      </c>
      <c r="J97" s="627"/>
      <c r="K97" s="632"/>
      <c r="L97" s="417">
        <v>15.2859125</v>
      </c>
      <c r="M97" s="628"/>
      <c r="N97" s="25">
        <f t="shared" si="19"/>
        <v>0</v>
      </c>
      <c r="O97" s="25">
        <f t="shared" si="20"/>
        <v>0</v>
      </c>
      <c r="P97" s="25">
        <f t="shared" si="21"/>
        <v>0</v>
      </c>
      <c r="Q97" s="26">
        <f t="shared" si="22"/>
        <v>0</v>
      </c>
      <c r="R97" s="27">
        <f t="shared" si="23"/>
        <v>1830.6</v>
      </c>
      <c r="S97" s="28">
        <f t="shared" si="24"/>
        <v>1830.6</v>
      </c>
    </row>
    <row r="98" spans="1:19">
      <c r="A98" s="650"/>
      <c r="B98" s="634" t="s">
        <v>2394</v>
      </c>
      <c r="C98" s="637">
        <v>6</v>
      </c>
      <c r="D98" s="637"/>
      <c r="E98" s="637"/>
      <c r="F98" s="637">
        <v>100</v>
      </c>
      <c r="G98" s="638"/>
      <c r="H98" s="626">
        <f t="shared" si="25"/>
        <v>106</v>
      </c>
      <c r="I98" s="631">
        <v>19.46</v>
      </c>
      <c r="J98" s="627"/>
      <c r="K98" s="632"/>
      <c r="L98" s="417">
        <v>2.0274752749999991</v>
      </c>
      <c r="M98" s="628"/>
      <c r="N98" s="25">
        <f t="shared" si="19"/>
        <v>116.76</v>
      </c>
      <c r="O98" s="25">
        <f t="shared" si="20"/>
        <v>0</v>
      </c>
      <c r="P98" s="25">
        <f t="shared" si="21"/>
        <v>0</v>
      </c>
      <c r="Q98" s="26">
        <f t="shared" si="22"/>
        <v>1946</v>
      </c>
      <c r="R98" s="27">
        <f t="shared" si="23"/>
        <v>0</v>
      </c>
      <c r="S98" s="28">
        <f t="shared" si="24"/>
        <v>2062.7600000000002</v>
      </c>
    </row>
    <row r="99" spans="1:19">
      <c r="B99" s="642" t="s">
        <v>2553</v>
      </c>
      <c r="C99" s="637"/>
      <c r="D99" s="637"/>
      <c r="E99" s="637"/>
      <c r="F99" s="637"/>
      <c r="G99" s="637">
        <v>5</v>
      </c>
      <c r="H99" s="626">
        <f t="shared" si="25"/>
        <v>5</v>
      </c>
      <c r="I99" s="631">
        <v>19.46</v>
      </c>
      <c r="J99" s="627"/>
      <c r="K99" s="632"/>
      <c r="L99" s="417">
        <v>16.285912499999998</v>
      </c>
      <c r="M99" s="628"/>
      <c r="N99" s="25">
        <f t="shared" si="19"/>
        <v>0</v>
      </c>
      <c r="O99" s="25">
        <f t="shared" si="20"/>
        <v>0</v>
      </c>
      <c r="P99" s="25">
        <f t="shared" si="21"/>
        <v>0</v>
      </c>
      <c r="Q99" s="26">
        <f t="shared" si="22"/>
        <v>0</v>
      </c>
      <c r="R99" s="27">
        <f t="shared" si="23"/>
        <v>97.300000000000011</v>
      </c>
      <c r="S99" s="28">
        <f t="shared" si="24"/>
        <v>97.300000000000011</v>
      </c>
    </row>
    <row r="100" spans="1:19">
      <c r="A100" s="650"/>
      <c r="B100" s="634" t="s">
        <v>2395</v>
      </c>
      <c r="C100" s="637">
        <v>12</v>
      </c>
      <c r="D100" s="637"/>
      <c r="E100" s="637">
        <v>20</v>
      </c>
      <c r="F100" s="637"/>
      <c r="G100" s="638"/>
      <c r="H100" s="626">
        <f t="shared" si="25"/>
        <v>32</v>
      </c>
      <c r="I100" s="631">
        <v>234</v>
      </c>
      <c r="J100" s="627"/>
      <c r="K100" s="632"/>
      <c r="L100" s="417">
        <v>17.02355392066</v>
      </c>
      <c r="M100" s="628"/>
      <c r="N100" s="25">
        <f t="shared" si="19"/>
        <v>2808</v>
      </c>
      <c r="O100" s="25">
        <f t="shared" si="20"/>
        <v>0</v>
      </c>
      <c r="P100" s="25">
        <f t="shared" si="21"/>
        <v>4680</v>
      </c>
      <c r="Q100" s="26">
        <f t="shared" si="22"/>
        <v>0</v>
      </c>
      <c r="R100" s="27">
        <f t="shared" si="23"/>
        <v>0</v>
      </c>
      <c r="S100" s="28">
        <f t="shared" si="24"/>
        <v>7488</v>
      </c>
    </row>
    <row r="101" spans="1:19">
      <c r="A101" s="650"/>
      <c r="B101" s="634" t="s">
        <v>2401</v>
      </c>
      <c r="C101" s="637"/>
      <c r="D101" s="637"/>
      <c r="E101" s="637">
        <v>20</v>
      </c>
      <c r="F101" s="637">
        <v>20</v>
      </c>
      <c r="G101" s="638"/>
      <c r="H101" s="626">
        <f t="shared" si="25"/>
        <v>40</v>
      </c>
      <c r="I101" s="631">
        <v>111.49</v>
      </c>
      <c r="J101" s="627"/>
      <c r="K101" s="632"/>
      <c r="L101" s="417">
        <v>8.04937945</v>
      </c>
      <c r="M101" s="628"/>
      <c r="N101" s="25">
        <f t="shared" si="19"/>
        <v>0</v>
      </c>
      <c r="O101" s="25">
        <f t="shared" si="20"/>
        <v>0</v>
      </c>
      <c r="P101" s="25">
        <f t="shared" si="21"/>
        <v>2229.7999999999997</v>
      </c>
      <c r="Q101" s="26">
        <f t="shared" si="22"/>
        <v>2229.7999999999997</v>
      </c>
      <c r="R101" s="27">
        <f t="shared" si="23"/>
        <v>0</v>
      </c>
      <c r="S101" s="28">
        <f t="shared" si="24"/>
        <v>4459.5999999999995</v>
      </c>
    </row>
    <row r="102" spans="1:19">
      <c r="A102" s="650"/>
      <c r="B102" s="634" t="s">
        <v>2404</v>
      </c>
      <c r="C102" s="637"/>
      <c r="D102" s="637"/>
      <c r="E102" s="637"/>
      <c r="F102" s="637">
        <v>12</v>
      </c>
      <c r="G102" s="638"/>
      <c r="H102" s="626">
        <f t="shared" si="25"/>
        <v>12</v>
      </c>
      <c r="I102" s="631">
        <v>55.02</v>
      </c>
      <c r="J102" s="627"/>
      <c r="K102" s="632"/>
      <c r="L102" s="417">
        <v>3.8059644818999985</v>
      </c>
      <c r="M102" s="628"/>
      <c r="N102" s="25">
        <f t="shared" si="19"/>
        <v>0</v>
      </c>
      <c r="O102" s="25">
        <f t="shared" si="20"/>
        <v>0</v>
      </c>
      <c r="P102" s="25">
        <f t="shared" si="21"/>
        <v>0</v>
      </c>
      <c r="Q102" s="26">
        <f t="shared" si="22"/>
        <v>660.24</v>
      </c>
      <c r="R102" s="27">
        <f t="shared" si="23"/>
        <v>0</v>
      </c>
      <c r="S102" s="28">
        <f t="shared" si="24"/>
        <v>660.24</v>
      </c>
    </row>
    <row r="103" spans="1:19">
      <c r="A103" s="2"/>
      <c r="B103" s="634" t="s">
        <v>2407</v>
      </c>
      <c r="C103" s="637"/>
      <c r="D103" s="637">
        <v>50</v>
      </c>
      <c r="E103" s="637">
        <v>20</v>
      </c>
      <c r="F103" s="637"/>
      <c r="G103" s="638"/>
      <c r="H103" s="626">
        <f t="shared" si="25"/>
        <v>70</v>
      </c>
      <c r="I103" s="631">
        <v>94.4</v>
      </c>
      <c r="J103" s="627"/>
      <c r="K103" s="632"/>
      <c r="L103" s="417">
        <v>16.715171905249996</v>
      </c>
      <c r="M103" s="628"/>
      <c r="N103" s="25">
        <f t="shared" si="19"/>
        <v>0</v>
      </c>
      <c r="O103" s="25">
        <f t="shared" si="20"/>
        <v>4720</v>
      </c>
      <c r="P103" s="25">
        <f t="shared" si="21"/>
        <v>1888</v>
      </c>
      <c r="Q103" s="26">
        <f t="shared" si="22"/>
        <v>0</v>
      </c>
      <c r="R103" s="27">
        <f t="shared" si="23"/>
        <v>0</v>
      </c>
      <c r="S103" s="28">
        <f t="shared" si="24"/>
        <v>6608</v>
      </c>
    </row>
    <row r="104" spans="1:19">
      <c r="A104" s="653"/>
      <c r="B104" s="634" t="s">
        <v>2410</v>
      </c>
      <c r="C104" s="637">
        <v>1</v>
      </c>
      <c r="D104" s="637"/>
      <c r="E104" s="637"/>
      <c r="F104" s="637">
        <v>1</v>
      </c>
      <c r="G104" s="638"/>
      <c r="H104" s="626">
        <f t="shared" si="25"/>
        <v>2</v>
      </c>
      <c r="I104" s="631">
        <v>1015.25</v>
      </c>
      <c r="J104" s="627"/>
      <c r="K104" s="632"/>
      <c r="L104" s="417">
        <v>11.984297499999998</v>
      </c>
      <c r="M104" s="628"/>
      <c r="N104" s="25">
        <f t="shared" si="19"/>
        <v>1015.25</v>
      </c>
      <c r="O104" s="25">
        <f t="shared" si="20"/>
        <v>0</v>
      </c>
      <c r="P104" s="25">
        <f t="shared" si="21"/>
        <v>0</v>
      </c>
      <c r="Q104" s="26">
        <f t="shared" si="22"/>
        <v>1015.25</v>
      </c>
      <c r="R104" s="27">
        <f t="shared" si="23"/>
        <v>0</v>
      </c>
      <c r="S104" s="28">
        <f t="shared" si="24"/>
        <v>2030.5</v>
      </c>
    </row>
    <row r="105" spans="1:19">
      <c r="B105" s="643"/>
      <c r="C105" s="633">
        <f t="shared" ref="C105:H105" si="26">SUM(N6:N104)</f>
        <v>6092.27</v>
      </c>
      <c r="D105" s="633">
        <f t="shared" si="26"/>
        <v>24841.317596190001</v>
      </c>
      <c r="E105" s="633">
        <f t="shared" si="26"/>
        <v>20023.62</v>
      </c>
      <c r="F105" s="633">
        <f t="shared" si="26"/>
        <v>8843.49</v>
      </c>
      <c r="G105" s="633">
        <f t="shared" si="26"/>
        <v>7143.0999999999995</v>
      </c>
      <c r="H105" s="633">
        <f t="shared" si="26"/>
        <v>66943.797596190008</v>
      </c>
      <c r="I105" s="643"/>
      <c r="J105" s="643"/>
      <c r="K105" s="643"/>
      <c r="L105" s="629"/>
      <c r="M105" s="643"/>
      <c r="N105" s="629"/>
    </row>
    <row r="106" spans="1:19">
      <c r="B106" s="644"/>
      <c r="C106" s="645"/>
      <c r="D106" s="645"/>
      <c r="E106" s="645"/>
      <c r="F106" s="645"/>
      <c r="G106" s="646" t="str">
        <f t="shared" ref="G106:G169" si="27">IF(B106&lt;&gt;"",SUM(C106:F106),"")</f>
        <v/>
      </c>
      <c r="H106" s="643"/>
      <c r="I106" s="643"/>
      <c r="J106" s="647"/>
      <c r="K106" s="647"/>
      <c r="M106" s="648"/>
    </row>
    <row r="107" spans="1:19">
      <c r="B107" s="644"/>
      <c r="C107" s="645"/>
      <c r="D107" s="645"/>
      <c r="E107" s="645"/>
      <c r="F107" s="645"/>
      <c r="G107" s="646" t="str">
        <f t="shared" si="27"/>
        <v/>
      </c>
      <c r="H107" s="643"/>
      <c r="I107" s="643"/>
      <c r="J107" s="647"/>
      <c r="K107" s="647"/>
      <c r="M107" s="648"/>
    </row>
    <row r="108" spans="1:19">
      <c r="B108" s="644"/>
      <c r="C108" s="645"/>
      <c r="D108" s="645"/>
      <c r="E108" s="645"/>
      <c r="F108" s="645"/>
      <c r="G108" s="646" t="str">
        <f t="shared" si="27"/>
        <v/>
      </c>
      <c r="H108" s="643"/>
      <c r="I108" s="643"/>
      <c r="J108" s="647"/>
      <c r="K108" s="647"/>
      <c r="M108" s="648"/>
    </row>
    <row r="109" spans="1:19">
      <c r="B109" s="644"/>
      <c r="C109" s="645"/>
      <c r="D109" s="645"/>
      <c r="E109" s="645"/>
      <c r="F109" s="645"/>
      <c r="G109" s="646" t="str">
        <f t="shared" si="27"/>
        <v/>
      </c>
      <c r="H109" s="643"/>
      <c r="I109" s="643"/>
      <c r="J109" s="647"/>
      <c r="K109" s="647"/>
      <c r="M109" s="648"/>
    </row>
    <row r="110" spans="1:19">
      <c r="B110" s="644"/>
      <c r="C110" s="645"/>
      <c r="D110" s="645"/>
      <c r="E110" s="645"/>
      <c r="F110" s="645"/>
      <c r="G110" s="646" t="str">
        <f t="shared" si="27"/>
        <v/>
      </c>
      <c r="H110" s="643"/>
      <c r="I110" s="643"/>
      <c r="J110" s="647"/>
      <c r="K110" s="647"/>
      <c r="M110" s="648"/>
    </row>
    <row r="111" spans="1:19">
      <c r="B111" s="644"/>
      <c r="C111" s="645"/>
      <c r="D111" s="645"/>
      <c r="E111" s="645"/>
      <c r="F111" s="645"/>
      <c r="G111" s="646" t="str">
        <f t="shared" si="27"/>
        <v/>
      </c>
      <c r="H111" s="643"/>
      <c r="I111" s="643"/>
      <c r="J111" s="647"/>
      <c r="K111" s="647"/>
      <c r="M111" s="648"/>
    </row>
    <row r="112" spans="1:19">
      <c r="B112" s="644"/>
      <c r="C112" s="645"/>
      <c r="D112" s="645"/>
      <c r="E112" s="645"/>
      <c r="F112" s="645"/>
      <c r="G112" s="646" t="str">
        <f t="shared" si="27"/>
        <v/>
      </c>
      <c r="H112" s="643"/>
      <c r="I112" s="643"/>
      <c r="J112" s="647"/>
      <c r="K112" s="647"/>
      <c r="M112" s="648"/>
    </row>
    <row r="113" spans="2:13">
      <c r="B113" s="644"/>
      <c r="C113" s="645"/>
      <c r="D113" s="645"/>
      <c r="E113" s="645"/>
      <c r="F113" s="645"/>
      <c r="G113" s="646" t="str">
        <f t="shared" si="27"/>
        <v/>
      </c>
      <c r="H113" s="643"/>
      <c r="I113" s="643"/>
      <c r="J113" s="647"/>
      <c r="K113" s="647"/>
      <c r="M113" s="648"/>
    </row>
    <row r="114" spans="2:13">
      <c r="B114" s="644"/>
      <c r="C114" s="645"/>
      <c r="D114" s="645"/>
      <c r="E114" s="645"/>
      <c r="F114" s="645"/>
      <c r="G114" s="646" t="str">
        <f t="shared" si="27"/>
        <v/>
      </c>
      <c r="H114" s="643"/>
      <c r="I114" s="643"/>
      <c r="J114" s="647"/>
      <c r="K114" s="647"/>
      <c r="M114" s="648"/>
    </row>
    <row r="115" spans="2:13">
      <c r="B115" s="644"/>
      <c r="C115" s="645"/>
      <c r="D115" s="645"/>
      <c r="E115" s="645"/>
      <c r="F115" s="645"/>
      <c r="G115" s="646" t="str">
        <f t="shared" si="27"/>
        <v/>
      </c>
      <c r="H115" s="643"/>
      <c r="I115" s="643"/>
      <c r="J115" s="647"/>
      <c r="K115" s="647"/>
      <c r="M115" s="648"/>
    </row>
    <row r="116" spans="2:13">
      <c r="B116" s="644"/>
      <c r="C116" s="645"/>
      <c r="D116" s="645"/>
      <c r="E116" s="645"/>
      <c r="F116" s="645"/>
      <c r="G116" s="646" t="str">
        <f t="shared" si="27"/>
        <v/>
      </c>
      <c r="H116" s="643"/>
      <c r="I116" s="643"/>
      <c r="J116" s="647"/>
      <c r="K116" s="647"/>
      <c r="M116" s="648"/>
    </row>
    <row r="117" spans="2:13">
      <c r="B117" s="644"/>
      <c r="C117" s="645"/>
      <c r="D117" s="645"/>
      <c r="E117" s="645"/>
      <c r="F117" s="645"/>
      <c r="G117" s="646" t="str">
        <f t="shared" si="27"/>
        <v/>
      </c>
      <c r="H117" s="643"/>
      <c r="I117" s="643"/>
      <c r="J117" s="647"/>
      <c r="K117" s="647"/>
      <c r="M117" s="648"/>
    </row>
    <row r="118" spans="2:13">
      <c r="B118" s="644"/>
      <c r="C118" s="645"/>
      <c r="D118" s="645"/>
      <c r="E118" s="645"/>
      <c r="F118" s="645"/>
      <c r="G118" s="646" t="str">
        <f t="shared" si="27"/>
        <v/>
      </c>
      <c r="H118" s="643"/>
      <c r="I118" s="643"/>
      <c r="J118" s="647"/>
      <c r="K118" s="647"/>
      <c r="M118" s="648"/>
    </row>
    <row r="119" spans="2:13">
      <c r="B119" s="644"/>
      <c r="C119" s="645"/>
      <c r="D119" s="645"/>
      <c r="E119" s="645"/>
      <c r="F119" s="645"/>
      <c r="G119" s="646" t="str">
        <f t="shared" si="27"/>
        <v/>
      </c>
      <c r="H119" s="643"/>
      <c r="I119" s="643"/>
      <c r="J119" s="647"/>
      <c r="K119" s="647"/>
      <c r="M119" s="648"/>
    </row>
    <row r="120" spans="2:13">
      <c r="B120" s="644"/>
      <c r="C120" s="645"/>
      <c r="D120" s="645"/>
      <c r="E120" s="645"/>
      <c r="F120" s="645"/>
      <c r="G120" s="646" t="str">
        <f t="shared" si="27"/>
        <v/>
      </c>
      <c r="H120" s="643"/>
      <c r="I120" s="643"/>
      <c r="J120" s="647"/>
      <c r="K120" s="647"/>
      <c r="M120" s="648"/>
    </row>
    <row r="121" spans="2:13">
      <c r="B121" s="644"/>
      <c r="C121" s="645"/>
      <c r="D121" s="645"/>
      <c r="E121" s="645"/>
      <c r="F121" s="645"/>
      <c r="G121" s="646" t="str">
        <f t="shared" si="27"/>
        <v/>
      </c>
      <c r="H121" s="643"/>
      <c r="I121" s="643"/>
      <c r="J121" s="647"/>
      <c r="K121" s="647"/>
      <c r="M121" s="648"/>
    </row>
    <row r="122" spans="2:13">
      <c r="B122" s="644"/>
      <c r="C122" s="645"/>
      <c r="D122" s="645"/>
      <c r="E122" s="645"/>
      <c r="F122" s="645"/>
      <c r="G122" s="646" t="str">
        <f t="shared" si="27"/>
        <v/>
      </c>
      <c r="H122" s="643"/>
      <c r="I122" s="643"/>
      <c r="J122" s="647"/>
      <c r="K122" s="647"/>
      <c r="M122" s="648"/>
    </row>
    <row r="123" spans="2:13">
      <c r="B123" s="644"/>
      <c r="C123" s="645"/>
      <c r="D123" s="645"/>
      <c r="E123" s="645"/>
      <c r="F123" s="645"/>
      <c r="G123" s="646" t="str">
        <f t="shared" si="27"/>
        <v/>
      </c>
      <c r="H123" s="643"/>
      <c r="I123" s="643"/>
      <c r="J123" s="647"/>
      <c r="K123" s="647"/>
      <c r="M123" s="648"/>
    </row>
    <row r="124" spans="2:13">
      <c r="B124" s="644"/>
      <c r="C124" s="645"/>
      <c r="D124" s="645"/>
      <c r="E124" s="645"/>
      <c r="F124" s="645"/>
      <c r="G124" s="646" t="str">
        <f t="shared" si="27"/>
        <v/>
      </c>
      <c r="H124" s="643"/>
      <c r="I124" s="643"/>
      <c r="J124" s="647"/>
      <c r="K124" s="647"/>
      <c r="M124" s="648"/>
    </row>
    <row r="125" spans="2:13">
      <c r="B125" s="644"/>
      <c r="C125" s="645"/>
      <c r="D125" s="645"/>
      <c r="E125" s="645"/>
      <c r="F125" s="645"/>
      <c r="G125" s="646" t="str">
        <f t="shared" si="27"/>
        <v/>
      </c>
      <c r="H125" s="643"/>
      <c r="I125" s="643"/>
      <c r="J125" s="647"/>
      <c r="K125" s="647"/>
      <c r="M125" s="648"/>
    </row>
    <row r="126" spans="2:13">
      <c r="B126" s="644"/>
      <c r="C126" s="645"/>
      <c r="D126" s="645"/>
      <c r="E126" s="645"/>
      <c r="F126" s="645"/>
      <c r="G126" s="646" t="str">
        <f t="shared" si="27"/>
        <v/>
      </c>
      <c r="H126" s="643"/>
      <c r="I126" s="643"/>
      <c r="J126" s="647"/>
      <c r="K126" s="647"/>
      <c r="M126" s="648"/>
    </row>
    <row r="127" spans="2:13">
      <c r="B127" s="644"/>
      <c r="C127" s="645"/>
      <c r="D127" s="645"/>
      <c r="E127" s="645"/>
      <c r="F127" s="645"/>
      <c r="G127" s="646" t="str">
        <f t="shared" si="27"/>
        <v/>
      </c>
      <c r="H127" s="643"/>
      <c r="I127" s="643"/>
      <c r="J127" s="647"/>
      <c r="K127" s="647"/>
      <c r="M127" s="648"/>
    </row>
    <row r="128" spans="2:13">
      <c r="B128" s="644"/>
      <c r="C128" s="645"/>
      <c r="D128" s="645"/>
      <c r="E128" s="645"/>
      <c r="F128" s="645"/>
      <c r="G128" s="646" t="str">
        <f t="shared" si="27"/>
        <v/>
      </c>
      <c r="H128" s="643"/>
      <c r="I128" s="643"/>
      <c r="J128" s="647"/>
      <c r="K128" s="647"/>
      <c r="M128" s="648"/>
    </row>
    <row r="129" spans="2:13">
      <c r="B129" s="644"/>
      <c r="C129" s="645"/>
      <c r="D129" s="645"/>
      <c r="E129" s="645"/>
      <c r="F129" s="645"/>
      <c r="G129" s="646" t="str">
        <f t="shared" si="27"/>
        <v/>
      </c>
      <c r="H129" s="643"/>
      <c r="I129" s="643"/>
      <c r="J129" s="647"/>
      <c r="K129" s="647"/>
      <c r="M129" s="648"/>
    </row>
    <row r="130" spans="2:13">
      <c r="B130" s="644"/>
      <c r="C130" s="645"/>
      <c r="D130" s="645"/>
      <c r="E130" s="645"/>
      <c r="F130" s="645"/>
      <c r="G130" s="646" t="str">
        <f t="shared" si="27"/>
        <v/>
      </c>
      <c r="H130" s="643"/>
      <c r="I130" s="643"/>
      <c r="J130" s="647"/>
      <c r="K130" s="647"/>
      <c r="M130" s="648"/>
    </row>
    <row r="131" spans="2:13">
      <c r="B131" s="644"/>
      <c r="C131" s="645"/>
      <c r="D131" s="645"/>
      <c r="E131" s="645"/>
      <c r="F131" s="645"/>
      <c r="G131" s="646" t="str">
        <f t="shared" si="27"/>
        <v/>
      </c>
      <c r="H131" s="643"/>
      <c r="I131" s="643"/>
      <c r="J131" s="647"/>
      <c r="K131" s="647"/>
      <c r="M131" s="648"/>
    </row>
    <row r="132" spans="2:13">
      <c r="B132" s="644"/>
      <c r="C132" s="645"/>
      <c r="D132" s="645"/>
      <c r="E132" s="645"/>
      <c r="F132" s="645"/>
      <c r="G132" s="646" t="str">
        <f t="shared" si="27"/>
        <v/>
      </c>
      <c r="H132" s="643"/>
      <c r="I132" s="643"/>
      <c r="J132" s="647"/>
      <c r="K132" s="647"/>
      <c r="M132" s="648"/>
    </row>
    <row r="133" spans="2:13">
      <c r="B133" s="644"/>
      <c r="C133" s="645"/>
      <c r="D133" s="645"/>
      <c r="E133" s="645"/>
      <c r="F133" s="645"/>
      <c r="G133" s="646" t="str">
        <f t="shared" si="27"/>
        <v/>
      </c>
      <c r="H133" s="643"/>
      <c r="I133" s="643"/>
      <c r="J133" s="647"/>
      <c r="K133" s="647"/>
      <c r="M133" s="648"/>
    </row>
    <row r="134" spans="2:13">
      <c r="B134" s="644"/>
      <c r="C134" s="645"/>
      <c r="D134" s="645"/>
      <c r="E134" s="645"/>
      <c r="F134" s="645"/>
      <c r="G134" s="646" t="str">
        <f t="shared" si="27"/>
        <v/>
      </c>
      <c r="H134" s="643"/>
      <c r="I134" s="643"/>
      <c r="J134" s="647"/>
      <c r="K134" s="647"/>
      <c r="M134" s="648"/>
    </row>
    <row r="135" spans="2:13">
      <c r="B135" s="644"/>
      <c r="C135" s="645"/>
      <c r="D135" s="645"/>
      <c r="E135" s="645"/>
      <c r="F135" s="645"/>
      <c r="G135" s="646" t="str">
        <f t="shared" si="27"/>
        <v/>
      </c>
      <c r="H135" s="643"/>
      <c r="I135" s="643"/>
      <c r="J135" s="647"/>
      <c r="K135" s="647"/>
      <c r="M135" s="648"/>
    </row>
    <row r="136" spans="2:13">
      <c r="B136" s="644"/>
      <c r="C136" s="645"/>
      <c r="D136" s="645"/>
      <c r="E136" s="645"/>
      <c r="F136" s="645"/>
      <c r="G136" s="646" t="str">
        <f t="shared" si="27"/>
        <v/>
      </c>
      <c r="H136" s="643"/>
      <c r="I136" s="643"/>
      <c r="J136" s="647"/>
      <c r="K136" s="647"/>
      <c r="M136" s="648"/>
    </row>
    <row r="137" spans="2:13">
      <c r="B137" s="644"/>
      <c r="C137" s="645"/>
      <c r="D137" s="645"/>
      <c r="E137" s="645"/>
      <c r="F137" s="645"/>
      <c r="G137" s="646" t="str">
        <f t="shared" si="27"/>
        <v/>
      </c>
      <c r="H137" s="643"/>
      <c r="I137" s="643"/>
      <c r="J137" s="647"/>
      <c r="K137" s="647"/>
      <c r="M137" s="648"/>
    </row>
    <row r="138" spans="2:13">
      <c r="B138" s="644"/>
      <c r="C138" s="645"/>
      <c r="D138" s="645"/>
      <c r="E138" s="645"/>
      <c r="F138" s="645"/>
      <c r="G138" s="646" t="str">
        <f t="shared" si="27"/>
        <v/>
      </c>
      <c r="H138" s="643"/>
      <c r="I138" s="643"/>
      <c r="J138" s="647"/>
      <c r="K138" s="647"/>
      <c r="M138" s="648"/>
    </row>
    <row r="139" spans="2:13">
      <c r="B139" s="644"/>
      <c r="C139" s="645"/>
      <c r="D139" s="645"/>
      <c r="E139" s="645"/>
      <c r="F139" s="645"/>
      <c r="G139" s="646" t="str">
        <f t="shared" si="27"/>
        <v/>
      </c>
      <c r="H139" s="643"/>
      <c r="I139" s="643"/>
      <c r="J139" s="647"/>
      <c r="K139" s="647"/>
      <c r="M139" s="648"/>
    </row>
    <row r="140" spans="2:13">
      <c r="B140" s="644"/>
      <c r="C140" s="645"/>
      <c r="D140" s="645"/>
      <c r="E140" s="645"/>
      <c r="F140" s="645"/>
      <c r="G140" s="646" t="str">
        <f t="shared" si="27"/>
        <v/>
      </c>
      <c r="H140" s="643"/>
      <c r="I140" s="643"/>
      <c r="J140" s="647"/>
      <c r="K140" s="647"/>
      <c r="M140" s="648"/>
    </row>
    <row r="141" spans="2:13">
      <c r="B141" s="644"/>
      <c r="C141" s="645"/>
      <c r="D141" s="645"/>
      <c r="E141" s="645"/>
      <c r="F141" s="645"/>
      <c r="G141" s="646" t="str">
        <f t="shared" si="27"/>
        <v/>
      </c>
      <c r="H141" s="643"/>
      <c r="I141" s="643"/>
      <c r="J141" s="647"/>
      <c r="K141" s="647"/>
      <c r="M141" s="648"/>
    </row>
    <row r="142" spans="2:13">
      <c r="B142" s="644"/>
      <c r="C142" s="645"/>
      <c r="D142" s="645"/>
      <c r="E142" s="645"/>
      <c r="F142" s="645"/>
      <c r="G142" s="646" t="str">
        <f t="shared" si="27"/>
        <v/>
      </c>
      <c r="H142" s="643"/>
      <c r="I142" s="643"/>
      <c r="J142" s="647"/>
      <c r="K142" s="647"/>
      <c r="M142" s="648"/>
    </row>
    <row r="143" spans="2:13">
      <c r="B143" s="644"/>
      <c r="C143" s="645"/>
      <c r="D143" s="645"/>
      <c r="E143" s="645"/>
      <c r="F143" s="645"/>
      <c r="G143" s="646" t="str">
        <f t="shared" si="27"/>
        <v/>
      </c>
      <c r="H143" s="643"/>
      <c r="I143" s="643"/>
      <c r="J143" s="647"/>
      <c r="K143" s="647"/>
      <c r="M143" s="648"/>
    </row>
    <row r="144" spans="2:13">
      <c r="B144" s="644"/>
      <c r="C144" s="645"/>
      <c r="D144" s="645"/>
      <c r="E144" s="645"/>
      <c r="F144" s="645"/>
      <c r="G144" s="646" t="str">
        <f t="shared" si="27"/>
        <v/>
      </c>
      <c r="H144" s="643"/>
      <c r="I144" s="643"/>
      <c r="J144" s="647"/>
      <c r="K144" s="647"/>
      <c r="M144" s="648"/>
    </row>
    <row r="145" spans="2:13">
      <c r="B145" s="644"/>
      <c r="C145" s="645"/>
      <c r="D145" s="645"/>
      <c r="E145" s="645"/>
      <c r="F145" s="645"/>
      <c r="G145" s="646" t="str">
        <f t="shared" si="27"/>
        <v/>
      </c>
      <c r="H145" s="643"/>
      <c r="I145" s="643"/>
      <c r="J145" s="647"/>
      <c r="K145" s="647"/>
      <c r="M145" s="648"/>
    </row>
    <row r="146" spans="2:13">
      <c r="B146" s="644"/>
      <c r="C146" s="645"/>
      <c r="D146" s="645"/>
      <c r="E146" s="645"/>
      <c r="F146" s="645"/>
      <c r="G146" s="646" t="str">
        <f t="shared" si="27"/>
        <v/>
      </c>
      <c r="H146" s="643"/>
      <c r="I146" s="643"/>
      <c r="J146" s="647"/>
      <c r="K146" s="647"/>
      <c r="M146" s="648"/>
    </row>
    <row r="147" spans="2:13">
      <c r="B147" s="644"/>
      <c r="C147" s="645"/>
      <c r="D147" s="645"/>
      <c r="E147" s="645"/>
      <c r="F147" s="645"/>
      <c r="G147" s="646" t="str">
        <f t="shared" si="27"/>
        <v/>
      </c>
      <c r="H147" s="643"/>
      <c r="I147" s="643"/>
      <c r="J147" s="647"/>
      <c r="K147" s="647"/>
      <c r="M147" s="648"/>
    </row>
    <row r="148" spans="2:13">
      <c r="B148" s="644"/>
      <c r="C148" s="645"/>
      <c r="D148" s="645"/>
      <c r="E148" s="645"/>
      <c r="F148" s="645"/>
      <c r="G148" s="646" t="str">
        <f t="shared" si="27"/>
        <v/>
      </c>
      <c r="H148" s="643"/>
      <c r="I148" s="643"/>
      <c r="J148" s="647"/>
      <c r="K148" s="647"/>
      <c r="M148" s="648"/>
    </row>
    <row r="149" spans="2:13">
      <c r="B149" s="644"/>
      <c r="C149" s="645"/>
      <c r="D149" s="645"/>
      <c r="E149" s="645"/>
      <c r="F149" s="645"/>
      <c r="G149" s="646" t="str">
        <f t="shared" si="27"/>
        <v/>
      </c>
      <c r="H149" s="643"/>
      <c r="I149" s="643"/>
      <c r="J149" s="647"/>
      <c r="K149" s="647"/>
      <c r="M149" s="648"/>
    </row>
    <row r="150" spans="2:13">
      <c r="B150" s="644"/>
      <c r="C150" s="645"/>
      <c r="D150" s="645"/>
      <c r="E150" s="645"/>
      <c r="F150" s="645"/>
      <c r="G150" s="646" t="str">
        <f t="shared" si="27"/>
        <v/>
      </c>
      <c r="H150" s="643"/>
      <c r="I150" s="643"/>
      <c r="J150" s="647"/>
      <c r="K150" s="647"/>
      <c r="M150" s="648"/>
    </row>
    <row r="151" spans="2:13">
      <c r="B151" s="644"/>
      <c r="C151" s="645"/>
      <c r="D151" s="645"/>
      <c r="E151" s="645"/>
      <c r="F151" s="645"/>
      <c r="G151" s="646" t="str">
        <f t="shared" si="27"/>
        <v/>
      </c>
      <c r="H151" s="643"/>
      <c r="I151" s="643"/>
      <c r="J151" s="647"/>
      <c r="K151" s="647"/>
      <c r="M151" s="648"/>
    </row>
    <row r="152" spans="2:13">
      <c r="B152" s="644"/>
      <c r="C152" s="645"/>
      <c r="D152" s="645"/>
      <c r="E152" s="645"/>
      <c r="F152" s="645"/>
      <c r="G152" s="646" t="str">
        <f t="shared" si="27"/>
        <v/>
      </c>
      <c r="H152" s="643"/>
      <c r="I152" s="643"/>
      <c r="J152" s="647"/>
      <c r="K152" s="647"/>
      <c r="M152" s="648"/>
    </row>
    <row r="153" spans="2:13">
      <c r="B153" s="644"/>
      <c r="C153" s="645"/>
      <c r="D153" s="645"/>
      <c r="E153" s="645"/>
      <c r="F153" s="645"/>
      <c r="G153" s="646" t="str">
        <f t="shared" si="27"/>
        <v/>
      </c>
      <c r="H153" s="643"/>
      <c r="I153" s="643"/>
      <c r="J153" s="647"/>
      <c r="K153" s="647"/>
      <c r="M153" s="648"/>
    </row>
    <row r="154" spans="2:13">
      <c r="B154" s="644"/>
      <c r="C154" s="645"/>
      <c r="D154" s="645"/>
      <c r="E154" s="645"/>
      <c r="F154" s="645"/>
      <c r="G154" s="646" t="str">
        <f t="shared" si="27"/>
        <v/>
      </c>
      <c r="H154" s="643"/>
      <c r="I154" s="643"/>
      <c r="J154" s="647"/>
      <c r="K154" s="647"/>
      <c r="M154" s="648"/>
    </row>
    <row r="155" spans="2:13">
      <c r="B155" s="644"/>
      <c r="C155" s="645"/>
      <c r="D155" s="645"/>
      <c r="E155" s="645"/>
      <c r="F155" s="645"/>
      <c r="G155" s="646" t="str">
        <f t="shared" si="27"/>
        <v/>
      </c>
      <c r="H155" s="643"/>
      <c r="I155" s="643"/>
      <c r="J155" s="647"/>
      <c r="K155" s="647"/>
      <c r="M155" s="648"/>
    </row>
    <row r="156" spans="2:13">
      <c r="B156" s="644"/>
      <c r="C156" s="645"/>
      <c r="D156" s="645"/>
      <c r="E156" s="645"/>
      <c r="F156" s="645"/>
      <c r="G156" s="646" t="str">
        <f t="shared" si="27"/>
        <v/>
      </c>
      <c r="H156" s="643"/>
      <c r="I156" s="643"/>
      <c r="J156" s="647"/>
      <c r="K156" s="647"/>
      <c r="M156" s="648"/>
    </row>
    <row r="157" spans="2:13">
      <c r="B157" s="644"/>
      <c r="C157" s="645"/>
      <c r="D157" s="645"/>
      <c r="E157" s="645"/>
      <c r="F157" s="645"/>
      <c r="G157" s="646" t="str">
        <f t="shared" si="27"/>
        <v/>
      </c>
      <c r="H157" s="643"/>
      <c r="I157" s="643"/>
      <c r="J157" s="647"/>
      <c r="K157" s="647"/>
      <c r="M157" s="648"/>
    </row>
    <row r="158" spans="2:13">
      <c r="B158" s="644"/>
      <c r="C158" s="645"/>
      <c r="D158" s="645"/>
      <c r="E158" s="645"/>
      <c r="F158" s="645"/>
      <c r="G158" s="646" t="str">
        <f t="shared" si="27"/>
        <v/>
      </c>
      <c r="H158" s="643"/>
      <c r="I158" s="643"/>
      <c r="J158" s="647"/>
      <c r="K158" s="647"/>
      <c r="M158" s="648"/>
    </row>
    <row r="159" spans="2:13">
      <c r="B159" s="644"/>
      <c r="C159" s="645"/>
      <c r="D159" s="645"/>
      <c r="E159" s="645"/>
      <c r="F159" s="645"/>
      <c r="G159" s="646" t="str">
        <f t="shared" si="27"/>
        <v/>
      </c>
      <c r="H159" s="643"/>
      <c r="I159" s="643"/>
      <c r="J159" s="647"/>
      <c r="K159" s="647"/>
      <c r="M159" s="648"/>
    </row>
    <row r="160" spans="2:13">
      <c r="B160" s="644"/>
      <c r="C160" s="645"/>
      <c r="D160" s="645"/>
      <c r="E160" s="645"/>
      <c r="F160" s="645"/>
      <c r="G160" s="646" t="str">
        <f t="shared" si="27"/>
        <v/>
      </c>
      <c r="H160" s="643"/>
      <c r="I160" s="643"/>
      <c r="J160" s="647"/>
      <c r="K160" s="647"/>
      <c r="M160" s="648"/>
    </row>
    <row r="161" spans="2:13">
      <c r="B161" s="644"/>
      <c r="C161" s="645"/>
      <c r="D161" s="645"/>
      <c r="E161" s="645"/>
      <c r="F161" s="645"/>
      <c r="G161" s="646" t="str">
        <f t="shared" si="27"/>
        <v/>
      </c>
      <c r="H161" s="643"/>
      <c r="I161" s="643"/>
      <c r="J161" s="647"/>
      <c r="K161" s="647"/>
      <c r="M161" s="648"/>
    </row>
    <row r="162" spans="2:13">
      <c r="B162" s="644"/>
      <c r="C162" s="645"/>
      <c r="D162" s="645"/>
      <c r="E162" s="645"/>
      <c r="F162" s="645"/>
      <c r="G162" s="646" t="str">
        <f t="shared" si="27"/>
        <v/>
      </c>
      <c r="H162" s="643"/>
      <c r="I162" s="643"/>
      <c r="J162" s="647"/>
      <c r="K162" s="647"/>
      <c r="M162" s="648"/>
    </row>
    <row r="163" spans="2:13">
      <c r="B163" s="644"/>
      <c r="C163" s="645"/>
      <c r="D163" s="645"/>
      <c r="E163" s="645"/>
      <c r="F163" s="645"/>
      <c r="G163" s="646" t="str">
        <f t="shared" si="27"/>
        <v/>
      </c>
      <c r="H163" s="643"/>
      <c r="I163" s="643"/>
      <c r="J163" s="647"/>
      <c r="K163" s="647"/>
      <c r="M163" s="648"/>
    </row>
    <row r="164" spans="2:13">
      <c r="B164" s="644"/>
      <c r="C164" s="645"/>
      <c r="D164" s="645"/>
      <c r="E164" s="645"/>
      <c r="F164" s="645"/>
      <c r="G164" s="646" t="str">
        <f t="shared" si="27"/>
        <v/>
      </c>
      <c r="H164" s="643"/>
      <c r="I164" s="643"/>
      <c r="J164" s="647"/>
      <c r="K164" s="647"/>
      <c r="M164" s="648"/>
    </row>
    <row r="165" spans="2:13">
      <c r="B165" s="644"/>
      <c r="C165" s="645"/>
      <c r="D165" s="645"/>
      <c r="E165" s="645"/>
      <c r="F165" s="645"/>
      <c r="G165" s="646" t="str">
        <f t="shared" si="27"/>
        <v/>
      </c>
      <c r="H165" s="643"/>
      <c r="I165" s="643"/>
      <c r="J165" s="647"/>
      <c r="K165" s="647"/>
      <c r="M165" s="648"/>
    </row>
    <row r="166" spans="2:13">
      <c r="B166" s="644"/>
      <c r="C166" s="645"/>
      <c r="D166" s="645"/>
      <c r="E166" s="645"/>
      <c r="F166" s="645"/>
      <c r="G166" s="646" t="str">
        <f t="shared" si="27"/>
        <v/>
      </c>
      <c r="H166" s="643"/>
      <c r="I166" s="643"/>
      <c r="J166" s="647"/>
      <c r="K166" s="647"/>
      <c r="M166" s="648"/>
    </row>
    <row r="167" spans="2:13">
      <c r="B167" s="644"/>
      <c r="C167" s="645"/>
      <c r="D167" s="645"/>
      <c r="E167" s="645"/>
      <c r="F167" s="645"/>
      <c r="G167" s="646" t="str">
        <f t="shared" si="27"/>
        <v/>
      </c>
      <c r="H167" s="643"/>
      <c r="I167" s="643"/>
      <c r="J167" s="647"/>
      <c r="K167" s="647"/>
      <c r="M167" s="648"/>
    </row>
    <row r="168" spans="2:13">
      <c r="B168" s="644"/>
      <c r="C168" s="645"/>
      <c r="D168" s="645"/>
      <c r="E168" s="645"/>
      <c r="F168" s="645"/>
      <c r="G168" s="646" t="str">
        <f t="shared" si="27"/>
        <v/>
      </c>
      <c r="H168" s="643"/>
      <c r="I168" s="643"/>
      <c r="J168" s="647"/>
      <c r="K168" s="647"/>
      <c r="M168" s="648"/>
    </row>
    <row r="169" spans="2:13">
      <c r="B169" s="644"/>
      <c r="C169" s="645"/>
      <c r="D169" s="645"/>
      <c r="E169" s="645"/>
      <c r="F169" s="645"/>
      <c r="G169" s="646" t="str">
        <f t="shared" si="27"/>
        <v/>
      </c>
      <c r="H169" s="643"/>
      <c r="I169" s="643"/>
      <c r="J169" s="647"/>
      <c r="K169" s="647"/>
      <c r="M169" s="648"/>
    </row>
    <row r="170" spans="2:13">
      <c r="B170" s="644"/>
      <c r="C170" s="645"/>
      <c r="D170" s="645"/>
      <c r="E170" s="645"/>
      <c r="F170" s="645"/>
      <c r="G170" s="646" t="str">
        <f t="shared" ref="G170:G233" si="28">IF(B170&lt;&gt;"",SUM(C170:F170),"")</f>
        <v/>
      </c>
      <c r="H170" s="643"/>
      <c r="I170" s="643"/>
      <c r="J170" s="647"/>
      <c r="K170" s="647"/>
      <c r="M170" s="648"/>
    </row>
    <row r="171" spans="2:13">
      <c r="B171" s="644"/>
      <c r="C171" s="645"/>
      <c r="D171" s="645"/>
      <c r="E171" s="645"/>
      <c r="F171" s="645"/>
      <c r="G171" s="646" t="str">
        <f t="shared" si="28"/>
        <v/>
      </c>
      <c r="H171" s="643"/>
      <c r="I171" s="643"/>
      <c r="J171" s="647"/>
      <c r="K171" s="647"/>
      <c r="M171" s="648"/>
    </row>
    <row r="172" spans="2:13">
      <c r="B172" s="644"/>
      <c r="C172" s="645"/>
      <c r="D172" s="645"/>
      <c r="E172" s="645"/>
      <c r="F172" s="645"/>
      <c r="G172" s="646" t="str">
        <f t="shared" si="28"/>
        <v/>
      </c>
      <c r="H172" s="643"/>
      <c r="I172" s="643"/>
      <c r="J172" s="647"/>
      <c r="K172" s="647"/>
      <c r="M172" s="648"/>
    </row>
    <row r="173" spans="2:13">
      <c r="B173" s="644"/>
      <c r="C173" s="645"/>
      <c r="D173" s="645"/>
      <c r="E173" s="645"/>
      <c r="F173" s="645"/>
      <c r="G173" s="646" t="str">
        <f t="shared" si="28"/>
        <v/>
      </c>
      <c r="H173" s="643"/>
      <c r="I173" s="643"/>
      <c r="J173" s="647"/>
      <c r="K173" s="647"/>
      <c r="M173" s="648"/>
    </row>
    <row r="174" spans="2:13">
      <c r="B174" s="644"/>
      <c r="C174" s="645"/>
      <c r="D174" s="645"/>
      <c r="E174" s="645"/>
      <c r="F174" s="645"/>
      <c r="G174" s="646" t="str">
        <f t="shared" si="28"/>
        <v/>
      </c>
      <c r="H174" s="643"/>
      <c r="I174" s="643"/>
      <c r="J174" s="647"/>
      <c r="K174" s="647"/>
      <c r="M174" s="648"/>
    </row>
    <row r="175" spans="2:13">
      <c r="B175" s="644"/>
      <c r="C175" s="645"/>
      <c r="D175" s="645"/>
      <c r="E175" s="645"/>
      <c r="F175" s="645"/>
      <c r="G175" s="646" t="str">
        <f t="shared" si="28"/>
        <v/>
      </c>
      <c r="H175" s="643"/>
      <c r="I175" s="643"/>
      <c r="J175" s="647"/>
      <c r="K175" s="647"/>
      <c r="M175" s="648"/>
    </row>
    <row r="176" spans="2:13">
      <c r="B176" s="644"/>
      <c r="C176" s="645"/>
      <c r="D176" s="645"/>
      <c r="E176" s="645"/>
      <c r="F176" s="645"/>
      <c r="G176" s="646" t="str">
        <f t="shared" si="28"/>
        <v/>
      </c>
      <c r="H176" s="643"/>
      <c r="I176" s="643"/>
      <c r="J176" s="647"/>
      <c r="K176" s="647"/>
      <c r="M176" s="648"/>
    </row>
    <row r="177" spans="2:13">
      <c r="B177" s="644"/>
      <c r="C177" s="645"/>
      <c r="D177" s="645"/>
      <c r="E177" s="645"/>
      <c r="F177" s="645"/>
      <c r="G177" s="646" t="str">
        <f t="shared" si="28"/>
        <v/>
      </c>
      <c r="H177" s="643"/>
      <c r="I177" s="643"/>
      <c r="J177" s="647"/>
      <c r="K177" s="647"/>
      <c r="M177" s="648"/>
    </row>
    <row r="178" spans="2:13">
      <c r="B178" s="644"/>
      <c r="C178" s="645"/>
      <c r="D178" s="645"/>
      <c r="E178" s="645"/>
      <c r="F178" s="645"/>
      <c r="G178" s="646" t="str">
        <f t="shared" si="28"/>
        <v/>
      </c>
      <c r="H178" s="643"/>
      <c r="I178" s="643"/>
      <c r="J178" s="647"/>
      <c r="K178" s="647"/>
      <c r="M178" s="648"/>
    </row>
    <row r="179" spans="2:13">
      <c r="B179" s="644"/>
      <c r="C179" s="645"/>
      <c r="D179" s="645"/>
      <c r="E179" s="645"/>
      <c r="F179" s="645"/>
      <c r="G179" s="646" t="str">
        <f t="shared" si="28"/>
        <v/>
      </c>
      <c r="H179" s="643"/>
      <c r="I179" s="643"/>
      <c r="J179" s="647"/>
      <c r="K179" s="647"/>
      <c r="M179" s="648"/>
    </row>
    <row r="180" spans="2:13">
      <c r="B180" s="644"/>
      <c r="C180" s="645"/>
      <c r="D180" s="645"/>
      <c r="E180" s="645"/>
      <c r="F180" s="645"/>
      <c r="G180" s="646" t="str">
        <f t="shared" si="28"/>
        <v/>
      </c>
      <c r="H180" s="643"/>
      <c r="I180" s="643"/>
      <c r="J180" s="647"/>
      <c r="K180" s="647"/>
      <c r="M180" s="648"/>
    </row>
    <row r="181" spans="2:13">
      <c r="B181" s="644"/>
      <c r="C181" s="645"/>
      <c r="D181" s="645"/>
      <c r="E181" s="645"/>
      <c r="F181" s="645"/>
      <c r="G181" s="646" t="str">
        <f t="shared" si="28"/>
        <v/>
      </c>
      <c r="H181" s="643"/>
      <c r="I181" s="643"/>
      <c r="J181" s="647"/>
      <c r="K181" s="647"/>
      <c r="M181" s="648"/>
    </row>
    <row r="182" spans="2:13">
      <c r="B182" s="644"/>
      <c r="C182" s="645"/>
      <c r="D182" s="645"/>
      <c r="E182" s="645"/>
      <c r="F182" s="645"/>
      <c r="G182" s="646" t="str">
        <f t="shared" si="28"/>
        <v/>
      </c>
      <c r="H182" s="643"/>
      <c r="I182" s="643"/>
      <c r="J182" s="647"/>
      <c r="K182" s="647"/>
      <c r="M182" s="648"/>
    </row>
    <row r="183" spans="2:13">
      <c r="B183" s="644"/>
      <c r="C183" s="645"/>
      <c r="D183" s="645"/>
      <c r="E183" s="645"/>
      <c r="F183" s="645"/>
      <c r="G183" s="646" t="str">
        <f t="shared" si="28"/>
        <v/>
      </c>
      <c r="H183" s="643"/>
      <c r="I183" s="643"/>
      <c r="J183" s="647"/>
      <c r="K183" s="647"/>
      <c r="M183" s="648"/>
    </row>
    <row r="184" spans="2:13">
      <c r="B184" s="644"/>
      <c r="C184" s="645"/>
      <c r="D184" s="645"/>
      <c r="E184" s="645"/>
      <c r="F184" s="645"/>
      <c r="G184" s="646" t="str">
        <f t="shared" si="28"/>
        <v/>
      </c>
      <c r="H184" s="643"/>
      <c r="I184" s="643"/>
      <c r="J184" s="647"/>
      <c r="K184" s="647"/>
      <c r="M184" s="648"/>
    </row>
    <row r="185" spans="2:13">
      <c r="B185" s="644"/>
      <c r="C185" s="645"/>
      <c r="D185" s="645"/>
      <c r="E185" s="645"/>
      <c r="F185" s="645"/>
      <c r="G185" s="646" t="str">
        <f t="shared" si="28"/>
        <v/>
      </c>
      <c r="H185" s="643"/>
      <c r="I185" s="643"/>
      <c r="J185" s="647"/>
      <c r="K185" s="647"/>
      <c r="M185" s="648"/>
    </row>
    <row r="186" spans="2:13">
      <c r="B186" s="644"/>
      <c r="C186" s="645"/>
      <c r="D186" s="645"/>
      <c r="E186" s="645"/>
      <c r="F186" s="645"/>
      <c r="G186" s="646" t="str">
        <f t="shared" si="28"/>
        <v/>
      </c>
      <c r="H186" s="643"/>
      <c r="I186" s="643"/>
      <c r="J186" s="647"/>
      <c r="K186" s="647"/>
      <c r="M186" s="648"/>
    </row>
    <row r="187" spans="2:13">
      <c r="B187" s="644"/>
      <c r="C187" s="645"/>
      <c r="D187" s="645"/>
      <c r="E187" s="645"/>
      <c r="F187" s="645"/>
      <c r="G187" s="646" t="str">
        <f t="shared" si="28"/>
        <v/>
      </c>
      <c r="H187" s="643"/>
      <c r="I187" s="643"/>
      <c r="J187" s="647"/>
      <c r="K187" s="647"/>
      <c r="M187" s="648"/>
    </row>
    <row r="188" spans="2:13">
      <c r="B188" s="644"/>
      <c r="C188" s="645"/>
      <c r="D188" s="645"/>
      <c r="E188" s="645"/>
      <c r="F188" s="645"/>
      <c r="G188" s="646" t="str">
        <f t="shared" si="28"/>
        <v/>
      </c>
      <c r="H188" s="643"/>
      <c r="I188" s="643"/>
      <c r="J188" s="647"/>
      <c r="K188" s="647"/>
      <c r="M188" s="648"/>
    </row>
    <row r="189" spans="2:13">
      <c r="B189" s="644"/>
      <c r="C189" s="645"/>
      <c r="D189" s="645"/>
      <c r="E189" s="645"/>
      <c r="F189" s="645"/>
      <c r="G189" s="646" t="str">
        <f t="shared" si="28"/>
        <v/>
      </c>
      <c r="H189" s="643"/>
      <c r="I189" s="643"/>
      <c r="J189" s="647"/>
      <c r="K189" s="647"/>
      <c r="M189" s="648"/>
    </row>
    <row r="190" spans="2:13">
      <c r="B190" s="644"/>
      <c r="C190" s="645"/>
      <c r="D190" s="645"/>
      <c r="E190" s="645"/>
      <c r="F190" s="645"/>
      <c r="G190" s="646" t="str">
        <f t="shared" si="28"/>
        <v/>
      </c>
      <c r="H190" s="643"/>
      <c r="I190" s="643"/>
      <c r="J190" s="647"/>
      <c r="K190" s="647"/>
      <c r="M190" s="648"/>
    </row>
    <row r="191" spans="2:13">
      <c r="B191" s="644"/>
      <c r="C191" s="645"/>
      <c r="D191" s="645"/>
      <c r="E191" s="645"/>
      <c r="F191" s="645"/>
      <c r="G191" s="646" t="str">
        <f t="shared" si="28"/>
        <v/>
      </c>
      <c r="H191" s="643"/>
      <c r="I191" s="643"/>
      <c r="J191" s="647"/>
      <c r="K191" s="647"/>
      <c r="M191" s="648"/>
    </row>
    <row r="192" spans="2:13">
      <c r="B192" s="644"/>
      <c r="C192" s="645"/>
      <c r="D192" s="645"/>
      <c r="E192" s="645"/>
      <c r="F192" s="645"/>
      <c r="G192" s="646" t="str">
        <f t="shared" si="28"/>
        <v/>
      </c>
      <c r="H192" s="643"/>
      <c r="I192" s="643"/>
      <c r="J192" s="647"/>
      <c r="K192" s="647"/>
      <c r="M192" s="648"/>
    </row>
    <row r="193" spans="2:13">
      <c r="B193" s="644"/>
      <c r="C193" s="645"/>
      <c r="D193" s="645"/>
      <c r="E193" s="645"/>
      <c r="F193" s="645"/>
      <c r="G193" s="646" t="str">
        <f t="shared" si="28"/>
        <v/>
      </c>
      <c r="H193" s="643"/>
      <c r="I193" s="643"/>
      <c r="J193" s="647"/>
      <c r="K193" s="647"/>
      <c r="M193" s="648"/>
    </row>
    <row r="194" spans="2:13">
      <c r="B194" s="644"/>
      <c r="C194" s="645"/>
      <c r="D194" s="645"/>
      <c r="E194" s="645"/>
      <c r="F194" s="645"/>
      <c r="G194" s="646" t="str">
        <f t="shared" si="28"/>
        <v/>
      </c>
      <c r="H194" s="643"/>
      <c r="I194" s="643"/>
      <c r="J194" s="647"/>
      <c r="K194" s="647"/>
      <c r="M194" s="648"/>
    </row>
    <row r="195" spans="2:13">
      <c r="B195" s="644"/>
      <c r="C195" s="645"/>
      <c r="D195" s="645"/>
      <c r="E195" s="645"/>
      <c r="F195" s="645"/>
      <c r="G195" s="646" t="str">
        <f t="shared" si="28"/>
        <v/>
      </c>
      <c r="H195" s="643"/>
      <c r="I195" s="643"/>
      <c r="J195" s="647"/>
      <c r="K195" s="647"/>
      <c r="M195" s="648"/>
    </row>
    <row r="196" spans="2:13">
      <c r="B196" s="644"/>
      <c r="C196" s="645"/>
      <c r="D196" s="645"/>
      <c r="E196" s="645"/>
      <c r="F196" s="645"/>
      <c r="G196" s="646" t="str">
        <f t="shared" si="28"/>
        <v/>
      </c>
      <c r="H196" s="643"/>
      <c r="I196" s="643"/>
      <c r="J196" s="647"/>
      <c r="K196" s="647"/>
      <c r="M196" s="648"/>
    </row>
    <row r="197" spans="2:13">
      <c r="B197" s="644"/>
      <c r="C197" s="645"/>
      <c r="D197" s="645"/>
      <c r="E197" s="645"/>
      <c r="F197" s="645"/>
      <c r="G197" s="646" t="str">
        <f t="shared" si="28"/>
        <v/>
      </c>
      <c r="H197" s="643"/>
      <c r="I197" s="643"/>
      <c r="J197" s="647"/>
      <c r="K197" s="647"/>
      <c r="M197" s="648"/>
    </row>
    <row r="198" spans="2:13">
      <c r="B198" s="644"/>
      <c r="C198" s="645"/>
      <c r="D198" s="645"/>
      <c r="E198" s="645"/>
      <c r="F198" s="645"/>
      <c r="G198" s="646" t="str">
        <f t="shared" si="28"/>
        <v/>
      </c>
      <c r="H198" s="643"/>
      <c r="I198" s="643"/>
      <c r="J198" s="647"/>
      <c r="K198" s="647"/>
      <c r="M198" s="648"/>
    </row>
    <row r="199" spans="2:13">
      <c r="B199" s="644"/>
      <c r="C199" s="645"/>
      <c r="D199" s="645"/>
      <c r="E199" s="645"/>
      <c r="F199" s="645"/>
      <c r="G199" s="646" t="str">
        <f t="shared" si="28"/>
        <v/>
      </c>
      <c r="H199" s="643"/>
      <c r="I199" s="643"/>
      <c r="J199" s="647"/>
      <c r="K199" s="647"/>
      <c r="M199" s="648"/>
    </row>
    <row r="200" spans="2:13">
      <c r="B200" s="644"/>
      <c r="C200" s="645"/>
      <c r="D200" s="645"/>
      <c r="E200" s="645"/>
      <c r="F200" s="645"/>
      <c r="G200" s="646" t="str">
        <f t="shared" si="28"/>
        <v/>
      </c>
      <c r="H200" s="643"/>
      <c r="I200" s="643"/>
      <c r="J200" s="647"/>
      <c r="K200" s="647"/>
      <c r="M200" s="648"/>
    </row>
    <row r="201" spans="2:13">
      <c r="B201" s="644"/>
      <c r="C201" s="645"/>
      <c r="D201" s="645"/>
      <c r="E201" s="645"/>
      <c r="F201" s="645"/>
      <c r="G201" s="646" t="str">
        <f t="shared" si="28"/>
        <v/>
      </c>
      <c r="H201" s="643"/>
      <c r="I201" s="643"/>
      <c r="J201" s="647"/>
      <c r="K201" s="647"/>
      <c r="M201" s="648"/>
    </row>
    <row r="202" spans="2:13">
      <c r="B202" s="644"/>
      <c r="C202" s="645"/>
      <c r="D202" s="645"/>
      <c r="E202" s="645"/>
      <c r="F202" s="645"/>
      <c r="G202" s="646" t="str">
        <f t="shared" si="28"/>
        <v/>
      </c>
      <c r="H202" s="643"/>
      <c r="I202" s="643"/>
      <c r="J202" s="647"/>
      <c r="K202" s="647"/>
      <c r="M202" s="648"/>
    </row>
    <row r="203" spans="2:13">
      <c r="B203" s="644"/>
      <c r="C203" s="645"/>
      <c r="D203" s="645"/>
      <c r="E203" s="645"/>
      <c r="F203" s="645"/>
      <c r="G203" s="646" t="str">
        <f t="shared" si="28"/>
        <v/>
      </c>
      <c r="H203" s="643"/>
      <c r="I203" s="643"/>
      <c r="J203" s="647"/>
      <c r="K203" s="647"/>
      <c r="M203" s="648"/>
    </row>
    <row r="204" spans="2:13">
      <c r="B204" s="644"/>
      <c r="C204" s="645"/>
      <c r="D204" s="645"/>
      <c r="E204" s="645"/>
      <c r="F204" s="645"/>
      <c r="G204" s="646" t="str">
        <f t="shared" si="28"/>
        <v/>
      </c>
      <c r="H204" s="643"/>
      <c r="I204" s="643"/>
      <c r="J204" s="647"/>
      <c r="K204" s="647"/>
      <c r="M204" s="648"/>
    </row>
    <row r="205" spans="2:13">
      <c r="B205" s="644"/>
      <c r="C205" s="645"/>
      <c r="D205" s="645"/>
      <c r="E205" s="645"/>
      <c r="F205" s="645"/>
      <c r="G205" s="646" t="str">
        <f t="shared" si="28"/>
        <v/>
      </c>
      <c r="H205" s="643"/>
      <c r="I205" s="643"/>
      <c r="J205" s="647"/>
      <c r="K205" s="647"/>
      <c r="M205" s="648"/>
    </row>
    <row r="206" spans="2:13">
      <c r="B206" s="644"/>
      <c r="C206" s="645"/>
      <c r="D206" s="645"/>
      <c r="E206" s="645"/>
      <c r="F206" s="645"/>
      <c r="G206" s="646" t="str">
        <f t="shared" si="28"/>
        <v/>
      </c>
      <c r="H206" s="643"/>
      <c r="I206" s="643"/>
      <c r="J206" s="647"/>
      <c r="K206" s="647"/>
      <c r="M206" s="648"/>
    </row>
    <row r="207" spans="2:13">
      <c r="B207" s="644"/>
      <c r="C207" s="645"/>
      <c r="D207" s="645"/>
      <c r="E207" s="645"/>
      <c r="F207" s="645"/>
      <c r="G207" s="646" t="str">
        <f t="shared" si="28"/>
        <v/>
      </c>
      <c r="H207" s="643"/>
      <c r="I207" s="643"/>
      <c r="J207" s="647"/>
      <c r="K207" s="647"/>
      <c r="M207" s="648"/>
    </row>
    <row r="208" spans="2:13">
      <c r="B208" s="644"/>
      <c r="C208" s="645"/>
      <c r="D208" s="645"/>
      <c r="E208" s="645"/>
      <c r="F208" s="645"/>
      <c r="G208" s="646" t="str">
        <f t="shared" si="28"/>
        <v/>
      </c>
      <c r="H208" s="643"/>
      <c r="I208" s="643"/>
      <c r="J208" s="647"/>
      <c r="K208" s="647"/>
      <c r="M208" s="648"/>
    </row>
    <row r="209" spans="2:13">
      <c r="B209" s="644"/>
      <c r="C209" s="645"/>
      <c r="D209" s="645"/>
      <c r="E209" s="645"/>
      <c r="F209" s="645"/>
      <c r="G209" s="646" t="str">
        <f t="shared" si="28"/>
        <v/>
      </c>
      <c r="H209" s="643"/>
      <c r="I209" s="643"/>
      <c r="J209" s="647"/>
      <c r="K209" s="647"/>
      <c r="M209" s="648"/>
    </row>
    <row r="210" spans="2:13">
      <c r="B210" s="644"/>
      <c r="C210" s="645"/>
      <c r="D210" s="645"/>
      <c r="E210" s="645"/>
      <c r="F210" s="645"/>
      <c r="G210" s="646" t="str">
        <f t="shared" si="28"/>
        <v/>
      </c>
      <c r="H210" s="643"/>
      <c r="I210" s="643"/>
      <c r="J210" s="647"/>
      <c r="K210" s="647"/>
      <c r="M210" s="648"/>
    </row>
    <row r="211" spans="2:13">
      <c r="B211" s="644"/>
      <c r="C211" s="645"/>
      <c r="D211" s="645"/>
      <c r="E211" s="645"/>
      <c r="F211" s="645"/>
      <c r="G211" s="646" t="str">
        <f t="shared" si="28"/>
        <v/>
      </c>
      <c r="H211" s="643"/>
      <c r="I211" s="643"/>
      <c r="J211" s="647"/>
      <c r="K211" s="647"/>
      <c r="M211" s="648"/>
    </row>
    <row r="212" spans="2:13">
      <c r="B212" s="644"/>
      <c r="C212" s="645"/>
      <c r="D212" s="645"/>
      <c r="E212" s="645"/>
      <c r="F212" s="645"/>
      <c r="G212" s="646" t="str">
        <f t="shared" si="28"/>
        <v/>
      </c>
      <c r="H212" s="643"/>
      <c r="I212" s="643"/>
      <c r="J212" s="647"/>
      <c r="K212" s="647"/>
      <c r="M212" s="648"/>
    </row>
    <row r="213" spans="2:13">
      <c r="B213" s="644"/>
      <c r="C213" s="645"/>
      <c r="D213" s="645"/>
      <c r="E213" s="645"/>
      <c r="F213" s="645"/>
      <c r="G213" s="646" t="str">
        <f t="shared" si="28"/>
        <v/>
      </c>
      <c r="H213" s="643"/>
      <c r="I213" s="643"/>
      <c r="J213" s="647"/>
      <c r="K213" s="647"/>
      <c r="M213" s="648"/>
    </row>
    <row r="214" spans="2:13">
      <c r="B214" s="644"/>
      <c r="C214" s="645"/>
      <c r="D214" s="645"/>
      <c r="E214" s="645"/>
      <c r="F214" s="645"/>
      <c r="G214" s="646" t="str">
        <f t="shared" si="28"/>
        <v/>
      </c>
      <c r="H214" s="643"/>
      <c r="I214" s="643"/>
      <c r="J214" s="647"/>
      <c r="K214" s="647"/>
      <c r="M214" s="648"/>
    </row>
    <row r="215" spans="2:13">
      <c r="B215" s="644"/>
      <c r="C215" s="645"/>
      <c r="D215" s="645"/>
      <c r="E215" s="645"/>
      <c r="F215" s="645"/>
      <c r="G215" s="646" t="str">
        <f t="shared" si="28"/>
        <v/>
      </c>
      <c r="H215" s="643"/>
      <c r="I215" s="643"/>
      <c r="J215" s="647"/>
      <c r="K215" s="647"/>
      <c r="M215" s="648"/>
    </row>
    <row r="216" spans="2:13">
      <c r="B216" s="644"/>
      <c r="C216" s="645"/>
      <c r="D216" s="645"/>
      <c r="E216" s="645"/>
      <c r="F216" s="645"/>
      <c r="G216" s="646" t="str">
        <f t="shared" si="28"/>
        <v/>
      </c>
      <c r="H216" s="643"/>
      <c r="I216" s="643"/>
      <c r="J216" s="647"/>
      <c r="K216" s="647"/>
      <c r="M216" s="648"/>
    </row>
    <row r="217" spans="2:13">
      <c r="B217" s="644"/>
      <c r="C217" s="645"/>
      <c r="D217" s="645"/>
      <c r="E217" s="645"/>
      <c r="F217" s="645"/>
      <c r="G217" s="646" t="str">
        <f t="shared" si="28"/>
        <v/>
      </c>
      <c r="H217" s="643"/>
      <c r="I217" s="643"/>
      <c r="J217" s="647"/>
      <c r="K217" s="647"/>
      <c r="M217" s="648"/>
    </row>
    <row r="218" spans="2:13">
      <c r="B218" s="644"/>
      <c r="C218" s="645"/>
      <c r="D218" s="645"/>
      <c r="E218" s="645"/>
      <c r="F218" s="645"/>
      <c r="G218" s="646" t="str">
        <f t="shared" si="28"/>
        <v/>
      </c>
      <c r="H218" s="643"/>
      <c r="I218" s="643"/>
      <c r="J218" s="647"/>
      <c r="K218" s="647"/>
      <c r="M218" s="648"/>
    </row>
    <row r="219" spans="2:13">
      <c r="B219" s="644"/>
      <c r="C219" s="645"/>
      <c r="D219" s="645"/>
      <c r="E219" s="645"/>
      <c r="F219" s="645"/>
      <c r="G219" s="646" t="str">
        <f t="shared" si="28"/>
        <v/>
      </c>
      <c r="H219" s="643"/>
      <c r="I219" s="643"/>
      <c r="J219" s="647"/>
      <c r="K219" s="647"/>
      <c r="M219" s="648"/>
    </row>
    <row r="220" spans="2:13">
      <c r="B220" s="644"/>
      <c r="C220" s="645"/>
      <c r="D220" s="645"/>
      <c r="E220" s="645"/>
      <c r="F220" s="645"/>
      <c r="G220" s="646" t="str">
        <f t="shared" si="28"/>
        <v/>
      </c>
      <c r="H220" s="643"/>
      <c r="I220" s="643"/>
      <c r="J220" s="647"/>
      <c r="K220" s="647"/>
      <c r="M220" s="648"/>
    </row>
    <row r="221" spans="2:13">
      <c r="B221" s="644"/>
      <c r="C221" s="645"/>
      <c r="D221" s="645"/>
      <c r="E221" s="645"/>
      <c r="F221" s="645"/>
      <c r="G221" s="646" t="str">
        <f t="shared" si="28"/>
        <v/>
      </c>
      <c r="H221" s="643"/>
      <c r="I221" s="643"/>
      <c r="J221" s="647"/>
      <c r="K221" s="647"/>
      <c r="M221" s="648"/>
    </row>
    <row r="222" spans="2:13">
      <c r="B222" s="644"/>
      <c r="C222" s="645"/>
      <c r="D222" s="645"/>
      <c r="E222" s="645"/>
      <c r="F222" s="645"/>
      <c r="G222" s="646" t="str">
        <f t="shared" si="28"/>
        <v/>
      </c>
      <c r="H222" s="643"/>
      <c r="I222" s="643"/>
      <c r="J222" s="647"/>
      <c r="K222" s="647"/>
      <c r="M222" s="648"/>
    </row>
    <row r="223" spans="2:13">
      <c r="B223" s="644"/>
      <c r="C223" s="645"/>
      <c r="D223" s="645"/>
      <c r="E223" s="645"/>
      <c r="F223" s="645"/>
      <c r="G223" s="646" t="str">
        <f t="shared" si="28"/>
        <v/>
      </c>
      <c r="H223" s="643"/>
      <c r="I223" s="643"/>
      <c r="J223" s="647"/>
      <c r="K223" s="647"/>
      <c r="M223" s="648"/>
    </row>
    <row r="224" spans="2:13">
      <c r="B224" s="644"/>
      <c r="C224" s="645"/>
      <c r="D224" s="645"/>
      <c r="E224" s="645"/>
      <c r="F224" s="645"/>
      <c r="G224" s="646" t="str">
        <f t="shared" si="28"/>
        <v/>
      </c>
      <c r="H224" s="643"/>
      <c r="I224" s="643"/>
      <c r="J224" s="647"/>
      <c r="K224" s="647"/>
      <c r="M224" s="648"/>
    </row>
    <row r="225" spans="2:13">
      <c r="B225" s="644"/>
      <c r="C225" s="645"/>
      <c r="D225" s="645"/>
      <c r="E225" s="645"/>
      <c r="F225" s="645"/>
      <c r="G225" s="646" t="str">
        <f t="shared" si="28"/>
        <v/>
      </c>
      <c r="H225" s="643"/>
      <c r="I225" s="643"/>
      <c r="J225" s="647"/>
      <c r="K225" s="647"/>
      <c r="M225" s="648"/>
    </row>
    <row r="226" spans="2:13">
      <c r="B226" s="644"/>
      <c r="C226" s="645"/>
      <c r="D226" s="645"/>
      <c r="E226" s="645"/>
      <c r="F226" s="645"/>
      <c r="G226" s="646" t="str">
        <f t="shared" si="28"/>
        <v/>
      </c>
      <c r="H226" s="643"/>
      <c r="I226" s="643"/>
      <c r="J226" s="647"/>
      <c r="K226" s="647"/>
      <c r="M226" s="648"/>
    </row>
    <row r="227" spans="2:13">
      <c r="B227" s="644"/>
      <c r="C227" s="645"/>
      <c r="D227" s="645"/>
      <c r="E227" s="645"/>
      <c r="F227" s="645"/>
      <c r="G227" s="646" t="str">
        <f t="shared" si="28"/>
        <v/>
      </c>
      <c r="H227" s="643"/>
      <c r="I227" s="643"/>
      <c r="J227" s="647"/>
      <c r="K227" s="647"/>
      <c r="M227" s="648"/>
    </row>
    <row r="228" spans="2:13">
      <c r="B228" s="644"/>
      <c r="C228" s="645"/>
      <c r="D228" s="645"/>
      <c r="E228" s="645"/>
      <c r="F228" s="645"/>
      <c r="G228" s="646" t="str">
        <f t="shared" si="28"/>
        <v/>
      </c>
      <c r="H228" s="643"/>
      <c r="I228" s="643"/>
      <c r="J228" s="647"/>
      <c r="K228" s="647"/>
      <c r="M228" s="648"/>
    </row>
    <row r="229" spans="2:13">
      <c r="B229" s="644"/>
      <c r="C229" s="645"/>
      <c r="D229" s="645"/>
      <c r="E229" s="645"/>
      <c r="F229" s="645"/>
      <c r="G229" s="646" t="str">
        <f t="shared" si="28"/>
        <v/>
      </c>
      <c r="H229" s="643"/>
      <c r="I229" s="643"/>
      <c r="J229" s="647"/>
      <c r="K229" s="647"/>
      <c r="M229" s="648"/>
    </row>
    <row r="230" spans="2:13">
      <c r="B230" s="644"/>
      <c r="C230" s="645"/>
      <c r="D230" s="645"/>
      <c r="E230" s="645"/>
      <c r="F230" s="645"/>
      <c r="G230" s="646" t="str">
        <f t="shared" si="28"/>
        <v/>
      </c>
      <c r="H230" s="643"/>
      <c r="I230" s="643"/>
      <c r="J230" s="647"/>
      <c r="K230" s="647"/>
      <c r="M230" s="648"/>
    </row>
    <row r="231" spans="2:13">
      <c r="B231" s="644"/>
      <c r="C231" s="645"/>
      <c r="D231" s="645"/>
      <c r="E231" s="645"/>
      <c r="F231" s="645"/>
      <c r="G231" s="646" t="str">
        <f t="shared" si="28"/>
        <v/>
      </c>
      <c r="H231" s="643"/>
      <c r="I231" s="643"/>
      <c r="J231" s="647"/>
      <c r="K231" s="647"/>
      <c r="M231" s="648"/>
    </row>
    <row r="232" spans="2:13">
      <c r="B232" s="644"/>
      <c r="C232" s="645"/>
      <c r="D232" s="645"/>
      <c r="E232" s="645"/>
      <c r="F232" s="645"/>
      <c r="G232" s="646" t="str">
        <f t="shared" si="28"/>
        <v/>
      </c>
      <c r="H232" s="643"/>
      <c r="I232" s="643"/>
      <c r="J232" s="647"/>
      <c r="K232" s="647"/>
      <c r="M232" s="648"/>
    </row>
    <row r="233" spans="2:13">
      <c r="B233" s="644"/>
      <c r="C233" s="645"/>
      <c r="D233" s="645"/>
      <c r="E233" s="645"/>
      <c r="F233" s="645"/>
      <c r="G233" s="646" t="str">
        <f t="shared" si="28"/>
        <v/>
      </c>
      <c r="H233" s="643"/>
      <c r="I233" s="643"/>
      <c r="J233" s="647"/>
      <c r="K233" s="647"/>
      <c r="M233" s="648"/>
    </row>
    <row r="234" spans="2:13">
      <c r="B234" s="644"/>
      <c r="C234" s="645"/>
      <c r="D234" s="645"/>
      <c r="E234" s="645"/>
      <c r="F234" s="645"/>
      <c r="G234" s="646" t="str">
        <f t="shared" ref="G234:G297" si="29">IF(B234&lt;&gt;"",SUM(C234:F234),"")</f>
        <v/>
      </c>
      <c r="H234" s="643"/>
      <c r="I234" s="643"/>
      <c r="J234" s="647"/>
      <c r="K234" s="647"/>
      <c r="M234" s="648"/>
    </row>
    <row r="235" spans="2:13">
      <c r="B235" s="644"/>
      <c r="C235" s="645"/>
      <c r="D235" s="645"/>
      <c r="E235" s="645"/>
      <c r="F235" s="645"/>
      <c r="G235" s="646" t="str">
        <f t="shared" si="29"/>
        <v/>
      </c>
      <c r="H235" s="643"/>
      <c r="I235" s="643"/>
      <c r="J235" s="647"/>
      <c r="K235" s="647"/>
      <c r="M235" s="648"/>
    </row>
    <row r="236" spans="2:13">
      <c r="B236" s="644"/>
      <c r="C236" s="645"/>
      <c r="D236" s="645"/>
      <c r="E236" s="645"/>
      <c r="F236" s="645"/>
      <c r="G236" s="646" t="str">
        <f t="shared" si="29"/>
        <v/>
      </c>
      <c r="H236" s="643"/>
      <c r="I236" s="643"/>
      <c r="J236" s="647"/>
      <c r="K236" s="647"/>
      <c r="M236" s="648"/>
    </row>
    <row r="237" spans="2:13">
      <c r="B237" s="644"/>
      <c r="C237" s="645"/>
      <c r="D237" s="645"/>
      <c r="E237" s="645"/>
      <c r="F237" s="645"/>
      <c r="G237" s="646" t="str">
        <f t="shared" si="29"/>
        <v/>
      </c>
      <c r="H237" s="643"/>
      <c r="I237" s="643"/>
      <c r="J237" s="647"/>
      <c r="K237" s="647"/>
      <c r="M237" s="648"/>
    </row>
    <row r="238" spans="2:13">
      <c r="B238" s="644"/>
      <c r="C238" s="645"/>
      <c r="D238" s="645"/>
      <c r="E238" s="645"/>
      <c r="F238" s="645"/>
      <c r="G238" s="646" t="str">
        <f t="shared" si="29"/>
        <v/>
      </c>
      <c r="H238" s="643"/>
      <c r="I238" s="643"/>
      <c r="J238" s="647"/>
      <c r="K238" s="647"/>
      <c r="M238" s="648"/>
    </row>
    <row r="239" spans="2:13">
      <c r="B239" s="644"/>
      <c r="C239" s="645"/>
      <c r="D239" s="645"/>
      <c r="E239" s="645"/>
      <c r="F239" s="645"/>
      <c r="G239" s="646" t="str">
        <f t="shared" si="29"/>
        <v/>
      </c>
      <c r="H239" s="643"/>
      <c r="I239" s="643"/>
      <c r="J239" s="647"/>
      <c r="K239" s="647"/>
      <c r="M239" s="648"/>
    </row>
    <row r="240" spans="2:13">
      <c r="B240" s="644"/>
      <c r="C240" s="645"/>
      <c r="D240" s="645"/>
      <c r="E240" s="645"/>
      <c r="F240" s="645"/>
      <c r="G240" s="646" t="str">
        <f t="shared" si="29"/>
        <v/>
      </c>
      <c r="H240" s="643"/>
      <c r="I240" s="643"/>
      <c r="J240" s="647"/>
      <c r="K240" s="647"/>
      <c r="M240" s="648"/>
    </row>
    <row r="241" spans="2:13">
      <c r="B241" s="644"/>
      <c r="C241" s="645"/>
      <c r="D241" s="645"/>
      <c r="E241" s="645"/>
      <c r="F241" s="645"/>
      <c r="G241" s="646" t="str">
        <f t="shared" si="29"/>
        <v/>
      </c>
      <c r="H241" s="643"/>
      <c r="I241" s="643"/>
      <c r="J241" s="647"/>
      <c r="K241" s="647"/>
      <c r="M241" s="648"/>
    </row>
    <row r="242" spans="2:13">
      <c r="B242" s="644"/>
      <c r="C242" s="645"/>
      <c r="D242" s="645"/>
      <c r="E242" s="645"/>
      <c r="F242" s="645"/>
      <c r="G242" s="646" t="str">
        <f t="shared" si="29"/>
        <v/>
      </c>
      <c r="H242" s="643"/>
      <c r="I242" s="643"/>
      <c r="J242" s="647"/>
      <c r="K242" s="647"/>
      <c r="M242" s="648"/>
    </row>
    <row r="243" spans="2:13">
      <c r="B243" s="644"/>
      <c r="C243" s="645"/>
      <c r="D243" s="645"/>
      <c r="E243" s="645"/>
      <c r="F243" s="645"/>
      <c r="G243" s="646" t="str">
        <f t="shared" si="29"/>
        <v/>
      </c>
      <c r="H243" s="643"/>
      <c r="I243" s="643"/>
      <c r="J243" s="647"/>
      <c r="K243" s="647"/>
      <c r="M243" s="648"/>
    </row>
    <row r="244" spans="2:13">
      <c r="B244" s="644"/>
      <c r="C244" s="645"/>
      <c r="D244" s="645"/>
      <c r="E244" s="645"/>
      <c r="F244" s="645"/>
      <c r="G244" s="646" t="str">
        <f t="shared" si="29"/>
        <v/>
      </c>
      <c r="H244" s="643"/>
      <c r="I244" s="643"/>
      <c r="J244" s="647"/>
      <c r="K244" s="647"/>
      <c r="M244" s="648"/>
    </row>
    <row r="245" spans="2:13">
      <c r="B245" s="644"/>
      <c r="C245" s="645"/>
      <c r="D245" s="645"/>
      <c r="E245" s="645"/>
      <c r="F245" s="645"/>
      <c r="G245" s="646" t="str">
        <f t="shared" si="29"/>
        <v/>
      </c>
      <c r="H245" s="643"/>
      <c r="I245" s="643"/>
      <c r="J245" s="647"/>
      <c r="K245" s="647"/>
      <c r="M245" s="648"/>
    </row>
    <row r="246" spans="2:13">
      <c r="B246" s="644"/>
      <c r="C246" s="645"/>
      <c r="D246" s="645"/>
      <c r="E246" s="645"/>
      <c r="F246" s="645"/>
      <c r="G246" s="646" t="str">
        <f t="shared" si="29"/>
        <v/>
      </c>
      <c r="H246" s="643"/>
      <c r="I246" s="643"/>
      <c r="J246" s="647"/>
      <c r="K246" s="647"/>
      <c r="M246" s="648"/>
    </row>
    <row r="247" spans="2:13">
      <c r="B247" s="644"/>
      <c r="C247" s="645"/>
      <c r="D247" s="645"/>
      <c r="E247" s="645"/>
      <c r="F247" s="645"/>
      <c r="G247" s="646" t="str">
        <f t="shared" si="29"/>
        <v/>
      </c>
      <c r="H247" s="643"/>
      <c r="I247" s="643"/>
      <c r="J247" s="647"/>
      <c r="K247" s="647"/>
      <c r="M247" s="648"/>
    </row>
    <row r="248" spans="2:13">
      <c r="B248" s="644"/>
      <c r="C248" s="645"/>
      <c r="D248" s="645"/>
      <c r="E248" s="645"/>
      <c r="F248" s="645"/>
      <c r="G248" s="646" t="str">
        <f t="shared" si="29"/>
        <v/>
      </c>
      <c r="H248" s="643"/>
      <c r="I248" s="643"/>
      <c r="J248" s="647"/>
      <c r="K248" s="647"/>
      <c r="M248" s="648"/>
    </row>
    <row r="249" spans="2:13">
      <c r="B249" s="644"/>
      <c r="C249" s="645"/>
      <c r="D249" s="645"/>
      <c r="E249" s="645"/>
      <c r="F249" s="645"/>
      <c r="G249" s="646" t="str">
        <f t="shared" si="29"/>
        <v/>
      </c>
      <c r="H249" s="643"/>
      <c r="I249" s="643"/>
      <c r="J249" s="647"/>
      <c r="K249" s="647"/>
      <c r="M249" s="648"/>
    </row>
    <row r="250" spans="2:13">
      <c r="B250" s="644"/>
      <c r="C250" s="645"/>
      <c r="D250" s="645"/>
      <c r="E250" s="645"/>
      <c r="F250" s="645"/>
      <c r="G250" s="646" t="str">
        <f t="shared" si="29"/>
        <v/>
      </c>
      <c r="H250" s="643"/>
      <c r="I250" s="643"/>
      <c r="J250" s="647"/>
      <c r="K250" s="647"/>
      <c r="M250" s="648"/>
    </row>
    <row r="251" spans="2:13">
      <c r="B251" s="644"/>
      <c r="C251" s="645"/>
      <c r="D251" s="645"/>
      <c r="E251" s="645"/>
      <c r="F251" s="645"/>
      <c r="G251" s="646" t="str">
        <f t="shared" si="29"/>
        <v/>
      </c>
      <c r="H251" s="643"/>
      <c r="I251" s="643"/>
      <c r="J251" s="647"/>
      <c r="K251" s="647"/>
      <c r="M251" s="648"/>
    </row>
    <row r="252" spans="2:13">
      <c r="B252" s="644"/>
      <c r="C252" s="645"/>
      <c r="D252" s="645"/>
      <c r="E252" s="645"/>
      <c r="F252" s="645"/>
      <c r="G252" s="646" t="str">
        <f t="shared" si="29"/>
        <v/>
      </c>
      <c r="H252" s="643"/>
      <c r="I252" s="643"/>
      <c r="J252" s="647"/>
      <c r="K252" s="647"/>
      <c r="M252" s="648"/>
    </row>
    <row r="253" spans="2:13">
      <c r="B253" s="644"/>
      <c r="C253" s="645"/>
      <c r="D253" s="645"/>
      <c r="E253" s="645"/>
      <c r="F253" s="645"/>
      <c r="G253" s="646" t="str">
        <f t="shared" si="29"/>
        <v/>
      </c>
      <c r="H253" s="643"/>
      <c r="I253" s="643"/>
      <c r="J253" s="647"/>
      <c r="K253" s="647"/>
      <c r="M253" s="648"/>
    </row>
    <row r="254" spans="2:13">
      <c r="B254" s="644"/>
      <c r="C254" s="645"/>
      <c r="D254" s="645"/>
      <c r="E254" s="645"/>
      <c r="F254" s="645"/>
      <c r="G254" s="646" t="str">
        <f t="shared" si="29"/>
        <v/>
      </c>
      <c r="H254" s="643"/>
      <c r="I254" s="643"/>
      <c r="J254" s="647"/>
      <c r="K254" s="647"/>
      <c r="M254" s="648"/>
    </row>
    <row r="255" spans="2:13">
      <c r="B255" s="644"/>
      <c r="C255" s="645"/>
      <c r="D255" s="645"/>
      <c r="E255" s="645"/>
      <c r="F255" s="645"/>
      <c r="G255" s="646" t="str">
        <f t="shared" si="29"/>
        <v/>
      </c>
      <c r="H255" s="643"/>
      <c r="I255" s="643"/>
      <c r="J255" s="647"/>
      <c r="K255" s="647"/>
      <c r="M255" s="648"/>
    </row>
    <row r="256" spans="2:13">
      <c r="B256" s="644"/>
      <c r="C256" s="645"/>
      <c r="D256" s="645"/>
      <c r="E256" s="645"/>
      <c r="F256" s="645"/>
      <c r="G256" s="646" t="str">
        <f t="shared" si="29"/>
        <v/>
      </c>
      <c r="H256" s="643"/>
      <c r="I256" s="643"/>
      <c r="J256" s="647"/>
      <c r="K256" s="647"/>
      <c r="M256" s="648"/>
    </row>
    <row r="257" spans="2:13">
      <c r="B257" s="644"/>
      <c r="C257" s="645"/>
      <c r="D257" s="645"/>
      <c r="E257" s="645"/>
      <c r="F257" s="645"/>
      <c r="G257" s="646" t="str">
        <f t="shared" si="29"/>
        <v/>
      </c>
      <c r="H257" s="643"/>
      <c r="I257" s="643"/>
      <c r="J257" s="647"/>
      <c r="K257" s="647"/>
      <c r="M257" s="648"/>
    </row>
    <row r="258" spans="2:13">
      <c r="B258" s="644"/>
      <c r="C258" s="645"/>
      <c r="D258" s="645"/>
      <c r="E258" s="645"/>
      <c r="F258" s="645"/>
      <c r="G258" s="646" t="str">
        <f t="shared" si="29"/>
        <v/>
      </c>
      <c r="H258" s="643"/>
      <c r="I258" s="643"/>
      <c r="J258" s="647"/>
      <c r="K258" s="647"/>
      <c r="M258" s="648"/>
    </row>
    <row r="259" spans="2:13">
      <c r="B259" s="644"/>
      <c r="C259" s="645"/>
      <c r="D259" s="645"/>
      <c r="E259" s="645"/>
      <c r="F259" s="645"/>
      <c r="G259" s="646" t="str">
        <f t="shared" si="29"/>
        <v/>
      </c>
      <c r="H259" s="643"/>
      <c r="I259" s="643"/>
      <c r="J259" s="647"/>
      <c r="K259" s="647"/>
      <c r="M259" s="648"/>
    </row>
    <row r="260" spans="2:13">
      <c r="B260" s="644"/>
      <c r="C260" s="645"/>
      <c r="D260" s="645"/>
      <c r="E260" s="645"/>
      <c r="F260" s="645"/>
      <c r="G260" s="646" t="str">
        <f t="shared" si="29"/>
        <v/>
      </c>
      <c r="H260" s="643"/>
      <c r="I260" s="643"/>
      <c r="J260" s="647"/>
      <c r="K260" s="647"/>
      <c r="M260" s="648"/>
    </row>
    <row r="261" spans="2:13">
      <c r="B261" s="644"/>
      <c r="C261" s="645"/>
      <c r="D261" s="645"/>
      <c r="E261" s="645"/>
      <c r="F261" s="645"/>
      <c r="G261" s="646" t="str">
        <f t="shared" si="29"/>
        <v/>
      </c>
      <c r="H261" s="643"/>
      <c r="I261" s="643"/>
      <c r="J261" s="647"/>
      <c r="K261" s="647"/>
      <c r="M261" s="648"/>
    </row>
    <row r="262" spans="2:13">
      <c r="B262" s="644"/>
      <c r="C262" s="645"/>
      <c r="D262" s="645"/>
      <c r="E262" s="645"/>
      <c r="F262" s="645"/>
      <c r="G262" s="646" t="str">
        <f t="shared" si="29"/>
        <v/>
      </c>
      <c r="H262" s="643"/>
      <c r="I262" s="643"/>
      <c r="J262" s="647"/>
      <c r="K262" s="647"/>
      <c r="M262" s="648"/>
    </row>
    <row r="263" spans="2:13">
      <c r="B263" s="644"/>
      <c r="C263" s="645"/>
      <c r="D263" s="645"/>
      <c r="E263" s="645"/>
      <c r="F263" s="645"/>
      <c r="G263" s="646" t="str">
        <f t="shared" si="29"/>
        <v/>
      </c>
      <c r="H263" s="643"/>
      <c r="I263" s="643"/>
      <c r="J263" s="647"/>
      <c r="K263" s="647"/>
      <c r="M263" s="648"/>
    </row>
    <row r="264" spans="2:13">
      <c r="B264" s="644"/>
      <c r="C264" s="645"/>
      <c r="D264" s="645"/>
      <c r="E264" s="645"/>
      <c r="F264" s="645"/>
      <c r="G264" s="646" t="str">
        <f t="shared" si="29"/>
        <v/>
      </c>
      <c r="H264" s="643"/>
      <c r="I264" s="643"/>
      <c r="J264" s="647"/>
      <c r="K264" s="647"/>
      <c r="M264" s="648"/>
    </row>
    <row r="265" spans="2:13">
      <c r="B265" s="644"/>
      <c r="C265" s="645"/>
      <c r="D265" s="645"/>
      <c r="E265" s="645"/>
      <c r="F265" s="645"/>
      <c r="G265" s="646" t="str">
        <f t="shared" si="29"/>
        <v/>
      </c>
      <c r="H265" s="643"/>
      <c r="I265" s="643"/>
      <c r="J265" s="647"/>
      <c r="K265" s="647"/>
      <c r="M265" s="648"/>
    </row>
    <row r="266" spans="2:13">
      <c r="B266" s="644"/>
      <c r="C266" s="645"/>
      <c r="D266" s="645"/>
      <c r="E266" s="645"/>
      <c r="F266" s="645"/>
      <c r="G266" s="646" t="str">
        <f t="shared" si="29"/>
        <v/>
      </c>
      <c r="H266" s="643"/>
      <c r="I266" s="643"/>
      <c r="J266" s="647"/>
      <c r="K266" s="647"/>
      <c r="M266" s="648"/>
    </row>
    <row r="267" spans="2:13">
      <c r="B267" s="644"/>
      <c r="C267" s="645"/>
      <c r="D267" s="645"/>
      <c r="E267" s="645"/>
      <c r="F267" s="645"/>
      <c r="G267" s="646" t="str">
        <f t="shared" si="29"/>
        <v/>
      </c>
      <c r="H267" s="643"/>
      <c r="I267" s="643"/>
      <c r="J267" s="647"/>
      <c r="K267" s="647"/>
      <c r="M267" s="648"/>
    </row>
    <row r="268" spans="2:13">
      <c r="B268" s="644"/>
      <c r="C268" s="645"/>
      <c r="D268" s="645"/>
      <c r="E268" s="645"/>
      <c r="F268" s="645"/>
      <c r="G268" s="646" t="str">
        <f t="shared" si="29"/>
        <v/>
      </c>
      <c r="H268" s="643"/>
      <c r="I268" s="643"/>
      <c r="J268" s="647"/>
      <c r="K268" s="647"/>
      <c r="M268" s="648"/>
    </row>
    <row r="269" spans="2:13">
      <c r="B269" s="644"/>
      <c r="C269" s="645"/>
      <c r="D269" s="645"/>
      <c r="E269" s="645"/>
      <c r="F269" s="645"/>
      <c r="G269" s="646" t="str">
        <f t="shared" si="29"/>
        <v/>
      </c>
      <c r="H269" s="643"/>
      <c r="I269" s="643"/>
      <c r="J269" s="647"/>
      <c r="K269" s="647"/>
      <c r="M269" s="648"/>
    </row>
    <row r="270" spans="2:13">
      <c r="B270" s="644"/>
      <c r="C270" s="645"/>
      <c r="D270" s="645"/>
      <c r="E270" s="645"/>
      <c r="F270" s="645"/>
      <c r="G270" s="646" t="str">
        <f t="shared" si="29"/>
        <v/>
      </c>
      <c r="H270" s="643"/>
      <c r="I270" s="643"/>
      <c r="J270" s="647"/>
      <c r="K270" s="647"/>
      <c r="M270" s="648"/>
    </row>
    <row r="271" spans="2:13">
      <c r="B271" s="644"/>
      <c r="C271" s="645"/>
      <c r="D271" s="645"/>
      <c r="E271" s="645"/>
      <c r="F271" s="645"/>
      <c r="G271" s="646" t="str">
        <f t="shared" si="29"/>
        <v/>
      </c>
      <c r="H271" s="643"/>
      <c r="I271" s="643"/>
      <c r="J271" s="647"/>
      <c r="K271" s="647"/>
      <c r="M271" s="648"/>
    </row>
    <row r="272" spans="2:13">
      <c r="B272" s="644"/>
      <c r="C272" s="645"/>
      <c r="D272" s="645"/>
      <c r="E272" s="645"/>
      <c r="F272" s="645"/>
      <c r="G272" s="646" t="str">
        <f t="shared" si="29"/>
        <v/>
      </c>
      <c r="H272" s="643"/>
      <c r="I272" s="643"/>
      <c r="J272" s="647"/>
      <c r="K272" s="647"/>
      <c r="M272" s="648"/>
    </row>
    <row r="273" spans="2:13">
      <c r="B273" s="644"/>
      <c r="C273" s="645"/>
      <c r="D273" s="645"/>
      <c r="E273" s="645"/>
      <c r="F273" s="645"/>
      <c r="G273" s="646" t="str">
        <f t="shared" si="29"/>
        <v/>
      </c>
      <c r="H273" s="643"/>
      <c r="I273" s="643"/>
      <c r="J273" s="647"/>
      <c r="K273" s="647"/>
      <c r="M273" s="648"/>
    </row>
    <row r="274" spans="2:13">
      <c r="B274" s="644"/>
      <c r="C274" s="645"/>
      <c r="D274" s="645"/>
      <c r="E274" s="645"/>
      <c r="F274" s="645"/>
      <c r="G274" s="646" t="str">
        <f t="shared" si="29"/>
        <v/>
      </c>
      <c r="H274" s="643"/>
      <c r="I274" s="643"/>
      <c r="J274" s="647"/>
      <c r="K274" s="647"/>
      <c r="M274" s="648"/>
    </row>
    <row r="275" spans="2:13">
      <c r="B275" s="644"/>
      <c r="C275" s="645"/>
      <c r="D275" s="645"/>
      <c r="E275" s="645"/>
      <c r="F275" s="645"/>
      <c r="G275" s="646" t="str">
        <f t="shared" si="29"/>
        <v/>
      </c>
      <c r="H275" s="643"/>
      <c r="I275" s="643"/>
      <c r="J275" s="647"/>
      <c r="K275" s="647"/>
      <c r="M275" s="648"/>
    </row>
    <row r="276" spans="2:13">
      <c r="B276" s="644"/>
      <c r="C276" s="645"/>
      <c r="D276" s="645"/>
      <c r="E276" s="645"/>
      <c r="F276" s="645"/>
      <c r="G276" s="646" t="str">
        <f t="shared" si="29"/>
        <v/>
      </c>
      <c r="H276" s="643"/>
      <c r="I276" s="643"/>
      <c r="J276" s="647"/>
      <c r="K276" s="647"/>
      <c r="M276" s="648"/>
    </row>
    <row r="277" spans="2:13">
      <c r="B277" s="644"/>
      <c r="C277" s="645"/>
      <c r="D277" s="645"/>
      <c r="E277" s="645"/>
      <c r="F277" s="645"/>
      <c r="G277" s="646" t="str">
        <f t="shared" si="29"/>
        <v/>
      </c>
      <c r="H277" s="643"/>
      <c r="I277" s="643"/>
      <c r="J277" s="647"/>
      <c r="K277" s="647"/>
      <c r="M277" s="648"/>
    </row>
    <row r="278" spans="2:13">
      <c r="B278" s="644"/>
      <c r="C278" s="645"/>
      <c r="D278" s="645"/>
      <c r="E278" s="645"/>
      <c r="F278" s="645"/>
      <c r="G278" s="646" t="str">
        <f t="shared" si="29"/>
        <v/>
      </c>
      <c r="H278" s="643"/>
      <c r="I278" s="643"/>
      <c r="J278" s="647"/>
      <c r="K278" s="647"/>
      <c r="M278" s="648"/>
    </row>
    <row r="279" spans="2:13">
      <c r="B279" s="644"/>
      <c r="C279" s="645"/>
      <c r="D279" s="645"/>
      <c r="E279" s="645"/>
      <c r="F279" s="645"/>
      <c r="G279" s="646" t="str">
        <f t="shared" si="29"/>
        <v/>
      </c>
      <c r="H279" s="643"/>
      <c r="I279" s="643"/>
      <c r="J279" s="647"/>
      <c r="K279" s="647"/>
      <c r="M279" s="648"/>
    </row>
    <row r="280" spans="2:13">
      <c r="B280" s="644"/>
      <c r="C280" s="645"/>
      <c r="D280" s="645"/>
      <c r="E280" s="645"/>
      <c r="F280" s="645"/>
      <c r="G280" s="646" t="str">
        <f t="shared" si="29"/>
        <v/>
      </c>
      <c r="H280" s="643"/>
      <c r="I280" s="643"/>
      <c r="J280" s="647"/>
      <c r="K280" s="647"/>
      <c r="M280" s="648"/>
    </row>
    <row r="281" spans="2:13">
      <c r="B281" s="644"/>
      <c r="C281" s="645"/>
      <c r="D281" s="645"/>
      <c r="E281" s="645"/>
      <c r="F281" s="645"/>
      <c r="G281" s="646" t="str">
        <f t="shared" si="29"/>
        <v/>
      </c>
      <c r="H281" s="643"/>
      <c r="I281" s="643"/>
      <c r="J281" s="647"/>
      <c r="K281" s="647"/>
      <c r="M281" s="648"/>
    </row>
    <row r="282" spans="2:13">
      <c r="B282" s="644"/>
      <c r="C282" s="645"/>
      <c r="D282" s="645"/>
      <c r="E282" s="645"/>
      <c r="F282" s="645"/>
      <c r="G282" s="646" t="str">
        <f t="shared" si="29"/>
        <v/>
      </c>
      <c r="H282" s="643"/>
      <c r="I282" s="643"/>
      <c r="J282" s="647"/>
      <c r="K282" s="647"/>
      <c r="M282" s="648"/>
    </row>
    <row r="283" spans="2:13">
      <c r="B283" s="644"/>
      <c r="C283" s="645"/>
      <c r="D283" s="645"/>
      <c r="E283" s="645"/>
      <c r="F283" s="645"/>
      <c r="G283" s="646" t="str">
        <f t="shared" si="29"/>
        <v/>
      </c>
      <c r="H283" s="643"/>
      <c r="I283" s="643"/>
      <c r="J283" s="647"/>
      <c r="K283" s="647"/>
      <c r="M283" s="648"/>
    </row>
    <row r="284" spans="2:13">
      <c r="B284" s="644"/>
      <c r="C284" s="645"/>
      <c r="D284" s="645"/>
      <c r="E284" s="645"/>
      <c r="F284" s="645"/>
      <c r="G284" s="646" t="str">
        <f t="shared" si="29"/>
        <v/>
      </c>
      <c r="H284" s="643"/>
      <c r="I284" s="643"/>
      <c r="J284" s="647"/>
      <c r="K284" s="647"/>
      <c r="M284" s="648"/>
    </row>
    <row r="285" spans="2:13">
      <c r="B285" s="644"/>
      <c r="C285" s="645"/>
      <c r="D285" s="645"/>
      <c r="E285" s="645"/>
      <c r="F285" s="645"/>
      <c r="G285" s="646" t="str">
        <f t="shared" si="29"/>
        <v/>
      </c>
      <c r="H285" s="643"/>
      <c r="I285" s="643"/>
      <c r="J285" s="647"/>
      <c r="K285" s="647"/>
      <c r="M285" s="648"/>
    </row>
    <row r="286" spans="2:13">
      <c r="B286" s="644"/>
      <c r="C286" s="645"/>
      <c r="D286" s="645"/>
      <c r="E286" s="645"/>
      <c r="F286" s="645"/>
      <c r="G286" s="646" t="str">
        <f t="shared" si="29"/>
        <v/>
      </c>
      <c r="H286" s="643"/>
      <c r="I286" s="643"/>
      <c r="J286" s="647"/>
      <c r="K286" s="647"/>
      <c r="M286" s="648"/>
    </row>
    <row r="287" spans="2:13">
      <c r="B287" s="644"/>
      <c r="C287" s="645"/>
      <c r="D287" s="645"/>
      <c r="E287" s="645"/>
      <c r="F287" s="645"/>
      <c r="G287" s="646" t="str">
        <f t="shared" si="29"/>
        <v/>
      </c>
      <c r="H287" s="643"/>
      <c r="I287" s="643"/>
      <c r="J287" s="647"/>
      <c r="K287" s="647"/>
      <c r="M287" s="648"/>
    </row>
    <row r="288" spans="2:13">
      <c r="B288" s="644"/>
      <c r="C288" s="645"/>
      <c r="D288" s="645"/>
      <c r="E288" s="645"/>
      <c r="F288" s="645"/>
      <c r="G288" s="646" t="str">
        <f t="shared" si="29"/>
        <v/>
      </c>
      <c r="H288" s="643"/>
      <c r="I288" s="643"/>
      <c r="J288" s="647"/>
      <c r="K288" s="647"/>
      <c r="M288" s="648"/>
    </row>
    <row r="289" spans="2:13">
      <c r="B289" s="644"/>
      <c r="C289" s="645"/>
      <c r="D289" s="645"/>
      <c r="E289" s="645"/>
      <c r="F289" s="645"/>
      <c r="G289" s="646" t="str">
        <f t="shared" si="29"/>
        <v/>
      </c>
      <c r="H289" s="643"/>
      <c r="I289" s="643"/>
      <c r="J289" s="647"/>
      <c r="K289" s="647"/>
      <c r="M289" s="648"/>
    </row>
    <row r="290" spans="2:13">
      <c r="B290" s="644"/>
      <c r="C290" s="645"/>
      <c r="D290" s="645"/>
      <c r="E290" s="645"/>
      <c r="F290" s="645"/>
      <c r="G290" s="646" t="str">
        <f t="shared" si="29"/>
        <v/>
      </c>
      <c r="H290" s="643"/>
      <c r="I290" s="643"/>
      <c r="J290" s="647"/>
      <c r="K290" s="647"/>
      <c r="M290" s="648"/>
    </row>
    <row r="291" spans="2:13">
      <c r="B291" s="644"/>
      <c r="C291" s="645"/>
      <c r="D291" s="645"/>
      <c r="E291" s="645"/>
      <c r="F291" s="645"/>
      <c r="G291" s="646" t="str">
        <f t="shared" si="29"/>
        <v/>
      </c>
      <c r="H291" s="643"/>
      <c r="I291" s="643"/>
      <c r="J291" s="647"/>
      <c r="K291" s="647"/>
      <c r="M291" s="648"/>
    </row>
    <row r="292" spans="2:13">
      <c r="B292" s="644"/>
      <c r="C292" s="645"/>
      <c r="D292" s="645"/>
      <c r="E292" s="645"/>
      <c r="F292" s="645"/>
      <c r="G292" s="646" t="str">
        <f t="shared" si="29"/>
        <v/>
      </c>
      <c r="H292" s="643"/>
      <c r="I292" s="643"/>
      <c r="J292" s="647"/>
      <c r="K292" s="647"/>
      <c r="M292" s="648"/>
    </row>
    <row r="293" spans="2:13">
      <c r="B293" s="644"/>
      <c r="C293" s="645"/>
      <c r="D293" s="645"/>
      <c r="E293" s="645"/>
      <c r="F293" s="645"/>
      <c r="G293" s="646" t="str">
        <f t="shared" si="29"/>
        <v/>
      </c>
      <c r="H293" s="643"/>
      <c r="I293" s="643"/>
      <c r="J293" s="647"/>
      <c r="K293" s="647"/>
      <c r="M293" s="648"/>
    </row>
    <row r="294" spans="2:13">
      <c r="B294" s="644"/>
      <c r="C294" s="645"/>
      <c r="D294" s="645"/>
      <c r="E294" s="645"/>
      <c r="F294" s="645"/>
      <c r="G294" s="646" t="str">
        <f t="shared" si="29"/>
        <v/>
      </c>
      <c r="H294" s="643"/>
      <c r="I294" s="643"/>
      <c r="J294" s="647"/>
      <c r="K294" s="647"/>
      <c r="M294" s="648"/>
    </row>
    <row r="295" spans="2:13">
      <c r="B295" s="644"/>
      <c r="C295" s="645"/>
      <c r="D295" s="645"/>
      <c r="E295" s="645"/>
      <c r="F295" s="645"/>
      <c r="G295" s="646" t="str">
        <f t="shared" si="29"/>
        <v/>
      </c>
      <c r="H295" s="643"/>
      <c r="I295" s="643"/>
      <c r="J295" s="647"/>
      <c r="K295" s="647"/>
      <c r="M295" s="648"/>
    </row>
    <row r="296" spans="2:13">
      <c r="B296" s="644"/>
      <c r="C296" s="645"/>
      <c r="D296" s="645"/>
      <c r="E296" s="645"/>
      <c r="F296" s="645"/>
      <c r="G296" s="646" t="str">
        <f t="shared" si="29"/>
        <v/>
      </c>
      <c r="H296" s="643"/>
      <c r="I296" s="643"/>
      <c r="J296" s="647"/>
      <c r="K296" s="647"/>
      <c r="M296" s="648"/>
    </row>
    <row r="297" spans="2:13">
      <c r="B297" s="644"/>
      <c r="C297" s="645"/>
      <c r="D297" s="645"/>
      <c r="E297" s="645"/>
      <c r="F297" s="645"/>
      <c r="G297" s="646" t="str">
        <f t="shared" si="29"/>
        <v/>
      </c>
      <c r="H297" s="643"/>
      <c r="I297" s="643"/>
      <c r="J297" s="647"/>
      <c r="K297" s="647"/>
      <c r="M297" s="648"/>
    </row>
    <row r="298" spans="2:13">
      <c r="B298" s="644"/>
      <c r="C298" s="645"/>
      <c r="D298" s="645"/>
      <c r="E298" s="645"/>
      <c r="F298" s="645"/>
      <c r="G298" s="646" t="str">
        <f t="shared" ref="G298:G350" si="30">IF(B298&lt;&gt;"",SUM(C298:F298),"")</f>
        <v/>
      </c>
      <c r="H298" s="643"/>
      <c r="I298" s="643"/>
      <c r="J298" s="647"/>
      <c r="K298" s="647"/>
      <c r="M298" s="648"/>
    </row>
    <row r="299" spans="2:13">
      <c r="B299" s="644"/>
      <c r="C299" s="645"/>
      <c r="D299" s="645"/>
      <c r="E299" s="645"/>
      <c r="F299" s="645"/>
      <c r="G299" s="646" t="str">
        <f t="shared" si="30"/>
        <v/>
      </c>
      <c r="H299" s="643"/>
      <c r="I299" s="643"/>
      <c r="J299" s="647"/>
      <c r="K299" s="647"/>
      <c r="M299" s="648"/>
    </row>
    <row r="300" spans="2:13">
      <c r="B300" s="644"/>
      <c r="C300" s="645"/>
      <c r="D300" s="645"/>
      <c r="E300" s="645"/>
      <c r="F300" s="645"/>
      <c r="G300" s="646" t="str">
        <f t="shared" si="30"/>
        <v/>
      </c>
      <c r="H300" s="643"/>
      <c r="I300" s="643"/>
      <c r="J300" s="647"/>
      <c r="K300" s="647"/>
      <c r="M300" s="648"/>
    </row>
    <row r="301" spans="2:13">
      <c r="B301" s="644"/>
      <c r="C301" s="645"/>
      <c r="D301" s="645"/>
      <c r="E301" s="645"/>
      <c r="F301" s="645"/>
      <c r="G301" s="646" t="str">
        <f t="shared" si="30"/>
        <v/>
      </c>
      <c r="H301" s="643"/>
      <c r="I301" s="643"/>
      <c r="J301" s="647"/>
      <c r="K301" s="647"/>
      <c r="M301" s="648"/>
    </row>
    <row r="302" spans="2:13">
      <c r="B302" s="644"/>
      <c r="C302" s="645"/>
      <c r="D302" s="645"/>
      <c r="E302" s="645"/>
      <c r="F302" s="645"/>
      <c r="G302" s="646" t="str">
        <f t="shared" si="30"/>
        <v/>
      </c>
      <c r="H302" s="643"/>
      <c r="I302" s="643"/>
      <c r="J302" s="647"/>
      <c r="K302" s="647"/>
      <c r="M302" s="648"/>
    </row>
    <row r="303" spans="2:13">
      <c r="B303" s="644"/>
      <c r="C303" s="645"/>
      <c r="D303" s="645"/>
      <c r="E303" s="645"/>
      <c r="F303" s="645"/>
      <c r="G303" s="646" t="str">
        <f t="shared" si="30"/>
        <v/>
      </c>
      <c r="H303" s="643"/>
      <c r="I303" s="643"/>
      <c r="J303" s="647"/>
      <c r="K303" s="647"/>
      <c r="M303" s="648"/>
    </row>
    <row r="304" spans="2:13">
      <c r="B304" s="644"/>
      <c r="C304" s="645"/>
      <c r="D304" s="645"/>
      <c r="E304" s="645"/>
      <c r="F304" s="645"/>
      <c r="G304" s="646" t="str">
        <f t="shared" si="30"/>
        <v/>
      </c>
      <c r="H304" s="643"/>
      <c r="I304" s="643"/>
      <c r="J304" s="647"/>
      <c r="K304" s="647"/>
      <c r="M304" s="648"/>
    </row>
    <row r="305" spans="2:13">
      <c r="B305" s="644"/>
      <c r="C305" s="645"/>
      <c r="D305" s="645"/>
      <c r="E305" s="645"/>
      <c r="F305" s="645"/>
      <c r="G305" s="646" t="str">
        <f t="shared" si="30"/>
        <v/>
      </c>
      <c r="H305" s="643"/>
      <c r="I305" s="643"/>
      <c r="J305" s="647"/>
      <c r="K305" s="647"/>
      <c r="M305" s="648"/>
    </row>
    <row r="306" spans="2:13">
      <c r="B306" s="644"/>
      <c r="C306" s="645"/>
      <c r="D306" s="645"/>
      <c r="E306" s="645"/>
      <c r="F306" s="645"/>
      <c r="G306" s="646" t="str">
        <f t="shared" si="30"/>
        <v/>
      </c>
      <c r="H306" s="643"/>
      <c r="I306" s="643"/>
      <c r="J306" s="647"/>
      <c r="K306" s="647"/>
      <c r="M306" s="648"/>
    </row>
    <row r="307" spans="2:13">
      <c r="B307" s="644"/>
      <c r="C307" s="645"/>
      <c r="D307" s="645"/>
      <c r="E307" s="645"/>
      <c r="F307" s="645"/>
      <c r="G307" s="646" t="str">
        <f t="shared" si="30"/>
        <v/>
      </c>
      <c r="H307" s="643"/>
      <c r="I307" s="643"/>
      <c r="J307" s="647"/>
      <c r="K307" s="647"/>
      <c r="M307" s="648"/>
    </row>
    <row r="308" spans="2:13">
      <c r="B308" s="644"/>
      <c r="C308" s="645"/>
      <c r="D308" s="645"/>
      <c r="E308" s="645"/>
      <c r="F308" s="645"/>
      <c r="G308" s="646" t="str">
        <f t="shared" si="30"/>
        <v/>
      </c>
      <c r="H308" s="643"/>
      <c r="I308" s="643"/>
      <c r="J308" s="647"/>
      <c r="K308" s="647"/>
      <c r="M308" s="648"/>
    </row>
    <row r="309" spans="2:13">
      <c r="B309" s="644"/>
      <c r="C309" s="645"/>
      <c r="D309" s="645"/>
      <c r="E309" s="645"/>
      <c r="F309" s="645"/>
      <c r="G309" s="646" t="str">
        <f t="shared" si="30"/>
        <v/>
      </c>
      <c r="H309" s="643"/>
      <c r="I309" s="643"/>
      <c r="J309" s="647"/>
      <c r="K309" s="647"/>
      <c r="M309" s="648"/>
    </row>
    <row r="310" spans="2:13">
      <c r="B310" s="644"/>
      <c r="C310" s="645"/>
      <c r="D310" s="645"/>
      <c r="E310" s="645"/>
      <c r="F310" s="645"/>
      <c r="G310" s="646" t="str">
        <f t="shared" si="30"/>
        <v/>
      </c>
      <c r="H310" s="643"/>
      <c r="I310" s="643"/>
      <c r="J310" s="647"/>
      <c r="K310" s="647"/>
      <c r="M310" s="648"/>
    </row>
    <row r="311" spans="2:13">
      <c r="B311" s="644"/>
      <c r="C311" s="645"/>
      <c r="D311" s="645"/>
      <c r="E311" s="645"/>
      <c r="F311" s="645"/>
      <c r="G311" s="646" t="str">
        <f t="shared" si="30"/>
        <v/>
      </c>
      <c r="H311" s="643"/>
      <c r="I311" s="643"/>
      <c r="J311" s="647"/>
      <c r="K311" s="647"/>
      <c r="M311" s="648"/>
    </row>
    <row r="312" spans="2:13">
      <c r="B312" s="644"/>
      <c r="C312" s="645"/>
      <c r="D312" s="645"/>
      <c r="E312" s="645"/>
      <c r="F312" s="645"/>
      <c r="G312" s="646" t="str">
        <f t="shared" si="30"/>
        <v/>
      </c>
      <c r="H312" s="643"/>
      <c r="I312" s="643"/>
      <c r="J312" s="647"/>
      <c r="K312" s="647"/>
      <c r="M312" s="648"/>
    </row>
    <row r="313" spans="2:13">
      <c r="B313" s="644"/>
      <c r="C313" s="645"/>
      <c r="D313" s="645"/>
      <c r="E313" s="645"/>
      <c r="F313" s="645"/>
      <c r="G313" s="646" t="str">
        <f t="shared" si="30"/>
        <v/>
      </c>
      <c r="H313" s="643"/>
      <c r="I313" s="643"/>
      <c r="J313" s="647"/>
      <c r="K313" s="647"/>
      <c r="M313" s="648"/>
    </row>
    <row r="314" spans="2:13">
      <c r="B314" s="644"/>
      <c r="C314" s="645"/>
      <c r="D314" s="645"/>
      <c r="E314" s="645"/>
      <c r="F314" s="645"/>
      <c r="G314" s="646" t="str">
        <f t="shared" si="30"/>
        <v/>
      </c>
      <c r="H314" s="643"/>
      <c r="I314" s="643"/>
      <c r="J314" s="647"/>
      <c r="K314" s="647"/>
      <c r="M314" s="648"/>
    </row>
    <row r="315" spans="2:13">
      <c r="B315" s="644"/>
      <c r="C315" s="645"/>
      <c r="D315" s="645"/>
      <c r="E315" s="645"/>
      <c r="F315" s="645"/>
      <c r="G315" s="646" t="str">
        <f t="shared" si="30"/>
        <v/>
      </c>
      <c r="H315" s="643"/>
      <c r="I315" s="643"/>
      <c r="J315" s="647"/>
      <c r="K315" s="647"/>
      <c r="M315" s="648"/>
    </row>
    <row r="316" spans="2:13">
      <c r="B316" s="644"/>
      <c r="C316" s="645"/>
      <c r="D316" s="645"/>
      <c r="E316" s="645"/>
      <c r="F316" s="645"/>
      <c r="G316" s="646" t="str">
        <f t="shared" si="30"/>
        <v/>
      </c>
      <c r="H316" s="643"/>
      <c r="I316" s="643"/>
      <c r="J316" s="647"/>
      <c r="K316" s="647"/>
      <c r="M316" s="648"/>
    </row>
    <row r="317" spans="2:13">
      <c r="B317" s="644"/>
      <c r="C317" s="645"/>
      <c r="D317" s="645"/>
      <c r="E317" s="645"/>
      <c r="F317" s="645"/>
      <c r="G317" s="646" t="str">
        <f t="shared" si="30"/>
        <v/>
      </c>
      <c r="H317" s="643"/>
      <c r="I317" s="643"/>
      <c r="J317" s="647"/>
      <c r="K317" s="647"/>
      <c r="M317" s="648"/>
    </row>
    <row r="318" spans="2:13">
      <c r="B318" s="644"/>
      <c r="C318" s="645"/>
      <c r="D318" s="645"/>
      <c r="E318" s="645"/>
      <c r="F318" s="645"/>
      <c r="G318" s="646" t="str">
        <f t="shared" si="30"/>
        <v/>
      </c>
      <c r="H318" s="643"/>
      <c r="I318" s="643"/>
      <c r="J318" s="647"/>
      <c r="K318" s="647"/>
      <c r="M318" s="648"/>
    </row>
    <row r="319" spans="2:13">
      <c r="B319" s="644"/>
      <c r="C319" s="645"/>
      <c r="D319" s="645"/>
      <c r="E319" s="645"/>
      <c r="F319" s="645"/>
      <c r="G319" s="646" t="str">
        <f t="shared" si="30"/>
        <v/>
      </c>
      <c r="H319" s="643"/>
      <c r="I319" s="643"/>
      <c r="J319" s="647"/>
      <c r="K319" s="647"/>
      <c r="M319" s="648"/>
    </row>
    <row r="320" spans="2:13">
      <c r="B320" s="644"/>
      <c r="C320" s="645"/>
      <c r="D320" s="645"/>
      <c r="E320" s="645"/>
      <c r="F320" s="645"/>
      <c r="G320" s="646" t="str">
        <f t="shared" si="30"/>
        <v/>
      </c>
      <c r="H320" s="643"/>
      <c r="I320" s="643"/>
      <c r="J320" s="647"/>
      <c r="K320" s="647"/>
      <c r="M320" s="648"/>
    </row>
    <row r="321" spans="2:13">
      <c r="B321" s="644"/>
      <c r="C321" s="645"/>
      <c r="D321" s="645"/>
      <c r="E321" s="645"/>
      <c r="F321" s="645"/>
      <c r="G321" s="646" t="str">
        <f t="shared" si="30"/>
        <v/>
      </c>
      <c r="H321" s="643"/>
      <c r="I321" s="643"/>
      <c r="J321" s="647"/>
      <c r="K321" s="647"/>
      <c r="M321" s="648"/>
    </row>
    <row r="322" spans="2:13">
      <c r="B322" s="644"/>
      <c r="C322" s="645"/>
      <c r="D322" s="645"/>
      <c r="E322" s="645"/>
      <c r="F322" s="645"/>
      <c r="G322" s="646" t="str">
        <f t="shared" si="30"/>
        <v/>
      </c>
      <c r="H322" s="643"/>
      <c r="I322" s="643"/>
      <c r="J322" s="647"/>
      <c r="K322" s="647"/>
      <c r="M322" s="648"/>
    </row>
    <row r="323" spans="2:13">
      <c r="B323" s="644"/>
      <c r="C323" s="645"/>
      <c r="D323" s="645"/>
      <c r="E323" s="645"/>
      <c r="F323" s="645"/>
      <c r="G323" s="646" t="str">
        <f t="shared" si="30"/>
        <v/>
      </c>
      <c r="H323" s="643"/>
      <c r="I323" s="643"/>
      <c r="J323" s="647"/>
      <c r="K323" s="647"/>
      <c r="M323" s="648"/>
    </row>
    <row r="324" spans="2:13">
      <c r="B324" s="644"/>
      <c r="C324" s="645"/>
      <c r="D324" s="645"/>
      <c r="E324" s="645"/>
      <c r="F324" s="645"/>
      <c r="G324" s="646" t="str">
        <f t="shared" si="30"/>
        <v/>
      </c>
      <c r="H324" s="643"/>
      <c r="I324" s="643"/>
      <c r="J324" s="647"/>
      <c r="K324" s="647"/>
      <c r="M324" s="648"/>
    </row>
    <row r="325" spans="2:13">
      <c r="B325" s="644"/>
      <c r="C325" s="645"/>
      <c r="D325" s="645"/>
      <c r="E325" s="645"/>
      <c r="F325" s="645"/>
      <c r="G325" s="646" t="str">
        <f t="shared" si="30"/>
        <v/>
      </c>
      <c r="H325" s="643"/>
      <c r="I325" s="643"/>
      <c r="J325" s="647"/>
      <c r="K325" s="647"/>
      <c r="M325" s="648"/>
    </row>
    <row r="326" spans="2:13">
      <c r="B326" s="644"/>
      <c r="C326" s="645"/>
      <c r="D326" s="645"/>
      <c r="E326" s="645"/>
      <c r="F326" s="645"/>
      <c r="G326" s="646" t="str">
        <f t="shared" si="30"/>
        <v/>
      </c>
      <c r="H326" s="643"/>
      <c r="I326" s="643"/>
      <c r="J326" s="647"/>
      <c r="K326" s="647"/>
      <c r="M326" s="648"/>
    </row>
    <row r="327" spans="2:13">
      <c r="B327" s="644"/>
      <c r="C327" s="645"/>
      <c r="D327" s="645"/>
      <c r="E327" s="645"/>
      <c r="F327" s="645"/>
      <c r="G327" s="646" t="str">
        <f t="shared" si="30"/>
        <v/>
      </c>
      <c r="H327" s="643"/>
      <c r="I327" s="643"/>
      <c r="J327" s="647"/>
      <c r="K327" s="647"/>
      <c r="M327" s="648"/>
    </row>
    <row r="328" spans="2:13">
      <c r="B328" s="644"/>
      <c r="C328" s="645"/>
      <c r="D328" s="645"/>
      <c r="E328" s="645"/>
      <c r="F328" s="645"/>
      <c r="G328" s="646" t="str">
        <f t="shared" si="30"/>
        <v/>
      </c>
      <c r="H328" s="643"/>
      <c r="I328" s="643"/>
      <c r="J328" s="647"/>
      <c r="K328" s="647"/>
      <c r="M328" s="648"/>
    </row>
    <row r="329" spans="2:13">
      <c r="B329" s="644"/>
      <c r="C329" s="645"/>
      <c r="D329" s="645"/>
      <c r="E329" s="645"/>
      <c r="F329" s="645"/>
      <c r="G329" s="646" t="str">
        <f t="shared" si="30"/>
        <v/>
      </c>
      <c r="H329" s="643"/>
      <c r="I329" s="643"/>
      <c r="J329" s="647"/>
      <c r="K329" s="647"/>
      <c r="M329" s="648"/>
    </row>
    <row r="330" spans="2:13">
      <c r="B330" s="644"/>
      <c r="C330" s="645"/>
      <c r="D330" s="645"/>
      <c r="E330" s="645"/>
      <c r="F330" s="645"/>
      <c r="G330" s="646" t="str">
        <f t="shared" si="30"/>
        <v/>
      </c>
      <c r="H330" s="643"/>
      <c r="I330" s="643"/>
      <c r="J330" s="647"/>
      <c r="K330" s="647"/>
      <c r="M330" s="648"/>
    </row>
    <row r="331" spans="2:13">
      <c r="B331" s="644"/>
      <c r="C331" s="645"/>
      <c r="D331" s="645"/>
      <c r="E331" s="645"/>
      <c r="F331" s="645"/>
      <c r="G331" s="646" t="str">
        <f t="shared" si="30"/>
        <v/>
      </c>
      <c r="H331" s="643"/>
      <c r="I331" s="643"/>
      <c r="J331" s="647"/>
      <c r="K331" s="647"/>
      <c r="M331" s="648"/>
    </row>
    <row r="332" spans="2:13">
      <c r="B332" s="644"/>
      <c r="C332" s="645"/>
      <c r="D332" s="645"/>
      <c r="E332" s="645"/>
      <c r="F332" s="645"/>
      <c r="G332" s="646" t="str">
        <f t="shared" si="30"/>
        <v/>
      </c>
      <c r="H332" s="643"/>
      <c r="I332" s="643"/>
      <c r="J332" s="647"/>
      <c r="K332" s="647"/>
      <c r="M332" s="648"/>
    </row>
    <row r="333" spans="2:13">
      <c r="B333" s="644"/>
      <c r="C333" s="645"/>
      <c r="D333" s="645"/>
      <c r="E333" s="645"/>
      <c r="F333" s="645"/>
      <c r="G333" s="646" t="str">
        <f t="shared" si="30"/>
        <v/>
      </c>
      <c r="H333" s="643"/>
      <c r="I333" s="643"/>
      <c r="J333" s="647"/>
      <c r="K333" s="647"/>
      <c r="M333" s="648"/>
    </row>
    <row r="334" spans="2:13">
      <c r="B334" s="644"/>
      <c r="C334" s="645"/>
      <c r="D334" s="645"/>
      <c r="E334" s="645"/>
      <c r="F334" s="645"/>
      <c r="G334" s="646" t="str">
        <f t="shared" si="30"/>
        <v/>
      </c>
      <c r="H334" s="643"/>
      <c r="I334" s="643"/>
      <c r="J334" s="647"/>
      <c r="K334" s="647"/>
      <c r="M334" s="648"/>
    </row>
    <row r="335" spans="2:13">
      <c r="B335" s="644"/>
      <c r="C335" s="645"/>
      <c r="D335" s="645"/>
      <c r="E335" s="645"/>
      <c r="F335" s="645"/>
      <c r="G335" s="646" t="str">
        <f t="shared" si="30"/>
        <v/>
      </c>
      <c r="H335" s="643"/>
      <c r="I335" s="643"/>
      <c r="J335" s="647"/>
      <c r="K335" s="647"/>
      <c r="M335" s="648"/>
    </row>
    <row r="336" spans="2:13">
      <c r="B336" s="644"/>
      <c r="C336" s="645"/>
      <c r="D336" s="645"/>
      <c r="E336" s="645"/>
      <c r="F336" s="645"/>
      <c r="G336" s="646" t="str">
        <f t="shared" si="30"/>
        <v/>
      </c>
      <c r="H336" s="643"/>
      <c r="I336" s="643"/>
      <c r="J336" s="647"/>
      <c r="K336" s="647"/>
      <c r="M336" s="648"/>
    </row>
    <row r="337" spans="2:13">
      <c r="B337" s="644"/>
      <c r="C337" s="645"/>
      <c r="D337" s="645"/>
      <c r="E337" s="645"/>
      <c r="F337" s="645"/>
      <c r="G337" s="646" t="str">
        <f t="shared" si="30"/>
        <v/>
      </c>
      <c r="H337" s="643"/>
      <c r="I337" s="643"/>
      <c r="J337" s="647"/>
      <c r="K337" s="647"/>
      <c r="M337" s="648"/>
    </row>
    <row r="338" spans="2:13">
      <c r="B338" s="644"/>
      <c r="C338" s="645"/>
      <c r="D338" s="645"/>
      <c r="E338" s="645"/>
      <c r="F338" s="645"/>
      <c r="G338" s="646" t="str">
        <f t="shared" si="30"/>
        <v/>
      </c>
      <c r="H338" s="643"/>
      <c r="I338" s="643"/>
      <c r="J338" s="647"/>
      <c r="K338" s="647"/>
      <c r="M338" s="648"/>
    </row>
    <row r="339" spans="2:13">
      <c r="B339" s="644"/>
      <c r="C339" s="645"/>
      <c r="D339" s="645"/>
      <c r="E339" s="645"/>
      <c r="F339" s="645"/>
      <c r="G339" s="646" t="str">
        <f t="shared" si="30"/>
        <v/>
      </c>
      <c r="H339" s="643"/>
      <c r="I339" s="643"/>
      <c r="J339" s="647"/>
      <c r="K339" s="647"/>
      <c r="M339" s="648"/>
    </row>
    <row r="340" spans="2:13">
      <c r="B340" s="644"/>
      <c r="C340" s="645"/>
      <c r="D340" s="645"/>
      <c r="E340" s="645"/>
      <c r="F340" s="645"/>
      <c r="G340" s="646" t="str">
        <f t="shared" si="30"/>
        <v/>
      </c>
      <c r="H340" s="643"/>
      <c r="I340" s="643"/>
      <c r="J340" s="647"/>
      <c r="K340" s="647"/>
      <c r="M340" s="648"/>
    </row>
    <row r="341" spans="2:13">
      <c r="B341" s="644"/>
      <c r="C341" s="645"/>
      <c r="D341" s="645"/>
      <c r="E341" s="645"/>
      <c r="F341" s="645"/>
      <c r="G341" s="646" t="str">
        <f t="shared" si="30"/>
        <v/>
      </c>
      <c r="H341" s="643"/>
      <c r="I341" s="643"/>
      <c r="J341" s="647"/>
      <c r="K341" s="647"/>
      <c r="M341" s="648"/>
    </row>
    <row r="342" spans="2:13">
      <c r="B342" s="644"/>
      <c r="C342" s="645"/>
      <c r="D342" s="645"/>
      <c r="E342" s="645"/>
      <c r="F342" s="645"/>
      <c r="G342" s="646" t="str">
        <f t="shared" si="30"/>
        <v/>
      </c>
      <c r="H342" s="643"/>
      <c r="I342" s="643"/>
      <c r="J342" s="647"/>
      <c r="K342" s="647"/>
      <c r="M342" s="648"/>
    </row>
    <row r="343" spans="2:13">
      <c r="B343" s="644"/>
      <c r="C343" s="645"/>
      <c r="D343" s="645"/>
      <c r="E343" s="645"/>
      <c r="F343" s="645"/>
      <c r="G343" s="646" t="str">
        <f t="shared" si="30"/>
        <v/>
      </c>
      <c r="H343" s="643"/>
      <c r="I343" s="643"/>
      <c r="J343" s="647"/>
      <c r="K343" s="647"/>
      <c r="M343" s="648"/>
    </row>
    <row r="344" spans="2:13">
      <c r="B344" s="644"/>
      <c r="C344" s="645"/>
      <c r="D344" s="645"/>
      <c r="E344" s="645"/>
      <c r="F344" s="645"/>
      <c r="G344" s="646" t="str">
        <f t="shared" si="30"/>
        <v/>
      </c>
      <c r="H344" s="643"/>
      <c r="I344" s="643"/>
      <c r="J344" s="647"/>
      <c r="K344" s="647"/>
      <c r="M344" s="648"/>
    </row>
    <row r="345" spans="2:13">
      <c r="B345" s="644"/>
      <c r="C345" s="645"/>
      <c r="D345" s="645"/>
      <c r="E345" s="645"/>
      <c r="F345" s="645"/>
      <c r="G345" s="646" t="str">
        <f t="shared" si="30"/>
        <v/>
      </c>
      <c r="H345" s="643"/>
      <c r="I345" s="643"/>
      <c r="J345" s="647"/>
      <c r="K345" s="647"/>
      <c r="M345" s="648"/>
    </row>
    <row r="346" spans="2:13">
      <c r="B346" s="644"/>
      <c r="C346" s="645"/>
      <c r="D346" s="645"/>
      <c r="E346" s="645"/>
      <c r="F346" s="645"/>
      <c r="G346" s="646" t="str">
        <f t="shared" si="30"/>
        <v/>
      </c>
      <c r="H346" s="643"/>
      <c r="I346" s="643"/>
      <c r="J346" s="647"/>
      <c r="K346" s="647"/>
      <c r="M346" s="648"/>
    </row>
    <row r="347" spans="2:13">
      <c r="B347" s="644"/>
      <c r="C347" s="645"/>
      <c r="D347" s="645"/>
      <c r="E347" s="645"/>
      <c r="F347" s="645"/>
      <c r="G347" s="646" t="str">
        <f t="shared" si="30"/>
        <v/>
      </c>
      <c r="H347" s="643"/>
      <c r="I347" s="643"/>
      <c r="J347" s="647"/>
      <c r="K347" s="647"/>
      <c r="M347" s="648"/>
    </row>
    <row r="348" spans="2:13">
      <c r="B348" s="644"/>
      <c r="C348" s="645"/>
      <c r="D348" s="645"/>
      <c r="E348" s="645"/>
      <c r="F348" s="645"/>
      <c r="G348" s="646" t="str">
        <f t="shared" si="30"/>
        <v/>
      </c>
      <c r="H348" s="643"/>
      <c r="I348" s="643"/>
      <c r="J348" s="647"/>
      <c r="K348" s="647"/>
      <c r="M348" s="648"/>
    </row>
    <row r="349" spans="2:13">
      <c r="B349" s="644"/>
      <c r="C349" s="645"/>
      <c r="D349" s="645"/>
      <c r="E349" s="645"/>
      <c r="F349" s="645"/>
      <c r="G349" s="646" t="str">
        <f t="shared" si="30"/>
        <v/>
      </c>
      <c r="H349" s="643"/>
      <c r="I349" s="643"/>
      <c r="J349" s="647"/>
      <c r="K349" s="647"/>
      <c r="M349" s="648"/>
    </row>
    <row r="350" spans="2:13">
      <c r="B350" s="644"/>
      <c r="C350" s="645"/>
      <c r="D350" s="645"/>
      <c r="E350" s="645"/>
      <c r="F350" s="645"/>
      <c r="G350" s="646" t="str">
        <f t="shared" si="30"/>
        <v/>
      </c>
      <c r="H350" s="643"/>
      <c r="I350" s="643"/>
      <c r="J350" s="647"/>
      <c r="K350" s="647"/>
      <c r="M350" s="648"/>
    </row>
  </sheetData>
  <sheetProtection sort="0" autoFilter="0" pivotTables="0"/>
  <autoFilter ref="A5:M353" xr:uid="{C5C88221-2B78-4980-AA10-A0D6E17E4C14}">
    <filterColumn colId="7">
      <filters blank="1">
        <filter val="1"/>
        <filter val="10"/>
        <filter val="106"/>
        <filter val="12"/>
        <filter val="140"/>
        <filter val="15"/>
        <filter val="16"/>
        <filter val="160"/>
        <filter val="2"/>
        <filter val="3"/>
        <filter val="32"/>
        <filter val="36"/>
        <filter val="4"/>
        <filter val="40"/>
        <filter val="5"/>
        <filter val="6"/>
        <filter val="60"/>
        <filter val="70"/>
        <filter val="73"/>
        <filter val="R$ 66.943,80"/>
      </filters>
    </filterColumn>
    <sortState xmlns:xlrd2="http://schemas.microsoft.com/office/spreadsheetml/2017/richdata2" ref="A13:M353">
      <sortCondition ref="B5:B353"/>
    </sortState>
  </autoFilter>
  <mergeCells count="1">
    <mergeCell ref="A4:B4"/>
  </mergeCells>
  <pageMargins left="0.78740157480314965" right="0.78740157480314965" top="0.78740157480314965" bottom="0.78740157480314965" header="0" footer="0"/>
  <pageSetup paperSize="9" scale="80" orientation="landscape" horizontalDpi="4294967295" verticalDpi="4294967295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D68B8-C13B-4B86-A062-D72D6B748187}">
  <sheetPr codeName="Planilha44">
    <tabColor rgb="FFFF0000"/>
    <pageSetUpPr fitToPage="1"/>
  </sheetPr>
  <dimension ref="B1:S411"/>
  <sheetViews>
    <sheetView workbookViewId="0">
      <pane ySplit="5" topLeftCell="A6" activePane="bottomLeft" state="frozen"/>
      <selection pane="bottomLeft" activeCell="H27" sqref="H27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1263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210" t="s">
        <v>6</v>
      </c>
      <c r="C4" s="43"/>
      <c r="D4" s="43"/>
      <c r="E4" s="43"/>
      <c r="F4" s="44"/>
      <c r="G4" s="45"/>
      <c r="H4" s="200"/>
      <c r="I4" s="200" t="s">
        <v>48</v>
      </c>
      <c r="J4" s="201" t="s">
        <v>9</v>
      </c>
      <c r="K4" s="201" t="s">
        <v>9</v>
      </c>
      <c r="L4" s="202">
        <v>4.7619047619047616E-2</v>
      </c>
      <c r="M4" s="203" t="s">
        <v>15</v>
      </c>
      <c r="N4" s="36"/>
      <c r="O4" s="19"/>
      <c r="P4" s="19"/>
      <c r="Q4" s="19"/>
      <c r="R4" s="19"/>
      <c r="S4" s="19"/>
    </row>
    <row r="5" spans="2:19" ht="16.5" thickBot="1">
      <c r="B5" s="212" t="s">
        <v>5</v>
      </c>
      <c r="C5" s="208" t="s">
        <v>0</v>
      </c>
      <c r="D5" s="208" t="s">
        <v>12</v>
      </c>
      <c r="E5" s="208" t="s">
        <v>2</v>
      </c>
      <c r="F5" s="208" t="s">
        <v>3</v>
      </c>
      <c r="G5" s="209" t="s">
        <v>1</v>
      </c>
      <c r="H5" s="204" t="s">
        <v>4</v>
      </c>
      <c r="I5" s="204" t="s">
        <v>7</v>
      </c>
      <c r="J5" s="205" t="s">
        <v>8</v>
      </c>
      <c r="K5" s="205" t="s">
        <v>10</v>
      </c>
      <c r="L5" s="206" t="s">
        <v>11</v>
      </c>
      <c r="M5" s="20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241" t="s">
        <v>925</v>
      </c>
      <c r="C6" s="38"/>
      <c r="D6" s="38"/>
      <c r="E6" s="38"/>
      <c r="F6" s="39"/>
      <c r="G6" s="40"/>
      <c r="H6" s="23">
        <f>SUM(C6:G6)</f>
        <v>0</v>
      </c>
      <c r="I6" s="198">
        <f t="shared" ref="I6:I15" si="0">L6-(L6*J6)</f>
        <v>98.61</v>
      </c>
      <c r="J6" s="16"/>
      <c r="K6" s="17"/>
      <c r="L6" s="242">
        <v>98.61</v>
      </c>
      <c r="M6" s="181"/>
      <c r="N6" s="25">
        <f t="shared" ref="N6:N15" si="1">I6*C6</f>
        <v>0</v>
      </c>
      <c r="O6" s="25">
        <f t="shared" ref="O6:O15" si="2">I6*D6</f>
        <v>0</v>
      </c>
      <c r="P6" s="25">
        <f t="shared" ref="P6:P15" si="3">I6*E6</f>
        <v>0</v>
      </c>
      <c r="Q6" s="26">
        <f t="shared" ref="Q6:Q15" si="4">I6*F6</f>
        <v>0</v>
      </c>
      <c r="R6" s="27">
        <f t="shared" ref="R6:R15" si="5">I6*G6</f>
        <v>0</v>
      </c>
      <c r="S6" s="28">
        <f>SUM(N6:R6)</f>
        <v>0</v>
      </c>
    </row>
    <row r="7" spans="2:19">
      <c r="B7" s="241" t="s">
        <v>926</v>
      </c>
      <c r="C7" s="13"/>
      <c r="D7" s="13"/>
      <c r="E7" s="13"/>
      <c r="F7" s="14"/>
      <c r="G7" s="8"/>
      <c r="H7" s="24">
        <f t="shared" ref="H7:H15" si="6">SUM(C7:G7)</f>
        <v>0</v>
      </c>
      <c r="I7" s="199">
        <f t="shared" si="0"/>
        <v>157.24</v>
      </c>
      <c r="J7" s="10"/>
      <c r="K7" s="12"/>
      <c r="L7" s="242">
        <v>157.24</v>
      </c>
      <c r="M7" s="181"/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15" si="7">SUM(N7:R7)</f>
        <v>0</v>
      </c>
    </row>
    <row r="8" spans="2:19">
      <c r="B8" s="241" t="s">
        <v>927</v>
      </c>
      <c r="C8" s="13"/>
      <c r="D8" s="13"/>
      <c r="E8" s="13"/>
      <c r="F8" s="14"/>
      <c r="G8" s="8"/>
      <c r="H8" s="24">
        <f t="shared" si="6"/>
        <v>0</v>
      </c>
      <c r="I8" s="199">
        <f t="shared" si="0"/>
        <v>17.48</v>
      </c>
      <c r="J8" s="10"/>
      <c r="K8" s="12"/>
      <c r="L8" s="242">
        <v>17.48</v>
      </c>
      <c r="M8" s="181"/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241" t="s">
        <v>928</v>
      </c>
      <c r="C9" s="13"/>
      <c r="D9" s="13"/>
      <c r="E9" s="13"/>
      <c r="F9" s="14"/>
      <c r="G9" s="8"/>
      <c r="H9" s="24">
        <f t="shared" si="6"/>
        <v>0</v>
      </c>
      <c r="I9" s="199">
        <f t="shared" si="0"/>
        <v>25.85</v>
      </c>
      <c r="J9" s="10"/>
      <c r="K9" s="12"/>
      <c r="L9" s="242">
        <v>25.85</v>
      </c>
      <c r="M9" s="181"/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241" t="s">
        <v>929</v>
      </c>
      <c r="C10" s="13"/>
      <c r="D10" s="13"/>
      <c r="E10" s="13"/>
      <c r="F10" s="14"/>
      <c r="G10" s="8"/>
      <c r="H10" s="24">
        <f t="shared" si="6"/>
        <v>0</v>
      </c>
      <c r="I10" s="199">
        <f t="shared" si="0"/>
        <v>7.2</v>
      </c>
      <c r="J10" s="10"/>
      <c r="K10" s="12"/>
      <c r="L10" s="242">
        <v>7.2</v>
      </c>
      <c r="M10" s="181"/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241" t="s">
        <v>930</v>
      </c>
      <c r="C11" s="13"/>
      <c r="D11" s="13"/>
      <c r="E11" s="13"/>
      <c r="F11" s="14"/>
      <c r="G11" s="8"/>
      <c r="H11" s="24">
        <f t="shared" si="6"/>
        <v>0</v>
      </c>
      <c r="I11" s="199">
        <f t="shared" si="0"/>
        <v>22.63</v>
      </c>
      <c r="J11" s="10"/>
      <c r="K11" s="12"/>
      <c r="L11" s="242">
        <v>22.63</v>
      </c>
      <c r="M11" s="181"/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0</v>
      </c>
      <c r="R11" s="27">
        <f t="shared" si="5"/>
        <v>0</v>
      </c>
      <c r="S11" s="28">
        <f t="shared" si="7"/>
        <v>0</v>
      </c>
    </row>
    <row r="12" spans="2:19">
      <c r="B12" s="241" t="s">
        <v>931</v>
      </c>
      <c r="C12" s="13"/>
      <c r="D12" s="13"/>
      <c r="E12" s="13"/>
      <c r="F12" s="14"/>
      <c r="G12" s="8"/>
      <c r="H12" s="24">
        <f t="shared" si="6"/>
        <v>0</v>
      </c>
      <c r="I12" s="199">
        <f t="shared" si="0"/>
        <v>29.21</v>
      </c>
      <c r="J12" s="10"/>
      <c r="K12" s="12"/>
      <c r="L12" s="242">
        <v>29.21</v>
      </c>
      <c r="M12" s="181"/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>
      <c r="B13" s="241" t="s">
        <v>932</v>
      </c>
      <c r="C13" s="13"/>
      <c r="D13" s="13"/>
      <c r="E13" s="13"/>
      <c r="F13" s="14"/>
      <c r="G13" s="8"/>
      <c r="H13" s="24">
        <f t="shared" si="6"/>
        <v>0</v>
      </c>
      <c r="I13" s="199">
        <f t="shared" si="0"/>
        <v>17.309999999999999</v>
      </c>
      <c r="J13" s="10"/>
      <c r="K13" s="12"/>
      <c r="L13" s="242">
        <v>17.309999999999999</v>
      </c>
      <c r="M13" s="181"/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>
      <c r="B14" s="241" t="s">
        <v>933</v>
      </c>
      <c r="C14" s="13"/>
      <c r="D14" s="13"/>
      <c r="E14" s="13"/>
      <c r="F14" s="14"/>
      <c r="G14" s="8"/>
      <c r="H14" s="24">
        <f t="shared" si="6"/>
        <v>0</v>
      </c>
      <c r="I14" s="199">
        <f t="shared" si="0"/>
        <v>36</v>
      </c>
      <c r="J14" s="10"/>
      <c r="K14" s="12"/>
      <c r="L14" s="242">
        <v>36</v>
      </c>
      <c r="M14" s="181"/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>
      <c r="B15" s="241" t="s">
        <v>934</v>
      </c>
      <c r="C15" s="13"/>
      <c r="D15" s="13"/>
      <c r="E15" s="13"/>
      <c r="F15" s="14"/>
      <c r="G15" s="8"/>
      <c r="H15" s="24">
        <f t="shared" si="6"/>
        <v>0</v>
      </c>
      <c r="I15" s="199">
        <f t="shared" si="0"/>
        <v>33.94</v>
      </c>
      <c r="J15" s="10"/>
      <c r="K15" s="12"/>
      <c r="L15" s="242">
        <v>33.94</v>
      </c>
      <c r="M15" s="181"/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>
      <c r="B16" s="58" t="s">
        <v>13</v>
      </c>
      <c r="C16" s="33">
        <v>0</v>
      </c>
      <c r="D16" s="33">
        <v>0</v>
      </c>
      <c r="E16" s="33">
        <v>0</v>
      </c>
      <c r="F16" s="33">
        <v>0</v>
      </c>
      <c r="G16" s="33">
        <f t="shared" ref="G16" si="8">R17</f>
        <v>0</v>
      </c>
      <c r="H16" s="33">
        <f t="shared" ref="H16" si="9">S17</f>
        <v>0</v>
      </c>
      <c r="N16" s="25"/>
      <c r="O16" s="25"/>
      <c r="P16" s="25"/>
      <c r="Q16" s="26"/>
      <c r="R16" s="27"/>
      <c r="S16" s="28"/>
    </row>
    <row r="17" spans="2:19">
      <c r="B17" s="59" t="s">
        <v>46</v>
      </c>
      <c r="N17" s="29">
        <f t="shared" ref="N17:S17" si="10">SUM(N6:N16)</f>
        <v>0</v>
      </c>
      <c r="O17" s="29">
        <f t="shared" si="10"/>
        <v>0</v>
      </c>
      <c r="P17" s="29">
        <f t="shared" si="10"/>
        <v>0</v>
      </c>
      <c r="Q17" s="29">
        <f t="shared" si="10"/>
        <v>0</v>
      </c>
      <c r="R17" s="29">
        <f t="shared" si="10"/>
        <v>0</v>
      </c>
      <c r="S17" s="29">
        <f t="shared" si="10"/>
        <v>0</v>
      </c>
    </row>
    <row r="18" spans="2:19" ht="16.5" thickBot="1">
      <c r="B18" s="2"/>
    </row>
    <row r="19" spans="2:19">
      <c r="B19" s="60" t="s">
        <v>47</v>
      </c>
    </row>
    <row r="20" spans="2:19">
      <c r="B20" s="61" t="s">
        <v>903</v>
      </c>
    </row>
    <row r="21" spans="2:19">
      <c r="B21" s="61" t="s">
        <v>904</v>
      </c>
    </row>
    <row r="22" spans="2:19" ht="16.5" thickBot="1">
      <c r="B22" s="62" t="s">
        <v>905</v>
      </c>
    </row>
    <row r="23" spans="2:19">
      <c r="B23" s="2"/>
    </row>
    <row r="24" spans="2:19">
      <c r="B24" s="30" t="s">
        <v>20</v>
      </c>
    </row>
    <row r="25" spans="2:19">
      <c r="B25" s="35"/>
    </row>
    <row r="26" spans="2:19">
      <c r="B26" s="35"/>
    </row>
    <row r="27" spans="2:19">
      <c r="G27" s="5" t="str">
        <f t="shared" ref="G27:G90" si="11">IF(B27&lt;&gt;"",SUM(C27:F27),"")</f>
        <v/>
      </c>
    </row>
    <row r="28" spans="2:19">
      <c r="G28" s="5" t="str">
        <f t="shared" si="11"/>
        <v/>
      </c>
    </row>
    <row r="29" spans="2:19">
      <c r="G29" s="5" t="str">
        <f t="shared" si="11"/>
        <v/>
      </c>
    </row>
    <row r="30" spans="2:19">
      <c r="G30" s="5" t="str">
        <f t="shared" si="11"/>
        <v/>
      </c>
    </row>
    <row r="31" spans="2:19">
      <c r="G31" s="5" t="str">
        <f t="shared" si="11"/>
        <v/>
      </c>
    </row>
    <row r="32" spans="2:19">
      <c r="G32" s="5" t="str">
        <f t="shared" si="11"/>
        <v/>
      </c>
    </row>
    <row r="33" spans="7:7">
      <c r="G33" s="5" t="str">
        <f t="shared" si="11"/>
        <v/>
      </c>
    </row>
    <row r="34" spans="7:7">
      <c r="G34" s="5" t="str">
        <f t="shared" si="11"/>
        <v/>
      </c>
    </row>
    <row r="35" spans="7:7">
      <c r="G35" s="5" t="str">
        <f t="shared" si="11"/>
        <v/>
      </c>
    </row>
    <row r="36" spans="7:7">
      <c r="G36" s="5" t="str">
        <f t="shared" si="11"/>
        <v/>
      </c>
    </row>
    <row r="37" spans="7:7">
      <c r="G37" s="5" t="str">
        <f t="shared" si="11"/>
        <v/>
      </c>
    </row>
    <row r="38" spans="7:7">
      <c r="G38" s="5" t="str">
        <f t="shared" si="11"/>
        <v/>
      </c>
    </row>
    <row r="39" spans="7:7">
      <c r="G39" s="5" t="str">
        <f t="shared" si="11"/>
        <v/>
      </c>
    </row>
    <row r="40" spans="7:7">
      <c r="G40" s="5" t="str">
        <f t="shared" si="11"/>
        <v/>
      </c>
    </row>
    <row r="41" spans="7:7">
      <c r="G41" s="5" t="str">
        <f t="shared" si="11"/>
        <v/>
      </c>
    </row>
    <row r="42" spans="7:7">
      <c r="G42" s="5" t="str">
        <f t="shared" si="11"/>
        <v/>
      </c>
    </row>
    <row r="43" spans="7:7">
      <c r="G43" s="5" t="str">
        <f t="shared" si="11"/>
        <v/>
      </c>
    </row>
    <row r="44" spans="7:7">
      <c r="G44" s="5" t="str">
        <f t="shared" si="11"/>
        <v/>
      </c>
    </row>
    <row r="45" spans="7:7">
      <c r="G45" s="5" t="str">
        <f t="shared" si="11"/>
        <v/>
      </c>
    </row>
    <row r="46" spans="7:7">
      <c r="G46" s="5" t="str">
        <f t="shared" si="11"/>
        <v/>
      </c>
    </row>
    <row r="47" spans="7:7">
      <c r="G47" s="5" t="str">
        <f t="shared" si="11"/>
        <v/>
      </c>
    </row>
    <row r="48" spans="7:7">
      <c r="G48" s="5" t="str">
        <f t="shared" si="11"/>
        <v/>
      </c>
    </row>
    <row r="49" spans="7:7">
      <c r="G49" s="5" t="str">
        <f t="shared" si="11"/>
        <v/>
      </c>
    </row>
    <row r="50" spans="7:7">
      <c r="G50" s="5" t="str">
        <f t="shared" si="11"/>
        <v/>
      </c>
    </row>
    <row r="51" spans="7:7">
      <c r="G51" s="5" t="str">
        <f t="shared" si="11"/>
        <v/>
      </c>
    </row>
    <row r="52" spans="7:7">
      <c r="G52" s="5" t="str">
        <f t="shared" si="11"/>
        <v/>
      </c>
    </row>
    <row r="53" spans="7:7">
      <c r="G53" s="5" t="str">
        <f t="shared" si="11"/>
        <v/>
      </c>
    </row>
    <row r="54" spans="7:7">
      <c r="G54" s="5" t="str">
        <f t="shared" si="11"/>
        <v/>
      </c>
    </row>
    <row r="55" spans="7:7">
      <c r="G55" s="5" t="str">
        <f t="shared" si="11"/>
        <v/>
      </c>
    </row>
    <row r="56" spans="7:7">
      <c r="G56" s="5" t="str">
        <f t="shared" si="11"/>
        <v/>
      </c>
    </row>
    <row r="57" spans="7:7">
      <c r="G57" s="5" t="str">
        <f t="shared" si="11"/>
        <v/>
      </c>
    </row>
    <row r="58" spans="7:7">
      <c r="G58" s="5" t="str">
        <f t="shared" si="11"/>
        <v/>
      </c>
    </row>
    <row r="59" spans="7:7">
      <c r="G59" s="5" t="str">
        <f t="shared" si="11"/>
        <v/>
      </c>
    </row>
    <row r="60" spans="7:7">
      <c r="G60" s="5" t="str">
        <f t="shared" si="11"/>
        <v/>
      </c>
    </row>
    <row r="61" spans="7:7">
      <c r="G61" s="5" t="str">
        <f t="shared" si="11"/>
        <v/>
      </c>
    </row>
    <row r="62" spans="7:7">
      <c r="G62" s="5" t="str">
        <f t="shared" si="11"/>
        <v/>
      </c>
    </row>
    <row r="63" spans="7:7">
      <c r="G63" s="5" t="str">
        <f t="shared" si="11"/>
        <v/>
      </c>
    </row>
    <row r="64" spans="7:7">
      <c r="G64" s="5" t="str">
        <f t="shared" si="11"/>
        <v/>
      </c>
    </row>
    <row r="65" spans="7:7">
      <c r="G65" s="5" t="str">
        <f t="shared" si="11"/>
        <v/>
      </c>
    </row>
    <row r="66" spans="7:7">
      <c r="G66" s="5" t="str">
        <f t="shared" si="11"/>
        <v/>
      </c>
    </row>
    <row r="67" spans="7:7">
      <c r="G67" s="5" t="str">
        <f t="shared" si="11"/>
        <v/>
      </c>
    </row>
    <row r="68" spans="7:7">
      <c r="G68" s="5" t="str">
        <f t="shared" si="11"/>
        <v/>
      </c>
    </row>
    <row r="69" spans="7:7">
      <c r="G69" s="5" t="str">
        <f t="shared" si="11"/>
        <v/>
      </c>
    </row>
    <row r="70" spans="7:7">
      <c r="G70" s="5" t="str">
        <f t="shared" si="11"/>
        <v/>
      </c>
    </row>
    <row r="71" spans="7:7">
      <c r="G71" s="5" t="str">
        <f t="shared" si="11"/>
        <v/>
      </c>
    </row>
    <row r="72" spans="7:7">
      <c r="G72" s="5" t="str">
        <f t="shared" si="11"/>
        <v/>
      </c>
    </row>
    <row r="73" spans="7:7">
      <c r="G73" s="5" t="str">
        <f t="shared" si="11"/>
        <v/>
      </c>
    </row>
    <row r="74" spans="7:7">
      <c r="G74" s="5" t="str">
        <f t="shared" si="11"/>
        <v/>
      </c>
    </row>
    <row r="75" spans="7:7">
      <c r="G75" s="5" t="str">
        <f t="shared" si="11"/>
        <v/>
      </c>
    </row>
    <row r="76" spans="7:7">
      <c r="G76" s="5" t="str">
        <f t="shared" si="11"/>
        <v/>
      </c>
    </row>
    <row r="77" spans="7:7">
      <c r="G77" s="5" t="str">
        <f t="shared" si="11"/>
        <v/>
      </c>
    </row>
    <row r="78" spans="7:7">
      <c r="G78" s="5" t="str">
        <f t="shared" si="11"/>
        <v/>
      </c>
    </row>
    <row r="79" spans="7:7">
      <c r="G79" s="5" t="str">
        <f t="shared" si="11"/>
        <v/>
      </c>
    </row>
    <row r="80" spans="7:7">
      <c r="G80" s="5" t="str">
        <f t="shared" si="11"/>
        <v/>
      </c>
    </row>
    <row r="81" spans="7:7">
      <c r="G81" s="5" t="str">
        <f t="shared" si="11"/>
        <v/>
      </c>
    </row>
    <row r="82" spans="7:7">
      <c r="G82" s="5" t="str">
        <f t="shared" si="11"/>
        <v/>
      </c>
    </row>
    <row r="83" spans="7:7">
      <c r="G83" s="5" t="str">
        <f t="shared" si="11"/>
        <v/>
      </c>
    </row>
    <row r="84" spans="7:7">
      <c r="G84" s="5" t="str">
        <f t="shared" si="11"/>
        <v/>
      </c>
    </row>
    <row r="85" spans="7:7">
      <c r="G85" s="5" t="str">
        <f t="shared" si="11"/>
        <v/>
      </c>
    </row>
    <row r="86" spans="7:7">
      <c r="G86" s="5" t="str">
        <f t="shared" si="11"/>
        <v/>
      </c>
    </row>
    <row r="87" spans="7:7">
      <c r="G87" s="5" t="str">
        <f t="shared" si="11"/>
        <v/>
      </c>
    </row>
    <row r="88" spans="7:7">
      <c r="G88" s="5" t="str">
        <f t="shared" si="11"/>
        <v/>
      </c>
    </row>
    <row r="89" spans="7:7">
      <c r="G89" s="5" t="str">
        <f t="shared" si="11"/>
        <v/>
      </c>
    </row>
    <row r="90" spans="7:7">
      <c r="G90" s="5" t="str">
        <f t="shared" si="11"/>
        <v/>
      </c>
    </row>
    <row r="91" spans="7:7">
      <c r="G91" s="5" t="str">
        <f t="shared" ref="G91:G154" si="12">IF(B91&lt;&gt;"",SUM(C91:F91),"")</f>
        <v/>
      </c>
    </row>
    <row r="92" spans="7:7">
      <c r="G92" s="5" t="str">
        <f t="shared" si="12"/>
        <v/>
      </c>
    </row>
    <row r="93" spans="7:7">
      <c r="G93" s="5" t="str">
        <f t="shared" si="12"/>
        <v/>
      </c>
    </row>
    <row r="94" spans="7:7">
      <c r="G94" s="5" t="str">
        <f t="shared" si="12"/>
        <v/>
      </c>
    </row>
    <row r="95" spans="7:7">
      <c r="G95" s="5" t="str">
        <f t="shared" si="12"/>
        <v/>
      </c>
    </row>
    <row r="96" spans="7:7">
      <c r="G96" s="5" t="str">
        <f t="shared" si="12"/>
        <v/>
      </c>
    </row>
    <row r="97" spans="7:7">
      <c r="G97" s="5" t="str">
        <f t="shared" si="12"/>
        <v/>
      </c>
    </row>
    <row r="98" spans="7:7">
      <c r="G98" s="5" t="str">
        <f t="shared" si="12"/>
        <v/>
      </c>
    </row>
    <row r="99" spans="7:7">
      <c r="G99" s="5" t="str">
        <f t="shared" si="12"/>
        <v/>
      </c>
    </row>
    <row r="100" spans="7:7">
      <c r="G100" s="5" t="str">
        <f t="shared" si="12"/>
        <v/>
      </c>
    </row>
    <row r="101" spans="7:7">
      <c r="G101" s="5" t="str">
        <f t="shared" si="12"/>
        <v/>
      </c>
    </row>
    <row r="102" spans="7:7">
      <c r="G102" s="5" t="str">
        <f t="shared" si="12"/>
        <v/>
      </c>
    </row>
    <row r="103" spans="7:7">
      <c r="G103" s="5" t="str">
        <f t="shared" si="12"/>
        <v/>
      </c>
    </row>
    <row r="104" spans="7:7">
      <c r="G104" s="5" t="str">
        <f t="shared" si="12"/>
        <v/>
      </c>
    </row>
    <row r="105" spans="7:7">
      <c r="G105" s="5" t="str">
        <f t="shared" si="12"/>
        <v/>
      </c>
    </row>
    <row r="106" spans="7:7">
      <c r="G106" s="5" t="str">
        <f t="shared" si="12"/>
        <v/>
      </c>
    </row>
    <row r="107" spans="7:7">
      <c r="G107" s="5" t="str">
        <f t="shared" si="12"/>
        <v/>
      </c>
    </row>
    <row r="108" spans="7:7">
      <c r="G108" s="5" t="str">
        <f t="shared" si="12"/>
        <v/>
      </c>
    </row>
    <row r="109" spans="7:7">
      <c r="G109" s="5" t="str">
        <f t="shared" si="12"/>
        <v/>
      </c>
    </row>
    <row r="110" spans="7:7">
      <c r="G110" s="5" t="str">
        <f t="shared" si="12"/>
        <v/>
      </c>
    </row>
    <row r="111" spans="7:7">
      <c r="G111" s="5" t="str">
        <f t="shared" si="12"/>
        <v/>
      </c>
    </row>
    <row r="112" spans="7:7">
      <c r="G112" s="5" t="str">
        <f t="shared" si="12"/>
        <v/>
      </c>
    </row>
    <row r="113" spans="7:7">
      <c r="G113" s="5" t="str">
        <f t="shared" si="12"/>
        <v/>
      </c>
    </row>
    <row r="114" spans="7:7">
      <c r="G114" s="5" t="str">
        <f t="shared" si="12"/>
        <v/>
      </c>
    </row>
    <row r="115" spans="7:7">
      <c r="G115" s="5" t="str">
        <f t="shared" si="12"/>
        <v/>
      </c>
    </row>
    <row r="116" spans="7:7">
      <c r="G116" s="5" t="str">
        <f t="shared" si="12"/>
        <v/>
      </c>
    </row>
    <row r="117" spans="7:7">
      <c r="G117" s="5" t="str">
        <f t="shared" si="12"/>
        <v/>
      </c>
    </row>
    <row r="118" spans="7:7">
      <c r="G118" s="5" t="str">
        <f t="shared" si="12"/>
        <v/>
      </c>
    </row>
    <row r="119" spans="7:7">
      <c r="G119" s="5" t="str">
        <f t="shared" si="12"/>
        <v/>
      </c>
    </row>
    <row r="120" spans="7:7">
      <c r="G120" s="5" t="str">
        <f t="shared" si="12"/>
        <v/>
      </c>
    </row>
    <row r="121" spans="7:7">
      <c r="G121" s="5" t="str">
        <f t="shared" si="12"/>
        <v/>
      </c>
    </row>
    <row r="122" spans="7:7">
      <c r="G122" s="5" t="str">
        <f t="shared" si="12"/>
        <v/>
      </c>
    </row>
    <row r="123" spans="7:7">
      <c r="G123" s="5" t="str">
        <f t="shared" si="12"/>
        <v/>
      </c>
    </row>
    <row r="124" spans="7:7">
      <c r="G124" s="5" t="str">
        <f t="shared" si="12"/>
        <v/>
      </c>
    </row>
    <row r="125" spans="7:7">
      <c r="G125" s="5" t="str">
        <f t="shared" si="12"/>
        <v/>
      </c>
    </row>
    <row r="126" spans="7:7">
      <c r="G126" s="5" t="str">
        <f t="shared" si="12"/>
        <v/>
      </c>
    </row>
    <row r="127" spans="7:7">
      <c r="G127" s="5" t="str">
        <f t="shared" si="12"/>
        <v/>
      </c>
    </row>
    <row r="128" spans="7:7">
      <c r="G128" s="5" t="str">
        <f t="shared" si="12"/>
        <v/>
      </c>
    </row>
    <row r="129" spans="7:7">
      <c r="G129" s="5" t="str">
        <f t="shared" si="12"/>
        <v/>
      </c>
    </row>
    <row r="130" spans="7:7">
      <c r="G130" s="5" t="str">
        <f t="shared" si="12"/>
        <v/>
      </c>
    </row>
    <row r="131" spans="7:7">
      <c r="G131" s="5" t="str">
        <f t="shared" si="12"/>
        <v/>
      </c>
    </row>
    <row r="132" spans="7:7">
      <c r="G132" s="5" t="str">
        <f t="shared" si="12"/>
        <v/>
      </c>
    </row>
    <row r="133" spans="7:7">
      <c r="G133" s="5" t="str">
        <f t="shared" si="12"/>
        <v/>
      </c>
    </row>
    <row r="134" spans="7:7">
      <c r="G134" s="5" t="str">
        <f t="shared" si="12"/>
        <v/>
      </c>
    </row>
    <row r="135" spans="7:7">
      <c r="G135" s="5" t="str">
        <f t="shared" si="12"/>
        <v/>
      </c>
    </row>
    <row r="136" spans="7:7">
      <c r="G136" s="5" t="str">
        <f t="shared" si="12"/>
        <v/>
      </c>
    </row>
    <row r="137" spans="7:7">
      <c r="G137" s="5" t="str">
        <f t="shared" si="12"/>
        <v/>
      </c>
    </row>
    <row r="138" spans="7:7">
      <c r="G138" s="5" t="str">
        <f t="shared" si="12"/>
        <v/>
      </c>
    </row>
    <row r="139" spans="7:7">
      <c r="G139" s="5" t="str">
        <f t="shared" si="12"/>
        <v/>
      </c>
    </row>
    <row r="140" spans="7:7">
      <c r="G140" s="5" t="str">
        <f t="shared" si="12"/>
        <v/>
      </c>
    </row>
    <row r="141" spans="7:7">
      <c r="G141" s="5" t="str">
        <f t="shared" si="12"/>
        <v/>
      </c>
    </row>
    <row r="142" spans="7:7">
      <c r="G142" s="5" t="str">
        <f t="shared" si="12"/>
        <v/>
      </c>
    </row>
    <row r="143" spans="7:7">
      <c r="G143" s="5" t="str">
        <f t="shared" si="12"/>
        <v/>
      </c>
    </row>
    <row r="144" spans="7:7">
      <c r="G144" s="5" t="str">
        <f t="shared" si="12"/>
        <v/>
      </c>
    </row>
    <row r="145" spans="7:7">
      <c r="G145" s="5" t="str">
        <f t="shared" si="12"/>
        <v/>
      </c>
    </row>
    <row r="146" spans="7:7">
      <c r="G146" s="5" t="str">
        <f t="shared" si="12"/>
        <v/>
      </c>
    </row>
    <row r="147" spans="7:7">
      <c r="G147" s="5" t="str">
        <f t="shared" si="12"/>
        <v/>
      </c>
    </row>
    <row r="148" spans="7:7">
      <c r="G148" s="5" t="str">
        <f t="shared" si="12"/>
        <v/>
      </c>
    </row>
    <row r="149" spans="7:7">
      <c r="G149" s="5" t="str">
        <f t="shared" si="12"/>
        <v/>
      </c>
    </row>
    <row r="150" spans="7:7">
      <c r="G150" s="5" t="str">
        <f t="shared" si="12"/>
        <v/>
      </c>
    </row>
    <row r="151" spans="7:7">
      <c r="G151" s="5" t="str">
        <f t="shared" si="12"/>
        <v/>
      </c>
    </row>
    <row r="152" spans="7:7">
      <c r="G152" s="5" t="str">
        <f t="shared" si="12"/>
        <v/>
      </c>
    </row>
    <row r="153" spans="7:7">
      <c r="G153" s="5" t="str">
        <f t="shared" si="12"/>
        <v/>
      </c>
    </row>
    <row r="154" spans="7:7">
      <c r="G154" s="5" t="str">
        <f t="shared" si="12"/>
        <v/>
      </c>
    </row>
    <row r="155" spans="7:7">
      <c r="G155" s="5" t="str">
        <f t="shared" ref="G155:G218" si="13">IF(B155&lt;&gt;"",SUM(C155:F155),"")</f>
        <v/>
      </c>
    </row>
    <row r="156" spans="7:7">
      <c r="G156" s="5" t="str">
        <f t="shared" si="13"/>
        <v/>
      </c>
    </row>
    <row r="157" spans="7:7">
      <c r="G157" s="5" t="str">
        <f t="shared" si="13"/>
        <v/>
      </c>
    </row>
    <row r="158" spans="7:7">
      <c r="G158" s="5" t="str">
        <f t="shared" si="13"/>
        <v/>
      </c>
    </row>
    <row r="159" spans="7:7">
      <c r="G159" s="5" t="str">
        <f t="shared" si="13"/>
        <v/>
      </c>
    </row>
    <row r="160" spans="7:7">
      <c r="G160" s="5" t="str">
        <f t="shared" si="13"/>
        <v/>
      </c>
    </row>
    <row r="161" spans="7:7">
      <c r="G161" s="5" t="str">
        <f t="shared" si="13"/>
        <v/>
      </c>
    </row>
    <row r="162" spans="7:7">
      <c r="G162" s="5" t="str">
        <f t="shared" si="13"/>
        <v/>
      </c>
    </row>
    <row r="163" spans="7:7">
      <c r="G163" s="5" t="str">
        <f t="shared" si="13"/>
        <v/>
      </c>
    </row>
    <row r="164" spans="7:7">
      <c r="G164" s="5" t="str">
        <f t="shared" si="13"/>
        <v/>
      </c>
    </row>
    <row r="165" spans="7:7">
      <c r="G165" s="5" t="str">
        <f t="shared" si="13"/>
        <v/>
      </c>
    </row>
    <row r="166" spans="7:7">
      <c r="G166" s="5" t="str">
        <f t="shared" si="13"/>
        <v/>
      </c>
    </row>
    <row r="167" spans="7:7">
      <c r="G167" s="5" t="str">
        <f t="shared" si="13"/>
        <v/>
      </c>
    </row>
    <row r="168" spans="7:7">
      <c r="G168" s="5" t="str">
        <f t="shared" si="13"/>
        <v/>
      </c>
    </row>
    <row r="169" spans="7:7">
      <c r="G169" s="5" t="str">
        <f t="shared" si="13"/>
        <v/>
      </c>
    </row>
    <row r="170" spans="7:7">
      <c r="G170" s="5" t="str">
        <f t="shared" si="13"/>
        <v/>
      </c>
    </row>
    <row r="171" spans="7:7">
      <c r="G171" s="5" t="str">
        <f t="shared" si="13"/>
        <v/>
      </c>
    </row>
    <row r="172" spans="7:7">
      <c r="G172" s="5" t="str">
        <f t="shared" si="13"/>
        <v/>
      </c>
    </row>
    <row r="173" spans="7:7">
      <c r="G173" s="5" t="str">
        <f t="shared" si="13"/>
        <v/>
      </c>
    </row>
    <row r="174" spans="7:7">
      <c r="G174" s="5" t="str">
        <f t="shared" si="13"/>
        <v/>
      </c>
    </row>
    <row r="175" spans="7:7">
      <c r="G175" s="5" t="str">
        <f t="shared" si="13"/>
        <v/>
      </c>
    </row>
    <row r="176" spans="7:7">
      <c r="G176" s="5" t="str">
        <f t="shared" si="13"/>
        <v/>
      </c>
    </row>
    <row r="177" spans="7:7">
      <c r="G177" s="5" t="str">
        <f t="shared" si="13"/>
        <v/>
      </c>
    </row>
    <row r="178" spans="7:7">
      <c r="G178" s="5" t="str">
        <f t="shared" si="13"/>
        <v/>
      </c>
    </row>
    <row r="179" spans="7:7">
      <c r="G179" s="5" t="str">
        <f t="shared" si="13"/>
        <v/>
      </c>
    </row>
    <row r="180" spans="7:7">
      <c r="G180" s="5" t="str">
        <f t="shared" si="13"/>
        <v/>
      </c>
    </row>
    <row r="181" spans="7:7">
      <c r="G181" s="5" t="str">
        <f t="shared" si="13"/>
        <v/>
      </c>
    </row>
    <row r="182" spans="7:7">
      <c r="G182" s="5" t="str">
        <f t="shared" si="13"/>
        <v/>
      </c>
    </row>
    <row r="183" spans="7:7">
      <c r="G183" s="5" t="str">
        <f t="shared" si="13"/>
        <v/>
      </c>
    </row>
    <row r="184" spans="7:7">
      <c r="G184" s="5" t="str">
        <f t="shared" si="13"/>
        <v/>
      </c>
    </row>
    <row r="185" spans="7:7">
      <c r="G185" s="5" t="str">
        <f t="shared" si="13"/>
        <v/>
      </c>
    </row>
    <row r="186" spans="7:7">
      <c r="G186" s="5" t="str">
        <f t="shared" si="13"/>
        <v/>
      </c>
    </row>
    <row r="187" spans="7:7">
      <c r="G187" s="5" t="str">
        <f t="shared" si="13"/>
        <v/>
      </c>
    </row>
    <row r="188" spans="7:7">
      <c r="G188" s="5" t="str">
        <f t="shared" si="13"/>
        <v/>
      </c>
    </row>
    <row r="189" spans="7:7">
      <c r="G189" s="5" t="str">
        <f t="shared" si="13"/>
        <v/>
      </c>
    </row>
    <row r="190" spans="7:7">
      <c r="G190" s="5" t="str">
        <f t="shared" si="13"/>
        <v/>
      </c>
    </row>
    <row r="191" spans="7:7">
      <c r="G191" s="5" t="str">
        <f t="shared" si="13"/>
        <v/>
      </c>
    </row>
    <row r="192" spans="7:7">
      <c r="G192" s="5" t="str">
        <f t="shared" si="13"/>
        <v/>
      </c>
    </row>
    <row r="193" spans="7:7">
      <c r="G193" s="5" t="str">
        <f t="shared" si="13"/>
        <v/>
      </c>
    </row>
    <row r="194" spans="7:7">
      <c r="G194" s="5" t="str">
        <f t="shared" si="13"/>
        <v/>
      </c>
    </row>
    <row r="195" spans="7:7">
      <c r="G195" s="5" t="str">
        <f t="shared" si="13"/>
        <v/>
      </c>
    </row>
    <row r="196" spans="7:7">
      <c r="G196" s="5" t="str">
        <f t="shared" si="13"/>
        <v/>
      </c>
    </row>
    <row r="197" spans="7:7">
      <c r="G197" s="5" t="str">
        <f t="shared" si="13"/>
        <v/>
      </c>
    </row>
    <row r="198" spans="7:7">
      <c r="G198" s="5" t="str">
        <f t="shared" si="13"/>
        <v/>
      </c>
    </row>
    <row r="199" spans="7:7">
      <c r="G199" s="5" t="str">
        <f t="shared" si="13"/>
        <v/>
      </c>
    </row>
    <row r="200" spans="7:7">
      <c r="G200" s="5" t="str">
        <f t="shared" si="13"/>
        <v/>
      </c>
    </row>
    <row r="201" spans="7:7">
      <c r="G201" s="5" t="str">
        <f t="shared" si="13"/>
        <v/>
      </c>
    </row>
    <row r="202" spans="7:7">
      <c r="G202" s="5" t="str">
        <f t="shared" si="13"/>
        <v/>
      </c>
    </row>
    <row r="203" spans="7:7">
      <c r="G203" s="5" t="str">
        <f t="shared" si="13"/>
        <v/>
      </c>
    </row>
    <row r="204" spans="7:7">
      <c r="G204" s="5" t="str">
        <f t="shared" si="13"/>
        <v/>
      </c>
    </row>
    <row r="205" spans="7:7">
      <c r="G205" s="5" t="str">
        <f t="shared" si="13"/>
        <v/>
      </c>
    </row>
    <row r="206" spans="7:7">
      <c r="G206" s="5" t="str">
        <f t="shared" si="13"/>
        <v/>
      </c>
    </row>
    <row r="207" spans="7:7">
      <c r="G207" s="5" t="str">
        <f t="shared" si="13"/>
        <v/>
      </c>
    </row>
    <row r="208" spans="7:7">
      <c r="G208" s="5" t="str">
        <f t="shared" si="13"/>
        <v/>
      </c>
    </row>
    <row r="209" spans="7:7">
      <c r="G209" s="5" t="str">
        <f t="shared" si="13"/>
        <v/>
      </c>
    </row>
    <row r="210" spans="7:7">
      <c r="G210" s="5" t="str">
        <f t="shared" si="13"/>
        <v/>
      </c>
    </row>
    <row r="211" spans="7:7">
      <c r="G211" s="5" t="str">
        <f t="shared" si="13"/>
        <v/>
      </c>
    </row>
    <row r="212" spans="7:7">
      <c r="G212" s="5" t="str">
        <f t="shared" si="13"/>
        <v/>
      </c>
    </row>
    <row r="213" spans="7:7">
      <c r="G213" s="5" t="str">
        <f t="shared" si="13"/>
        <v/>
      </c>
    </row>
    <row r="214" spans="7:7">
      <c r="G214" s="5" t="str">
        <f t="shared" si="13"/>
        <v/>
      </c>
    </row>
    <row r="215" spans="7:7">
      <c r="G215" s="5" t="str">
        <f t="shared" si="13"/>
        <v/>
      </c>
    </row>
    <row r="216" spans="7:7">
      <c r="G216" s="5" t="str">
        <f t="shared" si="13"/>
        <v/>
      </c>
    </row>
    <row r="217" spans="7:7">
      <c r="G217" s="5" t="str">
        <f t="shared" si="13"/>
        <v/>
      </c>
    </row>
    <row r="218" spans="7:7">
      <c r="G218" s="5" t="str">
        <f t="shared" si="13"/>
        <v/>
      </c>
    </row>
    <row r="219" spans="7:7">
      <c r="G219" s="5" t="str">
        <f t="shared" ref="G219:G282" si="14">IF(B219&lt;&gt;"",SUM(C219:F219),"")</f>
        <v/>
      </c>
    </row>
    <row r="220" spans="7:7">
      <c r="G220" s="5" t="str">
        <f t="shared" si="14"/>
        <v/>
      </c>
    </row>
    <row r="221" spans="7:7">
      <c r="G221" s="5" t="str">
        <f t="shared" si="14"/>
        <v/>
      </c>
    </row>
    <row r="222" spans="7:7">
      <c r="G222" s="5" t="str">
        <f t="shared" si="14"/>
        <v/>
      </c>
    </row>
    <row r="223" spans="7:7">
      <c r="G223" s="5" t="str">
        <f t="shared" si="14"/>
        <v/>
      </c>
    </row>
    <row r="224" spans="7:7">
      <c r="G224" s="5" t="str">
        <f t="shared" si="14"/>
        <v/>
      </c>
    </row>
    <row r="225" spans="7:7">
      <c r="G225" s="5" t="str">
        <f t="shared" si="14"/>
        <v/>
      </c>
    </row>
    <row r="226" spans="7:7">
      <c r="G226" s="5" t="str">
        <f t="shared" si="14"/>
        <v/>
      </c>
    </row>
    <row r="227" spans="7:7">
      <c r="G227" s="5" t="str">
        <f t="shared" si="14"/>
        <v/>
      </c>
    </row>
    <row r="228" spans="7:7">
      <c r="G228" s="5" t="str">
        <f t="shared" si="14"/>
        <v/>
      </c>
    </row>
    <row r="229" spans="7:7">
      <c r="G229" s="5" t="str">
        <f t="shared" si="14"/>
        <v/>
      </c>
    </row>
    <row r="230" spans="7:7">
      <c r="G230" s="5" t="str">
        <f t="shared" si="14"/>
        <v/>
      </c>
    </row>
    <row r="231" spans="7:7">
      <c r="G231" s="5" t="str">
        <f t="shared" si="14"/>
        <v/>
      </c>
    </row>
    <row r="232" spans="7:7">
      <c r="G232" s="5" t="str">
        <f t="shared" si="14"/>
        <v/>
      </c>
    </row>
    <row r="233" spans="7:7">
      <c r="G233" s="5" t="str">
        <f t="shared" si="14"/>
        <v/>
      </c>
    </row>
    <row r="234" spans="7:7">
      <c r="G234" s="5" t="str">
        <f t="shared" si="14"/>
        <v/>
      </c>
    </row>
    <row r="235" spans="7:7">
      <c r="G235" s="5" t="str">
        <f t="shared" si="14"/>
        <v/>
      </c>
    </row>
    <row r="236" spans="7:7">
      <c r="G236" s="5" t="str">
        <f t="shared" si="14"/>
        <v/>
      </c>
    </row>
    <row r="237" spans="7:7">
      <c r="G237" s="5" t="str">
        <f t="shared" si="14"/>
        <v/>
      </c>
    </row>
    <row r="238" spans="7:7">
      <c r="G238" s="5" t="str">
        <f t="shared" si="14"/>
        <v/>
      </c>
    </row>
    <row r="239" spans="7:7">
      <c r="G239" s="5" t="str">
        <f t="shared" si="14"/>
        <v/>
      </c>
    </row>
    <row r="240" spans="7:7">
      <c r="G240" s="5" t="str">
        <f t="shared" si="14"/>
        <v/>
      </c>
    </row>
    <row r="241" spans="7:7">
      <c r="G241" s="5" t="str">
        <f t="shared" si="14"/>
        <v/>
      </c>
    </row>
    <row r="242" spans="7:7">
      <c r="G242" s="5" t="str">
        <f t="shared" si="14"/>
        <v/>
      </c>
    </row>
    <row r="243" spans="7:7">
      <c r="G243" s="5" t="str">
        <f t="shared" si="14"/>
        <v/>
      </c>
    </row>
    <row r="244" spans="7:7">
      <c r="G244" s="5" t="str">
        <f t="shared" si="14"/>
        <v/>
      </c>
    </row>
    <row r="245" spans="7:7">
      <c r="G245" s="5" t="str">
        <f t="shared" si="14"/>
        <v/>
      </c>
    </row>
    <row r="246" spans="7:7">
      <c r="G246" s="5" t="str">
        <f t="shared" si="14"/>
        <v/>
      </c>
    </row>
    <row r="247" spans="7:7">
      <c r="G247" s="5" t="str">
        <f t="shared" si="14"/>
        <v/>
      </c>
    </row>
    <row r="248" spans="7:7">
      <c r="G248" s="5" t="str">
        <f t="shared" si="14"/>
        <v/>
      </c>
    </row>
    <row r="249" spans="7:7">
      <c r="G249" s="5" t="str">
        <f t="shared" si="14"/>
        <v/>
      </c>
    </row>
    <row r="250" spans="7:7">
      <c r="G250" s="5" t="str">
        <f t="shared" si="14"/>
        <v/>
      </c>
    </row>
    <row r="251" spans="7:7">
      <c r="G251" s="5" t="str">
        <f t="shared" si="14"/>
        <v/>
      </c>
    </row>
    <row r="252" spans="7:7">
      <c r="G252" s="5" t="str">
        <f t="shared" si="14"/>
        <v/>
      </c>
    </row>
    <row r="253" spans="7:7">
      <c r="G253" s="5" t="str">
        <f t="shared" si="14"/>
        <v/>
      </c>
    </row>
    <row r="254" spans="7:7">
      <c r="G254" s="5" t="str">
        <f t="shared" si="14"/>
        <v/>
      </c>
    </row>
    <row r="255" spans="7:7">
      <c r="G255" s="5" t="str">
        <f t="shared" si="14"/>
        <v/>
      </c>
    </row>
    <row r="256" spans="7:7">
      <c r="G256" s="5" t="str">
        <f t="shared" si="14"/>
        <v/>
      </c>
    </row>
    <row r="257" spans="7:7">
      <c r="G257" s="5" t="str">
        <f t="shared" si="14"/>
        <v/>
      </c>
    </row>
    <row r="258" spans="7:7">
      <c r="G258" s="5" t="str">
        <f t="shared" si="14"/>
        <v/>
      </c>
    </row>
    <row r="259" spans="7:7">
      <c r="G259" s="5" t="str">
        <f t="shared" si="14"/>
        <v/>
      </c>
    </row>
    <row r="260" spans="7:7">
      <c r="G260" s="5" t="str">
        <f t="shared" si="14"/>
        <v/>
      </c>
    </row>
    <row r="261" spans="7:7">
      <c r="G261" s="5" t="str">
        <f t="shared" si="14"/>
        <v/>
      </c>
    </row>
    <row r="262" spans="7:7">
      <c r="G262" s="5" t="str">
        <f t="shared" si="14"/>
        <v/>
      </c>
    </row>
    <row r="263" spans="7:7">
      <c r="G263" s="5" t="str">
        <f t="shared" si="14"/>
        <v/>
      </c>
    </row>
    <row r="264" spans="7:7">
      <c r="G264" s="5" t="str">
        <f t="shared" si="14"/>
        <v/>
      </c>
    </row>
    <row r="265" spans="7:7">
      <c r="G265" s="5" t="str">
        <f t="shared" si="14"/>
        <v/>
      </c>
    </row>
    <row r="266" spans="7:7">
      <c r="G266" s="5" t="str">
        <f t="shared" si="14"/>
        <v/>
      </c>
    </row>
    <row r="267" spans="7:7">
      <c r="G267" s="5" t="str">
        <f t="shared" si="14"/>
        <v/>
      </c>
    </row>
    <row r="268" spans="7:7">
      <c r="G268" s="5" t="str">
        <f t="shared" si="14"/>
        <v/>
      </c>
    </row>
    <row r="269" spans="7:7">
      <c r="G269" s="5" t="str">
        <f t="shared" si="14"/>
        <v/>
      </c>
    </row>
    <row r="270" spans="7:7">
      <c r="G270" s="5" t="str">
        <f t="shared" si="14"/>
        <v/>
      </c>
    </row>
    <row r="271" spans="7:7">
      <c r="G271" s="5" t="str">
        <f t="shared" si="14"/>
        <v/>
      </c>
    </row>
    <row r="272" spans="7:7">
      <c r="G272" s="5" t="str">
        <f t="shared" si="14"/>
        <v/>
      </c>
    </row>
    <row r="273" spans="7:7">
      <c r="G273" s="5" t="str">
        <f t="shared" si="14"/>
        <v/>
      </c>
    </row>
    <row r="274" spans="7:7">
      <c r="G274" s="5" t="str">
        <f t="shared" si="14"/>
        <v/>
      </c>
    </row>
    <row r="275" spans="7:7">
      <c r="G275" s="5" t="str">
        <f t="shared" si="14"/>
        <v/>
      </c>
    </row>
    <row r="276" spans="7:7">
      <c r="G276" s="5" t="str">
        <f t="shared" si="14"/>
        <v/>
      </c>
    </row>
    <row r="277" spans="7:7">
      <c r="G277" s="5" t="str">
        <f t="shared" si="14"/>
        <v/>
      </c>
    </row>
    <row r="278" spans="7:7">
      <c r="G278" s="5" t="str">
        <f t="shared" si="14"/>
        <v/>
      </c>
    </row>
    <row r="279" spans="7:7">
      <c r="G279" s="5" t="str">
        <f t="shared" si="14"/>
        <v/>
      </c>
    </row>
    <row r="280" spans="7:7">
      <c r="G280" s="5" t="str">
        <f t="shared" si="14"/>
        <v/>
      </c>
    </row>
    <row r="281" spans="7:7">
      <c r="G281" s="5" t="str">
        <f t="shared" si="14"/>
        <v/>
      </c>
    </row>
    <row r="282" spans="7:7">
      <c r="G282" s="5" t="str">
        <f t="shared" si="14"/>
        <v/>
      </c>
    </row>
    <row r="283" spans="7:7">
      <c r="G283" s="5" t="str">
        <f t="shared" ref="G283:G346" si="15">IF(B283&lt;&gt;"",SUM(C283:F283),"")</f>
        <v/>
      </c>
    </row>
    <row r="284" spans="7:7">
      <c r="G284" s="5" t="str">
        <f t="shared" si="15"/>
        <v/>
      </c>
    </row>
    <row r="285" spans="7:7">
      <c r="G285" s="5" t="str">
        <f t="shared" si="15"/>
        <v/>
      </c>
    </row>
    <row r="286" spans="7:7">
      <c r="G286" s="5" t="str">
        <f t="shared" si="15"/>
        <v/>
      </c>
    </row>
    <row r="287" spans="7:7">
      <c r="G287" s="5" t="str">
        <f t="shared" si="15"/>
        <v/>
      </c>
    </row>
    <row r="288" spans="7:7">
      <c r="G288" s="5" t="str">
        <f t="shared" si="15"/>
        <v/>
      </c>
    </row>
    <row r="289" spans="7:7">
      <c r="G289" s="5" t="str">
        <f t="shared" si="15"/>
        <v/>
      </c>
    </row>
    <row r="290" spans="7:7">
      <c r="G290" s="5" t="str">
        <f t="shared" si="15"/>
        <v/>
      </c>
    </row>
    <row r="291" spans="7:7">
      <c r="G291" s="5" t="str">
        <f t="shared" si="15"/>
        <v/>
      </c>
    </row>
    <row r="292" spans="7:7">
      <c r="G292" s="5" t="str">
        <f t="shared" si="15"/>
        <v/>
      </c>
    </row>
    <row r="293" spans="7:7">
      <c r="G293" s="5" t="str">
        <f t="shared" si="15"/>
        <v/>
      </c>
    </row>
    <row r="294" spans="7:7">
      <c r="G294" s="5" t="str">
        <f t="shared" si="15"/>
        <v/>
      </c>
    </row>
    <row r="295" spans="7:7">
      <c r="G295" s="5" t="str">
        <f t="shared" si="15"/>
        <v/>
      </c>
    </row>
    <row r="296" spans="7:7">
      <c r="G296" s="5" t="str">
        <f t="shared" si="15"/>
        <v/>
      </c>
    </row>
    <row r="297" spans="7:7">
      <c r="G297" s="5" t="str">
        <f t="shared" si="15"/>
        <v/>
      </c>
    </row>
    <row r="298" spans="7:7">
      <c r="G298" s="5" t="str">
        <f t="shared" si="15"/>
        <v/>
      </c>
    </row>
    <row r="299" spans="7:7">
      <c r="G299" s="5" t="str">
        <f t="shared" si="15"/>
        <v/>
      </c>
    </row>
    <row r="300" spans="7:7">
      <c r="G300" s="5" t="str">
        <f t="shared" si="15"/>
        <v/>
      </c>
    </row>
    <row r="301" spans="7:7">
      <c r="G301" s="5" t="str">
        <f t="shared" si="15"/>
        <v/>
      </c>
    </row>
    <row r="302" spans="7:7">
      <c r="G302" s="5" t="str">
        <f t="shared" si="15"/>
        <v/>
      </c>
    </row>
    <row r="303" spans="7:7">
      <c r="G303" s="5" t="str">
        <f t="shared" si="15"/>
        <v/>
      </c>
    </row>
    <row r="304" spans="7:7">
      <c r="G304" s="5" t="str">
        <f t="shared" si="15"/>
        <v/>
      </c>
    </row>
    <row r="305" spans="7:7">
      <c r="G305" s="5" t="str">
        <f t="shared" si="15"/>
        <v/>
      </c>
    </row>
    <row r="306" spans="7:7">
      <c r="G306" s="5" t="str">
        <f t="shared" si="15"/>
        <v/>
      </c>
    </row>
    <row r="307" spans="7:7">
      <c r="G307" s="5" t="str">
        <f t="shared" si="15"/>
        <v/>
      </c>
    </row>
    <row r="308" spans="7:7">
      <c r="G308" s="5" t="str">
        <f t="shared" si="15"/>
        <v/>
      </c>
    </row>
    <row r="309" spans="7:7">
      <c r="G309" s="5" t="str">
        <f t="shared" si="15"/>
        <v/>
      </c>
    </row>
    <row r="310" spans="7:7">
      <c r="G310" s="5" t="str">
        <f t="shared" si="15"/>
        <v/>
      </c>
    </row>
    <row r="311" spans="7:7">
      <c r="G311" s="5" t="str">
        <f t="shared" si="15"/>
        <v/>
      </c>
    </row>
    <row r="312" spans="7:7">
      <c r="G312" s="5" t="str">
        <f t="shared" si="15"/>
        <v/>
      </c>
    </row>
    <row r="313" spans="7:7">
      <c r="G313" s="5" t="str">
        <f t="shared" si="15"/>
        <v/>
      </c>
    </row>
    <row r="314" spans="7:7">
      <c r="G314" s="5" t="str">
        <f t="shared" si="15"/>
        <v/>
      </c>
    </row>
    <row r="315" spans="7:7">
      <c r="G315" s="5" t="str">
        <f t="shared" si="15"/>
        <v/>
      </c>
    </row>
    <row r="316" spans="7:7">
      <c r="G316" s="5" t="str">
        <f t="shared" si="15"/>
        <v/>
      </c>
    </row>
    <row r="317" spans="7:7">
      <c r="G317" s="5" t="str">
        <f t="shared" si="15"/>
        <v/>
      </c>
    </row>
    <row r="318" spans="7:7">
      <c r="G318" s="5" t="str">
        <f t="shared" si="15"/>
        <v/>
      </c>
    </row>
    <row r="319" spans="7:7">
      <c r="G319" s="5" t="str">
        <f t="shared" si="15"/>
        <v/>
      </c>
    </row>
    <row r="320" spans="7:7">
      <c r="G320" s="5" t="str">
        <f t="shared" si="15"/>
        <v/>
      </c>
    </row>
    <row r="321" spans="7:7">
      <c r="G321" s="5" t="str">
        <f t="shared" si="15"/>
        <v/>
      </c>
    </row>
    <row r="322" spans="7:7">
      <c r="G322" s="5" t="str">
        <f t="shared" si="15"/>
        <v/>
      </c>
    </row>
    <row r="323" spans="7:7">
      <c r="G323" s="5" t="str">
        <f t="shared" si="15"/>
        <v/>
      </c>
    </row>
    <row r="324" spans="7:7">
      <c r="G324" s="5" t="str">
        <f t="shared" si="15"/>
        <v/>
      </c>
    </row>
    <row r="325" spans="7:7">
      <c r="G325" s="5" t="str">
        <f t="shared" si="15"/>
        <v/>
      </c>
    </row>
    <row r="326" spans="7:7">
      <c r="G326" s="5" t="str">
        <f t="shared" si="15"/>
        <v/>
      </c>
    </row>
    <row r="327" spans="7:7">
      <c r="G327" s="5" t="str">
        <f t="shared" si="15"/>
        <v/>
      </c>
    </row>
    <row r="328" spans="7:7">
      <c r="G328" s="5" t="str">
        <f t="shared" si="15"/>
        <v/>
      </c>
    </row>
    <row r="329" spans="7:7">
      <c r="G329" s="5" t="str">
        <f t="shared" si="15"/>
        <v/>
      </c>
    </row>
    <row r="330" spans="7:7">
      <c r="G330" s="5" t="str">
        <f t="shared" si="15"/>
        <v/>
      </c>
    </row>
    <row r="331" spans="7:7">
      <c r="G331" s="5" t="str">
        <f t="shared" si="15"/>
        <v/>
      </c>
    </row>
    <row r="332" spans="7:7">
      <c r="G332" s="5" t="str">
        <f t="shared" si="15"/>
        <v/>
      </c>
    </row>
    <row r="333" spans="7:7">
      <c r="G333" s="5" t="str">
        <f t="shared" si="15"/>
        <v/>
      </c>
    </row>
    <row r="334" spans="7:7">
      <c r="G334" s="5" t="str">
        <f t="shared" si="15"/>
        <v/>
      </c>
    </row>
    <row r="335" spans="7:7">
      <c r="G335" s="5" t="str">
        <f t="shared" si="15"/>
        <v/>
      </c>
    </row>
    <row r="336" spans="7:7">
      <c r="G336" s="5" t="str">
        <f t="shared" si="15"/>
        <v/>
      </c>
    </row>
    <row r="337" spans="7:7">
      <c r="G337" s="5" t="str">
        <f t="shared" si="15"/>
        <v/>
      </c>
    </row>
    <row r="338" spans="7:7">
      <c r="G338" s="5" t="str">
        <f t="shared" si="15"/>
        <v/>
      </c>
    </row>
    <row r="339" spans="7:7">
      <c r="G339" s="5" t="str">
        <f t="shared" si="15"/>
        <v/>
      </c>
    </row>
    <row r="340" spans="7:7">
      <c r="G340" s="5" t="str">
        <f t="shared" si="15"/>
        <v/>
      </c>
    </row>
    <row r="341" spans="7:7">
      <c r="G341" s="5" t="str">
        <f t="shared" si="15"/>
        <v/>
      </c>
    </row>
    <row r="342" spans="7:7">
      <c r="G342" s="5" t="str">
        <f t="shared" si="15"/>
        <v/>
      </c>
    </row>
    <row r="343" spans="7:7">
      <c r="G343" s="5" t="str">
        <f t="shared" si="15"/>
        <v/>
      </c>
    </row>
    <row r="344" spans="7:7">
      <c r="G344" s="5" t="str">
        <f t="shared" si="15"/>
        <v/>
      </c>
    </row>
    <row r="345" spans="7:7">
      <c r="G345" s="5" t="str">
        <f t="shared" si="15"/>
        <v/>
      </c>
    </row>
    <row r="346" spans="7:7">
      <c r="G346" s="5" t="str">
        <f t="shared" si="15"/>
        <v/>
      </c>
    </row>
    <row r="347" spans="7:7">
      <c r="G347" s="5" t="str">
        <f t="shared" ref="G347:G410" si="16">IF(B347&lt;&gt;"",SUM(C347:F347),"")</f>
        <v/>
      </c>
    </row>
    <row r="348" spans="7:7">
      <c r="G348" s="5" t="str">
        <f t="shared" si="16"/>
        <v/>
      </c>
    </row>
    <row r="349" spans="7:7">
      <c r="G349" s="5" t="str">
        <f t="shared" si="16"/>
        <v/>
      </c>
    </row>
    <row r="350" spans="7:7">
      <c r="G350" s="5" t="str">
        <f t="shared" si="16"/>
        <v/>
      </c>
    </row>
    <row r="351" spans="7:7">
      <c r="G351" s="5" t="str">
        <f t="shared" si="16"/>
        <v/>
      </c>
    </row>
    <row r="352" spans="7:7">
      <c r="G352" s="5" t="str">
        <f t="shared" si="16"/>
        <v/>
      </c>
    </row>
    <row r="353" spans="7:7">
      <c r="G353" s="5" t="str">
        <f t="shared" si="16"/>
        <v/>
      </c>
    </row>
    <row r="354" spans="7:7">
      <c r="G354" s="5" t="str">
        <f t="shared" si="16"/>
        <v/>
      </c>
    </row>
    <row r="355" spans="7:7">
      <c r="G355" s="5" t="str">
        <f t="shared" si="16"/>
        <v/>
      </c>
    </row>
    <row r="356" spans="7:7">
      <c r="G356" s="5" t="str">
        <f t="shared" si="16"/>
        <v/>
      </c>
    </row>
    <row r="357" spans="7:7">
      <c r="G357" s="5" t="str">
        <f t="shared" si="16"/>
        <v/>
      </c>
    </row>
    <row r="358" spans="7:7">
      <c r="G358" s="5" t="str">
        <f t="shared" si="16"/>
        <v/>
      </c>
    </row>
    <row r="359" spans="7:7">
      <c r="G359" s="5" t="str">
        <f t="shared" si="16"/>
        <v/>
      </c>
    </row>
    <row r="360" spans="7:7">
      <c r="G360" s="5" t="str">
        <f t="shared" si="16"/>
        <v/>
      </c>
    </row>
    <row r="361" spans="7:7">
      <c r="G361" s="5" t="str">
        <f t="shared" si="16"/>
        <v/>
      </c>
    </row>
    <row r="362" spans="7:7">
      <c r="G362" s="5" t="str">
        <f t="shared" si="16"/>
        <v/>
      </c>
    </row>
    <row r="363" spans="7:7">
      <c r="G363" s="5" t="str">
        <f t="shared" si="16"/>
        <v/>
      </c>
    </row>
    <row r="364" spans="7:7">
      <c r="G364" s="5" t="str">
        <f t="shared" si="16"/>
        <v/>
      </c>
    </row>
    <row r="365" spans="7:7">
      <c r="G365" s="5" t="str">
        <f t="shared" si="16"/>
        <v/>
      </c>
    </row>
    <row r="366" spans="7:7">
      <c r="G366" s="5" t="str">
        <f t="shared" si="16"/>
        <v/>
      </c>
    </row>
    <row r="367" spans="7:7">
      <c r="G367" s="5" t="str">
        <f t="shared" si="16"/>
        <v/>
      </c>
    </row>
    <row r="368" spans="7:7">
      <c r="G368" s="5" t="str">
        <f t="shared" si="16"/>
        <v/>
      </c>
    </row>
    <row r="369" spans="7:7">
      <c r="G369" s="5" t="str">
        <f t="shared" si="16"/>
        <v/>
      </c>
    </row>
    <row r="370" spans="7:7">
      <c r="G370" s="5" t="str">
        <f t="shared" si="16"/>
        <v/>
      </c>
    </row>
    <row r="371" spans="7:7">
      <c r="G371" s="5" t="str">
        <f t="shared" si="16"/>
        <v/>
      </c>
    </row>
    <row r="372" spans="7:7">
      <c r="G372" s="5" t="str">
        <f t="shared" si="16"/>
        <v/>
      </c>
    </row>
    <row r="373" spans="7:7">
      <c r="G373" s="5" t="str">
        <f t="shared" si="16"/>
        <v/>
      </c>
    </row>
    <row r="374" spans="7:7">
      <c r="G374" s="5" t="str">
        <f t="shared" si="16"/>
        <v/>
      </c>
    </row>
    <row r="375" spans="7:7">
      <c r="G375" s="5" t="str">
        <f t="shared" si="16"/>
        <v/>
      </c>
    </row>
    <row r="376" spans="7:7">
      <c r="G376" s="5" t="str">
        <f t="shared" si="16"/>
        <v/>
      </c>
    </row>
    <row r="377" spans="7:7">
      <c r="G377" s="5" t="str">
        <f t="shared" si="16"/>
        <v/>
      </c>
    </row>
    <row r="378" spans="7:7">
      <c r="G378" s="5" t="str">
        <f t="shared" si="16"/>
        <v/>
      </c>
    </row>
    <row r="379" spans="7:7">
      <c r="G379" s="5" t="str">
        <f t="shared" si="16"/>
        <v/>
      </c>
    </row>
    <row r="380" spans="7:7">
      <c r="G380" s="5" t="str">
        <f t="shared" si="16"/>
        <v/>
      </c>
    </row>
    <row r="381" spans="7:7">
      <c r="G381" s="5" t="str">
        <f t="shared" si="16"/>
        <v/>
      </c>
    </row>
    <row r="382" spans="7:7">
      <c r="G382" s="5" t="str">
        <f t="shared" si="16"/>
        <v/>
      </c>
    </row>
    <row r="383" spans="7:7">
      <c r="G383" s="5" t="str">
        <f t="shared" si="16"/>
        <v/>
      </c>
    </row>
    <row r="384" spans="7:7">
      <c r="G384" s="5" t="str">
        <f t="shared" si="16"/>
        <v/>
      </c>
    </row>
    <row r="385" spans="7:7">
      <c r="G385" s="5" t="str">
        <f t="shared" si="16"/>
        <v/>
      </c>
    </row>
    <row r="386" spans="7:7">
      <c r="G386" s="5" t="str">
        <f t="shared" si="16"/>
        <v/>
      </c>
    </row>
    <row r="387" spans="7:7">
      <c r="G387" s="5" t="str">
        <f t="shared" si="16"/>
        <v/>
      </c>
    </row>
    <row r="388" spans="7:7">
      <c r="G388" s="5" t="str">
        <f t="shared" si="16"/>
        <v/>
      </c>
    </row>
    <row r="389" spans="7:7">
      <c r="G389" s="5" t="str">
        <f t="shared" si="16"/>
        <v/>
      </c>
    </row>
    <row r="390" spans="7:7">
      <c r="G390" s="5" t="str">
        <f t="shared" si="16"/>
        <v/>
      </c>
    </row>
    <row r="391" spans="7:7">
      <c r="G391" s="5" t="str">
        <f t="shared" si="16"/>
        <v/>
      </c>
    </row>
    <row r="392" spans="7:7">
      <c r="G392" s="5" t="str">
        <f t="shared" si="16"/>
        <v/>
      </c>
    </row>
    <row r="393" spans="7:7">
      <c r="G393" s="5" t="str">
        <f t="shared" si="16"/>
        <v/>
      </c>
    </row>
    <row r="394" spans="7:7">
      <c r="G394" s="5" t="str">
        <f t="shared" si="16"/>
        <v/>
      </c>
    </row>
    <row r="395" spans="7:7">
      <c r="G395" s="5" t="str">
        <f t="shared" si="16"/>
        <v/>
      </c>
    </row>
    <row r="396" spans="7:7">
      <c r="G396" s="5" t="str">
        <f t="shared" si="16"/>
        <v/>
      </c>
    </row>
    <row r="397" spans="7:7">
      <c r="G397" s="5" t="str">
        <f t="shared" si="16"/>
        <v/>
      </c>
    </row>
    <row r="398" spans="7:7">
      <c r="G398" s="5" t="str">
        <f t="shared" si="16"/>
        <v/>
      </c>
    </row>
    <row r="399" spans="7:7">
      <c r="G399" s="5" t="str">
        <f t="shared" si="16"/>
        <v/>
      </c>
    </row>
    <row r="400" spans="7:7">
      <c r="G400" s="5" t="str">
        <f t="shared" si="16"/>
        <v/>
      </c>
    </row>
    <row r="401" spans="7:7">
      <c r="G401" s="5" t="str">
        <f t="shared" si="16"/>
        <v/>
      </c>
    </row>
    <row r="402" spans="7:7">
      <c r="G402" s="5" t="str">
        <f t="shared" si="16"/>
        <v/>
      </c>
    </row>
    <row r="403" spans="7:7">
      <c r="G403" s="5" t="str">
        <f t="shared" si="16"/>
        <v/>
      </c>
    </row>
    <row r="404" spans="7:7">
      <c r="G404" s="5" t="str">
        <f t="shared" si="16"/>
        <v/>
      </c>
    </row>
    <row r="405" spans="7:7">
      <c r="G405" s="5" t="str">
        <f t="shared" si="16"/>
        <v/>
      </c>
    </row>
    <row r="406" spans="7:7">
      <c r="G406" s="5" t="str">
        <f t="shared" si="16"/>
        <v/>
      </c>
    </row>
    <row r="407" spans="7:7">
      <c r="G407" s="5" t="str">
        <f t="shared" si="16"/>
        <v/>
      </c>
    </row>
    <row r="408" spans="7:7">
      <c r="G408" s="5" t="str">
        <f t="shared" si="16"/>
        <v/>
      </c>
    </row>
    <row r="409" spans="7:7">
      <c r="G409" s="5" t="str">
        <f t="shared" si="16"/>
        <v/>
      </c>
    </row>
    <row r="410" spans="7:7">
      <c r="G410" s="5" t="str">
        <f t="shared" si="16"/>
        <v/>
      </c>
    </row>
    <row r="411" spans="7:7">
      <c r="G411" s="5" t="str">
        <f t="shared" ref="G411" si="17">IF(B411&lt;&gt;"",SUM(C411:F411),"")</f>
        <v/>
      </c>
    </row>
  </sheetData>
  <sheetProtection sort="0" autoFilter="0" pivotTables="0"/>
  <autoFilter ref="H5:H17" xr:uid="{36C73D8A-9F98-43B5-A536-F280F06D4261}"/>
  <pageMargins left="0.78740157480314965" right="0.78740157480314965" top="0.78740157480314965" bottom="0.78740157480314965" header="0" footer="0"/>
  <pageSetup paperSize="9" scale="89" fitToHeight="0" orientation="landscape" verticalDpi="4294967295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7430-51FC-4A68-BCD3-2895158B8EF2}">
  <sheetPr codeName="Planilha41" filterMode="1">
    <tabColor rgb="FF006600"/>
    <pageSetUpPr fitToPage="1"/>
  </sheetPr>
  <dimension ref="B1:S484"/>
  <sheetViews>
    <sheetView workbookViewId="0">
      <pane ySplit="5" topLeftCell="A6" activePane="bottomLeft" state="frozen"/>
      <selection pane="bottomLeft" activeCell="K21" sqref="K21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844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202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 hidden="1">
      <c r="B6" s="558" t="s">
        <v>2413</v>
      </c>
      <c r="C6" s="38"/>
      <c r="D6" s="38"/>
      <c r="E6" s="38"/>
      <c r="F6" s="39"/>
      <c r="G6" s="40"/>
      <c r="H6" s="23">
        <f>SUM(C6:G6)</f>
        <v>0</v>
      </c>
      <c r="I6" s="464">
        <f t="shared" ref="I6:I39" si="0">L6-(L6*J6)</f>
        <v>272.47000000000003</v>
      </c>
      <c r="J6" s="16"/>
      <c r="K6" s="17"/>
      <c r="L6" s="242">
        <v>272.47000000000003</v>
      </c>
      <c r="M6" s="181"/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0</v>
      </c>
      <c r="R6" s="27">
        <f t="shared" ref="R6" si="5">I6*G6</f>
        <v>0</v>
      </c>
      <c r="S6" s="28">
        <f>SUM(N6:R6)</f>
        <v>0</v>
      </c>
    </row>
    <row r="7" spans="2:19" hidden="1">
      <c r="B7" s="558" t="s">
        <v>2414</v>
      </c>
      <c r="C7" s="13"/>
      <c r="D7" s="13"/>
      <c r="E7" s="13"/>
      <c r="F7" s="14"/>
      <c r="G7" s="8"/>
      <c r="H7" s="24">
        <f t="shared" ref="H7:H75" si="6">SUM(C7:G7)</f>
        <v>0</v>
      </c>
      <c r="I7" s="456">
        <f t="shared" si="0"/>
        <v>1034.94</v>
      </c>
      <c r="J7" s="10"/>
      <c r="K7" s="12"/>
      <c r="L7" s="242">
        <v>1034.94</v>
      </c>
      <c r="M7" s="181"/>
      <c r="N7" s="25">
        <f t="shared" ref="N7:N70" si="7">I7*C7</f>
        <v>0</v>
      </c>
      <c r="O7" s="25">
        <f t="shared" ref="O7:O70" si="8">I7*D7</f>
        <v>0</v>
      </c>
      <c r="P7" s="25">
        <f t="shared" ref="P7:P70" si="9">I7*E7</f>
        <v>0</v>
      </c>
      <c r="Q7" s="26">
        <f t="shared" ref="Q7:Q70" si="10">I7*F7</f>
        <v>0</v>
      </c>
      <c r="R7" s="27">
        <f t="shared" ref="R7:R70" si="11">I7*G7</f>
        <v>0</v>
      </c>
      <c r="S7" s="28">
        <f t="shared" ref="S7:S70" si="12">SUM(N7:R7)</f>
        <v>0</v>
      </c>
    </row>
    <row r="8" spans="2:19" hidden="1">
      <c r="B8" s="558" t="s">
        <v>2415</v>
      </c>
      <c r="C8" s="13"/>
      <c r="D8" s="13"/>
      <c r="E8" s="13"/>
      <c r="F8" s="14"/>
      <c r="G8" s="8"/>
      <c r="H8" s="24">
        <f t="shared" si="6"/>
        <v>0</v>
      </c>
      <c r="I8" s="456">
        <f t="shared" si="0"/>
        <v>1144.1199999999999</v>
      </c>
      <c r="J8" s="10"/>
      <c r="K8" s="12"/>
      <c r="L8" s="242">
        <v>1144.1199999999999</v>
      </c>
      <c r="M8" s="181"/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2:19" hidden="1">
      <c r="B9" s="558" t="s">
        <v>2416</v>
      </c>
      <c r="C9" s="13"/>
      <c r="D9" s="13"/>
      <c r="E9" s="13"/>
      <c r="F9" s="14"/>
      <c r="G9" s="8"/>
      <c r="H9" s="24">
        <f t="shared" si="6"/>
        <v>0</v>
      </c>
      <c r="I9" s="456">
        <f t="shared" si="0"/>
        <v>1168.1400000000001</v>
      </c>
      <c r="J9" s="10"/>
      <c r="K9" s="12"/>
      <c r="L9" s="242">
        <v>1168.1400000000001</v>
      </c>
      <c r="M9" s="181"/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</row>
    <row r="10" spans="2:19" hidden="1">
      <c r="B10" s="558" t="s">
        <v>2417</v>
      </c>
      <c r="C10" s="13"/>
      <c r="D10" s="13"/>
      <c r="E10" s="13"/>
      <c r="F10" s="14"/>
      <c r="G10" s="8"/>
      <c r="H10" s="24">
        <f t="shared" si="6"/>
        <v>0</v>
      </c>
      <c r="I10" s="456">
        <f t="shared" si="0"/>
        <v>1144.1199999999999</v>
      </c>
      <c r="J10" s="10"/>
      <c r="K10" s="12"/>
      <c r="L10" s="242">
        <v>1144.1199999999999</v>
      </c>
      <c r="M10" s="181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0</v>
      </c>
      <c r="R10" s="27">
        <f t="shared" si="11"/>
        <v>0</v>
      </c>
      <c r="S10" s="28">
        <f t="shared" si="12"/>
        <v>0</v>
      </c>
    </row>
    <row r="11" spans="2:19" hidden="1">
      <c r="B11" s="558" t="s">
        <v>2418</v>
      </c>
      <c r="C11" s="13"/>
      <c r="D11" s="13"/>
      <c r="E11" s="13"/>
      <c r="F11" s="14"/>
      <c r="G11" s="8"/>
      <c r="H11" s="24">
        <f t="shared" ref="H11:H15" si="13">SUM(C11:G11)</f>
        <v>0</v>
      </c>
      <c r="I11" s="456">
        <f t="shared" ref="I11:I15" si="14">L11-(L11*J11)</f>
        <v>273.92</v>
      </c>
      <c r="J11" s="10"/>
      <c r="K11" s="12"/>
      <c r="L11" s="242">
        <v>273.92</v>
      </c>
      <c r="M11" s="181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 hidden="1">
      <c r="B12" s="558" t="s">
        <v>2419</v>
      </c>
      <c r="C12" s="13"/>
      <c r="D12" s="13"/>
      <c r="E12" s="13"/>
      <c r="F12" s="14"/>
      <c r="G12" s="8"/>
      <c r="H12" s="24">
        <f t="shared" si="13"/>
        <v>0</v>
      </c>
      <c r="I12" s="456">
        <f t="shared" si="14"/>
        <v>624.07000000000005</v>
      </c>
      <c r="J12" s="10"/>
      <c r="K12" s="12"/>
      <c r="L12" s="242">
        <v>624.07000000000005</v>
      </c>
      <c r="M12" s="181"/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 hidden="1">
      <c r="B13" s="558" t="s">
        <v>2420</v>
      </c>
      <c r="C13" s="13"/>
      <c r="D13" s="13"/>
      <c r="E13" s="13"/>
      <c r="F13" s="14"/>
      <c r="G13" s="8"/>
      <c r="H13" s="24">
        <f t="shared" si="13"/>
        <v>0</v>
      </c>
      <c r="I13" s="456">
        <f t="shared" si="14"/>
        <v>559.16</v>
      </c>
      <c r="J13" s="10"/>
      <c r="K13" s="12"/>
      <c r="L13" s="242">
        <v>559.16</v>
      </c>
      <c r="M13" s="181"/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>
      <c r="B14" s="558" t="s">
        <v>2421</v>
      </c>
      <c r="C14" s="13"/>
      <c r="D14" s="13"/>
      <c r="E14" s="13">
        <v>2</v>
      </c>
      <c r="F14" s="14"/>
      <c r="G14" s="8"/>
      <c r="H14" s="24">
        <f t="shared" si="13"/>
        <v>2</v>
      </c>
      <c r="I14" s="456">
        <f t="shared" si="14"/>
        <v>180.1</v>
      </c>
      <c r="J14" s="10"/>
      <c r="K14" s="12"/>
      <c r="L14" s="242">
        <v>180.1</v>
      </c>
      <c r="M14" s="181"/>
      <c r="N14" s="25">
        <f t="shared" si="7"/>
        <v>0</v>
      </c>
      <c r="O14" s="25">
        <f t="shared" si="8"/>
        <v>0</v>
      </c>
      <c r="P14" s="25">
        <f t="shared" si="9"/>
        <v>360.2</v>
      </c>
      <c r="Q14" s="26">
        <f t="shared" si="10"/>
        <v>0</v>
      </c>
      <c r="R14" s="27">
        <f t="shared" si="11"/>
        <v>0</v>
      </c>
      <c r="S14" s="28">
        <f t="shared" si="12"/>
        <v>360.2</v>
      </c>
    </row>
    <row r="15" spans="2:19" hidden="1">
      <c r="B15" s="558" t="s">
        <v>2422</v>
      </c>
      <c r="C15" s="13"/>
      <c r="D15" s="13"/>
      <c r="E15" s="13"/>
      <c r="F15" s="14"/>
      <c r="G15" s="8"/>
      <c r="H15" s="24">
        <f t="shared" si="13"/>
        <v>0</v>
      </c>
      <c r="I15" s="456">
        <f t="shared" si="14"/>
        <v>406.24</v>
      </c>
      <c r="J15" s="10"/>
      <c r="K15" s="12"/>
      <c r="L15" s="242">
        <v>406.24</v>
      </c>
      <c r="M15" s="181"/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0</v>
      </c>
      <c r="R15" s="27">
        <f t="shared" si="11"/>
        <v>0</v>
      </c>
      <c r="S15" s="28">
        <f t="shared" si="12"/>
        <v>0</v>
      </c>
    </row>
    <row r="16" spans="2:19" hidden="1">
      <c r="B16" s="558" t="s">
        <v>2423</v>
      </c>
      <c r="C16" s="13"/>
      <c r="D16" s="13"/>
      <c r="E16" s="13"/>
      <c r="F16" s="14"/>
      <c r="G16" s="8"/>
      <c r="H16" s="24">
        <f t="shared" si="6"/>
        <v>0</v>
      </c>
      <c r="I16" s="456">
        <f t="shared" si="0"/>
        <v>204.86</v>
      </c>
      <c r="J16" s="10"/>
      <c r="K16" s="12"/>
      <c r="L16" s="242">
        <v>204.86</v>
      </c>
      <c r="M16" s="181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 hidden="1">
      <c r="B17" s="558" t="s">
        <v>2424</v>
      </c>
      <c r="C17" s="13"/>
      <c r="D17" s="13"/>
      <c r="E17" s="13"/>
      <c r="F17" s="14"/>
      <c r="G17" s="8"/>
      <c r="H17" s="24">
        <f t="shared" si="6"/>
        <v>0</v>
      </c>
      <c r="I17" s="456">
        <f t="shared" si="0"/>
        <v>61.54</v>
      </c>
      <c r="J17" s="10"/>
      <c r="K17" s="12"/>
      <c r="L17" s="242">
        <v>61.54</v>
      </c>
      <c r="M17" s="181"/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 hidden="1">
      <c r="B18" s="558" t="s">
        <v>2425</v>
      </c>
      <c r="C18" s="13"/>
      <c r="D18" s="13"/>
      <c r="E18" s="13"/>
      <c r="F18" s="14"/>
      <c r="G18" s="8"/>
      <c r="H18" s="24">
        <f t="shared" si="6"/>
        <v>0</v>
      </c>
      <c r="I18" s="456">
        <f t="shared" si="0"/>
        <v>56.77</v>
      </c>
      <c r="J18" s="10"/>
      <c r="K18" s="12"/>
      <c r="L18" s="242">
        <v>56.77</v>
      </c>
      <c r="M18" s="181"/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 hidden="1">
      <c r="B19" s="558" t="s">
        <v>2426</v>
      </c>
      <c r="C19" s="13"/>
      <c r="D19" s="13"/>
      <c r="E19" s="13"/>
      <c r="F19" s="14"/>
      <c r="G19" s="8"/>
      <c r="H19" s="24">
        <f t="shared" si="6"/>
        <v>0</v>
      </c>
      <c r="I19" s="456">
        <f t="shared" si="0"/>
        <v>236.89</v>
      </c>
      <c r="J19" s="10"/>
      <c r="K19" s="12"/>
      <c r="L19" s="242">
        <v>236.89</v>
      </c>
      <c r="M19" s="181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 hidden="1">
      <c r="B20" s="558" t="s">
        <v>2427</v>
      </c>
      <c r="C20" s="13"/>
      <c r="D20" s="13"/>
      <c r="E20" s="13"/>
      <c r="F20" s="14"/>
      <c r="G20" s="8"/>
      <c r="H20" s="24">
        <f t="shared" si="6"/>
        <v>0</v>
      </c>
      <c r="I20" s="456">
        <f t="shared" si="0"/>
        <v>24.78</v>
      </c>
      <c r="J20" s="10"/>
      <c r="K20" s="12"/>
      <c r="L20" s="242">
        <v>24.78</v>
      </c>
      <c r="M20" s="181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0</v>
      </c>
      <c r="R20" s="27">
        <f t="shared" si="11"/>
        <v>0</v>
      </c>
      <c r="S20" s="28">
        <f t="shared" si="12"/>
        <v>0</v>
      </c>
    </row>
    <row r="21" spans="2:19" hidden="1">
      <c r="B21" s="558" t="s">
        <v>2428</v>
      </c>
      <c r="C21" s="13"/>
      <c r="D21" s="13"/>
      <c r="E21" s="13"/>
      <c r="F21" s="14"/>
      <c r="G21" s="8"/>
      <c r="H21" s="24">
        <f t="shared" si="6"/>
        <v>0</v>
      </c>
      <c r="I21" s="456">
        <f t="shared" si="0"/>
        <v>410.11</v>
      </c>
      <c r="J21" s="10"/>
      <c r="K21" s="12"/>
      <c r="L21" s="242">
        <v>410.11</v>
      </c>
      <c r="M21" s="181"/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>
      <c r="B22" s="558" t="s">
        <v>2429</v>
      </c>
      <c r="C22" s="13"/>
      <c r="D22" s="13">
        <v>12</v>
      </c>
      <c r="E22" s="13"/>
      <c r="F22" s="14"/>
      <c r="G22" s="8"/>
      <c r="H22" s="24">
        <f t="shared" si="6"/>
        <v>12</v>
      </c>
      <c r="I22" s="456">
        <f t="shared" si="0"/>
        <v>26.49</v>
      </c>
      <c r="J22" s="10"/>
      <c r="K22" s="12"/>
      <c r="L22" s="242">
        <v>26.49</v>
      </c>
      <c r="M22" s="181"/>
      <c r="N22" s="25">
        <f t="shared" si="7"/>
        <v>0</v>
      </c>
      <c r="O22" s="25">
        <f t="shared" si="8"/>
        <v>317.88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317.88</v>
      </c>
    </row>
    <row r="23" spans="2:19" hidden="1">
      <c r="B23" s="558" t="s">
        <v>2430</v>
      </c>
      <c r="C23" s="13"/>
      <c r="D23" s="13"/>
      <c r="E23" s="13"/>
      <c r="F23" s="14"/>
      <c r="G23" s="8"/>
      <c r="H23" s="24">
        <f t="shared" si="6"/>
        <v>0</v>
      </c>
      <c r="I23" s="456">
        <f t="shared" si="0"/>
        <v>85.56</v>
      </c>
      <c r="J23" s="10"/>
      <c r="K23" s="12"/>
      <c r="L23" s="242">
        <v>85.56</v>
      </c>
      <c r="M23" s="181"/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2:19">
      <c r="B24" s="558" t="s">
        <v>2431</v>
      </c>
      <c r="C24" s="13"/>
      <c r="D24" s="13"/>
      <c r="E24" s="13">
        <v>4</v>
      </c>
      <c r="F24" s="14"/>
      <c r="G24" s="8"/>
      <c r="H24" s="24">
        <f t="shared" si="6"/>
        <v>4</v>
      </c>
      <c r="I24" s="456">
        <f t="shared" si="0"/>
        <v>85.8</v>
      </c>
      <c r="J24" s="10"/>
      <c r="K24" s="12"/>
      <c r="L24" s="242">
        <v>85.8</v>
      </c>
      <c r="M24" s="181"/>
      <c r="N24" s="25">
        <f t="shared" si="7"/>
        <v>0</v>
      </c>
      <c r="O24" s="25">
        <f t="shared" si="8"/>
        <v>0</v>
      </c>
      <c r="P24" s="25">
        <f t="shared" si="9"/>
        <v>343.2</v>
      </c>
      <c r="Q24" s="26">
        <f t="shared" si="10"/>
        <v>0</v>
      </c>
      <c r="R24" s="27">
        <f t="shared" si="11"/>
        <v>0</v>
      </c>
      <c r="S24" s="28">
        <f t="shared" si="12"/>
        <v>343.2</v>
      </c>
    </row>
    <row r="25" spans="2:19" hidden="1">
      <c r="B25" s="558" t="s">
        <v>2432</v>
      </c>
      <c r="C25" s="13"/>
      <c r="D25" s="13"/>
      <c r="E25" s="13"/>
      <c r="F25" s="14"/>
      <c r="G25" s="8"/>
      <c r="H25" s="24">
        <f t="shared" si="6"/>
        <v>0</v>
      </c>
      <c r="I25" s="456">
        <f t="shared" si="0"/>
        <v>365.03</v>
      </c>
      <c r="J25" s="10"/>
      <c r="K25" s="12"/>
      <c r="L25" s="242">
        <v>365.03</v>
      </c>
      <c r="M25" s="181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 hidden="1">
      <c r="B26" s="558" t="s">
        <v>2433</v>
      </c>
      <c r="C26" s="13"/>
      <c r="D26" s="13"/>
      <c r="E26" s="13"/>
      <c r="F26" s="14"/>
      <c r="G26" s="8"/>
      <c r="H26" s="24">
        <f t="shared" si="6"/>
        <v>0</v>
      </c>
      <c r="I26" s="456">
        <f t="shared" si="0"/>
        <v>149.61000000000001</v>
      </c>
      <c r="J26" s="10"/>
      <c r="K26" s="12"/>
      <c r="L26" s="242">
        <v>149.61000000000001</v>
      </c>
      <c r="M26" s="181"/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 hidden="1">
      <c r="B27" s="558" t="s">
        <v>2434</v>
      </c>
      <c r="C27" s="13"/>
      <c r="D27" s="13"/>
      <c r="E27" s="13"/>
      <c r="F27" s="14"/>
      <c r="G27" s="8"/>
      <c r="H27" s="24">
        <f t="shared" si="6"/>
        <v>0</v>
      </c>
      <c r="I27" s="456">
        <f t="shared" si="0"/>
        <v>181.29</v>
      </c>
      <c r="J27" s="10"/>
      <c r="K27" s="12"/>
      <c r="L27" s="242">
        <v>181.29</v>
      </c>
      <c r="M27" s="181"/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 hidden="1">
      <c r="B28" s="558" t="s">
        <v>2435</v>
      </c>
      <c r="C28" s="13"/>
      <c r="D28" s="13"/>
      <c r="E28" s="13"/>
      <c r="F28" s="14"/>
      <c r="G28" s="8"/>
      <c r="H28" s="24">
        <f t="shared" si="6"/>
        <v>0</v>
      </c>
      <c r="I28" s="456">
        <f t="shared" si="0"/>
        <v>72.38</v>
      </c>
      <c r="J28" s="10"/>
      <c r="K28" s="12"/>
      <c r="L28" s="242">
        <v>72.38</v>
      </c>
      <c r="M28" s="181"/>
      <c r="N28" s="25">
        <f t="shared" si="7"/>
        <v>0</v>
      </c>
      <c r="O28" s="25">
        <f t="shared" si="8"/>
        <v>0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0</v>
      </c>
    </row>
    <row r="29" spans="2:19" hidden="1">
      <c r="B29" s="558" t="s">
        <v>2436</v>
      </c>
      <c r="C29" s="13"/>
      <c r="D29" s="13"/>
      <c r="E29" s="13"/>
      <c r="F29" s="14"/>
      <c r="G29" s="8"/>
      <c r="H29" s="24">
        <f t="shared" si="6"/>
        <v>0</v>
      </c>
      <c r="I29" s="456">
        <f t="shared" si="0"/>
        <v>39.67</v>
      </c>
      <c r="J29" s="10"/>
      <c r="K29" s="12"/>
      <c r="L29" s="242">
        <v>39.67</v>
      </c>
      <c r="M29" s="181"/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2:19" hidden="1">
      <c r="B30" s="558" t="s">
        <v>2437</v>
      </c>
      <c r="C30" s="13"/>
      <c r="D30" s="13"/>
      <c r="E30" s="13"/>
      <c r="F30" s="14"/>
      <c r="G30" s="8"/>
      <c r="H30" s="24">
        <f t="shared" si="6"/>
        <v>0</v>
      </c>
      <c r="I30" s="456">
        <f t="shared" si="0"/>
        <v>301.63</v>
      </c>
      <c r="J30" s="10"/>
      <c r="K30" s="12"/>
      <c r="L30" s="242">
        <v>301.63</v>
      </c>
      <c r="M30" s="181"/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0</v>
      </c>
    </row>
    <row r="31" spans="2:19">
      <c r="B31" s="558" t="s">
        <v>2438</v>
      </c>
      <c r="C31" s="14"/>
      <c r="D31" s="14"/>
      <c r="E31" s="14">
        <v>72</v>
      </c>
      <c r="F31" s="14"/>
      <c r="G31" s="8"/>
      <c r="H31" s="24">
        <f t="shared" si="6"/>
        <v>72</v>
      </c>
      <c r="I31" s="456">
        <f t="shared" si="0"/>
        <v>93.03</v>
      </c>
      <c r="J31" s="10"/>
      <c r="K31" s="12"/>
      <c r="L31" s="242">
        <v>93.03</v>
      </c>
      <c r="M31" s="181"/>
      <c r="N31" s="25">
        <f t="shared" si="7"/>
        <v>0</v>
      </c>
      <c r="O31" s="25">
        <f t="shared" si="8"/>
        <v>0</v>
      </c>
      <c r="P31" s="25">
        <f t="shared" si="9"/>
        <v>6698.16</v>
      </c>
      <c r="Q31" s="26">
        <f t="shared" si="10"/>
        <v>0</v>
      </c>
      <c r="R31" s="27">
        <f t="shared" si="11"/>
        <v>0</v>
      </c>
      <c r="S31" s="28">
        <f t="shared" si="12"/>
        <v>6698.16</v>
      </c>
    </row>
    <row r="32" spans="2:19" hidden="1">
      <c r="B32" s="558" t="s">
        <v>2439</v>
      </c>
      <c r="C32" s="14"/>
      <c r="D32" s="14"/>
      <c r="E32" s="14"/>
      <c r="F32" s="14"/>
      <c r="G32" s="8"/>
      <c r="H32" s="24">
        <f t="shared" si="6"/>
        <v>0</v>
      </c>
      <c r="I32" s="456">
        <f t="shared" si="0"/>
        <v>574.19000000000005</v>
      </c>
      <c r="J32" s="10"/>
      <c r="K32" s="12"/>
      <c r="L32" s="242">
        <v>574.19000000000005</v>
      </c>
      <c r="M32" s="181"/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2:19" hidden="1">
      <c r="B33" s="558" t="s">
        <v>2440</v>
      </c>
      <c r="C33" s="14"/>
      <c r="D33" s="14"/>
      <c r="E33" s="14"/>
      <c r="F33" s="14"/>
      <c r="G33" s="8"/>
      <c r="H33" s="24">
        <f t="shared" si="6"/>
        <v>0</v>
      </c>
      <c r="I33" s="456">
        <f t="shared" si="0"/>
        <v>472.56</v>
      </c>
      <c r="J33" s="10"/>
      <c r="K33" s="12"/>
      <c r="L33" s="242">
        <v>472.56</v>
      </c>
      <c r="M33" s="181"/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2:19" hidden="1">
      <c r="B34" s="558" t="s">
        <v>2441</v>
      </c>
      <c r="C34" s="14"/>
      <c r="D34" s="14"/>
      <c r="E34" s="14"/>
      <c r="F34" s="14"/>
      <c r="G34" s="8"/>
      <c r="H34" s="24">
        <f t="shared" si="6"/>
        <v>0</v>
      </c>
      <c r="I34" s="456">
        <f t="shared" si="0"/>
        <v>142.66999999999999</v>
      </c>
      <c r="J34" s="10"/>
      <c r="K34" s="12"/>
      <c r="L34" s="242">
        <v>142.66999999999999</v>
      </c>
      <c r="M34" s="181"/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2:19" hidden="1">
      <c r="B35" s="558" t="s">
        <v>2442</v>
      </c>
      <c r="C35" s="14"/>
      <c r="D35" s="14"/>
      <c r="E35" s="14"/>
      <c r="F35" s="14"/>
      <c r="G35" s="8"/>
      <c r="H35" s="24">
        <f t="shared" si="6"/>
        <v>0</v>
      </c>
      <c r="I35" s="456">
        <f t="shared" si="0"/>
        <v>11.37</v>
      </c>
      <c r="J35" s="10"/>
      <c r="K35" s="12"/>
      <c r="L35" s="242">
        <v>11.37</v>
      </c>
      <c r="M35" s="181"/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 hidden="1">
      <c r="B36" s="558" t="s">
        <v>2443</v>
      </c>
      <c r="C36" s="14"/>
      <c r="D36" s="14"/>
      <c r="E36" s="14"/>
      <c r="F36" s="14"/>
      <c r="G36" s="8"/>
      <c r="H36" s="24">
        <f t="shared" si="6"/>
        <v>0</v>
      </c>
      <c r="I36" s="456">
        <f t="shared" si="0"/>
        <v>99.29</v>
      </c>
      <c r="J36" s="10"/>
      <c r="K36" s="12"/>
      <c r="L36" s="242">
        <v>99.29</v>
      </c>
      <c r="M36" s="181"/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2:19">
      <c r="B37" s="558" t="s">
        <v>2444</v>
      </c>
      <c r="C37" s="14"/>
      <c r="D37" s="14"/>
      <c r="E37" s="14">
        <v>6</v>
      </c>
      <c r="F37" s="14"/>
      <c r="G37" s="8"/>
      <c r="H37" s="24">
        <f t="shared" si="6"/>
        <v>6</v>
      </c>
      <c r="I37" s="456">
        <f t="shared" si="0"/>
        <v>43.83</v>
      </c>
      <c r="J37" s="10"/>
      <c r="K37" s="12"/>
      <c r="L37" s="242">
        <v>43.83</v>
      </c>
      <c r="M37" s="181"/>
      <c r="N37" s="25">
        <f t="shared" si="7"/>
        <v>0</v>
      </c>
      <c r="O37" s="25">
        <f t="shared" si="8"/>
        <v>0</v>
      </c>
      <c r="P37" s="25">
        <f t="shared" si="9"/>
        <v>262.98</v>
      </c>
      <c r="Q37" s="26">
        <f t="shared" si="10"/>
        <v>0</v>
      </c>
      <c r="R37" s="27">
        <f t="shared" si="11"/>
        <v>0</v>
      </c>
      <c r="S37" s="28">
        <f t="shared" si="12"/>
        <v>262.98</v>
      </c>
    </row>
    <row r="38" spans="2:19" hidden="1">
      <c r="B38" s="558" t="s">
        <v>2445</v>
      </c>
      <c r="C38" s="14"/>
      <c r="D38" s="14"/>
      <c r="E38" s="14"/>
      <c r="F38" s="14"/>
      <c r="G38" s="8"/>
      <c r="H38" s="24">
        <f t="shared" si="6"/>
        <v>0</v>
      </c>
      <c r="I38" s="456">
        <f t="shared" si="0"/>
        <v>123.03</v>
      </c>
      <c r="J38" s="10"/>
      <c r="K38" s="12"/>
      <c r="L38" s="242">
        <v>123.03</v>
      </c>
      <c r="M38" s="181"/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2:19">
      <c r="B39" s="558" t="s">
        <v>2446</v>
      </c>
      <c r="C39" s="14"/>
      <c r="D39" s="14"/>
      <c r="E39" s="14">
        <v>12</v>
      </c>
      <c r="F39" s="14"/>
      <c r="G39" s="8"/>
      <c r="H39" s="24">
        <f t="shared" si="6"/>
        <v>12</v>
      </c>
      <c r="I39" s="456">
        <f t="shared" si="0"/>
        <v>17.48</v>
      </c>
      <c r="J39" s="10"/>
      <c r="K39" s="12"/>
      <c r="L39" s="242">
        <v>17.48</v>
      </c>
      <c r="M39" s="181"/>
      <c r="N39" s="25">
        <f t="shared" si="7"/>
        <v>0</v>
      </c>
      <c r="O39" s="25">
        <f t="shared" si="8"/>
        <v>0</v>
      </c>
      <c r="P39" s="25">
        <f t="shared" si="9"/>
        <v>209.76</v>
      </c>
      <c r="Q39" s="26">
        <f t="shared" si="10"/>
        <v>0</v>
      </c>
      <c r="R39" s="27">
        <f t="shared" si="11"/>
        <v>0</v>
      </c>
      <c r="S39" s="28">
        <f t="shared" si="12"/>
        <v>209.76</v>
      </c>
    </row>
    <row r="40" spans="2:19" hidden="1">
      <c r="B40" s="558" t="s">
        <v>2447</v>
      </c>
      <c r="C40" s="14"/>
      <c r="D40" s="14"/>
      <c r="E40" s="14"/>
      <c r="F40" s="14"/>
      <c r="G40" s="8"/>
      <c r="H40" s="24">
        <f t="shared" si="6"/>
        <v>0</v>
      </c>
      <c r="I40" s="456">
        <f t="shared" ref="I40:I82" si="15">L40-(L40*J40)</f>
        <v>68.36</v>
      </c>
      <c r="J40" s="10"/>
      <c r="K40" s="12"/>
      <c r="L40" s="242">
        <v>68.36</v>
      </c>
      <c r="M40" s="181"/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2:19" hidden="1">
      <c r="B41" s="558" t="s">
        <v>2448</v>
      </c>
      <c r="C41" s="14"/>
      <c r="D41" s="14"/>
      <c r="E41" s="14"/>
      <c r="F41" s="14"/>
      <c r="G41" s="8"/>
      <c r="H41" s="24">
        <f t="shared" si="6"/>
        <v>0</v>
      </c>
      <c r="I41" s="456">
        <f t="shared" si="15"/>
        <v>234.12</v>
      </c>
      <c r="J41" s="10"/>
      <c r="K41" s="12"/>
      <c r="L41" s="242">
        <v>234.12</v>
      </c>
      <c r="M41" s="181"/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2:19" hidden="1">
      <c r="B42" s="558" t="s">
        <v>2449</v>
      </c>
      <c r="C42" s="14"/>
      <c r="D42" s="14"/>
      <c r="E42" s="14"/>
      <c r="F42" s="14"/>
      <c r="G42" s="8"/>
      <c r="H42" s="24">
        <f t="shared" si="6"/>
        <v>0</v>
      </c>
      <c r="I42" s="456">
        <f t="shared" si="15"/>
        <v>54.15</v>
      </c>
      <c r="J42" s="10"/>
      <c r="K42" s="12"/>
      <c r="L42" s="242">
        <v>54.15</v>
      </c>
      <c r="M42" s="181"/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2:19" hidden="1">
      <c r="B43" s="558" t="s">
        <v>2450</v>
      </c>
      <c r="C43" s="14"/>
      <c r="D43" s="14"/>
      <c r="E43" s="14"/>
      <c r="F43" s="14"/>
      <c r="G43" s="8"/>
      <c r="H43" s="24">
        <f t="shared" si="6"/>
        <v>0</v>
      </c>
      <c r="I43" s="456">
        <f t="shared" si="15"/>
        <v>221.65</v>
      </c>
      <c r="J43" s="10"/>
      <c r="K43" s="12"/>
      <c r="L43" s="242">
        <v>221.65</v>
      </c>
      <c r="M43" s="181"/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2:19" hidden="1">
      <c r="B44" s="558" t="s">
        <v>2451</v>
      </c>
      <c r="C44" s="14"/>
      <c r="D44" s="14"/>
      <c r="E44" s="14"/>
      <c r="F44" s="14"/>
      <c r="G44" s="8"/>
      <c r="H44" s="24">
        <f t="shared" si="6"/>
        <v>0</v>
      </c>
      <c r="I44" s="456">
        <f t="shared" si="15"/>
        <v>249.08</v>
      </c>
      <c r="J44" s="10"/>
      <c r="K44" s="12"/>
      <c r="L44" s="242">
        <v>249.08</v>
      </c>
      <c r="M44" s="181"/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>
      <c r="B45" s="558" t="s">
        <v>2452</v>
      </c>
      <c r="C45" s="14"/>
      <c r="D45" s="14"/>
      <c r="E45" s="14">
        <v>4</v>
      </c>
      <c r="F45" s="14"/>
      <c r="G45" s="8"/>
      <c r="H45" s="24">
        <f t="shared" si="6"/>
        <v>4</v>
      </c>
      <c r="I45" s="456">
        <f t="shared" si="15"/>
        <v>151.41</v>
      </c>
      <c r="J45" s="10"/>
      <c r="K45" s="12"/>
      <c r="L45" s="242">
        <v>151.41</v>
      </c>
      <c r="M45" s="181"/>
      <c r="N45" s="25">
        <f t="shared" si="7"/>
        <v>0</v>
      </c>
      <c r="O45" s="25">
        <f t="shared" si="8"/>
        <v>0</v>
      </c>
      <c r="P45" s="25">
        <f t="shared" si="9"/>
        <v>605.64</v>
      </c>
      <c r="Q45" s="26">
        <f t="shared" si="10"/>
        <v>0</v>
      </c>
      <c r="R45" s="27">
        <f t="shared" si="11"/>
        <v>0</v>
      </c>
      <c r="S45" s="28">
        <f t="shared" si="12"/>
        <v>605.64</v>
      </c>
    </row>
    <row r="46" spans="2:19" hidden="1">
      <c r="B46" s="558" t="s">
        <v>2453</v>
      </c>
      <c r="C46" s="14"/>
      <c r="D46" s="14"/>
      <c r="E46" s="14"/>
      <c r="F46" s="14"/>
      <c r="G46" s="8"/>
      <c r="H46" s="24">
        <f t="shared" si="6"/>
        <v>0</v>
      </c>
      <c r="I46" s="456">
        <f t="shared" si="15"/>
        <v>21.65</v>
      </c>
      <c r="J46" s="10"/>
      <c r="K46" s="12"/>
      <c r="L46" s="242">
        <v>21.65</v>
      </c>
      <c r="M46" s="181"/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>
      <c r="B47" s="558" t="s">
        <v>2454</v>
      </c>
      <c r="C47" s="14"/>
      <c r="D47" s="14"/>
      <c r="E47" s="14">
        <v>4</v>
      </c>
      <c r="F47" s="14"/>
      <c r="G47" s="8"/>
      <c r="H47" s="24">
        <f t="shared" si="6"/>
        <v>4</v>
      </c>
      <c r="I47" s="456">
        <f t="shared" si="15"/>
        <v>53.4</v>
      </c>
      <c r="J47" s="10"/>
      <c r="K47" s="12"/>
      <c r="L47" s="242">
        <v>53.4</v>
      </c>
      <c r="M47" s="181"/>
      <c r="N47" s="25">
        <f t="shared" si="7"/>
        <v>0</v>
      </c>
      <c r="O47" s="25">
        <f t="shared" si="8"/>
        <v>0</v>
      </c>
      <c r="P47" s="25">
        <f t="shared" si="9"/>
        <v>213.6</v>
      </c>
      <c r="Q47" s="26">
        <f t="shared" si="10"/>
        <v>0</v>
      </c>
      <c r="R47" s="27">
        <f t="shared" si="11"/>
        <v>0</v>
      </c>
      <c r="S47" s="28">
        <f t="shared" si="12"/>
        <v>213.6</v>
      </c>
    </row>
    <row r="48" spans="2:19" hidden="1">
      <c r="B48" s="558" t="s">
        <v>2455</v>
      </c>
      <c r="C48" s="14"/>
      <c r="D48" s="14"/>
      <c r="E48" s="14"/>
      <c r="F48" s="14"/>
      <c r="G48" s="8"/>
      <c r="H48" s="24">
        <f t="shared" si="6"/>
        <v>0</v>
      </c>
      <c r="I48" s="456">
        <f t="shared" si="15"/>
        <v>73.44</v>
      </c>
      <c r="J48" s="10"/>
      <c r="K48" s="12"/>
      <c r="L48" s="242">
        <v>73.44</v>
      </c>
      <c r="M48" s="181"/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2:19" hidden="1">
      <c r="B49" s="558" t="s">
        <v>2456</v>
      </c>
      <c r="C49" s="14"/>
      <c r="D49" s="14"/>
      <c r="E49" s="14"/>
      <c r="F49" s="14"/>
      <c r="G49" s="8"/>
      <c r="H49" s="24">
        <f t="shared" si="6"/>
        <v>0</v>
      </c>
      <c r="I49" s="456">
        <f t="shared" si="15"/>
        <v>319.83999999999997</v>
      </c>
      <c r="J49" s="10"/>
      <c r="K49" s="12"/>
      <c r="L49" s="242">
        <v>319.83999999999997</v>
      </c>
      <c r="M49" s="181"/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19" hidden="1">
      <c r="B50" s="558" t="s">
        <v>2457</v>
      </c>
      <c r="C50" s="14"/>
      <c r="D50" s="14"/>
      <c r="E50" s="14"/>
      <c r="F50" s="14"/>
      <c r="G50" s="8"/>
      <c r="H50" s="24">
        <f t="shared" si="6"/>
        <v>0</v>
      </c>
      <c r="I50" s="456">
        <f t="shared" si="15"/>
        <v>116.16</v>
      </c>
      <c r="J50" s="10"/>
      <c r="K50" s="12"/>
      <c r="L50" s="242">
        <v>116.16</v>
      </c>
      <c r="M50" s="181"/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19">
      <c r="B51" s="558" t="s">
        <v>2458</v>
      </c>
      <c r="C51" s="14"/>
      <c r="D51" s="14"/>
      <c r="E51" s="14">
        <v>4</v>
      </c>
      <c r="F51" s="14"/>
      <c r="G51" s="8"/>
      <c r="H51" s="24">
        <f t="shared" si="6"/>
        <v>4</v>
      </c>
      <c r="I51" s="456">
        <f t="shared" si="15"/>
        <v>61.39</v>
      </c>
      <c r="J51" s="10"/>
      <c r="K51" s="12"/>
      <c r="L51" s="242">
        <v>61.39</v>
      </c>
      <c r="M51" s="181"/>
      <c r="N51" s="25">
        <f t="shared" si="7"/>
        <v>0</v>
      </c>
      <c r="O51" s="25">
        <f t="shared" si="8"/>
        <v>0</v>
      </c>
      <c r="P51" s="25">
        <f t="shared" si="9"/>
        <v>245.56</v>
      </c>
      <c r="Q51" s="26">
        <f t="shared" si="10"/>
        <v>0</v>
      </c>
      <c r="R51" s="27">
        <f t="shared" si="11"/>
        <v>0</v>
      </c>
      <c r="S51" s="28">
        <f t="shared" si="12"/>
        <v>245.56</v>
      </c>
    </row>
    <row r="52" spans="2:19" hidden="1">
      <c r="B52" s="558" t="s">
        <v>2459</v>
      </c>
      <c r="C52" s="14"/>
      <c r="D52" s="14"/>
      <c r="E52" s="14"/>
      <c r="F52" s="14"/>
      <c r="G52" s="8"/>
      <c r="H52" s="24">
        <f t="shared" si="6"/>
        <v>0</v>
      </c>
      <c r="I52" s="456">
        <f t="shared" si="15"/>
        <v>40.19</v>
      </c>
      <c r="J52" s="10"/>
      <c r="K52" s="12"/>
      <c r="L52" s="242">
        <v>40.19</v>
      </c>
      <c r="M52" s="181"/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19" hidden="1">
      <c r="B53" s="558" t="s">
        <v>2460</v>
      </c>
      <c r="C53" s="14"/>
      <c r="D53" s="14"/>
      <c r="E53" s="14"/>
      <c r="F53" s="14"/>
      <c r="G53" s="8"/>
      <c r="H53" s="24">
        <f t="shared" si="6"/>
        <v>0</v>
      </c>
      <c r="I53" s="456">
        <f t="shared" si="15"/>
        <v>42.39</v>
      </c>
      <c r="J53" s="10"/>
      <c r="K53" s="12"/>
      <c r="L53" s="242">
        <v>42.39</v>
      </c>
      <c r="M53" s="181"/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2:19" hidden="1">
      <c r="B54" s="558" t="s">
        <v>2461</v>
      </c>
      <c r="C54" s="14"/>
      <c r="D54" s="14"/>
      <c r="E54" s="14"/>
      <c r="F54" s="14"/>
      <c r="G54" s="8"/>
      <c r="H54" s="24">
        <f t="shared" si="6"/>
        <v>0</v>
      </c>
      <c r="I54" s="456">
        <f t="shared" si="15"/>
        <v>19.600000000000001</v>
      </c>
      <c r="J54" s="10"/>
      <c r="K54" s="12"/>
      <c r="L54" s="242">
        <v>19.600000000000001</v>
      </c>
      <c r="M54" s="181"/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19" hidden="1">
      <c r="B55" s="558" t="s">
        <v>2462</v>
      </c>
      <c r="C55" s="14"/>
      <c r="D55" s="14"/>
      <c r="E55" s="14"/>
      <c r="F55" s="14"/>
      <c r="G55" s="8"/>
      <c r="H55" s="24">
        <f t="shared" si="6"/>
        <v>0</v>
      </c>
      <c r="I55" s="456">
        <f t="shared" si="15"/>
        <v>165.15</v>
      </c>
      <c r="J55" s="10"/>
      <c r="K55" s="12"/>
      <c r="L55" s="242">
        <v>165.15</v>
      </c>
      <c r="M55" s="181"/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</row>
    <row r="56" spans="2:19" hidden="1">
      <c r="B56" s="558" t="s">
        <v>2463</v>
      </c>
      <c r="C56" s="14"/>
      <c r="D56" s="14"/>
      <c r="E56" s="14"/>
      <c r="F56" s="14"/>
      <c r="G56" s="8"/>
      <c r="H56" s="24">
        <f t="shared" si="6"/>
        <v>0</v>
      </c>
      <c r="I56" s="456">
        <f t="shared" si="15"/>
        <v>27.5</v>
      </c>
      <c r="J56" s="10"/>
      <c r="K56" s="12"/>
      <c r="L56" s="242">
        <v>27.5</v>
      </c>
      <c r="M56" s="181"/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2:19" hidden="1">
      <c r="B57" s="558" t="s">
        <v>2464</v>
      </c>
      <c r="C57" s="14"/>
      <c r="D57" s="14"/>
      <c r="E57" s="14"/>
      <c r="F57" s="14"/>
      <c r="G57" s="8"/>
      <c r="H57" s="24">
        <f t="shared" si="6"/>
        <v>0</v>
      </c>
      <c r="I57" s="456">
        <f t="shared" si="15"/>
        <v>52.93</v>
      </c>
      <c r="J57" s="10"/>
      <c r="K57" s="12"/>
      <c r="L57" s="242">
        <v>52.93</v>
      </c>
      <c r="M57" s="181"/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0</v>
      </c>
    </row>
    <row r="58" spans="2:19" hidden="1">
      <c r="B58" s="558" t="s">
        <v>2465</v>
      </c>
      <c r="C58" s="14"/>
      <c r="D58" s="14"/>
      <c r="E58" s="14"/>
      <c r="F58" s="14"/>
      <c r="G58" s="8"/>
      <c r="H58" s="24">
        <f t="shared" si="6"/>
        <v>0</v>
      </c>
      <c r="I58" s="456">
        <f t="shared" si="15"/>
        <v>127.47</v>
      </c>
      <c r="J58" s="10"/>
      <c r="K58" s="12"/>
      <c r="L58" s="242">
        <v>127.47</v>
      </c>
      <c r="M58" s="181"/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</row>
    <row r="59" spans="2:19" hidden="1">
      <c r="B59" s="558" t="s">
        <v>2466</v>
      </c>
      <c r="C59" s="14"/>
      <c r="D59" s="14"/>
      <c r="E59" s="14"/>
      <c r="F59" s="14"/>
      <c r="G59" s="8"/>
      <c r="H59" s="24">
        <f t="shared" si="6"/>
        <v>0</v>
      </c>
      <c r="I59" s="456">
        <f t="shared" si="15"/>
        <v>10.15</v>
      </c>
      <c r="J59" s="10"/>
      <c r="K59" s="12"/>
      <c r="L59" s="243">
        <v>10.15</v>
      </c>
      <c r="M59" s="181"/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2:19">
      <c r="B60" s="527" t="s">
        <v>2467</v>
      </c>
      <c r="C60" s="14"/>
      <c r="D60" s="14">
        <v>180</v>
      </c>
      <c r="E60" s="14"/>
      <c r="F60" s="14"/>
      <c r="G60" s="8"/>
      <c r="H60" s="24">
        <f t="shared" si="6"/>
        <v>180</v>
      </c>
      <c r="I60" s="456">
        <f t="shared" si="15"/>
        <v>31.38</v>
      </c>
      <c r="J60" s="10"/>
      <c r="K60" s="12"/>
      <c r="L60" s="242">
        <v>31.38</v>
      </c>
      <c r="M60" s="181"/>
      <c r="N60" s="25">
        <f t="shared" si="7"/>
        <v>0</v>
      </c>
      <c r="O60" s="25">
        <f t="shared" si="8"/>
        <v>5648.4</v>
      </c>
      <c r="P60" s="25">
        <f t="shared" si="9"/>
        <v>0</v>
      </c>
      <c r="Q60" s="26">
        <f t="shared" si="10"/>
        <v>0</v>
      </c>
      <c r="R60" s="27">
        <f t="shared" si="11"/>
        <v>0</v>
      </c>
      <c r="S60" s="28">
        <f t="shared" si="12"/>
        <v>5648.4</v>
      </c>
    </row>
    <row r="61" spans="2:19" hidden="1">
      <c r="B61" s="558" t="s">
        <v>2468</v>
      </c>
      <c r="C61" s="14"/>
      <c r="D61" s="14"/>
      <c r="E61" s="14"/>
      <c r="F61" s="14"/>
      <c r="G61" s="8"/>
      <c r="H61" s="24">
        <f t="shared" si="6"/>
        <v>0</v>
      </c>
      <c r="I61" s="456">
        <f t="shared" si="15"/>
        <v>27.57</v>
      </c>
      <c r="J61" s="10"/>
      <c r="K61" s="12"/>
      <c r="L61" s="242">
        <v>27.57</v>
      </c>
      <c r="M61" s="181"/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0</v>
      </c>
      <c r="R61" s="27">
        <f t="shared" si="11"/>
        <v>0</v>
      </c>
      <c r="S61" s="28">
        <f t="shared" si="12"/>
        <v>0</v>
      </c>
    </row>
    <row r="62" spans="2:19" hidden="1">
      <c r="B62" s="558" t="s">
        <v>2469</v>
      </c>
      <c r="C62" s="14"/>
      <c r="D62" s="14"/>
      <c r="E62" s="14"/>
      <c r="F62" s="14"/>
      <c r="G62" s="8"/>
      <c r="H62" s="24">
        <f t="shared" si="6"/>
        <v>0</v>
      </c>
      <c r="I62" s="456">
        <f t="shared" si="15"/>
        <v>581.15</v>
      </c>
      <c r="J62" s="10"/>
      <c r="K62" s="12"/>
      <c r="L62" s="242">
        <v>581.15</v>
      </c>
      <c r="M62" s="181"/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0</v>
      </c>
      <c r="R62" s="27">
        <f t="shared" si="11"/>
        <v>0</v>
      </c>
      <c r="S62" s="28">
        <f t="shared" si="12"/>
        <v>0</v>
      </c>
    </row>
    <row r="63" spans="2:19" hidden="1">
      <c r="B63" s="558" t="s">
        <v>2470</v>
      </c>
      <c r="C63" s="14"/>
      <c r="D63" s="14"/>
      <c r="E63" s="14"/>
      <c r="F63" s="14"/>
      <c r="G63" s="8"/>
      <c r="H63" s="24">
        <f t="shared" si="6"/>
        <v>0</v>
      </c>
      <c r="I63" s="456">
        <f t="shared" si="15"/>
        <v>83.75</v>
      </c>
      <c r="J63" s="10"/>
      <c r="K63" s="12"/>
      <c r="L63" s="242">
        <v>83.75</v>
      </c>
      <c r="M63" s="181"/>
      <c r="N63" s="25">
        <f t="shared" si="7"/>
        <v>0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0</v>
      </c>
      <c r="S63" s="28">
        <f t="shared" si="12"/>
        <v>0</v>
      </c>
    </row>
    <row r="64" spans="2:19" hidden="1">
      <c r="B64" s="558" t="s">
        <v>2471</v>
      </c>
      <c r="C64" s="14"/>
      <c r="D64" s="14"/>
      <c r="E64" s="14"/>
      <c r="F64" s="14"/>
      <c r="G64" s="8"/>
      <c r="H64" s="24">
        <f t="shared" si="6"/>
        <v>0</v>
      </c>
      <c r="I64" s="456">
        <f t="shared" si="15"/>
        <v>170.68</v>
      </c>
      <c r="J64" s="10"/>
      <c r="K64" s="12"/>
      <c r="L64" s="242">
        <v>170.68</v>
      </c>
      <c r="M64" s="181"/>
      <c r="N64" s="25">
        <f t="shared" si="7"/>
        <v>0</v>
      </c>
      <c r="O64" s="25">
        <f t="shared" si="8"/>
        <v>0</v>
      </c>
      <c r="P64" s="25">
        <f t="shared" si="9"/>
        <v>0</v>
      </c>
      <c r="Q64" s="26">
        <f t="shared" si="10"/>
        <v>0</v>
      </c>
      <c r="R64" s="27">
        <f t="shared" si="11"/>
        <v>0</v>
      </c>
      <c r="S64" s="28">
        <f t="shared" si="12"/>
        <v>0</v>
      </c>
    </row>
    <row r="65" spans="2:19" hidden="1">
      <c r="B65" s="558" t="s">
        <v>2472</v>
      </c>
      <c r="C65" s="14"/>
      <c r="D65" s="14"/>
      <c r="E65" s="14"/>
      <c r="F65" s="14"/>
      <c r="G65" s="8"/>
      <c r="H65" s="24">
        <f t="shared" si="6"/>
        <v>0</v>
      </c>
      <c r="I65" s="456">
        <f t="shared" si="15"/>
        <v>34.51</v>
      </c>
      <c r="J65" s="10"/>
      <c r="K65" s="12"/>
      <c r="L65" s="242">
        <v>34.51</v>
      </c>
      <c r="M65" s="181"/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</row>
    <row r="66" spans="2:19" hidden="1">
      <c r="B66" s="558" t="s">
        <v>2473</v>
      </c>
      <c r="C66" s="14"/>
      <c r="D66" s="14"/>
      <c r="E66" s="14"/>
      <c r="F66" s="14"/>
      <c r="G66" s="8"/>
      <c r="H66" s="24">
        <f t="shared" si="6"/>
        <v>0</v>
      </c>
      <c r="I66" s="456">
        <f t="shared" si="15"/>
        <v>14.31</v>
      </c>
      <c r="J66" s="10"/>
      <c r="K66" s="12"/>
      <c r="L66" s="242">
        <v>14.31</v>
      </c>
      <c r="M66" s="181"/>
      <c r="N66" s="25">
        <f t="shared" si="7"/>
        <v>0</v>
      </c>
      <c r="O66" s="25">
        <f t="shared" si="8"/>
        <v>0</v>
      </c>
      <c r="P66" s="25">
        <f t="shared" si="9"/>
        <v>0</v>
      </c>
      <c r="Q66" s="26">
        <f t="shared" si="10"/>
        <v>0</v>
      </c>
      <c r="R66" s="27">
        <f t="shared" si="11"/>
        <v>0</v>
      </c>
      <c r="S66" s="28">
        <f t="shared" si="12"/>
        <v>0</v>
      </c>
    </row>
    <row r="67" spans="2:19" hidden="1">
      <c r="B67" s="558" t="s">
        <v>2474</v>
      </c>
      <c r="C67" s="14"/>
      <c r="D67" s="14"/>
      <c r="E67" s="14"/>
      <c r="F67" s="14"/>
      <c r="G67" s="8"/>
      <c r="H67" s="24">
        <f t="shared" si="6"/>
        <v>0</v>
      </c>
      <c r="I67" s="456">
        <f t="shared" si="15"/>
        <v>38.5</v>
      </c>
      <c r="J67" s="10"/>
      <c r="K67" s="12"/>
      <c r="L67" s="242">
        <v>38.5</v>
      </c>
      <c r="M67" s="181"/>
      <c r="N67" s="25">
        <f t="shared" si="7"/>
        <v>0</v>
      </c>
      <c r="O67" s="25">
        <f t="shared" si="8"/>
        <v>0</v>
      </c>
      <c r="P67" s="25">
        <f t="shared" si="9"/>
        <v>0</v>
      </c>
      <c r="Q67" s="26">
        <f t="shared" si="10"/>
        <v>0</v>
      </c>
      <c r="R67" s="27">
        <f t="shared" si="11"/>
        <v>0</v>
      </c>
      <c r="S67" s="28">
        <f t="shared" si="12"/>
        <v>0</v>
      </c>
    </row>
    <row r="68" spans="2:19" hidden="1">
      <c r="B68" s="558" t="s">
        <v>2475</v>
      </c>
      <c r="C68" s="14"/>
      <c r="D68" s="14"/>
      <c r="E68" s="14"/>
      <c r="F68" s="14"/>
      <c r="G68" s="8"/>
      <c r="H68" s="24">
        <f t="shared" si="6"/>
        <v>0</v>
      </c>
      <c r="I68" s="456">
        <f t="shared" si="15"/>
        <v>204.59</v>
      </c>
      <c r="J68" s="10"/>
      <c r="K68" s="12"/>
      <c r="L68" s="242">
        <v>204.59</v>
      </c>
      <c r="M68" s="181"/>
      <c r="N68" s="25">
        <f t="shared" si="7"/>
        <v>0</v>
      </c>
      <c r="O68" s="25">
        <f t="shared" si="8"/>
        <v>0</v>
      </c>
      <c r="P68" s="25">
        <f t="shared" si="9"/>
        <v>0</v>
      </c>
      <c r="Q68" s="26">
        <f t="shared" si="10"/>
        <v>0</v>
      </c>
      <c r="R68" s="27">
        <f t="shared" si="11"/>
        <v>0</v>
      </c>
      <c r="S68" s="28">
        <f t="shared" si="12"/>
        <v>0</v>
      </c>
    </row>
    <row r="69" spans="2:19">
      <c r="B69" s="558" t="s">
        <v>2476</v>
      </c>
      <c r="C69" s="14"/>
      <c r="D69" s="14"/>
      <c r="E69" s="14">
        <v>10</v>
      </c>
      <c r="F69" s="14"/>
      <c r="G69" s="8"/>
      <c r="H69" s="24">
        <f t="shared" si="6"/>
        <v>10</v>
      </c>
      <c r="I69" s="456">
        <f t="shared" si="15"/>
        <v>40.35</v>
      </c>
      <c r="J69" s="10"/>
      <c r="K69" s="12"/>
      <c r="L69" s="242">
        <v>40.35</v>
      </c>
      <c r="M69" s="181"/>
      <c r="N69" s="25">
        <f t="shared" si="7"/>
        <v>0</v>
      </c>
      <c r="O69" s="25">
        <f t="shared" si="8"/>
        <v>0</v>
      </c>
      <c r="P69" s="25">
        <f t="shared" si="9"/>
        <v>403.5</v>
      </c>
      <c r="Q69" s="26">
        <f t="shared" si="10"/>
        <v>0</v>
      </c>
      <c r="R69" s="27">
        <f t="shared" si="11"/>
        <v>0</v>
      </c>
      <c r="S69" s="28">
        <f t="shared" si="12"/>
        <v>403.5</v>
      </c>
    </row>
    <row r="70" spans="2:19" hidden="1">
      <c r="B70" s="558" t="s">
        <v>2477</v>
      </c>
      <c r="C70" s="14"/>
      <c r="D70" s="14"/>
      <c r="E70" s="14"/>
      <c r="F70" s="14"/>
      <c r="G70" s="8"/>
      <c r="H70" s="24">
        <f t="shared" si="6"/>
        <v>0</v>
      </c>
      <c r="I70" s="456">
        <f t="shared" si="15"/>
        <v>66.16</v>
      </c>
      <c r="J70" s="10"/>
      <c r="K70" s="12"/>
      <c r="L70" s="242">
        <v>66.16</v>
      </c>
      <c r="M70" s="181"/>
      <c r="N70" s="25">
        <f t="shared" si="7"/>
        <v>0</v>
      </c>
      <c r="O70" s="25">
        <f t="shared" si="8"/>
        <v>0</v>
      </c>
      <c r="P70" s="25">
        <f t="shared" si="9"/>
        <v>0</v>
      </c>
      <c r="Q70" s="26">
        <f t="shared" si="10"/>
        <v>0</v>
      </c>
      <c r="R70" s="27">
        <f t="shared" si="11"/>
        <v>0</v>
      </c>
      <c r="S70" s="28">
        <f t="shared" si="12"/>
        <v>0</v>
      </c>
    </row>
    <row r="71" spans="2:19" hidden="1">
      <c r="B71" s="558" t="s">
        <v>2478</v>
      </c>
      <c r="C71" s="14"/>
      <c r="D71" s="14"/>
      <c r="E71" s="14"/>
      <c r="F71" s="14"/>
      <c r="G71" s="8"/>
      <c r="H71" s="24">
        <f t="shared" si="6"/>
        <v>0</v>
      </c>
      <c r="I71" s="456">
        <f t="shared" si="15"/>
        <v>112.89</v>
      </c>
      <c r="J71" s="10"/>
      <c r="K71" s="12"/>
      <c r="L71" s="242">
        <v>112.89</v>
      </c>
      <c r="M71" s="181"/>
      <c r="N71" s="25">
        <f t="shared" ref="N71:N87" si="16">I71*C71</f>
        <v>0</v>
      </c>
      <c r="O71" s="25">
        <f t="shared" ref="O71:O87" si="17">I71*D71</f>
        <v>0</v>
      </c>
      <c r="P71" s="25">
        <f t="shared" ref="P71:P87" si="18">I71*E71</f>
        <v>0</v>
      </c>
      <c r="Q71" s="26">
        <f t="shared" ref="Q71:Q87" si="19">I71*F71</f>
        <v>0</v>
      </c>
      <c r="R71" s="27">
        <f t="shared" ref="R71:R87" si="20">I71*G71</f>
        <v>0</v>
      </c>
      <c r="S71" s="28">
        <f t="shared" ref="S71:S87" si="21">SUM(N71:R71)</f>
        <v>0</v>
      </c>
    </row>
    <row r="72" spans="2:19" hidden="1">
      <c r="B72" s="558" t="s">
        <v>2479</v>
      </c>
      <c r="C72" s="14"/>
      <c r="D72" s="14"/>
      <c r="E72" s="14"/>
      <c r="F72" s="14"/>
      <c r="G72" s="8"/>
      <c r="H72" s="24">
        <f t="shared" si="6"/>
        <v>0</v>
      </c>
      <c r="I72" s="456">
        <f t="shared" si="15"/>
        <v>83.08</v>
      </c>
      <c r="J72" s="10"/>
      <c r="K72" s="12"/>
      <c r="L72" s="242">
        <v>83.08</v>
      </c>
      <c r="M72" s="181"/>
      <c r="N72" s="25">
        <f t="shared" si="16"/>
        <v>0</v>
      </c>
      <c r="O72" s="25">
        <f t="shared" si="17"/>
        <v>0</v>
      </c>
      <c r="P72" s="25">
        <f t="shared" si="18"/>
        <v>0</v>
      </c>
      <c r="Q72" s="26">
        <f t="shared" si="19"/>
        <v>0</v>
      </c>
      <c r="R72" s="27">
        <f t="shared" si="20"/>
        <v>0</v>
      </c>
      <c r="S72" s="28">
        <f t="shared" si="21"/>
        <v>0</v>
      </c>
    </row>
    <row r="73" spans="2:19">
      <c r="B73" s="558" t="s">
        <v>2480</v>
      </c>
      <c r="C73" s="14"/>
      <c r="D73" s="14"/>
      <c r="E73" s="14">
        <v>132</v>
      </c>
      <c r="F73" s="14"/>
      <c r="G73" s="8"/>
      <c r="H73" s="24">
        <f t="shared" si="6"/>
        <v>132</v>
      </c>
      <c r="I73" s="456">
        <f t="shared" si="15"/>
        <v>31.71</v>
      </c>
      <c r="J73" s="10"/>
      <c r="K73" s="12"/>
      <c r="L73" s="242">
        <v>31.71</v>
      </c>
      <c r="M73" s="181"/>
      <c r="N73" s="25">
        <f t="shared" si="16"/>
        <v>0</v>
      </c>
      <c r="O73" s="25">
        <f t="shared" si="17"/>
        <v>0</v>
      </c>
      <c r="P73" s="25">
        <f t="shared" si="18"/>
        <v>4185.72</v>
      </c>
      <c r="Q73" s="26">
        <f t="shared" si="19"/>
        <v>0</v>
      </c>
      <c r="R73" s="27">
        <f t="shared" si="20"/>
        <v>0</v>
      </c>
      <c r="S73" s="28">
        <f t="shared" si="21"/>
        <v>4185.72</v>
      </c>
    </row>
    <row r="74" spans="2:19">
      <c r="B74" s="558" t="s">
        <v>2481</v>
      </c>
      <c r="C74" s="14"/>
      <c r="D74" s="14">
        <v>80</v>
      </c>
      <c r="E74" s="14"/>
      <c r="F74" s="14"/>
      <c r="G74" s="8"/>
      <c r="H74" s="24">
        <f t="shared" si="6"/>
        <v>80</v>
      </c>
      <c r="I74" s="456">
        <f t="shared" si="15"/>
        <v>13.28</v>
      </c>
      <c r="J74" s="10"/>
      <c r="K74" s="12"/>
      <c r="L74" s="242">
        <v>13.28</v>
      </c>
      <c r="M74" s="181"/>
      <c r="N74" s="25">
        <f t="shared" si="16"/>
        <v>0</v>
      </c>
      <c r="O74" s="25">
        <f t="shared" si="17"/>
        <v>1062.3999999999999</v>
      </c>
      <c r="P74" s="25">
        <f t="shared" si="18"/>
        <v>0</v>
      </c>
      <c r="Q74" s="26">
        <f t="shared" si="19"/>
        <v>0</v>
      </c>
      <c r="R74" s="27">
        <f t="shared" si="20"/>
        <v>0</v>
      </c>
      <c r="S74" s="28">
        <f t="shared" si="21"/>
        <v>1062.3999999999999</v>
      </c>
    </row>
    <row r="75" spans="2:19" hidden="1">
      <c r="B75" s="558" t="s">
        <v>2482</v>
      </c>
      <c r="C75" s="14"/>
      <c r="D75" s="14"/>
      <c r="E75" s="14"/>
      <c r="F75" s="14"/>
      <c r="G75" s="8"/>
      <c r="H75" s="24">
        <f t="shared" si="6"/>
        <v>0</v>
      </c>
      <c r="I75" s="456">
        <f t="shared" si="15"/>
        <v>960.62</v>
      </c>
      <c r="J75" s="10"/>
      <c r="K75" s="12"/>
      <c r="L75" s="242">
        <v>960.62</v>
      </c>
      <c r="M75" s="181"/>
      <c r="N75" s="25">
        <f t="shared" si="16"/>
        <v>0</v>
      </c>
      <c r="O75" s="25">
        <f t="shared" si="17"/>
        <v>0</v>
      </c>
      <c r="P75" s="25">
        <f t="shared" si="18"/>
        <v>0</v>
      </c>
      <c r="Q75" s="26">
        <f t="shared" si="19"/>
        <v>0</v>
      </c>
      <c r="R75" s="27">
        <f t="shared" si="20"/>
        <v>0</v>
      </c>
      <c r="S75" s="28">
        <f t="shared" si="21"/>
        <v>0</v>
      </c>
    </row>
    <row r="76" spans="2:19" hidden="1">
      <c r="B76" s="558" t="s">
        <v>2483</v>
      </c>
      <c r="C76" s="14"/>
      <c r="D76" s="14"/>
      <c r="E76" s="14"/>
      <c r="F76" s="14"/>
      <c r="G76" s="8"/>
      <c r="H76" s="24">
        <f t="shared" ref="H76:H82" si="22">SUM(C76:G76)</f>
        <v>0</v>
      </c>
      <c r="I76" s="456">
        <f t="shared" si="15"/>
        <v>249.91</v>
      </c>
      <c r="J76" s="10"/>
      <c r="K76" s="12"/>
      <c r="L76" s="242">
        <v>249.91</v>
      </c>
      <c r="M76" s="181"/>
      <c r="N76" s="25">
        <f t="shared" si="16"/>
        <v>0</v>
      </c>
      <c r="O76" s="25">
        <f t="shared" si="17"/>
        <v>0</v>
      </c>
      <c r="P76" s="25">
        <f t="shared" si="18"/>
        <v>0</v>
      </c>
      <c r="Q76" s="26">
        <f t="shared" si="19"/>
        <v>0</v>
      </c>
      <c r="R76" s="27">
        <f t="shared" si="20"/>
        <v>0</v>
      </c>
      <c r="S76" s="28">
        <f t="shared" si="21"/>
        <v>0</v>
      </c>
    </row>
    <row r="77" spans="2:19" hidden="1">
      <c r="B77" s="558" t="s">
        <v>2484</v>
      </c>
      <c r="C77" s="14"/>
      <c r="D77" s="14"/>
      <c r="E77" s="14"/>
      <c r="F77" s="14"/>
      <c r="G77" s="8"/>
      <c r="H77" s="24">
        <f t="shared" si="22"/>
        <v>0</v>
      </c>
      <c r="I77" s="456">
        <f t="shared" si="15"/>
        <v>586.99</v>
      </c>
      <c r="J77" s="10"/>
      <c r="K77" s="12"/>
      <c r="L77" s="242">
        <v>586.99</v>
      </c>
      <c r="M77" s="181"/>
      <c r="N77" s="25">
        <f t="shared" si="16"/>
        <v>0</v>
      </c>
      <c r="O77" s="25">
        <f t="shared" si="17"/>
        <v>0</v>
      </c>
      <c r="P77" s="25">
        <f t="shared" si="18"/>
        <v>0</v>
      </c>
      <c r="Q77" s="26">
        <f t="shared" si="19"/>
        <v>0</v>
      </c>
      <c r="R77" s="27">
        <f t="shared" si="20"/>
        <v>0</v>
      </c>
      <c r="S77" s="28">
        <f t="shared" si="21"/>
        <v>0</v>
      </c>
    </row>
    <row r="78" spans="2:19" hidden="1">
      <c r="B78" s="558" t="s">
        <v>2485</v>
      </c>
      <c r="C78" s="14"/>
      <c r="D78" s="14"/>
      <c r="E78" s="14"/>
      <c r="F78" s="14"/>
      <c r="G78" s="8"/>
      <c r="H78" s="24">
        <f t="shared" si="22"/>
        <v>0</v>
      </c>
      <c r="I78" s="456">
        <f t="shared" si="15"/>
        <v>26.68</v>
      </c>
      <c r="J78" s="10"/>
      <c r="K78" s="12"/>
      <c r="L78" s="242">
        <v>26.68</v>
      </c>
      <c r="M78" s="181"/>
      <c r="N78" s="25">
        <f t="shared" si="16"/>
        <v>0</v>
      </c>
      <c r="O78" s="25">
        <f t="shared" si="17"/>
        <v>0</v>
      </c>
      <c r="P78" s="25">
        <f t="shared" si="18"/>
        <v>0</v>
      </c>
      <c r="Q78" s="26">
        <f t="shared" si="19"/>
        <v>0</v>
      </c>
      <c r="R78" s="27">
        <f t="shared" si="20"/>
        <v>0</v>
      </c>
      <c r="S78" s="28">
        <f t="shared" si="21"/>
        <v>0</v>
      </c>
    </row>
    <row r="79" spans="2:19" hidden="1">
      <c r="B79" s="558" t="s">
        <v>2486</v>
      </c>
      <c r="C79" s="14"/>
      <c r="D79" s="14"/>
      <c r="E79" s="14"/>
      <c r="F79" s="14"/>
      <c r="G79" s="8"/>
      <c r="H79" s="24">
        <f t="shared" si="22"/>
        <v>0</v>
      </c>
      <c r="I79" s="456">
        <f t="shared" si="15"/>
        <v>94.7</v>
      </c>
      <c r="J79" s="10"/>
      <c r="K79" s="12"/>
      <c r="L79" s="242">
        <v>94.7</v>
      </c>
      <c r="M79" s="181"/>
      <c r="N79" s="25">
        <f t="shared" si="16"/>
        <v>0</v>
      </c>
      <c r="O79" s="25">
        <f t="shared" si="17"/>
        <v>0</v>
      </c>
      <c r="P79" s="25">
        <f t="shared" si="18"/>
        <v>0</v>
      </c>
      <c r="Q79" s="26">
        <f t="shared" si="19"/>
        <v>0</v>
      </c>
      <c r="R79" s="27">
        <f t="shared" si="20"/>
        <v>0</v>
      </c>
      <c r="S79" s="28">
        <f t="shared" si="21"/>
        <v>0</v>
      </c>
    </row>
    <row r="80" spans="2:19" hidden="1">
      <c r="B80" s="558" t="s">
        <v>2487</v>
      </c>
      <c r="C80" s="14"/>
      <c r="D80" s="14"/>
      <c r="E80" s="14"/>
      <c r="F80" s="14"/>
      <c r="G80" s="8"/>
      <c r="H80" s="24">
        <f t="shared" si="22"/>
        <v>0</v>
      </c>
      <c r="I80" s="456">
        <f t="shared" si="15"/>
        <v>25.05</v>
      </c>
      <c r="J80" s="10"/>
      <c r="K80" s="12"/>
      <c r="L80" s="242">
        <v>25.05</v>
      </c>
      <c r="M80" s="181"/>
      <c r="N80" s="25">
        <f t="shared" si="16"/>
        <v>0</v>
      </c>
      <c r="O80" s="25">
        <f t="shared" si="17"/>
        <v>0</v>
      </c>
      <c r="P80" s="25">
        <f t="shared" si="18"/>
        <v>0</v>
      </c>
      <c r="Q80" s="26">
        <f t="shared" si="19"/>
        <v>0</v>
      </c>
      <c r="R80" s="27">
        <f t="shared" si="20"/>
        <v>0</v>
      </c>
      <c r="S80" s="28">
        <f t="shared" si="21"/>
        <v>0</v>
      </c>
    </row>
    <row r="81" spans="2:19">
      <c r="B81" s="558" t="s">
        <v>2488</v>
      </c>
      <c r="C81" s="14"/>
      <c r="D81" s="14"/>
      <c r="E81" s="14">
        <v>2</v>
      </c>
      <c r="F81" s="14"/>
      <c r="G81" s="8"/>
      <c r="H81" s="24">
        <f t="shared" si="22"/>
        <v>2</v>
      </c>
      <c r="I81" s="456">
        <f t="shared" si="15"/>
        <v>83.72</v>
      </c>
      <c r="J81" s="10"/>
      <c r="K81" s="12"/>
      <c r="L81" s="242">
        <v>83.72</v>
      </c>
      <c r="M81" s="181"/>
      <c r="N81" s="25">
        <f t="shared" si="16"/>
        <v>0</v>
      </c>
      <c r="O81" s="25">
        <f t="shared" si="17"/>
        <v>0</v>
      </c>
      <c r="P81" s="25">
        <f t="shared" si="18"/>
        <v>167.44</v>
      </c>
      <c r="Q81" s="26">
        <f t="shared" si="19"/>
        <v>0</v>
      </c>
      <c r="R81" s="27">
        <f t="shared" si="20"/>
        <v>0</v>
      </c>
      <c r="S81" s="28">
        <f t="shared" si="21"/>
        <v>167.44</v>
      </c>
    </row>
    <row r="82" spans="2:19" hidden="1">
      <c r="B82" s="558" t="s">
        <v>2489</v>
      </c>
      <c r="C82" s="14"/>
      <c r="D82" s="14"/>
      <c r="E82" s="14"/>
      <c r="F82" s="14"/>
      <c r="G82" s="8"/>
      <c r="H82" s="24">
        <f t="shared" si="22"/>
        <v>0</v>
      </c>
      <c r="I82" s="456">
        <f t="shared" si="15"/>
        <v>25.71</v>
      </c>
      <c r="J82" s="10"/>
      <c r="K82" s="12"/>
      <c r="L82" s="242">
        <v>25.71</v>
      </c>
      <c r="M82" s="181"/>
      <c r="N82" s="25">
        <f t="shared" si="16"/>
        <v>0</v>
      </c>
      <c r="O82" s="25">
        <f t="shared" si="17"/>
        <v>0</v>
      </c>
      <c r="P82" s="25">
        <f t="shared" si="18"/>
        <v>0</v>
      </c>
      <c r="Q82" s="26">
        <f t="shared" si="19"/>
        <v>0</v>
      </c>
      <c r="R82" s="27">
        <f t="shared" si="20"/>
        <v>0</v>
      </c>
      <c r="S82" s="28">
        <f t="shared" si="21"/>
        <v>0</v>
      </c>
    </row>
    <row r="83" spans="2:19" hidden="1">
      <c r="B83" s="558" t="s">
        <v>2490</v>
      </c>
      <c r="C83" s="14"/>
      <c r="D83" s="14"/>
      <c r="E83" s="14"/>
      <c r="F83" s="14"/>
      <c r="G83" s="8"/>
      <c r="H83" s="24">
        <f t="shared" ref="H83:H86" si="23">SUM(C83:G83)</f>
        <v>0</v>
      </c>
      <c r="I83" s="456">
        <f t="shared" ref="I83:I96" si="24">L83-(L83*J83)</f>
        <v>85.78</v>
      </c>
      <c r="J83" s="10"/>
      <c r="K83" s="12"/>
      <c r="L83" s="242">
        <v>85.78</v>
      </c>
      <c r="M83" s="181"/>
      <c r="N83" s="25">
        <f t="shared" si="16"/>
        <v>0</v>
      </c>
      <c r="O83" s="25">
        <f t="shared" si="17"/>
        <v>0</v>
      </c>
      <c r="P83" s="25">
        <f t="shared" si="18"/>
        <v>0</v>
      </c>
      <c r="Q83" s="26">
        <f t="shared" si="19"/>
        <v>0</v>
      </c>
      <c r="R83" s="27">
        <f t="shared" si="20"/>
        <v>0</v>
      </c>
      <c r="S83" s="28">
        <f t="shared" si="21"/>
        <v>0</v>
      </c>
    </row>
    <row r="84" spans="2:19" hidden="1">
      <c r="B84" s="558" t="s">
        <v>2491</v>
      </c>
      <c r="C84" s="14"/>
      <c r="D84" s="14"/>
      <c r="E84" s="14"/>
      <c r="F84" s="14"/>
      <c r="G84" s="8"/>
      <c r="H84" s="24">
        <f t="shared" si="23"/>
        <v>0</v>
      </c>
      <c r="I84" s="456">
        <f t="shared" si="24"/>
        <v>108.98</v>
      </c>
      <c r="J84" s="10"/>
      <c r="K84" s="12"/>
      <c r="L84" s="242">
        <v>108.98</v>
      </c>
      <c r="M84" s="181"/>
      <c r="N84" s="25">
        <f t="shared" si="16"/>
        <v>0</v>
      </c>
      <c r="O84" s="25">
        <f t="shared" si="17"/>
        <v>0</v>
      </c>
      <c r="P84" s="25">
        <f t="shared" si="18"/>
        <v>0</v>
      </c>
      <c r="Q84" s="26">
        <f t="shared" si="19"/>
        <v>0</v>
      </c>
      <c r="R84" s="27">
        <f t="shared" si="20"/>
        <v>0</v>
      </c>
      <c r="S84" s="28">
        <f t="shared" si="21"/>
        <v>0</v>
      </c>
    </row>
    <row r="85" spans="2:19" hidden="1">
      <c r="B85" s="558" t="s">
        <v>2492</v>
      </c>
      <c r="C85" s="14"/>
      <c r="D85" s="14"/>
      <c r="E85" s="14"/>
      <c r="F85" s="14"/>
      <c r="G85" s="8"/>
      <c r="H85" s="24">
        <f t="shared" si="23"/>
        <v>0</v>
      </c>
      <c r="I85" s="456">
        <f t="shared" si="24"/>
        <v>77.680000000000007</v>
      </c>
      <c r="J85" s="10"/>
      <c r="K85" s="12"/>
      <c r="L85" s="242">
        <v>77.680000000000007</v>
      </c>
      <c r="M85" s="181"/>
      <c r="N85" s="25">
        <f t="shared" si="16"/>
        <v>0</v>
      </c>
      <c r="O85" s="25">
        <f t="shared" si="17"/>
        <v>0</v>
      </c>
      <c r="P85" s="25">
        <f t="shared" si="18"/>
        <v>0</v>
      </c>
      <c r="Q85" s="26">
        <f t="shared" si="19"/>
        <v>0</v>
      </c>
      <c r="R85" s="27">
        <f t="shared" si="20"/>
        <v>0</v>
      </c>
      <c r="S85" s="28">
        <f t="shared" si="21"/>
        <v>0</v>
      </c>
    </row>
    <row r="86" spans="2:19" hidden="1">
      <c r="B86" s="558" t="s">
        <v>2493</v>
      </c>
      <c r="C86" s="14"/>
      <c r="D86" s="14"/>
      <c r="E86" s="14"/>
      <c r="F86" s="14"/>
      <c r="G86" s="8"/>
      <c r="H86" s="24">
        <f t="shared" si="23"/>
        <v>0</v>
      </c>
      <c r="I86" s="456">
        <f t="shared" si="24"/>
        <v>103.8</v>
      </c>
      <c r="J86" s="10"/>
      <c r="K86" s="12"/>
      <c r="L86" s="242">
        <v>103.8</v>
      </c>
      <c r="M86" s="181"/>
      <c r="N86" s="25">
        <f t="shared" si="16"/>
        <v>0</v>
      </c>
      <c r="O86" s="25">
        <f t="shared" si="17"/>
        <v>0</v>
      </c>
      <c r="P86" s="25">
        <f t="shared" si="18"/>
        <v>0</v>
      </c>
      <c r="Q86" s="26">
        <f t="shared" si="19"/>
        <v>0</v>
      </c>
      <c r="R86" s="27">
        <f t="shared" si="20"/>
        <v>0</v>
      </c>
      <c r="S86" s="28">
        <f t="shared" si="21"/>
        <v>0</v>
      </c>
    </row>
    <row r="87" spans="2:19" hidden="1">
      <c r="B87" s="558" t="s">
        <v>2494</v>
      </c>
      <c r="C87" s="14"/>
      <c r="D87" s="14"/>
      <c r="E87" s="14"/>
      <c r="F87" s="14"/>
      <c r="G87" s="8"/>
      <c r="H87" s="24">
        <f t="shared" ref="H87:H96" si="25">SUM(C87:G87)</f>
        <v>0</v>
      </c>
      <c r="I87" s="456">
        <f t="shared" si="24"/>
        <v>423.76</v>
      </c>
      <c r="J87" s="10"/>
      <c r="K87" s="12"/>
      <c r="L87" s="242">
        <v>423.76</v>
      </c>
      <c r="M87" s="181"/>
      <c r="N87" s="25">
        <f t="shared" si="16"/>
        <v>0</v>
      </c>
      <c r="O87" s="25">
        <f t="shared" si="17"/>
        <v>0</v>
      </c>
      <c r="P87" s="25">
        <f t="shared" si="18"/>
        <v>0</v>
      </c>
      <c r="Q87" s="26">
        <f t="shared" si="19"/>
        <v>0</v>
      </c>
      <c r="R87" s="27">
        <f t="shared" si="20"/>
        <v>0</v>
      </c>
      <c r="S87" s="28">
        <f t="shared" si="21"/>
        <v>0</v>
      </c>
    </row>
    <row r="88" spans="2:19" hidden="1">
      <c r="B88" s="558" t="s">
        <v>2495</v>
      </c>
      <c r="C88" s="14"/>
      <c r="D88" s="14"/>
      <c r="E88" s="14"/>
      <c r="F88" s="14"/>
      <c r="G88" s="8"/>
      <c r="H88" s="24">
        <f t="shared" si="25"/>
        <v>0</v>
      </c>
      <c r="I88" s="456">
        <f t="shared" si="24"/>
        <v>180.88</v>
      </c>
      <c r="J88" s="10"/>
      <c r="K88" s="12"/>
      <c r="L88" s="242">
        <v>180.88</v>
      </c>
      <c r="M88" s="181"/>
      <c r="N88" s="25">
        <f t="shared" ref="N88:N96" si="26">I88*C88</f>
        <v>0</v>
      </c>
      <c r="O88" s="25">
        <f t="shared" ref="O88:O96" si="27">I88*D88</f>
        <v>0</v>
      </c>
      <c r="P88" s="25">
        <f t="shared" ref="P88:P96" si="28">I88*E88</f>
        <v>0</v>
      </c>
      <c r="Q88" s="26">
        <f t="shared" ref="Q88:Q96" si="29">I88*F88</f>
        <v>0</v>
      </c>
      <c r="R88" s="27">
        <f t="shared" ref="R88:R96" si="30">I88*G88</f>
        <v>0</v>
      </c>
      <c r="S88" s="28">
        <f t="shared" ref="S88:S96" si="31">SUM(N88:R88)</f>
        <v>0</v>
      </c>
    </row>
    <row r="89" spans="2:19" hidden="1">
      <c r="B89" s="558" t="s">
        <v>2496</v>
      </c>
      <c r="C89" s="14"/>
      <c r="D89" s="14"/>
      <c r="E89" s="14"/>
      <c r="F89" s="14"/>
      <c r="G89" s="8"/>
      <c r="H89" s="24">
        <f t="shared" si="25"/>
        <v>0</v>
      </c>
      <c r="I89" s="456">
        <f t="shared" si="24"/>
        <v>41.94</v>
      </c>
      <c r="J89" s="10"/>
      <c r="K89" s="12"/>
      <c r="L89" s="242">
        <v>41.94</v>
      </c>
      <c r="M89" s="181"/>
      <c r="N89" s="25">
        <f t="shared" si="26"/>
        <v>0</v>
      </c>
      <c r="O89" s="25">
        <f t="shared" si="27"/>
        <v>0</v>
      </c>
      <c r="P89" s="25">
        <f t="shared" si="28"/>
        <v>0</v>
      </c>
      <c r="Q89" s="26">
        <f t="shared" si="29"/>
        <v>0</v>
      </c>
      <c r="R89" s="27">
        <f t="shared" si="30"/>
        <v>0</v>
      </c>
      <c r="S89" s="28">
        <f t="shared" si="31"/>
        <v>0</v>
      </c>
    </row>
    <row r="90" spans="2:19" hidden="1">
      <c r="B90" s="558" t="s">
        <v>2497</v>
      </c>
      <c r="C90" s="14"/>
      <c r="D90" s="14"/>
      <c r="E90" s="14"/>
      <c r="F90" s="14"/>
      <c r="G90" s="8"/>
      <c r="H90" s="24">
        <f t="shared" si="25"/>
        <v>0</v>
      </c>
      <c r="I90" s="456">
        <f t="shared" si="24"/>
        <v>117.33</v>
      </c>
      <c r="J90" s="10"/>
      <c r="K90" s="12"/>
      <c r="L90" s="242">
        <v>117.33</v>
      </c>
      <c r="M90" s="181"/>
      <c r="N90" s="25">
        <f t="shared" si="26"/>
        <v>0</v>
      </c>
      <c r="O90" s="25">
        <f t="shared" si="27"/>
        <v>0</v>
      </c>
      <c r="P90" s="25">
        <f t="shared" si="28"/>
        <v>0</v>
      </c>
      <c r="Q90" s="26">
        <f t="shared" si="29"/>
        <v>0</v>
      </c>
      <c r="R90" s="27">
        <f t="shared" si="30"/>
        <v>0</v>
      </c>
      <c r="S90" s="28">
        <f t="shared" si="31"/>
        <v>0</v>
      </c>
    </row>
    <row r="91" spans="2:19" hidden="1">
      <c r="B91" s="558" t="s">
        <v>2498</v>
      </c>
      <c r="C91" s="14"/>
      <c r="D91" s="14"/>
      <c r="E91" s="14"/>
      <c r="F91" s="14"/>
      <c r="G91" s="8"/>
      <c r="H91" s="24">
        <f t="shared" si="25"/>
        <v>0</v>
      </c>
      <c r="I91" s="456">
        <f t="shared" si="24"/>
        <v>25.84</v>
      </c>
      <c r="J91" s="10"/>
      <c r="K91" s="12"/>
      <c r="L91" s="242">
        <v>25.84</v>
      </c>
      <c r="M91" s="181"/>
      <c r="N91" s="25">
        <f t="shared" si="26"/>
        <v>0</v>
      </c>
      <c r="O91" s="25">
        <f t="shared" si="27"/>
        <v>0</v>
      </c>
      <c r="P91" s="25">
        <f t="shared" si="28"/>
        <v>0</v>
      </c>
      <c r="Q91" s="26">
        <f t="shared" si="29"/>
        <v>0</v>
      </c>
      <c r="R91" s="27">
        <f t="shared" si="30"/>
        <v>0</v>
      </c>
      <c r="S91" s="28">
        <f t="shared" si="31"/>
        <v>0</v>
      </c>
    </row>
    <row r="92" spans="2:19" hidden="1">
      <c r="B92" s="558" t="s">
        <v>2499</v>
      </c>
      <c r="C92" s="14"/>
      <c r="D92" s="14"/>
      <c r="E92" s="14"/>
      <c r="F92" s="14"/>
      <c r="G92" s="8"/>
      <c r="H92" s="24">
        <f t="shared" si="25"/>
        <v>0</v>
      </c>
      <c r="I92" s="456">
        <f t="shared" si="24"/>
        <v>103.86</v>
      </c>
      <c r="J92" s="10"/>
      <c r="K92" s="12"/>
      <c r="L92" s="242">
        <v>103.86</v>
      </c>
      <c r="M92" s="181"/>
      <c r="N92" s="25">
        <f t="shared" si="26"/>
        <v>0</v>
      </c>
      <c r="O92" s="25">
        <f t="shared" si="27"/>
        <v>0</v>
      </c>
      <c r="P92" s="25">
        <f t="shared" si="28"/>
        <v>0</v>
      </c>
      <c r="Q92" s="26">
        <f t="shared" si="29"/>
        <v>0</v>
      </c>
      <c r="R92" s="27">
        <f t="shared" si="30"/>
        <v>0</v>
      </c>
      <c r="S92" s="28">
        <f t="shared" si="31"/>
        <v>0</v>
      </c>
    </row>
    <row r="93" spans="2:19" hidden="1">
      <c r="B93" s="558" t="s">
        <v>2500</v>
      </c>
      <c r="C93" s="14"/>
      <c r="D93" s="14"/>
      <c r="E93" s="14"/>
      <c r="F93" s="14"/>
      <c r="G93" s="8"/>
      <c r="H93" s="24">
        <f t="shared" si="25"/>
        <v>0</v>
      </c>
      <c r="I93" s="456">
        <f t="shared" si="24"/>
        <v>7.18</v>
      </c>
      <c r="J93" s="10"/>
      <c r="K93" s="12"/>
      <c r="L93" s="242">
        <v>7.18</v>
      </c>
      <c r="M93" s="181"/>
      <c r="N93" s="25">
        <f t="shared" si="26"/>
        <v>0</v>
      </c>
      <c r="O93" s="25">
        <f t="shared" si="27"/>
        <v>0</v>
      </c>
      <c r="P93" s="25">
        <f t="shared" si="28"/>
        <v>0</v>
      </c>
      <c r="Q93" s="26">
        <f t="shared" si="29"/>
        <v>0</v>
      </c>
      <c r="R93" s="27">
        <f t="shared" si="30"/>
        <v>0</v>
      </c>
      <c r="S93" s="28">
        <f t="shared" si="31"/>
        <v>0</v>
      </c>
    </row>
    <row r="94" spans="2:19" hidden="1">
      <c r="B94" s="558" t="s">
        <v>2501</v>
      </c>
      <c r="C94" s="14"/>
      <c r="D94" s="14"/>
      <c r="E94" s="14"/>
      <c r="F94" s="14"/>
      <c r="G94" s="8"/>
      <c r="H94" s="24">
        <f t="shared" si="25"/>
        <v>0</v>
      </c>
      <c r="I94" s="456">
        <f t="shared" si="24"/>
        <v>7.31</v>
      </c>
      <c r="J94" s="10"/>
      <c r="K94" s="12"/>
      <c r="L94" s="242">
        <v>7.31</v>
      </c>
      <c r="M94" s="181"/>
      <c r="N94" s="25">
        <f t="shared" si="26"/>
        <v>0</v>
      </c>
      <c r="O94" s="25">
        <f t="shared" si="27"/>
        <v>0</v>
      </c>
      <c r="P94" s="25">
        <f t="shared" si="28"/>
        <v>0</v>
      </c>
      <c r="Q94" s="26">
        <f t="shared" si="29"/>
        <v>0</v>
      </c>
      <c r="R94" s="27">
        <f t="shared" si="30"/>
        <v>0</v>
      </c>
      <c r="S94" s="28">
        <f t="shared" si="31"/>
        <v>0</v>
      </c>
    </row>
    <row r="95" spans="2:19" hidden="1">
      <c r="B95" s="558" t="s">
        <v>2502</v>
      </c>
      <c r="C95" s="14"/>
      <c r="D95" s="14"/>
      <c r="E95" s="14"/>
      <c r="F95" s="14"/>
      <c r="G95" s="8"/>
      <c r="H95" s="24">
        <f t="shared" si="25"/>
        <v>0</v>
      </c>
      <c r="I95" s="456">
        <f t="shared" si="24"/>
        <v>158.97999999999999</v>
      </c>
      <c r="J95" s="10"/>
      <c r="K95" s="12"/>
      <c r="L95" s="242">
        <v>158.97999999999999</v>
      </c>
      <c r="M95" s="181"/>
      <c r="N95" s="25">
        <f t="shared" si="26"/>
        <v>0</v>
      </c>
      <c r="O95" s="25">
        <f t="shared" si="27"/>
        <v>0</v>
      </c>
      <c r="P95" s="25">
        <f t="shared" si="28"/>
        <v>0</v>
      </c>
      <c r="Q95" s="26">
        <f t="shared" si="29"/>
        <v>0</v>
      </c>
      <c r="R95" s="27">
        <f t="shared" si="30"/>
        <v>0</v>
      </c>
      <c r="S95" s="28">
        <f t="shared" si="31"/>
        <v>0</v>
      </c>
    </row>
    <row r="96" spans="2:19" hidden="1">
      <c r="B96" s="558" t="s">
        <v>2503</v>
      </c>
      <c r="C96" s="14"/>
      <c r="D96" s="14"/>
      <c r="E96" s="14"/>
      <c r="F96" s="14"/>
      <c r="G96" s="8"/>
      <c r="H96" s="24">
        <f t="shared" si="25"/>
        <v>0</v>
      </c>
      <c r="I96" s="456">
        <f t="shared" si="24"/>
        <v>602.44000000000005</v>
      </c>
      <c r="J96" s="10"/>
      <c r="K96" s="12"/>
      <c r="L96" s="242">
        <v>602.44000000000005</v>
      </c>
      <c r="M96" s="181"/>
      <c r="N96" s="25">
        <f t="shared" si="26"/>
        <v>0</v>
      </c>
      <c r="O96" s="25">
        <f t="shared" si="27"/>
        <v>0</v>
      </c>
      <c r="P96" s="25">
        <f t="shared" si="28"/>
        <v>0</v>
      </c>
      <c r="Q96" s="26">
        <f t="shared" si="29"/>
        <v>0</v>
      </c>
      <c r="R96" s="27">
        <f t="shared" si="30"/>
        <v>0</v>
      </c>
      <c r="S96" s="28">
        <f t="shared" si="31"/>
        <v>0</v>
      </c>
    </row>
    <row r="97" spans="2:19">
      <c r="B97" s="58" t="s">
        <v>13</v>
      </c>
      <c r="C97" s="544">
        <v>0</v>
      </c>
      <c r="D97" s="544">
        <v>7028.6799999999994</v>
      </c>
      <c r="E97" s="544">
        <f>P98</f>
        <v>13695.76</v>
      </c>
      <c r="F97" s="544">
        <v>0</v>
      </c>
      <c r="G97" s="544">
        <f>R98</f>
        <v>0</v>
      </c>
      <c r="H97" s="544">
        <f>S98</f>
        <v>20724.439999999999</v>
      </c>
      <c r="N97" s="25"/>
      <c r="O97" s="25"/>
      <c r="P97" s="25"/>
      <c r="Q97" s="26"/>
      <c r="R97" s="27"/>
      <c r="S97" s="28"/>
    </row>
    <row r="98" spans="2:19" ht="16.5" customHeight="1">
      <c r="B98" s="59"/>
      <c r="N98" s="29">
        <f t="shared" ref="N98:S98" si="32">SUM(N6:N97)</f>
        <v>0</v>
      </c>
      <c r="O98" s="29">
        <f t="shared" si="32"/>
        <v>7028.6799999999994</v>
      </c>
      <c r="P98" s="29">
        <f t="shared" si="32"/>
        <v>13695.76</v>
      </c>
      <c r="Q98" s="29">
        <f t="shared" si="32"/>
        <v>0</v>
      </c>
      <c r="R98" s="29">
        <f t="shared" si="32"/>
        <v>0</v>
      </c>
      <c r="S98" s="29">
        <f t="shared" si="32"/>
        <v>20724.439999999999</v>
      </c>
    </row>
    <row r="99" spans="2:19">
      <c r="B99" s="574" t="s">
        <v>2524</v>
      </c>
      <c r="E99" s="15">
        <v>12</v>
      </c>
    </row>
    <row r="100" spans="2:19">
      <c r="G100" s="5" t="str">
        <f t="shared" ref="G100:G102" si="33">IF(B100&lt;&gt;"",SUM(C100:F100),"")</f>
        <v/>
      </c>
    </row>
    <row r="101" spans="2:19">
      <c r="G101" s="5" t="str">
        <f t="shared" si="33"/>
        <v/>
      </c>
    </row>
    <row r="102" spans="2:19">
      <c r="G102" s="5" t="str">
        <f t="shared" si="33"/>
        <v/>
      </c>
    </row>
    <row r="103" spans="2:19">
      <c r="G103" s="5" t="str">
        <f t="shared" ref="G103:G132" si="34">IF(B103&lt;&gt;"",SUM(C103:F103),"")</f>
        <v/>
      </c>
    </row>
    <row r="104" spans="2:19">
      <c r="G104" s="5" t="str">
        <f t="shared" si="34"/>
        <v/>
      </c>
    </row>
    <row r="105" spans="2:19">
      <c r="G105" s="5" t="str">
        <f t="shared" si="34"/>
        <v/>
      </c>
    </row>
    <row r="106" spans="2:19">
      <c r="G106" s="5" t="str">
        <f t="shared" si="34"/>
        <v/>
      </c>
    </row>
    <row r="107" spans="2:19">
      <c r="G107" s="5" t="str">
        <f t="shared" si="34"/>
        <v/>
      </c>
    </row>
    <row r="108" spans="2:19">
      <c r="G108" s="5" t="str">
        <f t="shared" si="34"/>
        <v/>
      </c>
    </row>
    <row r="109" spans="2:19">
      <c r="G109" s="5" t="str">
        <f t="shared" si="34"/>
        <v/>
      </c>
    </row>
    <row r="110" spans="2:19">
      <c r="G110" s="5" t="str">
        <f t="shared" si="34"/>
        <v/>
      </c>
    </row>
    <row r="111" spans="2:19">
      <c r="G111" s="5" t="str">
        <f t="shared" si="34"/>
        <v/>
      </c>
    </row>
    <row r="112" spans="2:19">
      <c r="G112" s="5" t="str">
        <f t="shared" si="34"/>
        <v/>
      </c>
    </row>
    <row r="113" spans="7:7">
      <c r="G113" s="5" t="str">
        <f t="shared" si="34"/>
        <v/>
      </c>
    </row>
    <row r="114" spans="7:7">
      <c r="G114" s="5" t="str">
        <f t="shared" si="34"/>
        <v/>
      </c>
    </row>
    <row r="115" spans="7:7">
      <c r="G115" s="5" t="str">
        <f t="shared" si="34"/>
        <v/>
      </c>
    </row>
    <row r="116" spans="7:7">
      <c r="G116" s="5" t="str">
        <f t="shared" si="34"/>
        <v/>
      </c>
    </row>
    <row r="117" spans="7:7">
      <c r="G117" s="5" t="str">
        <f t="shared" si="34"/>
        <v/>
      </c>
    </row>
    <row r="118" spans="7:7">
      <c r="G118" s="5" t="str">
        <f t="shared" si="34"/>
        <v/>
      </c>
    </row>
    <row r="119" spans="7:7">
      <c r="G119" s="5" t="str">
        <f t="shared" si="34"/>
        <v/>
      </c>
    </row>
    <row r="120" spans="7:7">
      <c r="G120" s="5" t="str">
        <f t="shared" si="34"/>
        <v/>
      </c>
    </row>
    <row r="121" spans="7:7">
      <c r="G121" s="5" t="str">
        <f t="shared" si="34"/>
        <v/>
      </c>
    </row>
    <row r="122" spans="7:7">
      <c r="G122" s="5" t="str">
        <f t="shared" si="34"/>
        <v/>
      </c>
    </row>
    <row r="123" spans="7:7">
      <c r="G123" s="5" t="str">
        <f t="shared" si="34"/>
        <v/>
      </c>
    </row>
    <row r="124" spans="7:7">
      <c r="G124" s="5" t="str">
        <f t="shared" si="34"/>
        <v/>
      </c>
    </row>
    <row r="125" spans="7:7">
      <c r="G125" s="5" t="str">
        <f t="shared" si="34"/>
        <v/>
      </c>
    </row>
    <row r="126" spans="7:7">
      <c r="G126" s="5" t="str">
        <f t="shared" si="34"/>
        <v/>
      </c>
    </row>
    <row r="127" spans="7:7">
      <c r="G127" s="5" t="str">
        <f t="shared" si="34"/>
        <v/>
      </c>
    </row>
    <row r="128" spans="7:7">
      <c r="G128" s="5" t="str">
        <f t="shared" si="34"/>
        <v/>
      </c>
    </row>
    <row r="129" spans="7:7">
      <c r="G129" s="5" t="str">
        <f t="shared" si="34"/>
        <v/>
      </c>
    </row>
    <row r="130" spans="7:7">
      <c r="G130" s="5" t="str">
        <f t="shared" si="34"/>
        <v/>
      </c>
    </row>
    <row r="131" spans="7:7">
      <c r="G131" s="5" t="str">
        <f t="shared" si="34"/>
        <v/>
      </c>
    </row>
    <row r="132" spans="7:7">
      <c r="G132" s="5" t="str">
        <f t="shared" si="34"/>
        <v/>
      </c>
    </row>
    <row r="133" spans="7:7">
      <c r="G133" s="5" t="str">
        <f t="shared" ref="G133:G196" si="35">IF(B133&lt;&gt;"",SUM(C133:F133),"")</f>
        <v/>
      </c>
    </row>
    <row r="134" spans="7:7">
      <c r="G134" s="5" t="str">
        <f t="shared" si="35"/>
        <v/>
      </c>
    </row>
    <row r="135" spans="7:7">
      <c r="G135" s="5" t="str">
        <f t="shared" si="35"/>
        <v/>
      </c>
    </row>
    <row r="136" spans="7:7">
      <c r="G136" s="5" t="str">
        <f t="shared" si="35"/>
        <v/>
      </c>
    </row>
    <row r="137" spans="7:7">
      <c r="G137" s="5" t="str">
        <f t="shared" si="35"/>
        <v/>
      </c>
    </row>
    <row r="138" spans="7:7">
      <c r="G138" s="5" t="str">
        <f t="shared" si="35"/>
        <v/>
      </c>
    </row>
    <row r="139" spans="7:7">
      <c r="G139" s="5" t="str">
        <f t="shared" si="35"/>
        <v/>
      </c>
    </row>
    <row r="140" spans="7:7">
      <c r="G140" s="5" t="str">
        <f t="shared" si="35"/>
        <v/>
      </c>
    </row>
    <row r="141" spans="7:7">
      <c r="G141" s="5" t="str">
        <f t="shared" si="35"/>
        <v/>
      </c>
    </row>
    <row r="142" spans="7:7">
      <c r="G142" s="5" t="str">
        <f t="shared" si="35"/>
        <v/>
      </c>
    </row>
    <row r="143" spans="7:7">
      <c r="G143" s="5" t="str">
        <f t="shared" si="35"/>
        <v/>
      </c>
    </row>
    <row r="144" spans="7:7">
      <c r="G144" s="5" t="str">
        <f t="shared" si="35"/>
        <v/>
      </c>
    </row>
    <row r="145" spans="7:7">
      <c r="G145" s="5" t="str">
        <f t="shared" si="35"/>
        <v/>
      </c>
    </row>
    <row r="146" spans="7:7">
      <c r="G146" s="5" t="str">
        <f t="shared" si="35"/>
        <v/>
      </c>
    </row>
    <row r="147" spans="7:7">
      <c r="G147" s="5" t="str">
        <f t="shared" si="35"/>
        <v/>
      </c>
    </row>
    <row r="148" spans="7:7">
      <c r="G148" s="5" t="str">
        <f t="shared" si="35"/>
        <v/>
      </c>
    </row>
    <row r="149" spans="7:7">
      <c r="G149" s="5" t="str">
        <f t="shared" si="35"/>
        <v/>
      </c>
    </row>
    <row r="150" spans="7:7">
      <c r="G150" s="5" t="str">
        <f t="shared" si="35"/>
        <v/>
      </c>
    </row>
    <row r="151" spans="7:7">
      <c r="G151" s="5" t="str">
        <f t="shared" si="35"/>
        <v/>
      </c>
    </row>
    <row r="152" spans="7:7">
      <c r="G152" s="5" t="str">
        <f t="shared" si="35"/>
        <v/>
      </c>
    </row>
    <row r="153" spans="7:7">
      <c r="G153" s="5" t="str">
        <f t="shared" si="35"/>
        <v/>
      </c>
    </row>
    <row r="154" spans="7:7">
      <c r="G154" s="5" t="str">
        <f t="shared" si="35"/>
        <v/>
      </c>
    </row>
    <row r="155" spans="7:7">
      <c r="G155" s="5" t="str">
        <f t="shared" si="35"/>
        <v/>
      </c>
    </row>
    <row r="156" spans="7:7">
      <c r="G156" s="5" t="str">
        <f t="shared" si="35"/>
        <v/>
      </c>
    </row>
    <row r="157" spans="7:7">
      <c r="G157" s="5" t="str">
        <f t="shared" si="35"/>
        <v/>
      </c>
    </row>
    <row r="158" spans="7:7">
      <c r="G158" s="5" t="str">
        <f t="shared" si="35"/>
        <v/>
      </c>
    </row>
    <row r="159" spans="7:7">
      <c r="G159" s="5" t="str">
        <f t="shared" si="35"/>
        <v/>
      </c>
    </row>
    <row r="160" spans="7:7">
      <c r="G160" s="5" t="str">
        <f t="shared" si="35"/>
        <v/>
      </c>
    </row>
    <row r="161" spans="7:7">
      <c r="G161" s="5" t="str">
        <f t="shared" si="35"/>
        <v/>
      </c>
    </row>
    <row r="162" spans="7:7">
      <c r="G162" s="5" t="str">
        <f t="shared" si="35"/>
        <v/>
      </c>
    </row>
    <row r="163" spans="7:7">
      <c r="G163" s="5" t="str">
        <f t="shared" si="35"/>
        <v/>
      </c>
    </row>
    <row r="164" spans="7:7">
      <c r="G164" s="5" t="str">
        <f t="shared" si="35"/>
        <v/>
      </c>
    </row>
    <row r="165" spans="7:7">
      <c r="G165" s="5" t="str">
        <f t="shared" si="35"/>
        <v/>
      </c>
    </row>
    <row r="166" spans="7:7">
      <c r="G166" s="5" t="str">
        <f t="shared" si="35"/>
        <v/>
      </c>
    </row>
    <row r="167" spans="7:7">
      <c r="G167" s="5" t="str">
        <f t="shared" si="35"/>
        <v/>
      </c>
    </row>
    <row r="168" spans="7:7">
      <c r="G168" s="5" t="str">
        <f t="shared" si="35"/>
        <v/>
      </c>
    </row>
    <row r="169" spans="7:7">
      <c r="G169" s="5" t="str">
        <f t="shared" si="35"/>
        <v/>
      </c>
    </row>
    <row r="170" spans="7:7">
      <c r="G170" s="5" t="str">
        <f t="shared" si="35"/>
        <v/>
      </c>
    </row>
    <row r="171" spans="7:7">
      <c r="G171" s="5" t="str">
        <f t="shared" si="35"/>
        <v/>
      </c>
    </row>
    <row r="172" spans="7:7">
      <c r="G172" s="5" t="str">
        <f t="shared" si="35"/>
        <v/>
      </c>
    </row>
    <row r="173" spans="7:7">
      <c r="G173" s="5" t="str">
        <f t="shared" si="35"/>
        <v/>
      </c>
    </row>
    <row r="174" spans="7:7">
      <c r="G174" s="5" t="str">
        <f t="shared" si="35"/>
        <v/>
      </c>
    </row>
    <row r="175" spans="7:7">
      <c r="G175" s="5" t="str">
        <f t="shared" si="35"/>
        <v/>
      </c>
    </row>
    <row r="176" spans="7:7">
      <c r="G176" s="5" t="str">
        <f t="shared" si="35"/>
        <v/>
      </c>
    </row>
    <row r="177" spans="7:7">
      <c r="G177" s="5" t="str">
        <f t="shared" si="35"/>
        <v/>
      </c>
    </row>
    <row r="178" spans="7:7">
      <c r="G178" s="5" t="str">
        <f t="shared" si="35"/>
        <v/>
      </c>
    </row>
    <row r="179" spans="7:7">
      <c r="G179" s="5" t="str">
        <f t="shared" si="35"/>
        <v/>
      </c>
    </row>
    <row r="180" spans="7:7">
      <c r="G180" s="5" t="str">
        <f t="shared" si="35"/>
        <v/>
      </c>
    </row>
    <row r="181" spans="7:7">
      <c r="G181" s="5" t="str">
        <f t="shared" si="35"/>
        <v/>
      </c>
    </row>
    <row r="182" spans="7:7">
      <c r="G182" s="5" t="str">
        <f t="shared" si="35"/>
        <v/>
      </c>
    </row>
    <row r="183" spans="7:7">
      <c r="G183" s="5" t="str">
        <f t="shared" si="35"/>
        <v/>
      </c>
    </row>
    <row r="184" spans="7:7">
      <c r="G184" s="5" t="str">
        <f t="shared" si="35"/>
        <v/>
      </c>
    </row>
    <row r="185" spans="7:7">
      <c r="G185" s="5" t="str">
        <f t="shared" si="35"/>
        <v/>
      </c>
    </row>
    <row r="186" spans="7:7">
      <c r="G186" s="5" t="str">
        <f t="shared" si="35"/>
        <v/>
      </c>
    </row>
    <row r="187" spans="7:7">
      <c r="G187" s="5" t="str">
        <f t="shared" si="35"/>
        <v/>
      </c>
    </row>
    <row r="188" spans="7:7">
      <c r="G188" s="5" t="str">
        <f t="shared" si="35"/>
        <v/>
      </c>
    </row>
    <row r="189" spans="7:7">
      <c r="G189" s="5" t="str">
        <f t="shared" si="35"/>
        <v/>
      </c>
    </row>
    <row r="190" spans="7:7">
      <c r="G190" s="5" t="str">
        <f t="shared" si="35"/>
        <v/>
      </c>
    </row>
    <row r="191" spans="7:7">
      <c r="G191" s="5" t="str">
        <f t="shared" si="35"/>
        <v/>
      </c>
    </row>
    <row r="192" spans="7:7">
      <c r="G192" s="5" t="str">
        <f t="shared" si="35"/>
        <v/>
      </c>
    </row>
    <row r="193" spans="7:7">
      <c r="G193" s="5" t="str">
        <f t="shared" si="35"/>
        <v/>
      </c>
    </row>
    <row r="194" spans="7:7">
      <c r="G194" s="5" t="str">
        <f t="shared" si="35"/>
        <v/>
      </c>
    </row>
    <row r="195" spans="7:7">
      <c r="G195" s="5" t="str">
        <f t="shared" si="35"/>
        <v/>
      </c>
    </row>
    <row r="196" spans="7:7">
      <c r="G196" s="5" t="str">
        <f t="shared" si="35"/>
        <v/>
      </c>
    </row>
    <row r="197" spans="7:7">
      <c r="G197" s="5" t="str">
        <f t="shared" ref="G197:G260" si="36">IF(B197&lt;&gt;"",SUM(C197:F197),"")</f>
        <v/>
      </c>
    </row>
    <row r="198" spans="7:7">
      <c r="G198" s="5" t="str">
        <f t="shared" si="36"/>
        <v/>
      </c>
    </row>
    <row r="199" spans="7:7">
      <c r="G199" s="5" t="str">
        <f t="shared" si="36"/>
        <v/>
      </c>
    </row>
    <row r="200" spans="7:7">
      <c r="G200" s="5" t="str">
        <f t="shared" si="36"/>
        <v/>
      </c>
    </row>
    <row r="201" spans="7:7">
      <c r="G201" s="5" t="str">
        <f t="shared" si="36"/>
        <v/>
      </c>
    </row>
    <row r="202" spans="7:7">
      <c r="G202" s="5" t="str">
        <f t="shared" si="36"/>
        <v/>
      </c>
    </row>
    <row r="203" spans="7:7">
      <c r="G203" s="5" t="str">
        <f t="shared" si="36"/>
        <v/>
      </c>
    </row>
    <row r="204" spans="7:7">
      <c r="G204" s="5" t="str">
        <f t="shared" si="36"/>
        <v/>
      </c>
    </row>
    <row r="205" spans="7:7">
      <c r="G205" s="5" t="str">
        <f t="shared" si="36"/>
        <v/>
      </c>
    </row>
    <row r="206" spans="7:7">
      <c r="G206" s="5" t="str">
        <f t="shared" si="36"/>
        <v/>
      </c>
    </row>
    <row r="207" spans="7:7">
      <c r="G207" s="5" t="str">
        <f t="shared" si="36"/>
        <v/>
      </c>
    </row>
    <row r="208" spans="7:7">
      <c r="G208" s="5" t="str">
        <f t="shared" si="36"/>
        <v/>
      </c>
    </row>
    <row r="209" spans="7:7">
      <c r="G209" s="5" t="str">
        <f t="shared" si="36"/>
        <v/>
      </c>
    </row>
    <row r="210" spans="7:7">
      <c r="G210" s="5" t="str">
        <f t="shared" si="36"/>
        <v/>
      </c>
    </row>
    <row r="211" spans="7:7">
      <c r="G211" s="5" t="str">
        <f t="shared" si="36"/>
        <v/>
      </c>
    </row>
    <row r="212" spans="7:7">
      <c r="G212" s="5" t="str">
        <f t="shared" si="36"/>
        <v/>
      </c>
    </row>
    <row r="213" spans="7:7">
      <c r="G213" s="5" t="str">
        <f t="shared" si="36"/>
        <v/>
      </c>
    </row>
    <row r="214" spans="7:7">
      <c r="G214" s="5" t="str">
        <f t="shared" si="36"/>
        <v/>
      </c>
    </row>
    <row r="215" spans="7:7">
      <c r="G215" s="5" t="str">
        <f t="shared" si="36"/>
        <v/>
      </c>
    </row>
    <row r="216" spans="7:7">
      <c r="G216" s="5" t="str">
        <f t="shared" si="36"/>
        <v/>
      </c>
    </row>
    <row r="217" spans="7:7">
      <c r="G217" s="5" t="str">
        <f t="shared" si="36"/>
        <v/>
      </c>
    </row>
    <row r="218" spans="7:7">
      <c r="G218" s="5" t="str">
        <f t="shared" si="36"/>
        <v/>
      </c>
    </row>
    <row r="219" spans="7:7">
      <c r="G219" s="5" t="str">
        <f t="shared" si="36"/>
        <v/>
      </c>
    </row>
    <row r="220" spans="7:7">
      <c r="G220" s="5" t="str">
        <f t="shared" si="36"/>
        <v/>
      </c>
    </row>
    <row r="221" spans="7:7">
      <c r="G221" s="5" t="str">
        <f t="shared" si="36"/>
        <v/>
      </c>
    </row>
    <row r="222" spans="7:7">
      <c r="G222" s="5" t="str">
        <f t="shared" si="36"/>
        <v/>
      </c>
    </row>
    <row r="223" spans="7:7">
      <c r="G223" s="5" t="str">
        <f t="shared" si="36"/>
        <v/>
      </c>
    </row>
    <row r="224" spans="7:7">
      <c r="G224" s="5" t="str">
        <f t="shared" si="36"/>
        <v/>
      </c>
    </row>
    <row r="225" spans="7:7">
      <c r="G225" s="5" t="str">
        <f t="shared" si="36"/>
        <v/>
      </c>
    </row>
    <row r="226" spans="7:7">
      <c r="G226" s="5" t="str">
        <f t="shared" si="36"/>
        <v/>
      </c>
    </row>
    <row r="227" spans="7:7">
      <c r="G227" s="5" t="str">
        <f t="shared" si="36"/>
        <v/>
      </c>
    </row>
    <row r="228" spans="7:7">
      <c r="G228" s="5" t="str">
        <f t="shared" si="36"/>
        <v/>
      </c>
    </row>
    <row r="229" spans="7:7">
      <c r="G229" s="5" t="str">
        <f t="shared" si="36"/>
        <v/>
      </c>
    </row>
    <row r="230" spans="7:7">
      <c r="G230" s="5" t="str">
        <f t="shared" si="36"/>
        <v/>
      </c>
    </row>
    <row r="231" spans="7:7">
      <c r="G231" s="5" t="str">
        <f t="shared" si="36"/>
        <v/>
      </c>
    </row>
    <row r="232" spans="7:7">
      <c r="G232" s="5" t="str">
        <f t="shared" si="36"/>
        <v/>
      </c>
    </row>
    <row r="233" spans="7:7">
      <c r="G233" s="5" t="str">
        <f t="shared" si="36"/>
        <v/>
      </c>
    </row>
    <row r="234" spans="7:7">
      <c r="G234" s="5" t="str">
        <f t="shared" si="36"/>
        <v/>
      </c>
    </row>
    <row r="235" spans="7:7">
      <c r="G235" s="5" t="str">
        <f t="shared" si="36"/>
        <v/>
      </c>
    </row>
    <row r="236" spans="7:7">
      <c r="G236" s="5" t="str">
        <f t="shared" si="36"/>
        <v/>
      </c>
    </row>
    <row r="237" spans="7:7">
      <c r="G237" s="5" t="str">
        <f t="shared" si="36"/>
        <v/>
      </c>
    </row>
    <row r="238" spans="7:7">
      <c r="G238" s="5" t="str">
        <f t="shared" si="36"/>
        <v/>
      </c>
    </row>
    <row r="239" spans="7:7">
      <c r="G239" s="5" t="str">
        <f t="shared" si="36"/>
        <v/>
      </c>
    </row>
    <row r="240" spans="7:7">
      <c r="G240" s="5" t="str">
        <f t="shared" si="36"/>
        <v/>
      </c>
    </row>
    <row r="241" spans="7:7">
      <c r="G241" s="5" t="str">
        <f t="shared" si="36"/>
        <v/>
      </c>
    </row>
    <row r="242" spans="7:7">
      <c r="G242" s="5" t="str">
        <f t="shared" si="36"/>
        <v/>
      </c>
    </row>
    <row r="243" spans="7:7">
      <c r="G243" s="5" t="str">
        <f t="shared" si="36"/>
        <v/>
      </c>
    </row>
    <row r="244" spans="7:7">
      <c r="G244" s="5" t="str">
        <f t="shared" si="36"/>
        <v/>
      </c>
    </row>
    <row r="245" spans="7:7">
      <c r="G245" s="5" t="str">
        <f t="shared" si="36"/>
        <v/>
      </c>
    </row>
    <row r="246" spans="7:7">
      <c r="G246" s="5" t="str">
        <f t="shared" si="36"/>
        <v/>
      </c>
    </row>
    <row r="247" spans="7:7">
      <c r="G247" s="5" t="str">
        <f t="shared" si="36"/>
        <v/>
      </c>
    </row>
    <row r="248" spans="7:7">
      <c r="G248" s="5" t="str">
        <f t="shared" si="36"/>
        <v/>
      </c>
    </row>
    <row r="249" spans="7:7">
      <c r="G249" s="5" t="str">
        <f t="shared" si="36"/>
        <v/>
      </c>
    </row>
    <row r="250" spans="7:7">
      <c r="G250" s="5" t="str">
        <f t="shared" si="36"/>
        <v/>
      </c>
    </row>
    <row r="251" spans="7:7">
      <c r="G251" s="5" t="str">
        <f t="shared" si="36"/>
        <v/>
      </c>
    </row>
    <row r="252" spans="7:7">
      <c r="G252" s="5" t="str">
        <f t="shared" si="36"/>
        <v/>
      </c>
    </row>
    <row r="253" spans="7:7">
      <c r="G253" s="5" t="str">
        <f t="shared" si="36"/>
        <v/>
      </c>
    </row>
    <row r="254" spans="7:7">
      <c r="G254" s="5" t="str">
        <f t="shared" si="36"/>
        <v/>
      </c>
    </row>
    <row r="255" spans="7:7">
      <c r="G255" s="5" t="str">
        <f t="shared" si="36"/>
        <v/>
      </c>
    </row>
    <row r="256" spans="7:7">
      <c r="G256" s="5" t="str">
        <f t="shared" si="36"/>
        <v/>
      </c>
    </row>
    <row r="257" spans="7:7">
      <c r="G257" s="5" t="str">
        <f t="shared" si="36"/>
        <v/>
      </c>
    </row>
    <row r="258" spans="7:7">
      <c r="G258" s="5" t="str">
        <f t="shared" si="36"/>
        <v/>
      </c>
    </row>
    <row r="259" spans="7:7">
      <c r="G259" s="5" t="str">
        <f t="shared" si="36"/>
        <v/>
      </c>
    </row>
    <row r="260" spans="7:7">
      <c r="G260" s="5" t="str">
        <f t="shared" si="36"/>
        <v/>
      </c>
    </row>
    <row r="261" spans="7:7">
      <c r="G261" s="5" t="str">
        <f t="shared" ref="G261:G324" si="37">IF(B261&lt;&gt;"",SUM(C261:F261),"")</f>
        <v/>
      </c>
    </row>
    <row r="262" spans="7:7">
      <c r="G262" s="5" t="str">
        <f t="shared" si="37"/>
        <v/>
      </c>
    </row>
    <row r="263" spans="7:7">
      <c r="G263" s="5" t="str">
        <f t="shared" si="37"/>
        <v/>
      </c>
    </row>
    <row r="264" spans="7:7">
      <c r="G264" s="5" t="str">
        <f t="shared" si="37"/>
        <v/>
      </c>
    </row>
    <row r="265" spans="7:7">
      <c r="G265" s="5" t="str">
        <f t="shared" si="37"/>
        <v/>
      </c>
    </row>
    <row r="266" spans="7:7">
      <c r="G266" s="5" t="str">
        <f t="shared" si="37"/>
        <v/>
      </c>
    </row>
    <row r="267" spans="7:7">
      <c r="G267" s="5" t="str">
        <f t="shared" si="37"/>
        <v/>
      </c>
    </row>
    <row r="268" spans="7:7">
      <c r="G268" s="5" t="str">
        <f t="shared" si="37"/>
        <v/>
      </c>
    </row>
    <row r="269" spans="7:7">
      <c r="G269" s="5" t="str">
        <f t="shared" si="37"/>
        <v/>
      </c>
    </row>
    <row r="270" spans="7:7">
      <c r="G270" s="5" t="str">
        <f t="shared" si="37"/>
        <v/>
      </c>
    </row>
    <row r="271" spans="7:7">
      <c r="G271" s="5" t="str">
        <f t="shared" si="37"/>
        <v/>
      </c>
    </row>
    <row r="272" spans="7:7">
      <c r="G272" s="5" t="str">
        <f t="shared" si="37"/>
        <v/>
      </c>
    </row>
    <row r="273" spans="7:7">
      <c r="G273" s="5" t="str">
        <f t="shared" si="37"/>
        <v/>
      </c>
    </row>
    <row r="274" spans="7:7">
      <c r="G274" s="5" t="str">
        <f t="shared" si="37"/>
        <v/>
      </c>
    </row>
    <row r="275" spans="7:7">
      <c r="G275" s="5" t="str">
        <f t="shared" si="37"/>
        <v/>
      </c>
    </row>
    <row r="276" spans="7:7">
      <c r="G276" s="5" t="str">
        <f t="shared" si="37"/>
        <v/>
      </c>
    </row>
    <row r="277" spans="7:7">
      <c r="G277" s="5" t="str">
        <f t="shared" si="37"/>
        <v/>
      </c>
    </row>
    <row r="278" spans="7:7">
      <c r="G278" s="5" t="str">
        <f t="shared" si="37"/>
        <v/>
      </c>
    </row>
    <row r="279" spans="7:7">
      <c r="G279" s="5" t="str">
        <f t="shared" si="37"/>
        <v/>
      </c>
    </row>
    <row r="280" spans="7:7">
      <c r="G280" s="5" t="str">
        <f t="shared" si="37"/>
        <v/>
      </c>
    </row>
    <row r="281" spans="7:7">
      <c r="G281" s="5" t="str">
        <f t="shared" si="37"/>
        <v/>
      </c>
    </row>
    <row r="282" spans="7:7">
      <c r="G282" s="5" t="str">
        <f t="shared" si="37"/>
        <v/>
      </c>
    </row>
    <row r="283" spans="7:7">
      <c r="G283" s="5" t="str">
        <f t="shared" si="37"/>
        <v/>
      </c>
    </row>
    <row r="284" spans="7:7">
      <c r="G284" s="5" t="str">
        <f t="shared" si="37"/>
        <v/>
      </c>
    </row>
    <row r="285" spans="7:7">
      <c r="G285" s="5" t="str">
        <f t="shared" si="37"/>
        <v/>
      </c>
    </row>
    <row r="286" spans="7:7">
      <c r="G286" s="5" t="str">
        <f t="shared" si="37"/>
        <v/>
      </c>
    </row>
    <row r="287" spans="7:7">
      <c r="G287" s="5" t="str">
        <f t="shared" si="37"/>
        <v/>
      </c>
    </row>
    <row r="288" spans="7:7">
      <c r="G288" s="5" t="str">
        <f t="shared" si="37"/>
        <v/>
      </c>
    </row>
    <row r="289" spans="7:7">
      <c r="G289" s="5" t="str">
        <f t="shared" si="37"/>
        <v/>
      </c>
    </row>
    <row r="290" spans="7:7">
      <c r="G290" s="5" t="str">
        <f t="shared" si="37"/>
        <v/>
      </c>
    </row>
    <row r="291" spans="7:7">
      <c r="G291" s="5" t="str">
        <f t="shared" si="37"/>
        <v/>
      </c>
    </row>
    <row r="292" spans="7:7">
      <c r="G292" s="5" t="str">
        <f t="shared" si="37"/>
        <v/>
      </c>
    </row>
    <row r="293" spans="7:7">
      <c r="G293" s="5" t="str">
        <f t="shared" si="37"/>
        <v/>
      </c>
    </row>
    <row r="294" spans="7:7">
      <c r="G294" s="5" t="str">
        <f t="shared" si="37"/>
        <v/>
      </c>
    </row>
    <row r="295" spans="7:7">
      <c r="G295" s="5" t="str">
        <f t="shared" si="37"/>
        <v/>
      </c>
    </row>
    <row r="296" spans="7:7">
      <c r="G296" s="5" t="str">
        <f t="shared" si="37"/>
        <v/>
      </c>
    </row>
    <row r="297" spans="7:7">
      <c r="G297" s="5" t="str">
        <f t="shared" si="37"/>
        <v/>
      </c>
    </row>
    <row r="298" spans="7:7">
      <c r="G298" s="5" t="str">
        <f t="shared" si="37"/>
        <v/>
      </c>
    </row>
    <row r="299" spans="7:7">
      <c r="G299" s="5" t="str">
        <f t="shared" si="37"/>
        <v/>
      </c>
    </row>
    <row r="300" spans="7:7">
      <c r="G300" s="5" t="str">
        <f t="shared" si="37"/>
        <v/>
      </c>
    </row>
    <row r="301" spans="7:7">
      <c r="G301" s="5" t="str">
        <f t="shared" si="37"/>
        <v/>
      </c>
    </row>
    <row r="302" spans="7:7">
      <c r="G302" s="5" t="str">
        <f t="shared" si="37"/>
        <v/>
      </c>
    </row>
    <row r="303" spans="7:7">
      <c r="G303" s="5" t="str">
        <f t="shared" si="37"/>
        <v/>
      </c>
    </row>
    <row r="304" spans="7:7">
      <c r="G304" s="5" t="str">
        <f t="shared" si="37"/>
        <v/>
      </c>
    </row>
    <row r="305" spans="7:7">
      <c r="G305" s="5" t="str">
        <f t="shared" si="37"/>
        <v/>
      </c>
    </row>
    <row r="306" spans="7:7">
      <c r="G306" s="5" t="str">
        <f t="shared" si="37"/>
        <v/>
      </c>
    </row>
    <row r="307" spans="7:7">
      <c r="G307" s="5" t="str">
        <f t="shared" si="37"/>
        <v/>
      </c>
    </row>
    <row r="308" spans="7:7">
      <c r="G308" s="5" t="str">
        <f t="shared" si="37"/>
        <v/>
      </c>
    </row>
    <row r="309" spans="7:7">
      <c r="G309" s="5" t="str">
        <f t="shared" si="37"/>
        <v/>
      </c>
    </row>
    <row r="310" spans="7:7">
      <c r="G310" s="5" t="str">
        <f t="shared" si="37"/>
        <v/>
      </c>
    </row>
    <row r="311" spans="7:7">
      <c r="G311" s="5" t="str">
        <f t="shared" si="37"/>
        <v/>
      </c>
    </row>
    <row r="312" spans="7:7">
      <c r="G312" s="5" t="str">
        <f t="shared" si="37"/>
        <v/>
      </c>
    </row>
    <row r="313" spans="7:7">
      <c r="G313" s="5" t="str">
        <f t="shared" si="37"/>
        <v/>
      </c>
    </row>
    <row r="314" spans="7:7">
      <c r="G314" s="5" t="str">
        <f t="shared" si="37"/>
        <v/>
      </c>
    </row>
    <row r="315" spans="7:7">
      <c r="G315" s="5" t="str">
        <f t="shared" si="37"/>
        <v/>
      </c>
    </row>
    <row r="316" spans="7:7">
      <c r="G316" s="5" t="str">
        <f t="shared" si="37"/>
        <v/>
      </c>
    </row>
    <row r="317" spans="7:7">
      <c r="G317" s="5" t="str">
        <f t="shared" si="37"/>
        <v/>
      </c>
    </row>
    <row r="318" spans="7:7">
      <c r="G318" s="5" t="str">
        <f t="shared" si="37"/>
        <v/>
      </c>
    </row>
    <row r="319" spans="7:7">
      <c r="G319" s="5" t="str">
        <f t="shared" si="37"/>
        <v/>
      </c>
    </row>
    <row r="320" spans="7:7">
      <c r="G320" s="5" t="str">
        <f t="shared" si="37"/>
        <v/>
      </c>
    </row>
    <row r="321" spans="7:7">
      <c r="G321" s="5" t="str">
        <f t="shared" si="37"/>
        <v/>
      </c>
    </row>
    <row r="322" spans="7:7">
      <c r="G322" s="5" t="str">
        <f t="shared" si="37"/>
        <v/>
      </c>
    </row>
    <row r="323" spans="7:7">
      <c r="G323" s="5" t="str">
        <f t="shared" si="37"/>
        <v/>
      </c>
    </row>
    <row r="324" spans="7:7">
      <c r="G324" s="5" t="str">
        <f t="shared" si="37"/>
        <v/>
      </c>
    </row>
    <row r="325" spans="7:7">
      <c r="G325" s="5" t="str">
        <f t="shared" ref="G325:G388" si="38">IF(B325&lt;&gt;"",SUM(C325:F325),"")</f>
        <v/>
      </c>
    </row>
    <row r="326" spans="7:7">
      <c r="G326" s="5" t="str">
        <f t="shared" si="38"/>
        <v/>
      </c>
    </row>
    <row r="327" spans="7:7">
      <c r="G327" s="5" t="str">
        <f t="shared" si="38"/>
        <v/>
      </c>
    </row>
    <row r="328" spans="7:7">
      <c r="G328" s="5" t="str">
        <f t="shared" si="38"/>
        <v/>
      </c>
    </row>
    <row r="329" spans="7:7">
      <c r="G329" s="5" t="str">
        <f t="shared" si="38"/>
        <v/>
      </c>
    </row>
    <row r="330" spans="7:7">
      <c r="G330" s="5" t="str">
        <f t="shared" si="38"/>
        <v/>
      </c>
    </row>
    <row r="331" spans="7:7">
      <c r="G331" s="5" t="str">
        <f t="shared" si="38"/>
        <v/>
      </c>
    </row>
    <row r="332" spans="7:7">
      <c r="G332" s="5" t="str">
        <f t="shared" si="38"/>
        <v/>
      </c>
    </row>
    <row r="333" spans="7:7">
      <c r="G333" s="5" t="str">
        <f t="shared" si="38"/>
        <v/>
      </c>
    </row>
    <row r="334" spans="7:7">
      <c r="G334" s="5" t="str">
        <f t="shared" si="38"/>
        <v/>
      </c>
    </row>
    <row r="335" spans="7:7">
      <c r="G335" s="5" t="str">
        <f t="shared" si="38"/>
        <v/>
      </c>
    </row>
    <row r="336" spans="7:7">
      <c r="G336" s="5" t="str">
        <f t="shared" si="38"/>
        <v/>
      </c>
    </row>
    <row r="337" spans="7:7">
      <c r="G337" s="5" t="str">
        <f t="shared" si="38"/>
        <v/>
      </c>
    </row>
    <row r="338" spans="7:7">
      <c r="G338" s="5" t="str">
        <f t="shared" si="38"/>
        <v/>
      </c>
    </row>
    <row r="339" spans="7:7">
      <c r="G339" s="5" t="str">
        <f t="shared" si="38"/>
        <v/>
      </c>
    </row>
    <row r="340" spans="7:7">
      <c r="G340" s="5" t="str">
        <f t="shared" si="38"/>
        <v/>
      </c>
    </row>
    <row r="341" spans="7:7">
      <c r="G341" s="5" t="str">
        <f t="shared" si="38"/>
        <v/>
      </c>
    </row>
    <row r="342" spans="7:7">
      <c r="G342" s="5" t="str">
        <f t="shared" si="38"/>
        <v/>
      </c>
    </row>
    <row r="343" spans="7:7">
      <c r="G343" s="5" t="str">
        <f t="shared" si="38"/>
        <v/>
      </c>
    </row>
    <row r="344" spans="7:7">
      <c r="G344" s="5" t="str">
        <f t="shared" si="38"/>
        <v/>
      </c>
    </row>
    <row r="345" spans="7:7">
      <c r="G345" s="5" t="str">
        <f t="shared" si="38"/>
        <v/>
      </c>
    </row>
    <row r="346" spans="7:7">
      <c r="G346" s="5" t="str">
        <f t="shared" si="38"/>
        <v/>
      </c>
    </row>
    <row r="347" spans="7:7">
      <c r="G347" s="5" t="str">
        <f t="shared" si="38"/>
        <v/>
      </c>
    </row>
    <row r="348" spans="7:7">
      <c r="G348" s="5" t="str">
        <f t="shared" si="38"/>
        <v/>
      </c>
    </row>
    <row r="349" spans="7:7">
      <c r="G349" s="5" t="str">
        <f t="shared" si="38"/>
        <v/>
      </c>
    </row>
    <row r="350" spans="7:7">
      <c r="G350" s="5" t="str">
        <f t="shared" si="38"/>
        <v/>
      </c>
    </row>
    <row r="351" spans="7:7">
      <c r="G351" s="5" t="str">
        <f t="shared" si="38"/>
        <v/>
      </c>
    </row>
    <row r="352" spans="7:7">
      <c r="G352" s="5" t="str">
        <f t="shared" si="38"/>
        <v/>
      </c>
    </row>
    <row r="353" spans="7:7">
      <c r="G353" s="5" t="str">
        <f t="shared" si="38"/>
        <v/>
      </c>
    </row>
    <row r="354" spans="7:7">
      <c r="G354" s="5" t="str">
        <f t="shared" si="38"/>
        <v/>
      </c>
    </row>
    <row r="355" spans="7:7">
      <c r="G355" s="5" t="str">
        <f t="shared" si="38"/>
        <v/>
      </c>
    </row>
    <row r="356" spans="7:7">
      <c r="G356" s="5" t="str">
        <f t="shared" si="38"/>
        <v/>
      </c>
    </row>
    <row r="357" spans="7:7">
      <c r="G357" s="5" t="str">
        <f t="shared" si="38"/>
        <v/>
      </c>
    </row>
    <row r="358" spans="7:7">
      <c r="G358" s="5" t="str">
        <f t="shared" si="38"/>
        <v/>
      </c>
    </row>
    <row r="359" spans="7:7">
      <c r="G359" s="5" t="str">
        <f t="shared" si="38"/>
        <v/>
      </c>
    </row>
    <row r="360" spans="7:7">
      <c r="G360" s="5" t="str">
        <f t="shared" si="38"/>
        <v/>
      </c>
    </row>
    <row r="361" spans="7:7">
      <c r="G361" s="5" t="str">
        <f t="shared" si="38"/>
        <v/>
      </c>
    </row>
    <row r="362" spans="7:7">
      <c r="G362" s="5" t="str">
        <f t="shared" si="38"/>
        <v/>
      </c>
    </row>
    <row r="363" spans="7:7">
      <c r="G363" s="5" t="str">
        <f t="shared" si="38"/>
        <v/>
      </c>
    </row>
    <row r="364" spans="7:7">
      <c r="G364" s="5" t="str">
        <f t="shared" si="38"/>
        <v/>
      </c>
    </row>
    <row r="365" spans="7:7">
      <c r="G365" s="5" t="str">
        <f t="shared" si="38"/>
        <v/>
      </c>
    </row>
    <row r="366" spans="7:7">
      <c r="G366" s="5" t="str">
        <f t="shared" si="38"/>
        <v/>
      </c>
    </row>
    <row r="367" spans="7:7">
      <c r="G367" s="5" t="str">
        <f t="shared" si="38"/>
        <v/>
      </c>
    </row>
    <row r="368" spans="7:7">
      <c r="G368" s="5" t="str">
        <f t="shared" si="38"/>
        <v/>
      </c>
    </row>
    <row r="369" spans="7:7">
      <c r="G369" s="5" t="str">
        <f t="shared" si="38"/>
        <v/>
      </c>
    </row>
    <row r="370" spans="7:7">
      <c r="G370" s="5" t="str">
        <f t="shared" si="38"/>
        <v/>
      </c>
    </row>
    <row r="371" spans="7:7">
      <c r="G371" s="5" t="str">
        <f t="shared" si="38"/>
        <v/>
      </c>
    </row>
    <row r="372" spans="7:7">
      <c r="G372" s="5" t="str">
        <f t="shared" si="38"/>
        <v/>
      </c>
    </row>
    <row r="373" spans="7:7">
      <c r="G373" s="5" t="str">
        <f t="shared" si="38"/>
        <v/>
      </c>
    </row>
    <row r="374" spans="7:7">
      <c r="G374" s="5" t="str">
        <f t="shared" si="38"/>
        <v/>
      </c>
    </row>
    <row r="375" spans="7:7">
      <c r="G375" s="5" t="str">
        <f t="shared" si="38"/>
        <v/>
      </c>
    </row>
    <row r="376" spans="7:7">
      <c r="G376" s="5" t="str">
        <f t="shared" si="38"/>
        <v/>
      </c>
    </row>
    <row r="377" spans="7:7">
      <c r="G377" s="5" t="str">
        <f t="shared" si="38"/>
        <v/>
      </c>
    </row>
    <row r="378" spans="7:7">
      <c r="G378" s="5" t="str">
        <f t="shared" si="38"/>
        <v/>
      </c>
    </row>
    <row r="379" spans="7:7">
      <c r="G379" s="5" t="str">
        <f t="shared" si="38"/>
        <v/>
      </c>
    </row>
    <row r="380" spans="7:7">
      <c r="G380" s="5" t="str">
        <f t="shared" si="38"/>
        <v/>
      </c>
    </row>
    <row r="381" spans="7:7">
      <c r="G381" s="5" t="str">
        <f t="shared" si="38"/>
        <v/>
      </c>
    </row>
    <row r="382" spans="7:7">
      <c r="G382" s="5" t="str">
        <f t="shared" si="38"/>
        <v/>
      </c>
    </row>
    <row r="383" spans="7:7">
      <c r="G383" s="5" t="str">
        <f t="shared" si="38"/>
        <v/>
      </c>
    </row>
    <row r="384" spans="7:7">
      <c r="G384" s="5" t="str">
        <f t="shared" si="38"/>
        <v/>
      </c>
    </row>
    <row r="385" spans="7:7">
      <c r="G385" s="5" t="str">
        <f t="shared" si="38"/>
        <v/>
      </c>
    </row>
    <row r="386" spans="7:7">
      <c r="G386" s="5" t="str">
        <f t="shared" si="38"/>
        <v/>
      </c>
    </row>
    <row r="387" spans="7:7">
      <c r="G387" s="5" t="str">
        <f t="shared" si="38"/>
        <v/>
      </c>
    </row>
    <row r="388" spans="7:7">
      <c r="G388" s="5" t="str">
        <f t="shared" si="38"/>
        <v/>
      </c>
    </row>
    <row r="389" spans="7:7">
      <c r="G389" s="5" t="str">
        <f t="shared" ref="G389:G452" si="39">IF(B389&lt;&gt;"",SUM(C389:F389),"")</f>
        <v/>
      </c>
    </row>
    <row r="390" spans="7:7">
      <c r="G390" s="5" t="str">
        <f t="shared" si="39"/>
        <v/>
      </c>
    </row>
    <row r="391" spans="7:7">
      <c r="G391" s="5" t="str">
        <f t="shared" si="39"/>
        <v/>
      </c>
    </row>
    <row r="392" spans="7:7">
      <c r="G392" s="5" t="str">
        <f t="shared" si="39"/>
        <v/>
      </c>
    </row>
    <row r="393" spans="7:7">
      <c r="G393" s="5" t="str">
        <f t="shared" si="39"/>
        <v/>
      </c>
    </row>
    <row r="394" spans="7:7">
      <c r="G394" s="5" t="str">
        <f t="shared" si="39"/>
        <v/>
      </c>
    </row>
    <row r="395" spans="7:7">
      <c r="G395" s="5" t="str">
        <f t="shared" si="39"/>
        <v/>
      </c>
    </row>
    <row r="396" spans="7:7">
      <c r="G396" s="5" t="str">
        <f t="shared" si="39"/>
        <v/>
      </c>
    </row>
    <row r="397" spans="7:7">
      <c r="G397" s="5" t="str">
        <f t="shared" si="39"/>
        <v/>
      </c>
    </row>
    <row r="398" spans="7:7">
      <c r="G398" s="5" t="str">
        <f t="shared" si="39"/>
        <v/>
      </c>
    </row>
    <row r="399" spans="7:7">
      <c r="G399" s="5" t="str">
        <f t="shared" si="39"/>
        <v/>
      </c>
    </row>
    <row r="400" spans="7:7">
      <c r="G400" s="5" t="str">
        <f t="shared" si="39"/>
        <v/>
      </c>
    </row>
    <row r="401" spans="7:7">
      <c r="G401" s="5" t="str">
        <f t="shared" si="39"/>
        <v/>
      </c>
    </row>
    <row r="402" spans="7:7">
      <c r="G402" s="5" t="str">
        <f t="shared" si="39"/>
        <v/>
      </c>
    </row>
    <row r="403" spans="7:7">
      <c r="G403" s="5" t="str">
        <f t="shared" si="39"/>
        <v/>
      </c>
    </row>
    <row r="404" spans="7:7">
      <c r="G404" s="5" t="str">
        <f t="shared" si="39"/>
        <v/>
      </c>
    </row>
    <row r="405" spans="7:7">
      <c r="G405" s="5" t="str">
        <f t="shared" si="39"/>
        <v/>
      </c>
    </row>
    <row r="406" spans="7:7">
      <c r="G406" s="5" t="str">
        <f t="shared" si="39"/>
        <v/>
      </c>
    </row>
    <row r="407" spans="7:7">
      <c r="G407" s="5" t="str">
        <f t="shared" si="39"/>
        <v/>
      </c>
    </row>
    <row r="408" spans="7:7">
      <c r="G408" s="5" t="str">
        <f t="shared" si="39"/>
        <v/>
      </c>
    </row>
    <row r="409" spans="7:7">
      <c r="G409" s="5" t="str">
        <f t="shared" si="39"/>
        <v/>
      </c>
    </row>
    <row r="410" spans="7:7">
      <c r="G410" s="5" t="str">
        <f t="shared" si="39"/>
        <v/>
      </c>
    </row>
    <row r="411" spans="7:7">
      <c r="G411" s="5" t="str">
        <f t="shared" si="39"/>
        <v/>
      </c>
    </row>
    <row r="412" spans="7:7">
      <c r="G412" s="5" t="str">
        <f t="shared" si="39"/>
        <v/>
      </c>
    </row>
    <row r="413" spans="7:7">
      <c r="G413" s="5" t="str">
        <f t="shared" si="39"/>
        <v/>
      </c>
    </row>
    <row r="414" spans="7:7">
      <c r="G414" s="5" t="str">
        <f t="shared" si="39"/>
        <v/>
      </c>
    </row>
    <row r="415" spans="7:7">
      <c r="G415" s="5" t="str">
        <f t="shared" si="39"/>
        <v/>
      </c>
    </row>
    <row r="416" spans="7:7">
      <c r="G416" s="5" t="str">
        <f t="shared" si="39"/>
        <v/>
      </c>
    </row>
    <row r="417" spans="7:7">
      <c r="G417" s="5" t="str">
        <f t="shared" si="39"/>
        <v/>
      </c>
    </row>
    <row r="418" spans="7:7">
      <c r="G418" s="5" t="str">
        <f t="shared" si="39"/>
        <v/>
      </c>
    </row>
    <row r="419" spans="7:7">
      <c r="G419" s="5" t="str">
        <f t="shared" si="39"/>
        <v/>
      </c>
    </row>
    <row r="420" spans="7:7">
      <c r="G420" s="5" t="str">
        <f t="shared" si="39"/>
        <v/>
      </c>
    </row>
    <row r="421" spans="7:7">
      <c r="G421" s="5" t="str">
        <f t="shared" si="39"/>
        <v/>
      </c>
    </row>
    <row r="422" spans="7:7">
      <c r="G422" s="5" t="str">
        <f t="shared" si="39"/>
        <v/>
      </c>
    </row>
    <row r="423" spans="7:7">
      <c r="G423" s="5" t="str">
        <f t="shared" si="39"/>
        <v/>
      </c>
    </row>
    <row r="424" spans="7:7">
      <c r="G424" s="5" t="str">
        <f t="shared" si="39"/>
        <v/>
      </c>
    </row>
    <row r="425" spans="7:7">
      <c r="G425" s="5" t="str">
        <f t="shared" si="39"/>
        <v/>
      </c>
    </row>
    <row r="426" spans="7:7">
      <c r="G426" s="5" t="str">
        <f t="shared" si="39"/>
        <v/>
      </c>
    </row>
    <row r="427" spans="7:7">
      <c r="G427" s="5" t="str">
        <f t="shared" si="39"/>
        <v/>
      </c>
    </row>
    <row r="428" spans="7:7">
      <c r="G428" s="5" t="str">
        <f t="shared" si="39"/>
        <v/>
      </c>
    </row>
    <row r="429" spans="7:7">
      <c r="G429" s="5" t="str">
        <f t="shared" si="39"/>
        <v/>
      </c>
    </row>
    <row r="430" spans="7:7">
      <c r="G430" s="5" t="str">
        <f t="shared" si="39"/>
        <v/>
      </c>
    </row>
    <row r="431" spans="7:7">
      <c r="G431" s="5" t="str">
        <f t="shared" si="39"/>
        <v/>
      </c>
    </row>
    <row r="432" spans="7:7">
      <c r="G432" s="5" t="str">
        <f t="shared" si="39"/>
        <v/>
      </c>
    </row>
    <row r="433" spans="7:7">
      <c r="G433" s="5" t="str">
        <f t="shared" si="39"/>
        <v/>
      </c>
    </row>
    <row r="434" spans="7:7">
      <c r="G434" s="5" t="str">
        <f t="shared" si="39"/>
        <v/>
      </c>
    </row>
    <row r="435" spans="7:7">
      <c r="G435" s="5" t="str">
        <f t="shared" si="39"/>
        <v/>
      </c>
    </row>
    <row r="436" spans="7:7">
      <c r="G436" s="5" t="str">
        <f t="shared" si="39"/>
        <v/>
      </c>
    </row>
    <row r="437" spans="7:7">
      <c r="G437" s="5" t="str">
        <f t="shared" si="39"/>
        <v/>
      </c>
    </row>
    <row r="438" spans="7:7">
      <c r="G438" s="5" t="str">
        <f t="shared" si="39"/>
        <v/>
      </c>
    </row>
    <row r="439" spans="7:7">
      <c r="G439" s="5" t="str">
        <f t="shared" si="39"/>
        <v/>
      </c>
    </row>
    <row r="440" spans="7:7">
      <c r="G440" s="5" t="str">
        <f t="shared" si="39"/>
        <v/>
      </c>
    </row>
    <row r="441" spans="7:7">
      <c r="G441" s="5" t="str">
        <f t="shared" si="39"/>
        <v/>
      </c>
    </row>
    <row r="442" spans="7:7">
      <c r="G442" s="5" t="str">
        <f t="shared" si="39"/>
        <v/>
      </c>
    </row>
    <row r="443" spans="7:7">
      <c r="G443" s="5" t="str">
        <f t="shared" si="39"/>
        <v/>
      </c>
    </row>
    <row r="444" spans="7:7">
      <c r="G444" s="5" t="str">
        <f t="shared" si="39"/>
        <v/>
      </c>
    </row>
    <row r="445" spans="7:7">
      <c r="G445" s="5" t="str">
        <f t="shared" si="39"/>
        <v/>
      </c>
    </row>
    <row r="446" spans="7:7">
      <c r="G446" s="5" t="str">
        <f t="shared" si="39"/>
        <v/>
      </c>
    </row>
    <row r="447" spans="7:7">
      <c r="G447" s="5" t="str">
        <f t="shared" si="39"/>
        <v/>
      </c>
    </row>
    <row r="448" spans="7:7">
      <c r="G448" s="5" t="str">
        <f t="shared" si="39"/>
        <v/>
      </c>
    </row>
    <row r="449" spans="7:7">
      <c r="G449" s="5" t="str">
        <f t="shared" si="39"/>
        <v/>
      </c>
    </row>
    <row r="450" spans="7:7">
      <c r="G450" s="5" t="str">
        <f t="shared" si="39"/>
        <v/>
      </c>
    </row>
    <row r="451" spans="7:7">
      <c r="G451" s="5" t="str">
        <f t="shared" si="39"/>
        <v/>
      </c>
    </row>
    <row r="452" spans="7:7">
      <c r="G452" s="5" t="str">
        <f t="shared" si="39"/>
        <v/>
      </c>
    </row>
    <row r="453" spans="7:7">
      <c r="G453" s="5" t="str">
        <f t="shared" ref="G453:G484" si="40">IF(B453&lt;&gt;"",SUM(C453:F453),"")</f>
        <v/>
      </c>
    </row>
    <row r="454" spans="7:7">
      <c r="G454" s="5" t="str">
        <f t="shared" si="40"/>
        <v/>
      </c>
    </row>
    <row r="455" spans="7:7">
      <c r="G455" s="5" t="str">
        <f t="shared" si="40"/>
        <v/>
      </c>
    </row>
    <row r="456" spans="7:7">
      <c r="G456" s="5" t="str">
        <f t="shared" si="40"/>
        <v/>
      </c>
    </row>
    <row r="457" spans="7:7">
      <c r="G457" s="5" t="str">
        <f t="shared" si="40"/>
        <v/>
      </c>
    </row>
    <row r="458" spans="7:7">
      <c r="G458" s="5" t="str">
        <f t="shared" si="40"/>
        <v/>
      </c>
    </row>
    <row r="459" spans="7:7">
      <c r="G459" s="5" t="str">
        <f t="shared" si="40"/>
        <v/>
      </c>
    </row>
    <row r="460" spans="7:7">
      <c r="G460" s="5" t="str">
        <f t="shared" si="40"/>
        <v/>
      </c>
    </row>
    <row r="461" spans="7:7">
      <c r="G461" s="5" t="str">
        <f t="shared" si="40"/>
        <v/>
      </c>
    </row>
    <row r="462" spans="7:7">
      <c r="G462" s="5" t="str">
        <f t="shared" si="40"/>
        <v/>
      </c>
    </row>
    <row r="463" spans="7:7">
      <c r="G463" s="5" t="str">
        <f t="shared" si="40"/>
        <v/>
      </c>
    </row>
    <row r="464" spans="7:7">
      <c r="G464" s="5" t="str">
        <f t="shared" si="40"/>
        <v/>
      </c>
    </row>
    <row r="465" spans="7:7">
      <c r="G465" s="5" t="str">
        <f t="shared" si="40"/>
        <v/>
      </c>
    </row>
    <row r="466" spans="7:7">
      <c r="G466" s="5" t="str">
        <f t="shared" si="40"/>
        <v/>
      </c>
    </row>
    <row r="467" spans="7:7">
      <c r="G467" s="5" t="str">
        <f t="shared" si="40"/>
        <v/>
      </c>
    </row>
    <row r="468" spans="7:7">
      <c r="G468" s="5" t="str">
        <f t="shared" si="40"/>
        <v/>
      </c>
    </row>
    <row r="469" spans="7:7">
      <c r="G469" s="5" t="str">
        <f t="shared" si="40"/>
        <v/>
      </c>
    </row>
    <row r="470" spans="7:7">
      <c r="G470" s="5" t="str">
        <f t="shared" si="40"/>
        <v/>
      </c>
    </row>
    <row r="471" spans="7:7">
      <c r="G471" s="5" t="str">
        <f t="shared" si="40"/>
        <v/>
      </c>
    </row>
    <row r="472" spans="7:7">
      <c r="G472" s="5" t="str">
        <f t="shared" si="40"/>
        <v/>
      </c>
    </row>
    <row r="473" spans="7:7">
      <c r="G473" s="5" t="str">
        <f t="shared" si="40"/>
        <v/>
      </c>
    </row>
    <row r="474" spans="7:7">
      <c r="G474" s="5" t="str">
        <f t="shared" si="40"/>
        <v/>
      </c>
    </row>
    <row r="475" spans="7:7">
      <c r="G475" s="5" t="str">
        <f t="shared" si="40"/>
        <v/>
      </c>
    </row>
    <row r="476" spans="7:7">
      <c r="G476" s="5" t="str">
        <f t="shared" si="40"/>
        <v/>
      </c>
    </row>
    <row r="477" spans="7:7">
      <c r="G477" s="5" t="str">
        <f t="shared" si="40"/>
        <v/>
      </c>
    </row>
    <row r="478" spans="7:7">
      <c r="G478" s="5" t="str">
        <f t="shared" si="40"/>
        <v/>
      </c>
    </row>
    <row r="479" spans="7:7">
      <c r="G479" s="5" t="str">
        <f t="shared" si="40"/>
        <v/>
      </c>
    </row>
    <row r="480" spans="7:7">
      <c r="G480" s="5" t="str">
        <f t="shared" si="40"/>
        <v/>
      </c>
    </row>
    <row r="481" spans="7:7">
      <c r="G481" s="5" t="str">
        <f t="shared" si="40"/>
        <v/>
      </c>
    </row>
    <row r="482" spans="7:7">
      <c r="G482" s="5" t="str">
        <f t="shared" si="40"/>
        <v/>
      </c>
    </row>
    <row r="483" spans="7:7">
      <c r="G483" s="5" t="str">
        <f t="shared" si="40"/>
        <v/>
      </c>
    </row>
    <row r="484" spans="7:7">
      <c r="G484" s="5" t="str">
        <f t="shared" si="40"/>
        <v/>
      </c>
    </row>
  </sheetData>
  <sheetProtection sort="0" autoFilter="0" pivotTables="0"/>
  <autoFilter ref="B5:I484" xr:uid="{CA2E7430-51FC-4A68-BCD3-2895158B8EF2}">
    <filterColumn colId="6">
      <filters blank="1">
        <filter val="10"/>
        <filter val="12"/>
        <filter val="132"/>
        <filter val="180"/>
        <filter val="2"/>
        <filter val="4"/>
        <filter val="6"/>
        <filter val="72"/>
        <filter val="80"/>
        <filter val="R$ 20.724,44"/>
      </filters>
    </filterColumn>
  </autoFilter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AF343-630E-4E6F-A002-AB712AD44E87}">
  <sheetPr codeName="Planilha45">
    <tabColor rgb="FFFF0000"/>
    <pageSetUpPr fitToPage="1"/>
  </sheetPr>
  <dimension ref="B1:S480"/>
  <sheetViews>
    <sheetView workbookViewId="0">
      <pane ySplit="5" topLeftCell="A6" activePane="bottomLeft" state="frozen"/>
      <selection pane="bottomLeft" activeCell="B4" sqref="B4:G77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1264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446" t="s">
        <v>6</v>
      </c>
      <c r="C4" s="43"/>
      <c r="D4" s="43"/>
      <c r="E4" s="43"/>
      <c r="F4" s="44"/>
      <c r="G4" s="45"/>
      <c r="H4" s="447"/>
      <c r="I4" s="447" t="s">
        <v>48</v>
      </c>
      <c r="J4" s="448" t="s">
        <v>9</v>
      </c>
      <c r="K4" s="448" t="s">
        <v>9</v>
      </c>
      <c r="L4" s="471">
        <v>4.7619047619047616E-2</v>
      </c>
      <c r="M4" s="449" t="s">
        <v>15</v>
      </c>
      <c r="N4" s="36"/>
      <c r="O4" s="19"/>
      <c r="P4" s="19"/>
      <c r="Q4" s="19"/>
      <c r="R4" s="19"/>
      <c r="S4" s="19"/>
    </row>
    <row r="5" spans="2:19" ht="16.5" thickBot="1">
      <c r="B5" s="479" t="s">
        <v>5</v>
      </c>
      <c r="C5" s="459" t="s">
        <v>0</v>
      </c>
      <c r="D5" s="459" t="s">
        <v>12</v>
      </c>
      <c r="E5" s="459" t="s">
        <v>2</v>
      </c>
      <c r="F5" s="459" t="s">
        <v>3</v>
      </c>
      <c r="G5" s="460" t="s">
        <v>1</v>
      </c>
      <c r="H5" s="461" t="s">
        <v>4</v>
      </c>
      <c r="I5" s="461" t="s">
        <v>7</v>
      </c>
      <c r="J5" s="462" t="s">
        <v>8</v>
      </c>
      <c r="K5" s="462" t="s">
        <v>10</v>
      </c>
      <c r="L5" s="463" t="s">
        <v>11</v>
      </c>
      <c r="M5" s="478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504" t="s">
        <v>1566</v>
      </c>
      <c r="C6" s="38"/>
      <c r="D6" s="38"/>
      <c r="E6" s="38"/>
      <c r="F6" s="39"/>
      <c r="G6" s="40"/>
      <c r="H6" s="23">
        <f>SUM(C6:G6)</f>
        <v>0</v>
      </c>
      <c r="I6" s="464">
        <f t="shared" ref="I6:I69" si="0">L6-(L6*J6)</f>
        <v>4.83</v>
      </c>
      <c r="J6" s="16"/>
      <c r="K6" s="17"/>
      <c r="L6" s="505">
        <v>4.83</v>
      </c>
      <c r="M6" s="181"/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0</v>
      </c>
      <c r="R6" s="27">
        <f t="shared" ref="R6" si="5">I6*G6</f>
        <v>0</v>
      </c>
      <c r="S6" s="28">
        <f>SUM(N6:R6)</f>
        <v>0</v>
      </c>
    </row>
    <row r="7" spans="2:19">
      <c r="B7" s="504" t="s">
        <v>1567</v>
      </c>
      <c r="C7" s="13"/>
      <c r="D7" s="13"/>
      <c r="E7" s="13"/>
      <c r="F7" s="14"/>
      <c r="G7" s="8"/>
      <c r="H7" s="24">
        <f t="shared" ref="H7:H75" si="6">SUM(C7:G7)</f>
        <v>0</v>
      </c>
      <c r="I7" s="456">
        <f t="shared" si="0"/>
        <v>30.16</v>
      </c>
      <c r="J7" s="10"/>
      <c r="K7" s="12"/>
      <c r="L7" s="505">
        <v>30.16</v>
      </c>
      <c r="M7" s="181"/>
      <c r="N7" s="25">
        <f t="shared" ref="N7:N70" si="7">I7*C7</f>
        <v>0</v>
      </c>
      <c r="O7" s="25">
        <f t="shared" ref="O7:O70" si="8">I7*D7</f>
        <v>0</v>
      </c>
      <c r="P7" s="25">
        <f t="shared" ref="P7:P70" si="9">I7*E7</f>
        <v>0</v>
      </c>
      <c r="Q7" s="26">
        <f t="shared" ref="Q7:Q70" si="10">I7*F7</f>
        <v>0</v>
      </c>
      <c r="R7" s="27">
        <f t="shared" ref="R7:R70" si="11">I7*G7</f>
        <v>0</v>
      </c>
      <c r="S7" s="28">
        <f t="shared" ref="S7:S70" si="12">SUM(N7:R7)</f>
        <v>0</v>
      </c>
    </row>
    <row r="8" spans="2:19">
      <c r="B8" s="504" t="s">
        <v>1568</v>
      </c>
      <c r="C8" s="13"/>
      <c r="D8" s="13"/>
      <c r="E8" s="13"/>
      <c r="F8" s="14"/>
      <c r="G8" s="8"/>
      <c r="H8" s="24">
        <f t="shared" si="6"/>
        <v>0</v>
      </c>
      <c r="I8" s="456">
        <f t="shared" si="0"/>
        <v>56.17</v>
      </c>
      <c r="J8" s="10"/>
      <c r="K8" s="12"/>
      <c r="L8" s="505">
        <v>56.17</v>
      </c>
      <c r="M8" s="181"/>
      <c r="N8" s="25">
        <f t="shared" si="7"/>
        <v>0</v>
      </c>
      <c r="O8" s="25">
        <f t="shared" si="8"/>
        <v>0</v>
      </c>
      <c r="P8" s="25">
        <f t="shared" si="9"/>
        <v>0</v>
      </c>
      <c r="Q8" s="26">
        <f t="shared" si="10"/>
        <v>0</v>
      </c>
      <c r="R8" s="27">
        <f t="shared" si="11"/>
        <v>0</v>
      </c>
      <c r="S8" s="28">
        <f t="shared" si="12"/>
        <v>0</v>
      </c>
    </row>
    <row r="9" spans="2:19">
      <c r="B9" s="504" t="s">
        <v>1569</v>
      </c>
      <c r="C9" s="13"/>
      <c r="D9" s="13"/>
      <c r="E9" s="13"/>
      <c r="F9" s="14"/>
      <c r="G9" s="8"/>
      <c r="H9" s="24">
        <f t="shared" si="6"/>
        <v>0</v>
      </c>
      <c r="I9" s="456">
        <f t="shared" si="0"/>
        <v>15.97</v>
      </c>
      <c r="J9" s="10"/>
      <c r="K9" s="12"/>
      <c r="L9" s="505">
        <v>15.97</v>
      </c>
      <c r="M9" s="181"/>
      <c r="N9" s="25">
        <f t="shared" si="7"/>
        <v>0</v>
      </c>
      <c r="O9" s="25">
        <f t="shared" si="8"/>
        <v>0</v>
      </c>
      <c r="P9" s="25">
        <f t="shared" si="9"/>
        <v>0</v>
      </c>
      <c r="Q9" s="26">
        <f t="shared" si="10"/>
        <v>0</v>
      </c>
      <c r="R9" s="27">
        <f t="shared" si="11"/>
        <v>0</v>
      </c>
      <c r="S9" s="28">
        <f t="shared" si="12"/>
        <v>0</v>
      </c>
    </row>
    <row r="10" spans="2:19">
      <c r="B10" s="504" t="s">
        <v>1570</v>
      </c>
      <c r="C10" s="13"/>
      <c r="D10" s="13"/>
      <c r="E10" s="13"/>
      <c r="F10" s="14">
        <v>1500</v>
      </c>
      <c r="G10" s="8"/>
      <c r="H10" s="24">
        <f t="shared" si="6"/>
        <v>1500</v>
      </c>
      <c r="I10" s="456">
        <f t="shared" si="0"/>
        <v>11.35</v>
      </c>
      <c r="J10" s="10"/>
      <c r="K10" s="12"/>
      <c r="L10" s="505">
        <v>11.35</v>
      </c>
      <c r="M10" s="181"/>
      <c r="N10" s="25">
        <f t="shared" si="7"/>
        <v>0</v>
      </c>
      <c r="O10" s="25">
        <f t="shared" si="8"/>
        <v>0</v>
      </c>
      <c r="P10" s="25">
        <f t="shared" si="9"/>
        <v>0</v>
      </c>
      <c r="Q10" s="26">
        <f t="shared" si="10"/>
        <v>17025</v>
      </c>
      <c r="R10" s="27">
        <f t="shared" si="11"/>
        <v>0</v>
      </c>
      <c r="S10" s="28">
        <f t="shared" si="12"/>
        <v>17025</v>
      </c>
    </row>
    <row r="11" spans="2:19">
      <c r="B11" s="504" t="s">
        <v>1571</v>
      </c>
      <c r="C11" s="13"/>
      <c r="D11" s="13"/>
      <c r="E11" s="13"/>
      <c r="F11" s="14"/>
      <c r="G11" s="8"/>
      <c r="H11" s="24">
        <f t="shared" si="6"/>
        <v>0</v>
      </c>
      <c r="I11" s="456">
        <f t="shared" si="0"/>
        <v>124.5</v>
      </c>
      <c r="J11" s="10"/>
      <c r="K11" s="12"/>
      <c r="L11" s="505">
        <v>124.5</v>
      </c>
      <c r="M11" s="181"/>
      <c r="N11" s="25">
        <f t="shared" si="7"/>
        <v>0</v>
      </c>
      <c r="O11" s="25">
        <f t="shared" si="8"/>
        <v>0</v>
      </c>
      <c r="P11" s="25">
        <f t="shared" si="9"/>
        <v>0</v>
      </c>
      <c r="Q11" s="26">
        <f t="shared" si="10"/>
        <v>0</v>
      </c>
      <c r="R11" s="27">
        <f t="shared" si="11"/>
        <v>0</v>
      </c>
      <c r="S11" s="28">
        <f t="shared" si="12"/>
        <v>0</v>
      </c>
    </row>
    <row r="12" spans="2:19">
      <c r="B12" s="504" t="s">
        <v>1572</v>
      </c>
      <c r="C12" s="13"/>
      <c r="D12" s="13"/>
      <c r="E12" s="13"/>
      <c r="F12" s="14"/>
      <c r="G12" s="8"/>
      <c r="H12" s="24">
        <f t="shared" si="6"/>
        <v>0</v>
      </c>
      <c r="I12" s="456">
        <f t="shared" si="0"/>
        <v>240.7</v>
      </c>
      <c r="J12" s="10"/>
      <c r="K12" s="12"/>
      <c r="L12" s="505">
        <v>240.7</v>
      </c>
      <c r="M12" s="181"/>
      <c r="N12" s="25">
        <f t="shared" si="7"/>
        <v>0</v>
      </c>
      <c r="O12" s="25">
        <f t="shared" si="8"/>
        <v>0</v>
      </c>
      <c r="P12" s="25">
        <f t="shared" si="9"/>
        <v>0</v>
      </c>
      <c r="Q12" s="26">
        <f t="shared" si="10"/>
        <v>0</v>
      </c>
      <c r="R12" s="27">
        <f t="shared" si="11"/>
        <v>0</v>
      </c>
      <c r="S12" s="28">
        <f t="shared" si="12"/>
        <v>0</v>
      </c>
    </row>
    <row r="13" spans="2:19">
      <c r="B13" s="504" t="s">
        <v>1573</v>
      </c>
      <c r="C13" s="13"/>
      <c r="D13" s="13"/>
      <c r="E13" s="13"/>
      <c r="F13" s="14"/>
      <c r="G13" s="8"/>
      <c r="H13" s="24">
        <f t="shared" si="6"/>
        <v>0</v>
      </c>
      <c r="I13" s="456">
        <f t="shared" si="0"/>
        <v>7.3</v>
      </c>
      <c r="J13" s="10"/>
      <c r="K13" s="12"/>
      <c r="L13" s="505">
        <v>7.3</v>
      </c>
      <c r="M13" s="181"/>
      <c r="N13" s="25">
        <f t="shared" si="7"/>
        <v>0</v>
      </c>
      <c r="O13" s="25">
        <f t="shared" si="8"/>
        <v>0</v>
      </c>
      <c r="P13" s="25">
        <f t="shared" si="9"/>
        <v>0</v>
      </c>
      <c r="Q13" s="26">
        <f t="shared" si="10"/>
        <v>0</v>
      </c>
      <c r="R13" s="27">
        <f t="shared" si="11"/>
        <v>0</v>
      </c>
      <c r="S13" s="28">
        <f t="shared" si="12"/>
        <v>0</v>
      </c>
    </row>
    <row r="14" spans="2:19">
      <c r="B14" s="504" t="s">
        <v>1574</v>
      </c>
      <c r="C14" s="13"/>
      <c r="D14" s="13"/>
      <c r="E14" s="13"/>
      <c r="F14" s="14"/>
      <c r="G14" s="8"/>
      <c r="H14" s="24">
        <f t="shared" si="6"/>
        <v>0</v>
      </c>
      <c r="I14" s="456">
        <f t="shared" si="0"/>
        <v>47.76</v>
      </c>
      <c r="J14" s="10"/>
      <c r="K14" s="12"/>
      <c r="L14" s="505">
        <v>47.76</v>
      </c>
      <c r="M14" s="181"/>
      <c r="N14" s="25">
        <f t="shared" si="7"/>
        <v>0</v>
      </c>
      <c r="O14" s="25">
        <f t="shared" si="8"/>
        <v>0</v>
      </c>
      <c r="P14" s="25">
        <f t="shared" si="9"/>
        <v>0</v>
      </c>
      <c r="Q14" s="26">
        <f t="shared" si="10"/>
        <v>0</v>
      </c>
      <c r="R14" s="27">
        <f t="shared" si="11"/>
        <v>0</v>
      </c>
      <c r="S14" s="28">
        <f t="shared" si="12"/>
        <v>0</v>
      </c>
    </row>
    <row r="15" spans="2:19">
      <c r="B15" s="504" t="s">
        <v>1575</v>
      </c>
      <c r="C15" s="13"/>
      <c r="D15" s="13"/>
      <c r="E15" s="13"/>
      <c r="F15" s="14">
        <v>12</v>
      </c>
      <c r="G15" s="8"/>
      <c r="H15" s="24">
        <f t="shared" si="6"/>
        <v>12</v>
      </c>
      <c r="I15" s="456">
        <f t="shared" si="0"/>
        <v>10.66</v>
      </c>
      <c r="J15" s="10"/>
      <c r="K15" s="12"/>
      <c r="L15" s="505">
        <v>10.66</v>
      </c>
      <c r="M15" s="181"/>
      <c r="N15" s="25">
        <f t="shared" si="7"/>
        <v>0</v>
      </c>
      <c r="O15" s="25">
        <f t="shared" si="8"/>
        <v>0</v>
      </c>
      <c r="P15" s="25">
        <f t="shared" si="9"/>
        <v>0</v>
      </c>
      <c r="Q15" s="26">
        <f t="shared" si="10"/>
        <v>127.92</v>
      </c>
      <c r="R15" s="27">
        <f t="shared" si="11"/>
        <v>0</v>
      </c>
      <c r="S15" s="28">
        <f t="shared" si="12"/>
        <v>127.92</v>
      </c>
    </row>
    <row r="16" spans="2:19">
      <c r="B16" s="504" t="s">
        <v>1576</v>
      </c>
      <c r="C16" s="13"/>
      <c r="D16" s="13"/>
      <c r="E16" s="13"/>
      <c r="F16" s="14"/>
      <c r="G16" s="8"/>
      <c r="H16" s="24">
        <f t="shared" si="6"/>
        <v>0</v>
      </c>
      <c r="I16" s="456">
        <f t="shared" si="0"/>
        <v>150.06</v>
      </c>
      <c r="J16" s="10"/>
      <c r="K16" s="12"/>
      <c r="L16" s="505">
        <v>150.06</v>
      </c>
      <c r="M16" s="181"/>
      <c r="N16" s="25">
        <f t="shared" si="7"/>
        <v>0</v>
      </c>
      <c r="O16" s="25">
        <f t="shared" si="8"/>
        <v>0</v>
      </c>
      <c r="P16" s="25">
        <f t="shared" si="9"/>
        <v>0</v>
      </c>
      <c r="Q16" s="26">
        <f t="shared" si="10"/>
        <v>0</v>
      </c>
      <c r="R16" s="27">
        <f t="shared" si="11"/>
        <v>0</v>
      </c>
      <c r="S16" s="28">
        <f t="shared" si="12"/>
        <v>0</v>
      </c>
    </row>
    <row r="17" spans="2:19">
      <c r="B17" s="504" t="s">
        <v>1577</v>
      </c>
      <c r="C17" s="13"/>
      <c r="D17" s="13"/>
      <c r="E17" s="13"/>
      <c r="F17" s="14"/>
      <c r="G17" s="8"/>
      <c r="H17" s="24">
        <f t="shared" si="6"/>
        <v>0</v>
      </c>
      <c r="I17" s="456">
        <f t="shared" si="0"/>
        <v>296.19</v>
      </c>
      <c r="J17" s="10"/>
      <c r="K17" s="12"/>
      <c r="L17" s="505">
        <v>296.19</v>
      </c>
      <c r="M17" s="181"/>
      <c r="N17" s="25">
        <f t="shared" si="7"/>
        <v>0</v>
      </c>
      <c r="O17" s="25">
        <f t="shared" si="8"/>
        <v>0</v>
      </c>
      <c r="P17" s="25">
        <f t="shared" si="9"/>
        <v>0</v>
      </c>
      <c r="Q17" s="26">
        <f t="shared" si="10"/>
        <v>0</v>
      </c>
      <c r="R17" s="27">
        <f t="shared" si="11"/>
        <v>0</v>
      </c>
      <c r="S17" s="28">
        <f t="shared" si="12"/>
        <v>0</v>
      </c>
    </row>
    <row r="18" spans="2:19">
      <c r="B18" s="504" t="s">
        <v>1578</v>
      </c>
      <c r="C18" s="13"/>
      <c r="D18" s="13"/>
      <c r="E18" s="13"/>
      <c r="F18" s="14"/>
      <c r="G18" s="8"/>
      <c r="H18" s="24">
        <f t="shared" si="6"/>
        <v>0</v>
      </c>
      <c r="I18" s="456">
        <f t="shared" si="0"/>
        <v>195.05</v>
      </c>
      <c r="J18" s="10"/>
      <c r="K18" s="12"/>
      <c r="L18" s="505">
        <v>195.05</v>
      </c>
      <c r="M18" s="181"/>
      <c r="N18" s="25">
        <f t="shared" si="7"/>
        <v>0</v>
      </c>
      <c r="O18" s="25">
        <f t="shared" si="8"/>
        <v>0</v>
      </c>
      <c r="P18" s="25">
        <f t="shared" si="9"/>
        <v>0</v>
      </c>
      <c r="Q18" s="26">
        <f t="shared" si="10"/>
        <v>0</v>
      </c>
      <c r="R18" s="27">
        <f t="shared" si="11"/>
        <v>0</v>
      </c>
      <c r="S18" s="28">
        <f t="shared" si="12"/>
        <v>0</v>
      </c>
    </row>
    <row r="19" spans="2:19">
      <c r="B19" s="504" t="s">
        <v>1579</v>
      </c>
      <c r="C19" s="13"/>
      <c r="D19" s="13"/>
      <c r="E19" s="13"/>
      <c r="F19" s="14"/>
      <c r="G19" s="8"/>
      <c r="H19" s="24">
        <f t="shared" si="6"/>
        <v>0</v>
      </c>
      <c r="I19" s="456">
        <f t="shared" si="0"/>
        <v>389.2</v>
      </c>
      <c r="J19" s="10"/>
      <c r="K19" s="12"/>
      <c r="L19" s="505">
        <v>389.2</v>
      </c>
      <c r="M19" s="181"/>
      <c r="N19" s="25">
        <f t="shared" si="7"/>
        <v>0</v>
      </c>
      <c r="O19" s="25">
        <f t="shared" si="8"/>
        <v>0</v>
      </c>
      <c r="P19" s="25">
        <f t="shared" si="9"/>
        <v>0</v>
      </c>
      <c r="Q19" s="26">
        <f t="shared" si="10"/>
        <v>0</v>
      </c>
      <c r="R19" s="27">
        <f t="shared" si="11"/>
        <v>0</v>
      </c>
      <c r="S19" s="28">
        <f t="shared" si="12"/>
        <v>0</v>
      </c>
    </row>
    <row r="20" spans="2:19">
      <c r="B20" s="504" t="s">
        <v>1580</v>
      </c>
      <c r="C20" s="13"/>
      <c r="D20" s="13"/>
      <c r="E20" s="13"/>
      <c r="F20" s="14">
        <v>12</v>
      </c>
      <c r="G20" s="8"/>
      <c r="H20" s="24">
        <f t="shared" si="6"/>
        <v>12</v>
      </c>
      <c r="I20" s="456">
        <f t="shared" si="0"/>
        <v>16.93</v>
      </c>
      <c r="J20" s="10"/>
      <c r="K20" s="12"/>
      <c r="L20" s="505">
        <v>16.93</v>
      </c>
      <c r="M20" s="181"/>
      <c r="N20" s="25">
        <f t="shared" si="7"/>
        <v>0</v>
      </c>
      <c r="O20" s="25">
        <f t="shared" si="8"/>
        <v>0</v>
      </c>
      <c r="P20" s="25">
        <f t="shared" si="9"/>
        <v>0</v>
      </c>
      <c r="Q20" s="26">
        <f t="shared" si="10"/>
        <v>203.16</v>
      </c>
      <c r="R20" s="27">
        <f t="shared" si="11"/>
        <v>0</v>
      </c>
      <c r="S20" s="28">
        <f t="shared" si="12"/>
        <v>203.16</v>
      </c>
    </row>
    <row r="21" spans="2:19">
      <c r="B21" s="504" t="s">
        <v>1581</v>
      </c>
      <c r="C21" s="13"/>
      <c r="D21" s="13"/>
      <c r="E21" s="13"/>
      <c r="F21" s="14">
        <v>0</v>
      </c>
      <c r="G21" s="8"/>
      <c r="H21" s="24">
        <f t="shared" si="6"/>
        <v>0</v>
      </c>
      <c r="I21" s="456">
        <f t="shared" si="0"/>
        <v>118.26</v>
      </c>
      <c r="J21" s="10"/>
      <c r="K21" s="12"/>
      <c r="L21" s="505">
        <v>118.26</v>
      </c>
      <c r="M21" s="181"/>
      <c r="N21" s="25">
        <f t="shared" si="7"/>
        <v>0</v>
      </c>
      <c r="O21" s="25">
        <f t="shared" si="8"/>
        <v>0</v>
      </c>
      <c r="P21" s="25">
        <f t="shared" si="9"/>
        <v>0</v>
      </c>
      <c r="Q21" s="26">
        <f t="shared" si="10"/>
        <v>0</v>
      </c>
      <c r="R21" s="27">
        <f t="shared" si="11"/>
        <v>0</v>
      </c>
      <c r="S21" s="28">
        <f t="shared" si="12"/>
        <v>0</v>
      </c>
    </row>
    <row r="22" spans="2:19">
      <c r="B22" s="504" t="s">
        <v>1582</v>
      </c>
      <c r="C22" s="13"/>
      <c r="D22" s="13"/>
      <c r="E22" s="13"/>
      <c r="F22" s="14">
        <v>0</v>
      </c>
      <c r="G22" s="8"/>
      <c r="H22" s="24">
        <f t="shared" si="6"/>
        <v>0</v>
      </c>
      <c r="I22" s="456">
        <f t="shared" si="0"/>
        <v>32.700000000000003</v>
      </c>
      <c r="J22" s="10"/>
      <c r="K22" s="12"/>
      <c r="L22" s="505">
        <v>32.700000000000003</v>
      </c>
      <c r="M22" s="181"/>
      <c r="N22" s="25">
        <f t="shared" si="7"/>
        <v>0</v>
      </c>
      <c r="O22" s="25">
        <f t="shared" si="8"/>
        <v>0</v>
      </c>
      <c r="P22" s="25">
        <f t="shared" si="9"/>
        <v>0</v>
      </c>
      <c r="Q22" s="26">
        <f t="shared" si="10"/>
        <v>0</v>
      </c>
      <c r="R22" s="27">
        <f t="shared" si="11"/>
        <v>0</v>
      </c>
      <c r="S22" s="28">
        <f t="shared" si="12"/>
        <v>0</v>
      </c>
    </row>
    <row r="23" spans="2:19">
      <c r="B23" s="504" t="s">
        <v>1583</v>
      </c>
      <c r="C23" s="13"/>
      <c r="D23" s="13"/>
      <c r="E23" s="13"/>
      <c r="F23" s="14">
        <v>0</v>
      </c>
      <c r="G23" s="8"/>
      <c r="H23" s="24">
        <f t="shared" si="6"/>
        <v>0</v>
      </c>
      <c r="I23" s="456">
        <f t="shared" si="0"/>
        <v>15.54</v>
      </c>
      <c r="J23" s="10"/>
      <c r="K23" s="12"/>
      <c r="L23" s="505">
        <v>15.54</v>
      </c>
      <c r="M23" s="181"/>
      <c r="N23" s="25">
        <f t="shared" si="7"/>
        <v>0</v>
      </c>
      <c r="O23" s="25">
        <f t="shared" si="8"/>
        <v>0</v>
      </c>
      <c r="P23" s="25">
        <f t="shared" si="9"/>
        <v>0</v>
      </c>
      <c r="Q23" s="26">
        <f t="shared" si="10"/>
        <v>0</v>
      </c>
      <c r="R23" s="27">
        <f t="shared" si="11"/>
        <v>0</v>
      </c>
      <c r="S23" s="28">
        <f t="shared" si="12"/>
        <v>0</v>
      </c>
    </row>
    <row r="24" spans="2:19">
      <c r="B24" s="504" t="s">
        <v>1584</v>
      </c>
      <c r="C24" s="13"/>
      <c r="D24" s="13"/>
      <c r="E24" s="13"/>
      <c r="F24" s="14">
        <v>0</v>
      </c>
      <c r="G24" s="8"/>
      <c r="H24" s="24">
        <f t="shared" si="6"/>
        <v>0</v>
      </c>
      <c r="I24" s="456">
        <f t="shared" si="0"/>
        <v>65.400000000000006</v>
      </c>
      <c r="J24" s="10"/>
      <c r="K24" s="12"/>
      <c r="L24" s="505">
        <v>65.400000000000006</v>
      </c>
      <c r="M24" s="181"/>
      <c r="N24" s="25">
        <f t="shared" si="7"/>
        <v>0</v>
      </c>
      <c r="O24" s="25">
        <f t="shared" si="8"/>
        <v>0</v>
      </c>
      <c r="P24" s="25">
        <f t="shared" si="9"/>
        <v>0</v>
      </c>
      <c r="Q24" s="26">
        <f t="shared" si="10"/>
        <v>0</v>
      </c>
      <c r="R24" s="27">
        <f t="shared" si="11"/>
        <v>0</v>
      </c>
      <c r="S24" s="28">
        <f t="shared" si="12"/>
        <v>0</v>
      </c>
    </row>
    <row r="25" spans="2:19">
      <c r="B25" s="504" t="s">
        <v>1585</v>
      </c>
      <c r="C25" s="13"/>
      <c r="D25" s="13"/>
      <c r="E25" s="13"/>
      <c r="F25" s="14">
        <v>0</v>
      </c>
      <c r="G25" s="8"/>
      <c r="H25" s="24">
        <f t="shared" si="6"/>
        <v>0</v>
      </c>
      <c r="I25" s="456">
        <f t="shared" si="0"/>
        <v>223.2</v>
      </c>
      <c r="J25" s="10"/>
      <c r="K25" s="12"/>
      <c r="L25" s="505">
        <v>223.2</v>
      </c>
      <c r="M25" s="181"/>
      <c r="N25" s="25">
        <f t="shared" si="7"/>
        <v>0</v>
      </c>
      <c r="O25" s="25">
        <f t="shared" si="8"/>
        <v>0</v>
      </c>
      <c r="P25" s="25">
        <f t="shared" si="9"/>
        <v>0</v>
      </c>
      <c r="Q25" s="26">
        <f t="shared" si="10"/>
        <v>0</v>
      </c>
      <c r="R25" s="27">
        <f t="shared" si="11"/>
        <v>0</v>
      </c>
      <c r="S25" s="28">
        <f t="shared" si="12"/>
        <v>0</v>
      </c>
    </row>
    <row r="26" spans="2:19">
      <c r="B26" s="504" t="s">
        <v>1586</v>
      </c>
      <c r="C26" s="13"/>
      <c r="D26" s="13"/>
      <c r="E26" s="13"/>
      <c r="F26" s="14">
        <v>0</v>
      </c>
      <c r="G26" s="8"/>
      <c r="H26" s="24">
        <f t="shared" si="6"/>
        <v>0</v>
      </c>
      <c r="I26" s="456">
        <f t="shared" si="0"/>
        <v>54.24</v>
      </c>
      <c r="J26" s="10"/>
      <c r="K26" s="12"/>
      <c r="L26" s="505">
        <v>54.24</v>
      </c>
      <c r="M26" s="181"/>
      <c r="N26" s="25">
        <f t="shared" si="7"/>
        <v>0</v>
      </c>
      <c r="O26" s="25">
        <f t="shared" si="8"/>
        <v>0</v>
      </c>
      <c r="P26" s="25">
        <f t="shared" si="9"/>
        <v>0</v>
      </c>
      <c r="Q26" s="26">
        <f t="shared" si="10"/>
        <v>0</v>
      </c>
      <c r="R26" s="27">
        <f t="shared" si="11"/>
        <v>0</v>
      </c>
      <c r="S26" s="28">
        <f t="shared" si="12"/>
        <v>0</v>
      </c>
    </row>
    <row r="27" spans="2:19">
      <c r="B27" s="504" t="s">
        <v>1587</v>
      </c>
      <c r="C27" s="13"/>
      <c r="D27" s="13"/>
      <c r="E27" s="13"/>
      <c r="F27" s="14"/>
      <c r="G27" s="8"/>
      <c r="H27" s="24">
        <f t="shared" si="6"/>
        <v>0</v>
      </c>
      <c r="I27" s="456">
        <v>223.2</v>
      </c>
      <c r="J27" s="10"/>
      <c r="K27" s="12"/>
      <c r="L27" s="505">
        <v>21.04</v>
      </c>
      <c r="M27" s="181"/>
      <c r="N27" s="25">
        <f t="shared" si="7"/>
        <v>0</v>
      </c>
      <c r="O27" s="25">
        <f t="shared" si="8"/>
        <v>0</v>
      </c>
      <c r="P27" s="25">
        <f t="shared" si="9"/>
        <v>0</v>
      </c>
      <c r="Q27" s="26">
        <f t="shared" si="10"/>
        <v>0</v>
      </c>
      <c r="R27" s="27">
        <f t="shared" si="11"/>
        <v>0</v>
      </c>
      <c r="S27" s="28">
        <f t="shared" si="12"/>
        <v>0</v>
      </c>
    </row>
    <row r="28" spans="2:19">
      <c r="B28" s="504" t="s">
        <v>1588</v>
      </c>
      <c r="C28" s="13"/>
      <c r="D28" s="13"/>
      <c r="E28" s="13"/>
      <c r="F28" s="14"/>
      <c r="G28" s="8"/>
      <c r="H28" s="24">
        <f t="shared" si="6"/>
        <v>0</v>
      </c>
      <c r="I28" s="456">
        <f t="shared" si="0"/>
        <v>122.4</v>
      </c>
      <c r="J28" s="10"/>
      <c r="K28" s="12"/>
      <c r="L28" s="505">
        <v>122.4</v>
      </c>
      <c r="M28" s="181"/>
      <c r="N28" s="25">
        <f t="shared" si="7"/>
        <v>0</v>
      </c>
      <c r="O28" s="25">
        <f t="shared" si="8"/>
        <v>0</v>
      </c>
      <c r="P28" s="25">
        <f t="shared" si="9"/>
        <v>0</v>
      </c>
      <c r="Q28" s="26">
        <f t="shared" si="10"/>
        <v>0</v>
      </c>
      <c r="R28" s="27">
        <f t="shared" si="11"/>
        <v>0</v>
      </c>
      <c r="S28" s="28">
        <f t="shared" si="12"/>
        <v>0</v>
      </c>
    </row>
    <row r="29" spans="2:19">
      <c r="B29" s="504" t="s">
        <v>1589</v>
      </c>
      <c r="C29" s="13"/>
      <c r="D29" s="13"/>
      <c r="E29" s="13"/>
      <c r="F29" s="14"/>
      <c r="G29" s="8"/>
      <c r="H29" s="24">
        <f t="shared" si="6"/>
        <v>0</v>
      </c>
      <c r="I29" s="456">
        <f t="shared" si="0"/>
        <v>21.52</v>
      </c>
      <c r="J29" s="10"/>
      <c r="K29" s="12"/>
      <c r="L29" s="505">
        <v>21.52</v>
      </c>
      <c r="M29" s="181"/>
      <c r="N29" s="25">
        <f t="shared" si="7"/>
        <v>0</v>
      </c>
      <c r="O29" s="25">
        <f t="shared" si="8"/>
        <v>0</v>
      </c>
      <c r="P29" s="25">
        <f t="shared" si="9"/>
        <v>0</v>
      </c>
      <c r="Q29" s="26">
        <f t="shared" si="10"/>
        <v>0</v>
      </c>
      <c r="R29" s="27">
        <f t="shared" si="11"/>
        <v>0</v>
      </c>
      <c r="S29" s="28">
        <f t="shared" si="12"/>
        <v>0</v>
      </c>
    </row>
    <row r="30" spans="2:19">
      <c r="B30" s="504" t="s">
        <v>1590</v>
      </c>
      <c r="C30" s="13"/>
      <c r="D30" s="13"/>
      <c r="E30" s="13"/>
      <c r="F30" s="14"/>
      <c r="G30" s="8"/>
      <c r="H30" s="24">
        <f t="shared" si="6"/>
        <v>0</v>
      </c>
      <c r="I30" s="456">
        <f t="shared" si="0"/>
        <v>9.9499999999999993</v>
      </c>
      <c r="J30" s="10"/>
      <c r="K30" s="12"/>
      <c r="L30" s="505">
        <v>9.9499999999999993</v>
      </c>
      <c r="M30" s="181"/>
      <c r="N30" s="25">
        <f t="shared" si="7"/>
        <v>0</v>
      </c>
      <c r="O30" s="25">
        <f t="shared" si="8"/>
        <v>0</v>
      </c>
      <c r="P30" s="25">
        <f t="shared" si="9"/>
        <v>0</v>
      </c>
      <c r="Q30" s="26">
        <f t="shared" si="10"/>
        <v>0</v>
      </c>
      <c r="R30" s="27">
        <f t="shared" si="11"/>
        <v>0</v>
      </c>
      <c r="S30" s="28">
        <f t="shared" si="12"/>
        <v>0</v>
      </c>
    </row>
    <row r="31" spans="2:19">
      <c r="B31" s="504" t="s">
        <v>1591</v>
      </c>
      <c r="C31" s="14"/>
      <c r="D31" s="14"/>
      <c r="E31" s="14"/>
      <c r="F31" s="14"/>
      <c r="G31" s="8"/>
      <c r="H31" s="24">
        <f t="shared" si="6"/>
        <v>0</v>
      </c>
      <c r="I31" s="456">
        <f t="shared" si="0"/>
        <v>20.84</v>
      </c>
      <c r="J31" s="10"/>
      <c r="K31" s="12"/>
      <c r="L31" s="505">
        <v>20.84</v>
      </c>
      <c r="M31" s="181"/>
      <c r="N31" s="25">
        <f t="shared" si="7"/>
        <v>0</v>
      </c>
      <c r="O31" s="25">
        <f t="shared" si="8"/>
        <v>0</v>
      </c>
      <c r="P31" s="25">
        <f t="shared" si="9"/>
        <v>0</v>
      </c>
      <c r="Q31" s="26">
        <f t="shared" si="10"/>
        <v>0</v>
      </c>
      <c r="R31" s="27">
        <f t="shared" si="11"/>
        <v>0</v>
      </c>
      <c r="S31" s="28">
        <f t="shared" si="12"/>
        <v>0</v>
      </c>
    </row>
    <row r="32" spans="2:19">
      <c r="B32" s="504" t="s">
        <v>1592</v>
      </c>
      <c r="C32" s="14"/>
      <c r="D32" s="14"/>
      <c r="E32" s="14"/>
      <c r="F32" s="14"/>
      <c r="G32" s="8"/>
      <c r="H32" s="24">
        <f t="shared" si="6"/>
        <v>0</v>
      </c>
      <c r="I32" s="456">
        <f t="shared" si="0"/>
        <v>57.25</v>
      </c>
      <c r="J32" s="10"/>
      <c r="K32" s="12"/>
      <c r="L32" s="505">
        <v>57.25</v>
      </c>
      <c r="M32" s="181"/>
      <c r="N32" s="25">
        <f t="shared" si="7"/>
        <v>0</v>
      </c>
      <c r="O32" s="25">
        <f t="shared" si="8"/>
        <v>0</v>
      </c>
      <c r="P32" s="25">
        <f t="shared" si="9"/>
        <v>0</v>
      </c>
      <c r="Q32" s="26">
        <f t="shared" si="10"/>
        <v>0</v>
      </c>
      <c r="R32" s="27">
        <f t="shared" si="11"/>
        <v>0</v>
      </c>
      <c r="S32" s="28">
        <f t="shared" si="12"/>
        <v>0</v>
      </c>
    </row>
    <row r="33" spans="2:19">
      <c r="B33" s="504" t="s">
        <v>1593</v>
      </c>
      <c r="C33" s="14"/>
      <c r="D33" s="14"/>
      <c r="E33" s="14"/>
      <c r="F33" s="14"/>
      <c r="G33" s="8"/>
      <c r="H33" s="24">
        <f t="shared" si="6"/>
        <v>0</v>
      </c>
      <c r="I33" s="456">
        <f t="shared" si="0"/>
        <v>5.7</v>
      </c>
      <c r="J33" s="10"/>
      <c r="K33" s="12"/>
      <c r="L33" s="505">
        <v>5.7</v>
      </c>
      <c r="M33" s="181"/>
      <c r="N33" s="25">
        <f t="shared" si="7"/>
        <v>0</v>
      </c>
      <c r="O33" s="25">
        <f t="shared" si="8"/>
        <v>0</v>
      </c>
      <c r="P33" s="25">
        <f t="shared" si="9"/>
        <v>0</v>
      </c>
      <c r="Q33" s="26">
        <f t="shared" si="10"/>
        <v>0</v>
      </c>
      <c r="R33" s="27">
        <f t="shared" si="11"/>
        <v>0</v>
      </c>
      <c r="S33" s="28">
        <f t="shared" si="12"/>
        <v>0</v>
      </c>
    </row>
    <row r="34" spans="2:19">
      <c r="B34" s="504" t="s">
        <v>1594</v>
      </c>
      <c r="C34" s="14"/>
      <c r="D34" s="14"/>
      <c r="E34" s="14"/>
      <c r="F34" s="14"/>
      <c r="G34" s="8"/>
      <c r="H34" s="24">
        <f t="shared" si="6"/>
        <v>0</v>
      </c>
      <c r="I34" s="456">
        <f t="shared" si="0"/>
        <v>62.6</v>
      </c>
      <c r="J34" s="10"/>
      <c r="K34" s="12"/>
      <c r="L34" s="505">
        <v>62.6</v>
      </c>
      <c r="M34" s="181"/>
      <c r="N34" s="25">
        <f t="shared" si="7"/>
        <v>0</v>
      </c>
      <c r="O34" s="25">
        <f t="shared" si="8"/>
        <v>0</v>
      </c>
      <c r="P34" s="25">
        <f t="shared" si="9"/>
        <v>0</v>
      </c>
      <c r="Q34" s="26">
        <f t="shared" si="10"/>
        <v>0</v>
      </c>
      <c r="R34" s="27">
        <f t="shared" si="11"/>
        <v>0</v>
      </c>
      <c r="S34" s="28">
        <f t="shared" si="12"/>
        <v>0</v>
      </c>
    </row>
    <row r="35" spans="2:19">
      <c r="B35" s="504" t="s">
        <v>1595</v>
      </c>
      <c r="C35" s="14"/>
      <c r="D35" s="14"/>
      <c r="E35" s="14"/>
      <c r="F35" s="14"/>
      <c r="G35" s="8"/>
      <c r="H35" s="24">
        <f t="shared" si="6"/>
        <v>0</v>
      </c>
      <c r="I35" s="456">
        <f t="shared" si="0"/>
        <v>3.46</v>
      </c>
      <c r="J35" s="10"/>
      <c r="K35" s="12"/>
      <c r="L35" s="505">
        <v>3.46</v>
      </c>
      <c r="M35" s="181"/>
      <c r="N35" s="25">
        <f t="shared" si="7"/>
        <v>0</v>
      </c>
      <c r="O35" s="25">
        <f t="shared" si="8"/>
        <v>0</v>
      </c>
      <c r="P35" s="25">
        <f t="shared" si="9"/>
        <v>0</v>
      </c>
      <c r="Q35" s="26">
        <f t="shared" si="10"/>
        <v>0</v>
      </c>
      <c r="R35" s="27">
        <f t="shared" si="11"/>
        <v>0</v>
      </c>
      <c r="S35" s="28">
        <f t="shared" si="12"/>
        <v>0</v>
      </c>
    </row>
    <row r="36" spans="2:19">
      <c r="B36" s="504" t="s">
        <v>1596</v>
      </c>
      <c r="C36" s="14"/>
      <c r="D36" s="14"/>
      <c r="E36" s="14"/>
      <c r="F36" s="14"/>
      <c r="G36" s="8"/>
      <c r="H36" s="24">
        <f t="shared" si="6"/>
        <v>0</v>
      </c>
      <c r="I36" s="456">
        <f t="shared" si="0"/>
        <v>17.29</v>
      </c>
      <c r="J36" s="10"/>
      <c r="K36" s="12"/>
      <c r="L36" s="505">
        <v>17.29</v>
      </c>
      <c r="M36" s="181"/>
      <c r="N36" s="25">
        <f t="shared" si="7"/>
        <v>0</v>
      </c>
      <c r="O36" s="25">
        <f t="shared" si="8"/>
        <v>0</v>
      </c>
      <c r="P36" s="25">
        <f t="shared" si="9"/>
        <v>0</v>
      </c>
      <c r="Q36" s="26">
        <f t="shared" si="10"/>
        <v>0</v>
      </c>
      <c r="R36" s="27">
        <f t="shared" si="11"/>
        <v>0</v>
      </c>
      <c r="S36" s="28">
        <f t="shared" si="12"/>
        <v>0</v>
      </c>
    </row>
    <row r="37" spans="2:19">
      <c r="B37" s="504" t="s">
        <v>1597</v>
      </c>
      <c r="C37" s="14"/>
      <c r="D37" s="14"/>
      <c r="E37" s="14"/>
      <c r="F37" s="14"/>
      <c r="G37" s="8"/>
      <c r="H37" s="24">
        <f t="shared" si="6"/>
        <v>0</v>
      </c>
      <c r="I37" s="456">
        <f t="shared" si="0"/>
        <v>6.1</v>
      </c>
      <c r="J37" s="10"/>
      <c r="K37" s="12"/>
      <c r="L37" s="505">
        <v>6.1</v>
      </c>
      <c r="M37" s="181"/>
      <c r="N37" s="25">
        <f t="shared" si="7"/>
        <v>0</v>
      </c>
      <c r="O37" s="25">
        <f t="shared" si="8"/>
        <v>0</v>
      </c>
      <c r="P37" s="25">
        <f t="shared" si="9"/>
        <v>0</v>
      </c>
      <c r="Q37" s="26">
        <f t="shared" si="10"/>
        <v>0</v>
      </c>
      <c r="R37" s="27">
        <f t="shared" si="11"/>
        <v>0</v>
      </c>
      <c r="S37" s="28">
        <f t="shared" si="12"/>
        <v>0</v>
      </c>
    </row>
    <row r="38" spans="2:19">
      <c r="B38" s="504" t="s">
        <v>1598</v>
      </c>
      <c r="C38" s="14"/>
      <c r="D38" s="14"/>
      <c r="E38" s="14"/>
      <c r="F38" s="14"/>
      <c r="G38" s="8"/>
      <c r="H38" s="24">
        <f t="shared" si="6"/>
        <v>0</v>
      </c>
      <c r="I38" s="456">
        <f t="shared" si="0"/>
        <v>25.56</v>
      </c>
      <c r="J38" s="10"/>
      <c r="K38" s="12"/>
      <c r="L38" s="505">
        <v>25.56</v>
      </c>
      <c r="M38" s="181"/>
      <c r="N38" s="25">
        <f t="shared" si="7"/>
        <v>0</v>
      </c>
      <c r="O38" s="25">
        <f t="shared" si="8"/>
        <v>0</v>
      </c>
      <c r="P38" s="25">
        <f t="shared" si="9"/>
        <v>0</v>
      </c>
      <c r="Q38" s="26">
        <f t="shared" si="10"/>
        <v>0</v>
      </c>
      <c r="R38" s="27">
        <f t="shared" si="11"/>
        <v>0</v>
      </c>
      <c r="S38" s="28">
        <f t="shared" si="12"/>
        <v>0</v>
      </c>
    </row>
    <row r="39" spans="2:19">
      <c r="B39" s="504" t="s">
        <v>1599</v>
      </c>
      <c r="C39" s="14"/>
      <c r="D39" s="14"/>
      <c r="E39" s="14"/>
      <c r="F39" s="14"/>
      <c r="G39" s="8"/>
      <c r="H39" s="24">
        <f t="shared" si="6"/>
        <v>0</v>
      </c>
      <c r="I39" s="456">
        <f t="shared" si="0"/>
        <v>6</v>
      </c>
      <c r="J39" s="10"/>
      <c r="K39" s="12"/>
      <c r="L39" s="505">
        <v>6</v>
      </c>
      <c r="M39" s="181"/>
      <c r="N39" s="25">
        <f t="shared" si="7"/>
        <v>0</v>
      </c>
      <c r="O39" s="25">
        <f t="shared" si="8"/>
        <v>0</v>
      </c>
      <c r="P39" s="25">
        <f t="shared" si="9"/>
        <v>0</v>
      </c>
      <c r="Q39" s="26">
        <f t="shared" si="10"/>
        <v>0</v>
      </c>
      <c r="R39" s="27">
        <f t="shared" si="11"/>
        <v>0</v>
      </c>
      <c r="S39" s="28">
        <f t="shared" si="12"/>
        <v>0</v>
      </c>
    </row>
    <row r="40" spans="2:19">
      <c r="B40" s="504" t="s">
        <v>1600</v>
      </c>
      <c r="C40" s="14"/>
      <c r="D40" s="14"/>
      <c r="E40" s="14"/>
      <c r="F40" s="14"/>
      <c r="G40" s="8"/>
      <c r="H40" s="24">
        <f t="shared" si="6"/>
        <v>0</v>
      </c>
      <c r="I40" s="456">
        <f t="shared" si="0"/>
        <v>8.67</v>
      </c>
      <c r="J40" s="10"/>
      <c r="K40" s="12"/>
      <c r="L40" s="505">
        <v>8.67</v>
      </c>
      <c r="M40" s="181"/>
      <c r="N40" s="25">
        <f t="shared" si="7"/>
        <v>0</v>
      </c>
      <c r="O40" s="25">
        <f t="shared" si="8"/>
        <v>0</v>
      </c>
      <c r="P40" s="25">
        <f t="shared" si="9"/>
        <v>0</v>
      </c>
      <c r="Q40" s="26">
        <f t="shared" si="10"/>
        <v>0</v>
      </c>
      <c r="R40" s="27">
        <f t="shared" si="11"/>
        <v>0</v>
      </c>
      <c r="S40" s="28">
        <f t="shared" si="12"/>
        <v>0</v>
      </c>
    </row>
    <row r="41" spans="2:19">
      <c r="B41" s="504" t="s">
        <v>1601</v>
      </c>
      <c r="C41" s="14"/>
      <c r="D41" s="14"/>
      <c r="E41" s="14"/>
      <c r="F41" s="14"/>
      <c r="G41" s="8"/>
      <c r="H41" s="24">
        <f t="shared" si="6"/>
        <v>0</v>
      </c>
      <c r="I41" s="456">
        <f t="shared" si="0"/>
        <v>22.79</v>
      </c>
      <c r="J41" s="10"/>
      <c r="K41" s="12"/>
      <c r="L41" s="505">
        <v>22.79</v>
      </c>
      <c r="M41" s="181"/>
      <c r="N41" s="25">
        <f t="shared" si="7"/>
        <v>0</v>
      </c>
      <c r="O41" s="25">
        <f t="shared" si="8"/>
        <v>0</v>
      </c>
      <c r="P41" s="25">
        <f t="shared" si="9"/>
        <v>0</v>
      </c>
      <c r="Q41" s="26">
        <f t="shared" si="10"/>
        <v>0</v>
      </c>
      <c r="R41" s="27">
        <f t="shared" si="11"/>
        <v>0</v>
      </c>
      <c r="S41" s="28">
        <f t="shared" si="12"/>
        <v>0</v>
      </c>
    </row>
    <row r="42" spans="2:19">
      <c r="B42" s="504" t="s">
        <v>1602</v>
      </c>
      <c r="C42" s="14"/>
      <c r="D42" s="14"/>
      <c r="E42" s="14"/>
      <c r="F42" s="14"/>
      <c r="G42" s="8"/>
      <c r="H42" s="24">
        <f t="shared" si="6"/>
        <v>0</v>
      </c>
      <c r="I42" s="456">
        <f t="shared" si="0"/>
        <v>13.44</v>
      </c>
      <c r="J42" s="10"/>
      <c r="K42" s="12"/>
      <c r="L42" s="505">
        <v>13.44</v>
      </c>
      <c r="M42" s="181"/>
      <c r="N42" s="25">
        <f t="shared" si="7"/>
        <v>0</v>
      </c>
      <c r="O42" s="25">
        <f t="shared" si="8"/>
        <v>0</v>
      </c>
      <c r="P42" s="25">
        <f t="shared" si="9"/>
        <v>0</v>
      </c>
      <c r="Q42" s="26">
        <f t="shared" si="10"/>
        <v>0</v>
      </c>
      <c r="R42" s="27">
        <f t="shared" si="11"/>
        <v>0</v>
      </c>
      <c r="S42" s="28">
        <f t="shared" si="12"/>
        <v>0</v>
      </c>
    </row>
    <row r="43" spans="2:19">
      <c r="B43" s="504" t="s">
        <v>1603</v>
      </c>
      <c r="C43" s="14"/>
      <c r="D43" s="14"/>
      <c r="E43" s="14"/>
      <c r="F43" s="14"/>
      <c r="G43" s="8"/>
      <c r="H43" s="24">
        <f t="shared" si="6"/>
        <v>0</v>
      </c>
      <c r="I43" s="456">
        <f t="shared" si="0"/>
        <v>8.2200000000000006</v>
      </c>
      <c r="J43" s="10"/>
      <c r="K43" s="12"/>
      <c r="L43" s="505">
        <v>8.2200000000000006</v>
      </c>
      <c r="M43" s="181"/>
      <c r="N43" s="25">
        <f t="shared" si="7"/>
        <v>0</v>
      </c>
      <c r="O43" s="25">
        <f t="shared" si="8"/>
        <v>0</v>
      </c>
      <c r="P43" s="25">
        <f t="shared" si="9"/>
        <v>0</v>
      </c>
      <c r="Q43" s="26">
        <f t="shared" si="10"/>
        <v>0</v>
      </c>
      <c r="R43" s="27">
        <f t="shared" si="11"/>
        <v>0</v>
      </c>
      <c r="S43" s="28">
        <f t="shared" si="12"/>
        <v>0</v>
      </c>
    </row>
    <row r="44" spans="2:19">
      <c r="B44" s="504" t="s">
        <v>1604</v>
      </c>
      <c r="C44" s="14"/>
      <c r="D44" s="14"/>
      <c r="E44" s="14"/>
      <c r="F44" s="14"/>
      <c r="G44" s="8"/>
      <c r="H44" s="24">
        <f t="shared" si="6"/>
        <v>0</v>
      </c>
      <c r="I44" s="456">
        <f t="shared" si="0"/>
        <v>9.2799999999999994</v>
      </c>
      <c r="J44" s="10"/>
      <c r="K44" s="12"/>
      <c r="L44" s="505">
        <v>9.2799999999999994</v>
      </c>
      <c r="M44" s="181"/>
      <c r="N44" s="25">
        <f t="shared" si="7"/>
        <v>0</v>
      </c>
      <c r="O44" s="25">
        <f t="shared" si="8"/>
        <v>0</v>
      </c>
      <c r="P44" s="25">
        <f t="shared" si="9"/>
        <v>0</v>
      </c>
      <c r="Q44" s="26">
        <f t="shared" si="10"/>
        <v>0</v>
      </c>
      <c r="R44" s="27">
        <f t="shared" si="11"/>
        <v>0</v>
      </c>
      <c r="S44" s="28">
        <f t="shared" si="12"/>
        <v>0</v>
      </c>
    </row>
    <row r="45" spans="2:19">
      <c r="B45" s="504" t="s">
        <v>1605</v>
      </c>
      <c r="C45" s="14"/>
      <c r="D45" s="14"/>
      <c r="E45" s="14"/>
      <c r="F45" s="14"/>
      <c r="G45" s="8"/>
      <c r="H45" s="24">
        <f t="shared" si="6"/>
        <v>0</v>
      </c>
      <c r="I45" s="456">
        <f t="shared" si="0"/>
        <v>6</v>
      </c>
      <c r="J45" s="10"/>
      <c r="K45" s="12"/>
      <c r="L45" s="505">
        <v>6</v>
      </c>
      <c r="M45" s="181"/>
      <c r="N45" s="25">
        <f t="shared" si="7"/>
        <v>0</v>
      </c>
      <c r="O45" s="25">
        <f t="shared" si="8"/>
        <v>0</v>
      </c>
      <c r="P45" s="25">
        <f t="shared" si="9"/>
        <v>0</v>
      </c>
      <c r="Q45" s="26">
        <f t="shared" si="10"/>
        <v>0</v>
      </c>
      <c r="R45" s="27">
        <f t="shared" si="11"/>
        <v>0</v>
      </c>
      <c r="S45" s="28">
        <f t="shared" si="12"/>
        <v>0</v>
      </c>
    </row>
    <row r="46" spans="2:19">
      <c r="B46" s="504" t="s">
        <v>1606</v>
      </c>
      <c r="C46" s="14"/>
      <c r="D46" s="14"/>
      <c r="E46" s="14"/>
      <c r="F46" s="14"/>
      <c r="G46" s="8"/>
      <c r="H46" s="24">
        <f t="shared" si="6"/>
        <v>0</v>
      </c>
      <c r="I46" s="456">
        <f t="shared" si="0"/>
        <v>12.09</v>
      </c>
      <c r="J46" s="10"/>
      <c r="K46" s="12"/>
      <c r="L46" s="505">
        <v>12.09</v>
      </c>
      <c r="M46" s="181"/>
      <c r="N46" s="25">
        <f t="shared" si="7"/>
        <v>0</v>
      </c>
      <c r="O46" s="25">
        <f t="shared" si="8"/>
        <v>0</v>
      </c>
      <c r="P46" s="25">
        <f t="shared" si="9"/>
        <v>0</v>
      </c>
      <c r="Q46" s="26">
        <f t="shared" si="10"/>
        <v>0</v>
      </c>
      <c r="R46" s="27">
        <f t="shared" si="11"/>
        <v>0</v>
      </c>
      <c r="S46" s="28">
        <f t="shared" si="12"/>
        <v>0</v>
      </c>
    </row>
    <row r="47" spans="2:19">
      <c r="B47" s="504" t="s">
        <v>1607</v>
      </c>
      <c r="C47" s="14"/>
      <c r="D47" s="14"/>
      <c r="E47" s="14"/>
      <c r="F47" s="14"/>
      <c r="G47" s="8"/>
      <c r="H47" s="24">
        <f t="shared" si="6"/>
        <v>0</v>
      </c>
      <c r="I47" s="456">
        <f t="shared" si="0"/>
        <v>7.34</v>
      </c>
      <c r="J47" s="10"/>
      <c r="K47" s="12"/>
      <c r="L47" s="505">
        <v>7.34</v>
      </c>
      <c r="M47" s="181"/>
      <c r="N47" s="25">
        <f t="shared" si="7"/>
        <v>0</v>
      </c>
      <c r="O47" s="25">
        <f t="shared" si="8"/>
        <v>0</v>
      </c>
      <c r="P47" s="25">
        <f t="shared" si="9"/>
        <v>0</v>
      </c>
      <c r="Q47" s="26">
        <f t="shared" si="10"/>
        <v>0</v>
      </c>
      <c r="R47" s="27">
        <f t="shared" si="11"/>
        <v>0</v>
      </c>
      <c r="S47" s="28">
        <f t="shared" si="12"/>
        <v>0</v>
      </c>
    </row>
    <row r="48" spans="2:19">
      <c r="B48" s="504" t="s">
        <v>1608</v>
      </c>
      <c r="C48" s="14"/>
      <c r="D48" s="14"/>
      <c r="E48" s="14"/>
      <c r="F48" s="14"/>
      <c r="G48" s="8"/>
      <c r="H48" s="24">
        <f t="shared" si="6"/>
        <v>0</v>
      </c>
      <c r="I48" s="456">
        <f t="shared" si="0"/>
        <v>14.76</v>
      </c>
      <c r="J48" s="10"/>
      <c r="K48" s="12"/>
      <c r="L48" s="505">
        <v>14.76</v>
      </c>
      <c r="M48" s="181"/>
      <c r="N48" s="25">
        <f t="shared" si="7"/>
        <v>0</v>
      </c>
      <c r="O48" s="25">
        <f t="shared" si="8"/>
        <v>0</v>
      </c>
      <c r="P48" s="25">
        <f t="shared" si="9"/>
        <v>0</v>
      </c>
      <c r="Q48" s="26">
        <f t="shared" si="10"/>
        <v>0</v>
      </c>
      <c r="R48" s="27">
        <f t="shared" si="11"/>
        <v>0</v>
      </c>
      <c r="S48" s="28">
        <f t="shared" si="12"/>
        <v>0</v>
      </c>
    </row>
    <row r="49" spans="2:19">
      <c r="B49" s="504" t="s">
        <v>1609</v>
      </c>
      <c r="C49" s="14"/>
      <c r="D49" s="14"/>
      <c r="E49" s="14"/>
      <c r="F49" s="14"/>
      <c r="G49" s="8"/>
      <c r="H49" s="24">
        <f t="shared" si="6"/>
        <v>0</v>
      </c>
      <c r="I49" s="456">
        <f t="shared" si="0"/>
        <v>50.09</v>
      </c>
      <c r="J49" s="10"/>
      <c r="K49" s="12"/>
      <c r="L49" s="505">
        <v>50.09</v>
      </c>
      <c r="M49" s="181"/>
      <c r="N49" s="25">
        <f t="shared" si="7"/>
        <v>0</v>
      </c>
      <c r="O49" s="25">
        <f t="shared" si="8"/>
        <v>0</v>
      </c>
      <c r="P49" s="25">
        <f t="shared" si="9"/>
        <v>0</v>
      </c>
      <c r="Q49" s="26">
        <f t="shared" si="10"/>
        <v>0</v>
      </c>
      <c r="R49" s="27">
        <f t="shared" si="11"/>
        <v>0</v>
      </c>
      <c r="S49" s="28">
        <f t="shared" si="12"/>
        <v>0</v>
      </c>
    </row>
    <row r="50" spans="2:19">
      <c r="B50" s="504" t="s">
        <v>1610</v>
      </c>
      <c r="C50" s="14"/>
      <c r="D50" s="14"/>
      <c r="E50" s="14"/>
      <c r="F50" s="14"/>
      <c r="G50" s="8"/>
      <c r="H50" s="24">
        <f t="shared" si="6"/>
        <v>0</v>
      </c>
      <c r="I50" s="456">
        <f t="shared" si="0"/>
        <v>5.97</v>
      </c>
      <c r="J50" s="10"/>
      <c r="K50" s="12"/>
      <c r="L50" s="505">
        <v>5.97</v>
      </c>
      <c r="M50" s="181"/>
      <c r="N50" s="25">
        <f t="shared" si="7"/>
        <v>0</v>
      </c>
      <c r="O50" s="25">
        <f t="shared" si="8"/>
        <v>0</v>
      </c>
      <c r="P50" s="25">
        <f t="shared" si="9"/>
        <v>0</v>
      </c>
      <c r="Q50" s="26">
        <f t="shared" si="10"/>
        <v>0</v>
      </c>
      <c r="R50" s="27">
        <f t="shared" si="11"/>
        <v>0</v>
      </c>
      <c r="S50" s="28">
        <f t="shared" si="12"/>
        <v>0</v>
      </c>
    </row>
    <row r="51" spans="2:19">
      <c r="B51" s="504" t="s">
        <v>1611</v>
      </c>
      <c r="C51" s="14"/>
      <c r="D51" s="14"/>
      <c r="E51" s="14"/>
      <c r="F51" s="14"/>
      <c r="G51" s="8"/>
      <c r="H51" s="24">
        <f t="shared" si="6"/>
        <v>0</v>
      </c>
      <c r="I51" s="456">
        <f t="shared" si="0"/>
        <v>27.36</v>
      </c>
      <c r="J51" s="10"/>
      <c r="K51" s="12"/>
      <c r="L51" s="505">
        <v>27.36</v>
      </c>
      <c r="M51" s="181"/>
      <c r="N51" s="25">
        <f t="shared" si="7"/>
        <v>0</v>
      </c>
      <c r="O51" s="25">
        <f t="shared" si="8"/>
        <v>0</v>
      </c>
      <c r="P51" s="25">
        <f t="shared" si="9"/>
        <v>0</v>
      </c>
      <c r="Q51" s="26">
        <f t="shared" si="10"/>
        <v>0</v>
      </c>
      <c r="R51" s="27">
        <f t="shared" si="11"/>
        <v>0</v>
      </c>
      <c r="S51" s="28">
        <f t="shared" si="12"/>
        <v>0</v>
      </c>
    </row>
    <row r="52" spans="2:19">
      <c r="B52" s="504" t="s">
        <v>1612</v>
      </c>
      <c r="C52" s="14"/>
      <c r="D52" s="14"/>
      <c r="E52" s="14"/>
      <c r="F52" s="14"/>
      <c r="G52" s="8"/>
      <c r="H52" s="24">
        <f t="shared" si="6"/>
        <v>0</v>
      </c>
      <c r="I52" s="456">
        <f t="shared" si="0"/>
        <v>6.28</v>
      </c>
      <c r="J52" s="10"/>
      <c r="K52" s="12"/>
      <c r="L52" s="505">
        <v>6.28</v>
      </c>
      <c r="M52" s="181"/>
      <c r="N52" s="25">
        <f t="shared" si="7"/>
        <v>0</v>
      </c>
      <c r="O52" s="25">
        <f t="shared" si="8"/>
        <v>0</v>
      </c>
      <c r="P52" s="25">
        <f t="shared" si="9"/>
        <v>0</v>
      </c>
      <c r="Q52" s="26">
        <f t="shared" si="10"/>
        <v>0</v>
      </c>
      <c r="R52" s="27">
        <f t="shared" si="11"/>
        <v>0</v>
      </c>
      <c r="S52" s="28">
        <f t="shared" si="12"/>
        <v>0</v>
      </c>
    </row>
    <row r="53" spans="2:19">
      <c r="B53" s="504" t="s">
        <v>1613</v>
      </c>
      <c r="C53" s="14"/>
      <c r="D53" s="14"/>
      <c r="E53" s="14"/>
      <c r="F53" s="14"/>
      <c r="G53" s="8"/>
      <c r="H53" s="24">
        <f t="shared" si="6"/>
        <v>0</v>
      </c>
      <c r="I53" s="456">
        <f t="shared" si="0"/>
        <v>30.76</v>
      </c>
      <c r="J53" s="10"/>
      <c r="K53" s="12"/>
      <c r="L53" s="505">
        <v>30.76</v>
      </c>
      <c r="M53" s="181"/>
      <c r="N53" s="25">
        <f t="shared" si="7"/>
        <v>0</v>
      </c>
      <c r="O53" s="25">
        <f t="shared" si="8"/>
        <v>0</v>
      </c>
      <c r="P53" s="25">
        <f t="shared" si="9"/>
        <v>0</v>
      </c>
      <c r="Q53" s="26">
        <f t="shared" si="10"/>
        <v>0</v>
      </c>
      <c r="R53" s="27">
        <f t="shared" si="11"/>
        <v>0</v>
      </c>
      <c r="S53" s="28">
        <f t="shared" si="12"/>
        <v>0</v>
      </c>
    </row>
    <row r="54" spans="2:19">
      <c r="B54" s="504" t="s">
        <v>1614</v>
      </c>
      <c r="C54" s="14"/>
      <c r="D54" s="14"/>
      <c r="E54" s="14"/>
      <c r="F54" s="14"/>
      <c r="G54" s="8"/>
      <c r="H54" s="24">
        <f t="shared" si="6"/>
        <v>0</v>
      </c>
      <c r="I54" s="456">
        <f t="shared" si="0"/>
        <v>116.76</v>
      </c>
      <c r="J54" s="10"/>
      <c r="K54" s="12"/>
      <c r="L54" s="505">
        <v>116.76</v>
      </c>
      <c r="M54" s="181"/>
      <c r="N54" s="25">
        <f t="shared" si="7"/>
        <v>0</v>
      </c>
      <c r="O54" s="25">
        <f t="shared" si="8"/>
        <v>0</v>
      </c>
      <c r="P54" s="25">
        <f t="shared" si="9"/>
        <v>0</v>
      </c>
      <c r="Q54" s="26">
        <f t="shared" si="10"/>
        <v>0</v>
      </c>
      <c r="R54" s="27">
        <f t="shared" si="11"/>
        <v>0</v>
      </c>
      <c r="S54" s="28">
        <f t="shared" si="12"/>
        <v>0</v>
      </c>
    </row>
    <row r="55" spans="2:19">
      <c r="B55" s="504" t="s">
        <v>1615</v>
      </c>
      <c r="C55" s="14"/>
      <c r="D55" s="14"/>
      <c r="E55" s="14"/>
      <c r="F55" s="14"/>
      <c r="G55" s="8"/>
      <c r="H55" s="24">
        <f t="shared" si="6"/>
        <v>0</v>
      </c>
      <c r="I55" s="456">
        <f t="shared" si="0"/>
        <v>13.02</v>
      </c>
      <c r="J55" s="10"/>
      <c r="K55" s="12"/>
      <c r="L55" s="505">
        <v>13.02</v>
      </c>
      <c r="M55" s="181"/>
      <c r="N55" s="25">
        <f t="shared" si="7"/>
        <v>0</v>
      </c>
      <c r="O55" s="25">
        <f t="shared" si="8"/>
        <v>0</v>
      </c>
      <c r="P55" s="25">
        <f t="shared" si="9"/>
        <v>0</v>
      </c>
      <c r="Q55" s="26">
        <f t="shared" si="10"/>
        <v>0</v>
      </c>
      <c r="R55" s="27">
        <f t="shared" si="11"/>
        <v>0</v>
      </c>
      <c r="S55" s="28">
        <f t="shared" si="12"/>
        <v>0</v>
      </c>
    </row>
    <row r="56" spans="2:19">
      <c r="B56" s="504" t="s">
        <v>1616</v>
      </c>
      <c r="C56" s="14"/>
      <c r="D56" s="14"/>
      <c r="E56" s="14"/>
      <c r="F56" s="14"/>
      <c r="G56" s="8"/>
      <c r="H56" s="24">
        <f t="shared" si="6"/>
        <v>0</v>
      </c>
      <c r="I56" s="456">
        <f t="shared" si="0"/>
        <v>274.68</v>
      </c>
      <c r="J56" s="10"/>
      <c r="K56" s="12"/>
      <c r="L56" s="505">
        <v>274.68</v>
      </c>
      <c r="M56" s="181"/>
      <c r="N56" s="25">
        <f t="shared" si="7"/>
        <v>0</v>
      </c>
      <c r="O56" s="25">
        <f t="shared" si="8"/>
        <v>0</v>
      </c>
      <c r="P56" s="25">
        <f t="shared" si="9"/>
        <v>0</v>
      </c>
      <c r="Q56" s="26">
        <f t="shared" si="10"/>
        <v>0</v>
      </c>
      <c r="R56" s="27">
        <f t="shared" si="11"/>
        <v>0</v>
      </c>
      <c r="S56" s="28">
        <f t="shared" si="12"/>
        <v>0</v>
      </c>
    </row>
    <row r="57" spans="2:19">
      <c r="B57" s="504" t="s">
        <v>1617</v>
      </c>
      <c r="C57" s="14"/>
      <c r="D57" s="14"/>
      <c r="E57" s="14"/>
      <c r="F57" s="14"/>
      <c r="G57" s="8"/>
      <c r="H57" s="24">
        <f t="shared" si="6"/>
        <v>0</v>
      </c>
      <c r="I57" s="456">
        <f t="shared" si="0"/>
        <v>6.89</v>
      </c>
      <c r="J57" s="10"/>
      <c r="K57" s="12"/>
      <c r="L57" s="505">
        <v>6.89</v>
      </c>
      <c r="M57" s="181"/>
      <c r="N57" s="25">
        <f t="shared" si="7"/>
        <v>0</v>
      </c>
      <c r="O57" s="25">
        <f t="shared" si="8"/>
        <v>0</v>
      </c>
      <c r="P57" s="25">
        <f t="shared" si="9"/>
        <v>0</v>
      </c>
      <c r="Q57" s="26">
        <f t="shared" si="10"/>
        <v>0</v>
      </c>
      <c r="R57" s="27">
        <f t="shared" si="11"/>
        <v>0</v>
      </c>
      <c r="S57" s="28">
        <f t="shared" si="12"/>
        <v>0</v>
      </c>
    </row>
    <row r="58" spans="2:19">
      <c r="B58" s="504" t="s">
        <v>1618</v>
      </c>
      <c r="C58" s="14"/>
      <c r="D58" s="14"/>
      <c r="E58" s="14"/>
      <c r="F58" s="14"/>
      <c r="G58" s="8"/>
      <c r="H58" s="24">
        <f t="shared" si="6"/>
        <v>0</v>
      </c>
      <c r="I58" s="456">
        <f t="shared" si="0"/>
        <v>2.86</v>
      </c>
      <c r="J58" s="10"/>
      <c r="K58" s="12"/>
      <c r="L58" s="505">
        <v>2.86</v>
      </c>
      <c r="M58" s="181"/>
      <c r="N58" s="25">
        <f t="shared" si="7"/>
        <v>0</v>
      </c>
      <c r="O58" s="25">
        <f t="shared" si="8"/>
        <v>0</v>
      </c>
      <c r="P58" s="25">
        <f t="shared" si="9"/>
        <v>0</v>
      </c>
      <c r="Q58" s="26">
        <f t="shared" si="10"/>
        <v>0</v>
      </c>
      <c r="R58" s="27">
        <f t="shared" si="11"/>
        <v>0</v>
      </c>
      <c r="S58" s="28">
        <f t="shared" si="12"/>
        <v>0</v>
      </c>
    </row>
    <row r="59" spans="2:19">
      <c r="B59" s="504" t="s">
        <v>1619</v>
      </c>
      <c r="C59" s="14"/>
      <c r="D59" s="14"/>
      <c r="E59" s="14"/>
      <c r="F59" s="14"/>
      <c r="G59" s="8"/>
      <c r="H59" s="24">
        <f t="shared" si="6"/>
        <v>0</v>
      </c>
      <c r="I59" s="456">
        <f t="shared" si="0"/>
        <v>5.64</v>
      </c>
      <c r="J59" s="10"/>
      <c r="K59" s="12"/>
      <c r="L59" s="505">
        <v>5.64</v>
      </c>
      <c r="M59" s="181"/>
      <c r="N59" s="25">
        <f t="shared" si="7"/>
        <v>0</v>
      </c>
      <c r="O59" s="25">
        <f t="shared" si="8"/>
        <v>0</v>
      </c>
      <c r="P59" s="25">
        <f t="shared" si="9"/>
        <v>0</v>
      </c>
      <c r="Q59" s="26">
        <f t="shared" si="10"/>
        <v>0</v>
      </c>
      <c r="R59" s="27">
        <f t="shared" si="11"/>
        <v>0</v>
      </c>
      <c r="S59" s="28">
        <f t="shared" si="12"/>
        <v>0</v>
      </c>
    </row>
    <row r="60" spans="2:19">
      <c r="B60" s="504" t="s">
        <v>1620</v>
      </c>
      <c r="C60" s="14"/>
      <c r="D60" s="14"/>
      <c r="E60" s="14"/>
      <c r="F60" s="14">
        <v>240</v>
      </c>
      <c r="G60" s="8"/>
      <c r="H60" s="24">
        <f t="shared" si="6"/>
        <v>240</v>
      </c>
      <c r="I60" s="456">
        <f t="shared" si="0"/>
        <v>9.9700000000000006</v>
      </c>
      <c r="J60" s="10"/>
      <c r="K60" s="12"/>
      <c r="L60" s="505">
        <v>9.9700000000000006</v>
      </c>
      <c r="M60" s="181"/>
      <c r="N60" s="25">
        <f t="shared" si="7"/>
        <v>0</v>
      </c>
      <c r="O60" s="25">
        <f t="shared" si="8"/>
        <v>0</v>
      </c>
      <c r="P60" s="25">
        <f t="shared" si="9"/>
        <v>0</v>
      </c>
      <c r="Q60" s="26">
        <f t="shared" si="10"/>
        <v>2392.8000000000002</v>
      </c>
      <c r="R60" s="27">
        <f t="shared" si="11"/>
        <v>0</v>
      </c>
      <c r="S60" s="28">
        <f t="shared" si="12"/>
        <v>2392.8000000000002</v>
      </c>
    </row>
    <row r="61" spans="2:19">
      <c r="B61" s="504" t="s">
        <v>1621</v>
      </c>
      <c r="C61" s="14"/>
      <c r="D61" s="14"/>
      <c r="E61" s="14"/>
      <c r="F61" s="14"/>
      <c r="G61" s="8"/>
      <c r="H61" s="24">
        <f t="shared" si="6"/>
        <v>0</v>
      </c>
      <c r="I61" s="456">
        <f t="shared" si="0"/>
        <v>4.4000000000000004</v>
      </c>
      <c r="J61" s="10"/>
      <c r="K61" s="12"/>
      <c r="L61" s="505">
        <v>4.4000000000000004</v>
      </c>
      <c r="M61" s="181"/>
      <c r="N61" s="25">
        <f t="shared" si="7"/>
        <v>0</v>
      </c>
      <c r="O61" s="25">
        <f t="shared" si="8"/>
        <v>0</v>
      </c>
      <c r="P61" s="25">
        <f t="shared" si="9"/>
        <v>0</v>
      </c>
      <c r="Q61" s="26">
        <f t="shared" si="10"/>
        <v>0</v>
      </c>
      <c r="R61" s="27">
        <f t="shared" si="11"/>
        <v>0</v>
      </c>
      <c r="S61" s="28">
        <f t="shared" si="12"/>
        <v>0</v>
      </c>
    </row>
    <row r="62" spans="2:19">
      <c r="B62" s="504" t="s">
        <v>1622</v>
      </c>
      <c r="C62" s="14"/>
      <c r="D62" s="14"/>
      <c r="E62" s="14"/>
      <c r="F62" s="14"/>
      <c r="G62" s="8"/>
      <c r="H62" s="24">
        <f t="shared" si="6"/>
        <v>0</v>
      </c>
      <c r="I62" s="456">
        <f t="shared" si="0"/>
        <v>3.68</v>
      </c>
      <c r="J62" s="10"/>
      <c r="K62" s="12"/>
      <c r="L62" s="505">
        <v>3.68</v>
      </c>
      <c r="M62" s="181"/>
      <c r="N62" s="25">
        <f t="shared" si="7"/>
        <v>0</v>
      </c>
      <c r="O62" s="25">
        <f t="shared" si="8"/>
        <v>0</v>
      </c>
      <c r="P62" s="25">
        <f t="shared" si="9"/>
        <v>0</v>
      </c>
      <c r="Q62" s="26">
        <f t="shared" si="10"/>
        <v>0</v>
      </c>
      <c r="R62" s="27">
        <f t="shared" si="11"/>
        <v>0</v>
      </c>
      <c r="S62" s="28">
        <f t="shared" si="12"/>
        <v>0</v>
      </c>
    </row>
    <row r="63" spans="2:19">
      <c r="B63" s="504" t="s">
        <v>1623</v>
      </c>
      <c r="C63" s="14"/>
      <c r="D63" s="14"/>
      <c r="E63" s="14"/>
      <c r="F63" s="14"/>
      <c r="G63" s="8"/>
      <c r="H63" s="24">
        <f t="shared" si="6"/>
        <v>0</v>
      </c>
      <c r="I63" s="456">
        <f t="shared" si="0"/>
        <v>8.8699999999999992</v>
      </c>
      <c r="J63" s="10"/>
      <c r="K63" s="12"/>
      <c r="L63" s="505">
        <v>8.8699999999999992</v>
      </c>
      <c r="M63" s="181"/>
      <c r="N63" s="25">
        <f t="shared" si="7"/>
        <v>0</v>
      </c>
      <c r="O63" s="25">
        <f t="shared" si="8"/>
        <v>0</v>
      </c>
      <c r="P63" s="25">
        <f t="shared" si="9"/>
        <v>0</v>
      </c>
      <c r="Q63" s="26">
        <f t="shared" si="10"/>
        <v>0</v>
      </c>
      <c r="R63" s="27">
        <f t="shared" si="11"/>
        <v>0</v>
      </c>
      <c r="S63" s="28">
        <f t="shared" si="12"/>
        <v>0</v>
      </c>
    </row>
    <row r="64" spans="2:19">
      <c r="B64" s="504" t="s">
        <v>1624</v>
      </c>
      <c r="C64" s="14"/>
      <c r="D64" s="14"/>
      <c r="E64" s="14"/>
      <c r="F64" s="14">
        <v>6</v>
      </c>
      <c r="G64" s="8"/>
      <c r="H64" s="24">
        <f t="shared" si="6"/>
        <v>6</v>
      </c>
      <c r="I64" s="456">
        <f t="shared" si="0"/>
        <v>38.44</v>
      </c>
      <c r="J64" s="10"/>
      <c r="K64" s="12"/>
      <c r="L64" s="505">
        <v>38.44</v>
      </c>
      <c r="M64" s="181"/>
      <c r="N64" s="25">
        <f t="shared" si="7"/>
        <v>0</v>
      </c>
      <c r="O64" s="25">
        <f t="shared" si="8"/>
        <v>0</v>
      </c>
      <c r="P64" s="25">
        <f t="shared" si="9"/>
        <v>0</v>
      </c>
      <c r="Q64" s="26">
        <f t="shared" si="10"/>
        <v>230.64</v>
      </c>
      <c r="R64" s="27">
        <f t="shared" si="11"/>
        <v>0</v>
      </c>
      <c r="S64" s="28">
        <f t="shared" si="12"/>
        <v>230.64</v>
      </c>
    </row>
    <row r="65" spans="2:19">
      <c r="B65" s="504" t="s">
        <v>1625</v>
      </c>
      <c r="C65" s="14"/>
      <c r="D65" s="14"/>
      <c r="E65" s="14"/>
      <c r="F65" s="14"/>
      <c r="G65" s="8"/>
      <c r="H65" s="24">
        <f t="shared" si="6"/>
        <v>0</v>
      </c>
      <c r="I65" s="456">
        <f t="shared" si="0"/>
        <v>7.26</v>
      </c>
      <c r="J65" s="10"/>
      <c r="K65" s="12"/>
      <c r="L65" s="505">
        <v>7.26</v>
      </c>
      <c r="M65" s="181"/>
      <c r="N65" s="25">
        <f t="shared" si="7"/>
        <v>0</v>
      </c>
      <c r="O65" s="25">
        <f t="shared" si="8"/>
        <v>0</v>
      </c>
      <c r="P65" s="25">
        <f t="shared" si="9"/>
        <v>0</v>
      </c>
      <c r="Q65" s="26">
        <f t="shared" si="10"/>
        <v>0</v>
      </c>
      <c r="R65" s="27">
        <f t="shared" si="11"/>
        <v>0</v>
      </c>
      <c r="S65" s="28">
        <f t="shared" si="12"/>
        <v>0</v>
      </c>
    </row>
    <row r="66" spans="2:19">
      <c r="B66" s="504" t="s">
        <v>1626</v>
      </c>
      <c r="C66" s="14"/>
      <c r="D66" s="14"/>
      <c r="E66" s="14"/>
      <c r="F66" s="14"/>
      <c r="G66" s="8"/>
      <c r="H66" s="24">
        <f t="shared" si="6"/>
        <v>0</v>
      </c>
      <c r="I66" s="456">
        <f t="shared" si="0"/>
        <v>350.1</v>
      </c>
      <c r="J66" s="10"/>
      <c r="K66" s="12"/>
      <c r="L66" s="505">
        <v>350.1</v>
      </c>
      <c r="M66" s="181"/>
      <c r="N66" s="25">
        <f t="shared" si="7"/>
        <v>0</v>
      </c>
      <c r="O66" s="25">
        <f t="shared" si="8"/>
        <v>0</v>
      </c>
      <c r="P66" s="25">
        <f t="shared" si="9"/>
        <v>0</v>
      </c>
      <c r="Q66" s="26">
        <f t="shared" si="10"/>
        <v>0</v>
      </c>
      <c r="R66" s="27">
        <f t="shared" si="11"/>
        <v>0</v>
      </c>
      <c r="S66" s="28">
        <f t="shared" si="12"/>
        <v>0</v>
      </c>
    </row>
    <row r="67" spans="2:19">
      <c r="B67" s="504" t="s">
        <v>1627</v>
      </c>
      <c r="C67" s="14"/>
      <c r="D67" s="14"/>
      <c r="E67" s="14"/>
      <c r="F67" s="14"/>
      <c r="G67" s="8"/>
      <c r="H67" s="24">
        <f t="shared" si="6"/>
        <v>0</v>
      </c>
      <c r="I67" s="456">
        <f t="shared" si="0"/>
        <v>117.07</v>
      </c>
      <c r="J67" s="10"/>
      <c r="K67" s="12"/>
      <c r="L67" s="505">
        <v>117.07</v>
      </c>
      <c r="M67" s="181"/>
      <c r="N67" s="25">
        <f t="shared" si="7"/>
        <v>0</v>
      </c>
      <c r="O67" s="25">
        <f t="shared" si="8"/>
        <v>0</v>
      </c>
      <c r="P67" s="25">
        <f t="shared" si="9"/>
        <v>0</v>
      </c>
      <c r="Q67" s="26">
        <f t="shared" si="10"/>
        <v>0</v>
      </c>
      <c r="R67" s="27">
        <f t="shared" si="11"/>
        <v>0</v>
      </c>
      <c r="S67" s="28">
        <f t="shared" si="12"/>
        <v>0</v>
      </c>
    </row>
    <row r="68" spans="2:19">
      <c r="B68" s="504" t="s">
        <v>1628</v>
      </c>
      <c r="C68" s="14"/>
      <c r="D68" s="14"/>
      <c r="E68" s="14"/>
      <c r="F68" s="14"/>
      <c r="G68" s="8"/>
      <c r="H68" s="24">
        <f t="shared" si="6"/>
        <v>0</v>
      </c>
      <c r="I68" s="456">
        <f t="shared" si="0"/>
        <v>15.6</v>
      </c>
      <c r="J68" s="10"/>
      <c r="K68" s="12"/>
      <c r="L68" s="505">
        <v>15.6</v>
      </c>
      <c r="M68" s="181"/>
      <c r="N68" s="25">
        <f t="shared" si="7"/>
        <v>0</v>
      </c>
      <c r="O68" s="25">
        <f t="shared" si="8"/>
        <v>0</v>
      </c>
      <c r="P68" s="25">
        <f t="shared" si="9"/>
        <v>0</v>
      </c>
      <c r="Q68" s="26">
        <f t="shared" si="10"/>
        <v>0</v>
      </c>
      <c r="R68" s="27">
        <f t="shared" si="11"/>
        <v>0</v>
      </c>
      <c r="S68" s="28">
        <f t="shared" si="12"/>
        <v>0</v>
      </c>
    </row>
    <row r="69" spans="2:19">
      <c r="B69" s="504" t="s">
        <v>1629</v>
      </c>
      <c r="C69" s="14"/>
      <c r="D69" s="14"/>
      <c r="E69" s="14"/>
      <c r="F69" s="14"/>
      <c r="G69" s="8"/>
      <c r="H69" s="24">
        <f t="shared" si="6"/>
        <v>0</v>
      </c>
      <c r="I69" s="456">
        <f t="shared" si="0"/>
        <v>28.08</v>
      </c>
      <c r="J69" s="10"/>
      <c r="K69" s="12"/>
      <c r="L69" s="505">
        <v>28.08</v>
      </c>
      <c r="M69" s="181"/>
      <c r="N69" s="25">
        <f t="shared" si="7"/>
        <v>0</v>
      </c>
      <c r="O69" s="25">
        <f t="shared" si="8"/>
        <v>0</v>
      </c>
      <c r="P69" s="25">
        <f t="shared" si="9"/>
        <v>0</v>
      </c>
      <c r="Q69" s="26">
        <f t="shared" si="10"/>
        <v>0</v>
      </c>
      <c r="R69" s="27">
        <f t="shared" si="11"/>
        <v>0</v>
      </c>
      <c r="S69" s="28">
        <f t="shared" si="12"/>
        <v>0</v>
      </c>
    </row>
    <row r="70" spans="2:19">
      <c r="B70" s="504" t="s">
        <v>1630</v>
      </c>
      <c r="C70" s="14"/>
      <c r="D70" s="14"/>
      <c r="E70" s="14"/>
      <c r="F70" s="14">
        <v>0</v>
      </c>
      <c r="G70" s="8"/>
      <c r="H70" s="24">
        <f t="shared" si="6"/>
        <v>0</v>
      </c>
      <c r="I70" s="456">
        <f t="shared" ref="I70:I95" si="13">L70-(L70*J70)</f>
        <v>15.69</v>
      </c>
      <c r="J70" s="10"/>
      <c r="K70" s="12"/>
      <c r="L70" s="505">
        <v>15.69</v>
      </c>
      <c r="M70" s="181"/>
      <c r="N70" s="25">
        <f t="shared" si="7"/>
        <v>0</v>
      </c>
      <c r="O70" s="25">
        <f t="shared" si="8"/>
        <v>0</v>
      </c>
      <c r="P70" s="25">
        <f t="shared" si="9"/>
        <v>0</v>
      </c>
      <c r="Q70" s="26">
        <f t="shared" si="10"/>
        <v>0</v>
      </c>
      <c r="R70" s="27">
        <f t="shared" si="11"/>
        <v>0</v>
      </c>
      <c r="S70" s="28">
        <f t="shared" si="12"/>
        <v>0</v>
      </c>
    </row>
    <row r="71" spans="2:19">
      <c r="B71" s="504" t="s">
        <v>1631</v>
      </c>
      <c r="C71" s="14"/>
      <c r="D71" s="14"/>
      <c r="E71" s="14"/>
      <c r="F71" s="14"/>
      <c r="G71" s="8"/>
      <c r="H71" s="24">
        <f t="shared" si="6"/>
        <v>0</v>
      </c>
      <c r="I71" s="456">
        <f t="shared" si="13"/>
        <v>82.68</v>
      </c>
      <c r="J71" s="10"/>
      <c r="K71" s="12"/>
      <c r="L71" s="505">
        <v>82.68</v>
      </c>
      <c r="M71" s="181"/>
      <c r="N71" s="25">
        <f t="shared" ref="N71:N95" si="14">I71*C71</f>
        <v>0</v>
      </c>
      <c r="O71" s="25">
        <f t="shared" ref="O71:O95" si="15">I71*D71</f>
        <v>0</v>
      </c>
      <c r="P71" s="25">
        <f t="shared" ref="P71:P95" si="16">I71*E71</f>
        <v>0</v>
      </c>
      <c r="Q71" s="26">
        <f t="shared" ref="Q71:Q95" si="17">I71*F71</f>
        <v>0</v>
      </c>
      <c r="R71" s="27">
        <f t="shared" ref="R71:R95" si="18">I71*G71</f>
        <v>0</v>
      </c>
      <c r="S71" s="28">
        <f t="shared" ref="S71:S95" si="19">SUM(N71:R71)</f>
        <v>0</v>
      </c>
    </row>
    <row r="72" spans="2:19">
      <c r="B72" s="504" t="s">
        <v>1632</v>
      </c>
      <c r="C72" s="14"/>
      <c r="D72" s="14"/>
      <c r="E72" s="14"/>
      <c r="F72" s="14">
        <v>6</v>
      </c>
      <c r="G72" s="8"/>
      <c r="H72" s="24">
        <f t="shared" si="6"/>
        <v>6</v>
      </c>
      <c r="I72" s="456">
        <f t="shared" si="13"/>
        <v>28.94</v>
      </c>
      <c r="J72" s="10"/>
      <c r="K72" s="12"/>
      <c r="L72" s="505">
        <v>28.94</v>
      </c>
      <c r="M72" s="181"/>
      <c r="N72" s="25">
        <f t="shared" si="14"/>
        <v>0</v>
      </c>
      <c r="O72" s="25">
        <f t="shared" si="15"/>
        <v>0</v>
      </c>
      <c r="P72" s="25">
        <f t="shared" si="16"/>
        <v>0</v>
      </c>
      <c r="Q72" s="26">
        <f t="shared" si="17"/>
        <v>173.64000000000001</v>
      </c>
      <c r="R72" s="27">
        <f t="shared" si="18"/>
        <v>0</v>
      </c>
      <c r="S72" s="28">
        <f t="shared" si="19"/>
        <v>173.64000000000001</v>
      </c>
    </row>
    <row r="73" spans="2:19">
      <c r="B73" s="504" t="s">
        <v>1633</v>
      </c>
      <c r="C73" s="14"/>
      <c r="D73" s="14"/>
      <c r="E73" s="14"/>
      <c r="F73" s="14">
        <v>36</v>
      </c>
      <c r="G73" s="8"/>
      <c r="H73" s="24">
        <f t="shared" si="6"/>
        <v>36</v>
      </c>
      <c r="I73" s="456">
        <f t="shared" si="13"/>
        <v>39.51</v>
      </c>
      <c r="J73" s="10"/>
      <c r="K73" s="12"/>
      <c r="L73" s="505">
        <v>39.51</v>
      </c>
      <c r="M73" s="181"/>
      <c r="N73" s="25">
        <f t="shared" si="14"/>
        <v>0</v>
      </c>
      <c r="O73" s="25">
        <f t="shared" si="15"/>
        <v>0</v>
      </c>
      <c r="P73" s="25">
        <f t="shared" si="16"/>
        <v>0</v>
      </c>
      <c r="Q73" s="26">
        <f t="shared" si="17"/>
        <v>1422.36</v>
      </c>
      <c r="R73" s="27">
        <f t="shared" si="18"/>
        <v>0</v>
      </c>
      <c r="S73" s="28">
        <f t="shared" si="19"/>
        <v>1422.36</v>
      </c>
    </row>
    <row r="74" spans="2:19">
      <c r="B74" s="504" t="s">
        <v>1634</v>
      </c>
      <c r="C74" s="14"/>
      <c r="D74" s="14"/>
      <c r="E74" s="14"/>
      <c r="F74" s="14"/>
      <c r="G74" s="8"/>
      <c r="H74" s="24">
        <f t="shared" si="6"/>
        <v>0</v>
      </c>
      <c r="I74" s="456">
        <f t="shared" si="13"/>
        <v>43.92</v>
      </c>
      <c r="J74" s="10"/>
      <c r="K74" s="12"/>
      <c r="L74" s="505">
        <v>43.92</v>
      </c>
      <c r="M74" s="181"/>
      <c r="N74" s="25">
        <f t="shared" si="14"/>
        <v>0</v>
      </c>
      <c r="O74" s="25">
        <f t="shared" si="15"/>
        <v>0</v>
      </c>
      <c r="P74" s="25">
        <f t="shared" si="16"/>
        <v>0</v>
      </c>
      <c r="Q74" s="26">
        <f t="shared" si="17"/>
        <v>0</v>
      </c>
      <c r="R74" s="27">
        <f t="shared" si="18"/>
        <v>0</v>
      </c>
      <c r="S74" s="28">
        <f t="shared" si="19"/>
        <v>0</v>
      </c>
    </row>
    <row r="75" spans="2:19">
      <c r="B75" s="504" t="s">
        <v>1635</v>
      </c>
      <c r="C75" s="14"/>
      <c r="D75" s="14"/>
      <c r="E75" s="14"/>
      <c r="F75" s="14">
        <v>6</v>
      </c>
      <c r="G75" s="8"/>
      <c r="H75" s="24">
        <f t="shared" si="6"/>
        <v>6</v>
      </c>
      <c r="I75" s="456">
        <f t="shared" si="13"/>
        <v>46.33</v>
      </c>
      <c r="J75" s="10"/>
      <c r="K75" s="12"/>
      <c r="L75" s="505">
        <v>46.33</v>
      </c>
      <c r="M75" s="181"/>
      <c r="N75" s="25">
        <f t="shared" si="14"/>
        <v>0</v>
      </c>
      <c r="O75" s="25">
        <f t="shared" si="15"/>
        <v>0</v>
      </c>
      <c r="P75" s="25">
        <f t="shared" si="16"/>
        <v>0</v>
      </c>
      <c r="Q75" s="26">
        <f t="shared" si="17"/>
        <v>277.98</v>
      </c>
      <c r="R75" s="27">
        <f t="shared" si="18"/>
        <v>0</v>
      </c>
      <c r="S75" s="28">
        <f t="shared" si="19"/>
        <v>277.98</v>
      </c>
    </row>
    <row r="76" spans="2:19">
      <c r="B76" s="504" t="s">
        <v>1636</v>
      </c>
      <c r="C76" s="14"/>
      <c r="D76" s="14"/>
      <c r="E76" s="14"/>
      <c r="F76" s="14"/>
      <c r="G76" s="8"/>
      <c r="H76" s="24">
        <f t="shared" ref="H76:H95" si="20">SUM(C76:G76)</f>
        <v>0</v>
      </c>
      <c r="I76" s="456">
        <f t="shared" si="13"/>
        <v>485.72</v>
      </c>
      <c r="J76" s="10"/>
      <c r="K76" s="12"/>
      <c r="L76" s="505">
        <v>485.72</v>
      </c>
      <c r="M76" s="181"/>
      <c r="N76" s="25">
        <f t="shared" si="14"/>
        <v>0</v>
      </c>
      <c r="O76" s="25">
        <f t="shared" si="15"/>
        <v>0</v>
      </c>
      <c r="P76" s="25">
        <f t="shared" si="16"/>
        <v>0</v>
      </c>
      <c r="Q76" s="26">
        <f t="shared" si="17"/>
        <v>0</v>
      </c>
      <c r="R76" s="27">
        <f t="shared" si="18"/>
        <v>0</v>
      </c>
      <c r="S76" s="28">
        <f t="shared" si="19"/>
        <v>0</v>
      </c>
    </row>
    <row r="77" spans="2:19">
      <c r="B77" s="504" t="s">
        <v>1637</v>
      </c>
      <c r="C77" s="14"/>
      <c r="D77" s="14"/>
      <c r="E77" s="14"/>
      <c r="F77" s="14">
        <v>6</v>
      </c>
      <c r="G77" s="8"/>
      <c r="H77" s="24">
        <f t="shared" si="20"/>
        <v>6</v>
      </c>
      <c r="I77" s="456">
        <f t="shared" si="13"/>
        <v>128.13999999999999</v>
      </c>
      <c r="J77" s="10"/>
      <c r="K77" s="12"/>
      <c r="L77" s="505">
        <v>128.13999999999999</v>
      </c>
      <c r="M77" s="181"/>
      <c r="N77" s="25">
        <f t="shared" si="14"/>
        <v>0</v>
      </c>
      <c r="O77" s="25">
        <f t="shared" si="15"/>
        <v>0</v>
      </c>
      <c r="P77" s="25">
        <f t="shared" si="16"/>
        <v>0</v>
      </c>
      <c r="Q77" s="26">
        <f t="shared" si="17"/>
        <v>768.83999999999992</v>
      </c>
      <c r="R77" s="27">
        <f t="shared" si="18"/>
        <v>0</v>
      </c>
      <c r="S77" s="28">
        <f t="shared" si="19"/>
        <v>768.83999999999992</v>
      </c>
    </row>
    <row r="78" spans="2:19">
      <c r="B78" s="504" t="s">
        <v>1638</v>
      </c>
      <c r="C78" s="14"/>
      <c r="D78" s="14"/>
      <c r="E78" s="14"/>
      <c r="F78" s="14"/>
      <c r="G78" s="8"/>
      <c r="H78" s="24">
        <f t="shared" si="20"/>
        <v>0</v>
      </c>
      <c r="I78" s="456">
        <f t="shared" si="13"/>
        <v>31.6</v>
      </c>
      <c r="J78" s="10"/>
      <c r="K78" s="12"/>
      <c r="L78" s="505">
        <v>31.6</v>
      </c>
      <c r="M78" s="181"/>
      <c r="N78" s="25">
        <f t="shared" si="14"/>
        <v>0</v>
      </c>
      <c r="O78" s="25">
        <f t="shared" si="15"/>
        <v>0</v>
      </c>
      <c r="P78" s="25">
        <f t="shared" si="16"/>
        <v>0</v>
      </c>
      <c r="Q78" s="26">
        <f t="shared" si="17"/>
        <v>0</v>
      </c>
      <c r="R78" s="27">
        <f t="shared" si="18"/>
        <v>0</v>
      </c>
      <c r="S78" s="28">
        <f t="shared" si="19"/>
        <v>0</v>
      </c>
    </row>
    <row r="79" spans="2:19">
      <c r="B79" s="504" t="s">
        <v>1639</v>
      </c>
      <c r="C79" s="14"/>
      <c r="D79" s="14"/>
      <c r="E79" s="14"/>
      <c r="F79" s="14"/>
      <c r="G79" s="8"/>
      <c r="H79" s="24">
        <f t="shared" si="20"/>
        <v>0</v>
      </c>
      <c r="I79" s="456">
        <f t="shared" si="13"/>
        <v>7.23</v>
      </c>
      <c r="J79" s="10"/>
      <c r="K79" s="12"/>
      <c r="L79" s="505">
        <v>7.23</v>
      </c>
      <c r="M79" s="181"/>
      <c r="N79" s="25">
        <f t="shared" si="14"/>
        <v>0</v>
      </c>
      <c r="O79" s="25">
        <f t="shared" si="15"/>
        <v>0</v>
      </c>
      <c r="P79" s="25">
        <f t="shared" si="16"/>
        <v>0</v>
      </c>
      <c r="Q79" s="26">
        <f t="shared" si="17"/>
        <v>0</v>
      </c>
      <c r="R79" s="27">
        <f t="shared" si="18"/>
        <v>0</v>
      </c>
      <c r="S79" s="28">
        <f t="shared" si="19"/>
        <v>0</v>
      </c>
    </row>
    <row r="80" spans="2:19">
      <c r="B80" s="504" t="s">
        <v>1640</v>
      </c>
      <c r="C80" s="14"/>
      <c r="D80" s="14"/>
      <c r="E80" s="14"/>
      <c r="F80" s="14"/>
      <c r="G80" s="8"/>
      <c r="H80" s="24">
        <f t="shared" si="20"/>
        <v>0</v>
      </c>
      <c r="I80" s="456">
        <f t="shared" si="13"/>
        <v>168.49</v>
      </c>
      <c r="J80" s="10"/>
      <c r="K80" s="12"/>
      <c r="L80" s="505">
        <v>168.49</v>
      </c>
      <c r="M80" s="181"/>
      <c r="N80" s="25">
        <f t="shared" si="14"/>
        <v>0</v>
      </c>
      <c r="O80" s="25">
        <f t="shared" si="15"/>
        <v>0</v>
      </c>
      <c r="P80" s="25">
        <f t="shared" si="16"/>
        <v>0</v>
      </c>
      <c r="Q80" s="26">
        <f t="shared" si="17"/>
        <v>0</v>
      </c>
      <c r="R80" s="27">
        <f t="shared" si="18"/>
        <v>0</v>
      </c>
      <c r="S80" s="28">
        <f t="shared" si="19"/>
        <v>0</v>
      </c>
    </row>
    <row r="81" spans="2:19">
      <c r="B81" s="504" t="s">
        <v>1641</v>
      </c>
      <c r="C81" s="14"/>
      <c r="D81" s="14"/>
      <c r="E81" s="14"/>
      <c r="F81" s="14"/>
      <c r="G81" s="8"/>
      <c r="H81" s="24">
        <f t="shared" si="20"/>
        <v>0</v>
      </c>
      <c r="I81" s="456">
        <f t="shared" si="13"/>
        <v>38.4</v>
      </c>
      <c r="J81" s="10"/>
      <c r="K81" s="12"/>
      <c r="L81" s="505">
        <v>38.4</v>
      </c>
      <c r="M81" s="181"/>
      <c r="N81" s="25">
        <f t="shared" si="14"/>
        <v>0</v>
      </c>
      <c r="O81" s="25">
        <f t="shared" si="15"/>
        <v>0</v>
      </c>
      <c r="P81" s="25">
        <f t="shared" si="16"/>
        <v>0</v>
      </c>
      <c r="Q81" s="26">
        <f t="shared" si="17"/>
        <v>0</v>
      </c>
      <c r="R81" s="27">
        <f t="shared" si="18"/>
        <v>0</v>
      </c>
      <c r="S81" s="28">
        <f t="shared" si="19"/>
        <v>0</v>
      </c>
    </row>
    <row r="82" spans="2:19">
      <c r="B82" s="504" t="s">
        <v>1642</v>
      </c>
      <c r="C82" s="14"/>
      <c r="D82" s="14"/>
      <c r="E82" s="14"/>
      <c r="F82" s="14"/>
      <c r="G82" s="8"/>
      <c r="H82" s="24">
        <f t="shared" si="20"/>
        <v>0</v>
      </c>
      <c r="I82" s="456">
        <f t="shared" si="13"/>
        <v>7.68</v>
      </c>
      <c r="J82" s="10"/>
      <c r="K82" s="12"/>
      <c r="L82" s="505">
        <v>7.68</v>
      </c>
      <c r="M82" s="181"/>
      <c r="N82" s="25">
        <f t="shared" si="14"/>
        <v>0</v>
      </c>
      <c r="O82" s="25">
        <f t="shared" si="15"/>
        <v>0</v>
      </c>
      <c r="P82" s="25">
        <f t="shared" si="16"/>
        <v>0</v>
      </c>
      <c r="Q82" s="26">
        <f t="shared" si="17"/>
        <v>0</v>
      </c>
      <c r="R82" s="27">
        <f t="shared" si="18"/>
        <v>0</v>
      </c>
      <c r="S82" s="28">
        <f t="shared" si="19"/>
        <v>0</v>
      </c>
    </row>
    <row r="83" spans="2:19">
      <c r="B83" s="504" t="s">
        <v>1643</v>
      </c>
      <c r="C83" s="14"/>
      <c r="D83" s="14"/>
      <c r="E83" s="14"/>
      <c r="F83" s="14"/>
      <c r="G83" s="8"/>
      <c r="H83" s="24">
        <f t="shared" si="20"/>
        <v>0</v>
      </c>
      <c r="I83" s="456">
        <f t="shared" si="13"/>
        <v>12.8</v>
      </c>
      <c r="J83" s="10"/>
      <c r="K83" s="12"/>
      <c r="L83" s="505">
        <v>12.8</v>
      </c>
      <c r="M83" s="181"/>
      <c r="N83" s="25">
        <f t="shared" si="14"/>
        <v>0</v>
      </c>
      <c r="O83" s="25">
        <f t="shared" si="15"/>
        <v>0</v>
      </c>
      <c r="P83" s="25">
        <f t="shared" si="16"/>
        <v>0</v>
      </c>
      <c r="Q83" s="26">
        <f t="shared" si="17"/>
        <v>0</v>
      </c>
      <c r="R83" s="27">
        <f t="shared" si="18"/>
        <v>0</v>
      </c>
      <c r="S83" s="28">
        <f t="shared" si="19"/>
        <v>0</v>
      </c>
    </row>
    <row r="84" spans="2:19">
      <c r="B84" s="504" t="s">
        <v>1644</v>
      </c>
      <c r="C84" s="14"/>
      <c r="D84" s="14"/>
      <c r="E84" s="14"/>
      <c r="F84" s="14"/>
      <c r="G84" s="8"/>
      <c r="H84" s="24">
        <f t="shared" si="20"/>
        <v>0</v>
      </c>
      <c r="I84" s="456">
        <f t="shared" si="13"/>
        <v>19.2</v>
      </c>
      <c r="J84" s="10"/>
      <c r="K84" s="12"/>
      <c r="L84" s="505">
        <v>19.2</v>
      </c>
      <c r="M84" s="181"/>
      <c r="N84" s="25">
        <f t="shared" si="14"/>
        <v>0</v>
      </c>
      <c r="O84" s="25">
        <f t="shared" si="15"/>
        <v>0</v>
      </c>
      <c r="P84" s="25">
        <f t="shared" si="16"/>
        <v>0</v>
      </c>
      <c r="Q84" s="26">
        <f t="shared" si="17"/>
        <v>0</v>
      </c>
      <c r="R84" s="27">
        <f t="shared" si="18"/>
        <v>0</v>
      </c>
      <c r="S84" s="28">
        <f t="shared" si="19"/>
        <v>0</v>
      </c>
    </row>
    <row r="85" spans="2:19">
      <c r="B85" s="504" t="s">
        <v>1645</v>
      </c>
      <c r="C85" s="14"/>
      <c r="D85" s="14"/>
      <c r="E85" s="14"/>
      <c r="F85" s="14"/>
      <c r="G85" s="8"/>
      <c r="H85" s="24">
        <f t="shared" si="20"/>
        <v>0</v>
      </c>
      <c r="I85" s="456">
        <f t="shared" si="13"/>
        <v>12.95</v>
      </c>
      <c r="J85" s="10"/>
      <c r="K85" s="12"/>
      <c r="L85" s="505">
        <v>12.95</v>
      </c>
      <c r="M85" s="181"/>
      <c r="N85" s="25">
        <f t="shared" si="14"/>
        <v>0</v>
      </c>
      <c r="O85" s="25">
        <f t="shared" si="15"/>
        <v>0</v>
      </c>
      <c r="P85" s="25">
        <f t="shared" si="16"/>
        <v>0</v>
      </c>
      <c r="Q85" s="26">
        <f t="shared" si="17"/>
        <v>0</v>
      </c>
      <c r="R85" s="27">
        <f t="shared" si="18"/>
        <v>0</v>
      </c>
      <c r="S85" s="28">
        <f t="shared" si="19"/>
        <v>0</v>
      </c>
    </row>
    <row r="86" spans="2:19">
      <c r="B86" s="504" t="s">
        <v>1646</v>
      </c>
      <c r="C86" s="14"/>
      <c r="D86" s="14"/>
      <c r="E86" s="14"/>
      <c r="F86" s="14"/>
      <c r="G86" s="8"/>
      <c r="H86" s="24">
        <f t="shared" si="20"/>
        <v>0</v>
      </c>
      <c r="I86" s="456">
        <f t="shared" si="13"/>
        <v>10.09</v>
      </c>
      <c r="J86" s="10"/>
      <c r="K86" s="12"/>
      <c r="L86" s="505">
        <v>10.09</v>
      </c>
      <c r="M86" s="181"/>
      <c r="N86" s="25">
        <f t="shared" si="14"/>
        <v>0</v>
      </c>
      <c r="O86" s="25">
        <f t="shared" si="15"/>
        <v>0</v>
      </c>
      <c r="P86" s="25">
        <f t="shared" si="16"/>
        <v>0</v>
      </c>
      <c r="Q86" s="26">
        <f t="shared" si="17"/>
        <v>0</v>
      </c>
      <c r="R86" s="27">
        <f t="shared" si="18"/>
        <v>0</v>
      </c>
      <c r="S86" s="28">
        <f t="shared" si="19"/>
        <v>0</v>
      </c>
    </row>
    <row r="87" spans="2:19">
      <c r="B87" s="504" t="s">
        <v>1647</v>
      </c>
      <c r="C87" s="14"/>
      <c r="D87" s="14"/>
      <c r="E87" s="14"/>
      <c r="F87" s="14"/>
      <c r="G87" s="8"/>
      <c r="H87" s="24">
        <f t="shared" si="20"/>
        <v>0</v>
      </c>
      <c r="I87" s="456">
        <f t="shared" si="13"/>
        <v>7.05</v>
      </c>
      <c r="J87" s="10"/>
      <c r="K87" s="12"/>
      <c r="L87" s="505">
        <v>7.05</v>
      </c>
      <c r="M87" s="181"/>
      <c r="N87" s="25">
        <f t="shared" si="14"/>
        <v>0</v>
      </c>
      <c r="O87" s="25">
        <f t="shared" si="15"/>
        <v>0</v>
      </c>
      <c r="P87" s="25">
        <f t="shared" si="16"/>
        <v>0</v>
      </c>
      <c r="Q87" s="26">
        <f t="shared" si="17"/>
        <v>0</v>
      </c>
      <c r="R87" s="27">
        <f t="shared" si="18"/>
        <v>0</v>
      </c>
      <c r="S87" s="28">
        <f t="shared" si="19"/>
        <v>0</v>
      </c>
    </row>
    <row r="88" spans="2:19">
      <c r="B88" s="504" t="s">
        <v>1648</v>
      </c>
      <c r="C88" s="14"/>
      <c r="D88" s="14"/>
      <c r="E88" s="14"/>
      <c r="F88" s="14"/>
      <c r="G88" s="8"/>
      <c r="H88" s="24">
        <f t="shared" si="20"/>
        <v>0</v>
      </c>
      <c r="I88" s="456">
        <f t="shared" si="13"/>
        <v>10.58</v>
      </c>
      <c r="J88" s="10"/>
      <c r="K88" s="12"/>
      <c r="L88" s="505">
        <v>10.58</v>
      </c>
      <c r="M88" s="181"/>
      <c r="N88" s="25">
        <f t="shared" si="14"/>
        <v>0</v>
      </c>
      <c r="O88" s="25">
        <f t="shared" si="15"/>
        <v>0</v>
      </c>
      <c r="P88" s="25">
        <f t="shared" si="16"/>
        <v>0</v>
      </c>
      <c r="Q88" s="26">
        <f t="shared" si="17"/>
        <v>0</v>
      </c>
      <c r="R88" s="27">
        <f t="shared" si="18"/>
        <v>0</v>
      </c>
      <c r="S88" s="28">
        <f t="shared" si="19"/>
        <v>0</v>
      </c>
    </row>
    <row r="89" spans="2:19">
      <c r="B89" s="504" t="s">
        <v>1649</v>
      </c>
      <c r="C89" s="14"/>
      <c r="D89" s="14"/>
      <c r="E89" s="14"/>
      <c r="F89" s="14"/>
      <c r="G89" s="8"/>
      <c r="H89" s="24">
        <f t="shared" si="20"/>
        <v>0</v>
      </c>
      <c r="I89" s="456">
        <f t="shared" si="13"/>
        <v>8.6</v>
      </c>
      <c r="J89" s="10"/>
      <c r="K89" s="12"/>
      <c r="L89" s="505">
        <v>8.6</v>
      </c>
      <c r="M89" s="181"/>
      <c r="N89" s="25">
        <f t="shared" si="14"/>
        <v>0</v>
      </c>
      <c r="O89" s="25">
        <f t="shared" si="15"/>
        <v>0</v>
      </c>
      <c r="P89" s="25">
        <f t="shared" si="16"/>
        <v>0</v>
      </c>
      <c r="Q89" s="26">
        <f t="shared" si="17"/>
        <v>0</v>
      </c>
      <c r="R89" s="27">
        <f t="shared" si="18"/>
        <v>0</v>
      </c>
      <c r="S89" s="28">
        <f t="shared" si="19"/>
        <v>0</v>
      </c>
    </row>
    <row r="90" spans="2:19">
      <c r="B90" s="504" t="s">
        <v>1650</v>
      </c>
      <c r="C90" s="14"/>
      <c r="D90" s="14"/>
      <c r="E90" s="14"/>
      <c r="F90" s="14"/>
      <c r="G90" s="8"/>
      <c r="H90" s="24">
        <f t="shared" si="20"/>
        <v>0</v>
      </c>
      <c r="I90" s="456">
        <f t="shared" si="13"/>
        <v>60.9</v>
      </c>
      <c r="J90" s="10"/>
      <c r="K90" s="12"/>
      <c r="L90" s="505">
        <v>60.9</v>
      </c>
      <c r="M90" s="181"/>
      <c r="N90" s="25">
        <f t="shared" si="14"/>
        <v>0</v>
      </c>
      <c r="O90" s="25">
        <f t="shared" si="15"/>
        <v>0</v>
      </c>
      <c r="P90" s="25">
        <f t="shared" si="16"/>
        <v>0</v>
      </c>
      <c r="Q90" s="26">
        <f t="shared" si="17"/>
        <v>0</v>
      </c>
      <c r="R90" s="27">
        <f t="shared" si="18"/>
        <v>0</v>
      </c>
      <c r="S90" s="28">
        <f t="shared" si="19"/>
        <v>0</v>
      </c>
    </row>
    <row r="91" spans="2:19">
      <c r="B91" s="504" t="s">
        <v>1651</v>
      </c>
      <c r="C91" s="14"/>
      <c r="D91" s="14"/>
      <c r="E91" s="14"/>
      <c r="F91" s="14"/>
      <c r="G91" s="8"/>
      <c r="H91" s="24">
        <f t="shared" si="20"/>
        <v>0</v>
      </c>
      <c r="I91" s="456">
        <f t="shared" si="13"/>
        <v>21.08</v>
      </c>
      <c r="J91" s="10"/>
      <c r="K91" s="12"/>
      <c r="L91" s="505">
        <v>21.08</v>
      </c>
      <c r="M91" s="181"/>
      <c r="N91" s="25">
        <f t="shared" si="14"/>
        <v>0</v>
      </c>
      <c r="O91" s="25">
        <f t="shared" si="15"/>
        <v>0</v>
      </c>
      <c r="P91" s="25">
        <f t="shared" si="16"/>
        <v>0</v>
      </c>
      <c r="Q91" s="26">
        <f t="shared" si="17"/>
        <v>0</v>
      </c>
      <c r="R91" s="27">
        <f t="shared" si="18"/>
        <v>0</v>
      </c>
      <c r="S91" s="28">
        <f t="shared" si="19"/>
        <v>0</v>
      </c>
    </row>
    <row r="92" spans="2:19">
      <c r="B92" s="504" t="s">
        <v>1652</v>
      </c>
      <c r="C92" s="14"/>
      <c r="D92" s="14"/>
      <c r="E92" s="14"/>
      <c r="F92" s="14"/>
      <c r="G92" s="8"/>
      <c r="H92" s="24">
        <f t="shared" si="20"/>
        <v>0</v>
      </c>
      <c r="I92" s="456">
        <f t="shared" si="13"/>
        <v>32.619999999999997</v>
      </c>
      <c r="J92" s="10"/>
      <c r="K92" s="12"/>
      <c r="L92" s="505">
        <v>32.619999999999997</v>
      </c>
      <c r="M92" s="181"/>
      <c r="N92" s="25">
        <f t="shared" si="14"/>
        <v>0</v>
      </c>
      <c r="O92" s="25">
        <f t="shared" si="15"/>
        <v>0</v>
      </c>
      <c r="P92" s="25">
        <f t="shared" si="16"/>
        <v>0</v>
      </c>
      <c r="Q92" s="26">
        <f t="shared" si="17"/>
        <v>0</v>
      </c>
      <c r="R92" s="27">
        <f t="shared" si="18"/>
        <v>0</v>
      </c>
      <c r="S92" s="28">
        <f t="shared" si="19"/>
        <v>0</v>
      </c>
    </row>
    <row r="93" spans="2:19">
      <c r="B93" s="504" t="s">
        <v>1653</v>
      </c>
      <c r="C93" s="14"/>
      <c r="D93" s="14"/>
      <c r="E93" s="14"/>
      <c r="F93" s="14"/>
      <c r="G93" s="8"/>
      <c r="H93" s="24">
        <f t="shared" si="20"/>
        <v>0</v>
      </c>
      <c r="I93" s="456">
        <f t="shared" si="13"/>
        <v>10.210000000000001</v>
      </c>
      <c r="J93" s="10"/>
      <c r="K93" s="12"/>
      <c r="L93" s="505">
        <v>10.210000000000001</v>
      </c>
      <c r="M93" s="181"/>
      <c r="N93" s="25">
        <f t="shared" si="14"/>
        <v>0</v>
      </c>
      <c r="O93" s="25">
        <f t="shared" si="15"/>
        <v>0</v>
      </c>
      <c r="P93" s="25">
        <f t="shared" si="16"/>
        <v>0</v>
      </c>
      <c r="Q93" s="26">
        <f t="shared" si="17"/>
        <v>0</v>
      </c>
      <c r="R93" s="27">
        <f t="shared" si="18"/>
        <v>0</v>
      </c>
      <c r="S93" s="28">
        <f t="shared" si="19"/>
        <v>0</v>
      </c>
    </row>
    <row r="94" spans="2:19">
      <c r="B94" s="504" t="s">
        <v>1654</v>
      </c>
      <c r="C94" s="14"/>
      <c r="D94" s="14"/>
      <c r="E94" s="14"/>
      <c r="F94" s="14"/>
      <c r="G94" s="8"/>
      <c r="H94" s="24">
        <f t="shared" si="20"/>
        <v>0</v>
      </c>
      <c r="I94" s="456">
        <f t="shared" si="13"/>
        <v>108.73</v>
      </c>
      <c r="J94" s="10"/>
      <c r="K94" s="12"/>
      <c r="L94" s="505">
        <v>108.73</v>
      </c>
      <c r="M94" s="181"/>
      <c r="N94" s="25">
        <f t="shared" si="14"/>
        <v>0</v>
      </c>
      <c r="O94" s="25">
        <f t="shared" si="15"/>
        <v>0</v>
      </c>
      <c r="P94" s="25">
        <f t="shared" si="16"/>
        <v>0</v>
      </c>
      <c r="Q94" s="26">
        <f t="shared" si="17"/>
        <v>0</v>
      </c>
      <c r="R94" s="27">
        <f t="shared" si="18"/>
        <v>0</v>
      </c>
      <c r="S94" s="28">
        <f t="shared" si="19"/>
        <v>0</v>
      </c>
    </row>
    <row r="95" spans="2:19">
      <c r="B95" s="504" t="s">
        <v>1655</v>
      </c>
      <c r="C95" s="14"/>
      <c r="D95" s="14"/>
      <c r="E95" s="14"/>
      <c r="F95" s="14"/>
      <c r="G95" s="8"/>
      <c r="H95" s="24">
        <f t="shared" si="20"/>
        <v>0</v>
      </c>
      <c r="I95" s="456">
        <f t="shared" si="13"/>
        <v>213.31</v>
      </c>
      <c r="J95" s="10"/>
      <c r="K95" s="12"/>
      <c r="L95" s="505">
        <v>213.31</v>
      </c>
      <c r="M95" s="181"/>
      <c r="N95" s="25">
        <f t="shared" si="14"/>
        <v>0</v>
      </c>
      <c r="O95" s="25">
        <f t="shared" si="15"/>
        <v>0</v>
      </c>
      <c r="P95" s="25">
        <f t="shared" si="16"/>
        <v>0</v>
      </c>
      <c r="Q95" s="26">
        <f t="shared" si="17"/>
        <v>0</v>
      </c>
      <c r="R95" s="27">
        <f t="shared" si="18"/>
        <v>0</v>
      </c>
      <c r="S95" s="28">
        <f t="shared" si="19"/>
        <v>0</v>
      </c>
    </row>
    <row r="96" spans="2:19">
      <c r="B96" s="58" t="s">
        <v>13</v>
      </c>
      <c r="C96" s="288">
        <v>0</v>
      </c>
      <c r="D96" s="288">
        <v>0</v>
      </c>
      <c r="E96" s="288">
        <f t="shared" ref="E96:G96" si="21">P96</f>
        <v>0</v>
      </c>
      <c r="F96" s="288">
        <v>22622.339999999997</v>
      </c>
      <c r="G96" s="288">
        <f t="shared" si="21"/>
        <v>0</v>
      </c>
      <c r="H96" s="288">
        <f>S96</f>
        <v>22622.339999999997</v>
      </c>
      <c r="N96" s="29">
        <f t="shared" ref="N96:S96" si="22">SUM(N6:N95)</f>
        <v>0</v>
      </c>
      <c r="O96" s="29">
        <f t="shared" si="22"/>
        <v>0</v>
      </c>
      <c r="P96" s="29">
        <f t="shared" si="22"/>
        <v>0</v>
      </c>
      <c r="Q96" s="29">
        <f t="shared" si="22"/>
        <v>22622.339999999997</v>
      </c>
      <c r="R96" s="29">
        <f t="shared" si="22"/>
        <v>0</v>
      </c>
      <c r="S96" s="29">
        <f t="shared" si="22"/>
        <v>22622.339999999997</v>
      </c>
    </row>
    <row r="97" spans="2:7">
      <c r="B97" s="59" t="s">
        <v>46</v>
      </c>
    </row>
    <row r="98" spans="2:7" ht="16.5" thickBot="1">
      <c r="B98" s="2"/>
    </row>
    <row r="99" spans="2:7">
      <c r="B99" s="60" t="s">
        <v>47</v>
      </c>
    </row>
    <row r="100" spans="2:7">
      <c r="B100" s="61" t="s">
        <v>19</v>
      </c>
    </row>
    <row r="101" spans="2:7">
      <c r="B101" s="61" t="s">
        <v>17</v>
      </c>
    </row>
    <row r="102" spans="2:7" ht="16.5" thickBot="1">
      <c r="B102" s="62" t="s">
        <v>18</v>
      </c>
    </row>
    <row r="103" spans="2:7">
      <c r="B103" s="2"/>
    </row>
    <row r="104" spans="2:7">
      <c r="B104" s="30" t="s">
        <v>20</v>
      </c>
    </row>
    <row r="105" spans="2:7">
      <c r="B105" s="35"/>
    </row>
    <row r="106" spans="2:7">
      <c r="B106" s="35"/>
    </row>
    <row r="107" spans="2:7">
      <c r="G107" s="5" t="str">
        <f t="shared" ref="G107:G159" si="23">IF(B107&lt;&gt;"",SUM(C107:F107),"")</f>
        <v/>
      </c>
    </row>
    <row r="108" spans="2:7">
      <c r="G108" s="5" t="str">
        <f t="shared" si="23"/>
        <v/>
      </c>
    </row>
    <row r="109" spans="2:7">
      <c r="G109" s="5" t="str">
        <f t="shared" si="23"/>
        <v/>
      </c>
    </row>
    <row r="110" spans="2:7">
      <c r="G110" s="5" t="str">
        <f t="shared" si="23"/>
        <v/>
      </c>
    </row>
    <row r="111" spans="2:7">
      <c r="G111" s="5" t="str">
        <f t="shared" si="23"/>
        <v/>
      </c>
    </row>
    <row r="112" spans="2:7">
      <c r="G112" s="5" t="str">
        <f t="shared" si="23"/>
        <v/>
      </c>
    </row>
    <row r="113" spans="7:7">
      <c r="G113" s="5" t="str">
        <f t="shared" si="23"/>
        <v/>
      </c>
    </row>
    <row r="114" spans="7:7">
      <c r="G114" s="5" t="str">
        <f t="shared" si="23"/>
        <v/>
      </c>
    </row>
    <row r="115" spans="7:7">
      <c r="G115" s="5" t="str">
        <f t="shared" si="23"/>
        <v/>
      </c>
    </row>
    <row r="116" spans="7:7">
      <c r="G116" s="5" t="str">
        <f t="shared" si="23"/>
        <v/>
      </c>
    </row>
    <row r="117" spans="7:7">
      <c r="G117" s="5" t="str">
        <f t="shared" si="23"/>
        <v/>
      </c>
    </row>
    <row r="118" spans="7:7">
      <c r="G118" s="5" t="str">
        <f t="shared" si="23"/>
        <v/>
      </c>
    </row>
    <row r="119" spans="7:7">
      <c r="G119" s="5" t="str">
        <f t="shared" si="23"/>
        <v/>
      </c>
    </row>
    <row r="120" spans="7:7">
      <c r="G120" s="5" t="str">
        <f t="shared" si="23"/>
        <v/>
      </c>
    </row>
    <row r="121" spans="7:7">
      <c r="G121" s="5" t="str">
        <f t="shared" si="23"/>
        <v/>
      </c>
    </row>
    <row r="122" spans="7:7">
      <c r="G122" s="5" t="str">
        <f t="shared" si="23"/>
        <v/>
      </c>
    </row>
    <row r="123" spans="7:7">
      <c r="G123" s="5" t="str">
        <f t="shared" si="23"/>
        <v/>
      </c>
    </row>
    <row r="124" spans="7:7">
      <c r="G124" s="5" t="str">
        <f t="shared" si="23"/>
        <v/>
      </c>
    </row>
    <row r="125" spans="7:7">
      <c r="G125" s="5" t="str">
        <f t="shared" si="23"/>
        <v/>
      </c>
    </row>
    <row r="126" spans="7:7">
      <c r="G126" s="5" t="str">
        <f t="shared" si="23"/>
        <v/>
      </c>
    </row>
    <row r="127" spans="7:7">
      <c r="G127" s="5" t="str">
        <f t="shared" si="23"/>
        <v/>
      </c>
    </row>
    <row r="128" spans="7:7">
      <c r="G128" s="5" t="str">
        <f t="shared" si="23"/>
        <v/>
      </c>
    </row>
    <row r="129" spans="7:7">
      <c r="G129" s="5" t="str">
        <f t="shared" si="23"/>
        <v/>
      </c>
    </row>
    <row r="130" spans="7:7">
      <c r="G130" s="5" t="str">
        <f t="shared" si="23"/>
        <v/>
      </c>
    </row>
    <row r="131" spans="7:7">
      <c r="G131" s="5" t="str">
        <f t="shared" si="23"/>
        <v/>
      </c>
    </row>
    <row r="132" spans="7:7">
      <c r="G132" s="5" t="str">
        <f t="shared" si="23"/>
        <v/>
      </c>
    </row>
    <row r="133" spans="7:7">
      <c r="G133" s="5" t="str">
        <f t="shared" si="23"/>
        <v/>
      </c>
    </row>
    <row r="134" spans="7:7">
      <c r="G134" s="5" t="str">
        <f t="shared" si="23"/>
        <v/>
      </c>
    </row>
    <row r="135" spans="7:7">
      <c r="G135" s="5" t="str">
        <f t="shared" si="23"/>
        <v/>
      </c>
    </row>
    <row r="136" spans="7:7">
      <c r="G136" s="5" t="str">
        <f t="shared" si="23"/>
        <v/>
      </c>
    </row>
    <row r="137" spans="7:7">
      <c r="G137" s="5" t="str">
        <f t="shared" si="23"/>
        <v/>
      </c>
    </row>
    <row r="138" spans="7:7">
      <c r="G138" s="5" t="str">
        <f t="shared" si="23"/>
        <v/>
      </c>
    </row>
    <row r="139" spans="7:7">
      <c r="G139" s="5" t="str">
        <f t="shared" si="23"/>
        <v/>
      </c>
    </row>
    <row r="140" spans="7:7">
      <c r="G140" s="5" t="str">
        <f t="shared" si="23"/>
        <v/>
      </c>
    </row>
    <row r="141" spans="7:7">
      <c r="G141" s="5" t="str">
        <f t="shared" si="23"/>
        <v/>
      </c>
    </row>
    <row r="142" spans="7:7">
      <c r="G142" s="5" t="str">
        <f t="shared" si="23"/>
        <v/>
      </c>
    </row>
    <row r="143" spans="7:7">
      <c r="G143" s="5" t="str">
        <f t="shared" si="23"/>
        <v/>
      </c>
    </row>
    <row r="144" spans="7:7">
      <c r="G144" s="5" t="str">
        <f t="shared" si="23"/>
        <v/>
      </c>
    </row>
    <row r="145" spans="7:7">
      <c r="G145" s="5" t="str">
        <f t="shared" si="23"/>
        <v/>
      </c>
    </row>
    <row r="146" spans="7:7">
      <c r="G146" s="5" t="str">
        <f t="shared" si="23"/>
        <v/>
      </c>
    </row>
    <row r="147" spans="7:7">
      <c r="G147" s="5" t="str">
        <f t="shared" si="23"/>
        <v/>
      </c>
    </row>
    <row r="148" spans="7:7">
      <c r="G148" s="5" t="str">
        <f t="shared" si="23"/>
        <v/>
      </c>
    </row>
    <row r="149" spans="7:7">
      <c r="G149" s="5" t="str">
        <f t="shared" si="23"/>
        <v/>
      </c>
    </row>
    <row r="150" spans="7:7">
      <c r="G150" s="5" t="str">
        <f t="shared" si="23"/>
        <v/>
      </c>
    </row>
    <row r="151" spans="7:7">
      <c r="G151" s="5" t="str">
        <f t="shared" si="23"/>
        <v/>
      </c>
    </row>
    <row r="152" spans="7:7">
      <c r="G152" s="5" t="str">
        <f t="shared" si="23"/>
        <v/>
      </c>
    </row>
    <row r="153" spans="7:7">
      <c r="G153" s="5" t="str">
        <f t="shared" si="23"/>
        <v/>
      </c>
    </row>
    <row r="154" spans="7:7">
      <c r="G154" s="5" t="str">
        <f t="shared" si="23"/>
        <v/>
      </c>
    </row>
    <row r="155" spans="7:7">
      <c r="G155" s="5" t="str">
        <f t="shared" si="23"/>
        <v/>
      </c>
    </row>
    <row r="156" spans="7:7">
      <c r="G156" s="5" t="str">
        <f t="shared" si="23"/>
        <v/>
      </c>
    </row>
    <row r="157" spans="7:7">
      <c r="G157" s="5" t="str">
        <f t="shared" si="23"/>
        <v/>
      </c>
    </row>
    <row r="158" spans="7:7">
      <c r="G158" s="5" t="str">
        <f t="shared" si="23"/>
        <v/>
      </c>
    </row>
    <row r="159" spans="7:7">
      <c r="G159" s="5" t="str">
        <f t="shared" si="23"/>
        <v/>
      </c>
    </row>
    <row r="160" spans="7:7">
      <c r="G160" s="5" t="str">
        <f t="shared" ref="G160:G223" si="24">IF(B160&lt;&gt;"",SUM(C160:F160),"")</f>
        <v/>
      </c>
    </row>
    <row r="161" spans="7:7">
      <c r="G161" s="5" t="str">
        <f t="shared" si="24"/>
        <v/>
      </c>
    </row>
    <row r="162" spans="7:7">
      <c r="G162" s="5" t="str">
        <f t="shared" si="24"/>
        <v/>
      </c>
    </row>
    <row r="163" spans="7:7">
      <c r="G163" s="5" t="str">
        <f t="shared" si="24"/>
        <v/>
      </c>
    </row>
    <row r="164" spans="7:7">
      <c r="G164" s="5" t="str">
        <f t="shared" si="24"/>
        <v/>
      </c>
    </row>
    <row r="165" spans="7:7">
      <c r="G165" s="5" t="str">
        <f t="shared" si="24"/>
        <v/>
      </c>
    </row>
    <row r="166" spans="7:7">
      <c r="G166" s="5" t="str">
        <f t="shared" si="24"/>
        <v/>
      </c>
    </row>
    <row r="167" spans="7:7">
      <c r="G167" s="5" t="str">
        <f t="shared" si="24"/>
        <v/>
      </c>
    </row>
    <row r="168" spans="7:7">
      <c r="G168" s="5" t="str">
        <f t="shared" si="24"/>
        <v/>
      </c>
    </row>
    <row r="169" spans="7:7">
      <c r="G169" s="5" t="str">
        <f t="shared" si="24"/>
        <v/>
      </c>
    </row>
    <row r="170" spans="7:7">
      <c r="G170" s="5" t="str">
        <f t="shared" si="24"/>
        <v/>
      </c>
    </row>
    <row r="171" spans="7:7">
      <c r="G171" s="5" t="str">
        <f t="shared" si="24"/>
        <v/>
      </c>
    </row>
    <row r="172" spans="7:7">
      <c r="G172" s="5" t="str">
        <f t="shared" si="24"/>
        <v/>
      </c>
    </row>
    <row r="173" spans="7:7">
      <c r="G173" s="5" t="str">
        <f t="shared" si="24"/>
        <v/>
      </c>
    </row>
    <row r="174" spans="7:7">
      <c r="G174" s="5" t="str">
        <f t="shared" si="24"/>
        <v/>
      </c>
    </row>
    <row r="175" spans="7:7">
      <c r="G175" s="5" t="str">
        <f t="shared" si="24"/>
        <v/>
      </c>
    </row>
    <row r="176" spans="7:7">
      <c r="G176" s="5" t="str">
        <f t="shared" si="24"/>
        <v/>
      </c>
    </row>
    <row r="177" spans="7:7">
      <c r="G177" s="5" t="str">
        <f t="shared" si="24"/>
        <v/>
      </c>
    </row>
    <row r="178" spans="7:7">
      <c r="G178" s="5" t="str">
        <f t="shared" si="24"/>
        <v/>
      </c>
    </row>
    <row r="179" spans="7:7">
      <c r="G179" s="5" t="str">
        <f t="shared" si="24"/>
        <v/>
      </c>
    </row>
    <row r="180" spans="7:7">
      <c r="G180" s="5" t="str">
        <f t="shared" si="24"/>
        <v/>
      </c>
    </row>
    <row r="181" spans="7:7">
      <c r="G181" s="5" t="str">
        <f t="shared" si="24"/>
        <v/>
      </c>
    </row>
    <row r="182" spans="7:7">
      <c r="G182" s="5" t="str">
        <f t="shared" si="24"/>
        <v/>
      </c>
    </row>
    <row r="183" spans="7:7">
      <c r="G183" s="5" t="str">
        <f t="shared" si="24"/>
        <v/>
      </c>
    </row>
    <row r="184" spans="7:7">
      <c r="G184" s="5" t="str">
        <f t="shared" si="24"/>
        <v/>
      </c>
    </row>
    <row r="185" spans="7:7">
      <c r="G185" s="5" t="str">
        <f t="shared" si="24"/>
        <v/>
      </c>
    </row>
    <row r="186" spans="7:7">
      <c r="G186" s="5" t="str">
        <f t="shared" si="24"/>
        <v/>
      </c>
    </row>
    <row r="187" spans="7:7">
      <c r="G187" s="5" t="str">
        <f t="shared" si="24"/>
        <v/>
      </c>
    </row>
    <row r="188" spans="7:7">
      <c r="G188" s="5" t="str">
        <f t="shared" si="24"/>
        <v/>
      </c>
    </row>
    <row r="189" spans="7:7">
      <c r="G189" s="5" t="str">
        <f t="shared" si="24"/>
        <v/>
      </c>
    </row>
    <row r="190" spans="7:7">
      <c r="G190" s="5" t="str">
        <f t="shared" si="24"/>
        <v/>
      </c>
    </row>
    <row r="191" spans="7:7">
      <c r="G191" s="5" t="str">
        <f t="shared" si="24"/>
        <v/>
      </c>
    </row>
    <row r="192" spans="7:7">
      <c r="G192" s="5" t="str">
        <f t="shared" si="24"/>
        <v/>
      </c>
    </row>
    <row r="193" spans="7:7">
      <c r="G193" s="5" t="str">
        <f t="shared" si="24"/>
        <v/>
      </c>
    </row>
    <row r="194" spans="7:7">
      <c r="G194" s="5" t="str">
        <f t="shared" si="24"/>
        <v/>
      </c>
    </row>
    <row r="195" spans="7:7">
      <c r="G195" s="5" t="str">
        <f t="shared" si="24"/>
        <v/>
      </c>
    </row>
    <row r="196" spans="7:7">
      <c r="G196" s="5" t="str">
        <f t="shared" si="24"/>
        <v/>
      </c>
    </row>
    <row r="197" spans="7:7">
      <c r="G197" s="5" t="str">
        <f t="shared" si="24"/>
        <v/>
      </c>
    </row>
    <row r="198" spans="7:7">
      <c r="G198" s="5" t="str">
        <f t="shared" si="24"/>
        <v/>
      </c>
    </row>
    <row r="199" spans="7:7">
      <c r="G199" s="5" t="str">
        <f t="shared" si="24"/>
        <v/>
      </c>
    </row>
    <row r="200" spans="7:7">
      <c r="G200" s="5" t="str">
        <f t="shared" si="24"/>
        <v/>
      </c>
    </row>
    <row r="201" spans="7:7">
      <c r="G201" s="5" t="str">
        <f t="shared" si="24"/>
        <v/>
      </c>
    </row>
    <row r="202" spans="7:7">
      <c r="G202" s="5" t="str">
        <f t="shared" si="24"/>
        <v/>
      </c>
    </row>
    <row r="203" spans="7:7">
      <c r="G203" s="5" t="str">
        <f t="shared" si="24"/>
        <v/>
      </c>
    </row>
    <row r="204" spans="7:7">
      <c r="G204" s="5" t="str">
        <f t="shared" si="24"/>
        <v/>
      </c>
    </row>
    <row r="205" spans="7:7">
      <c r="G205" s="5" t="str">
        <f t="shared" si="24"/>
        <v/>
      </c>
    </row>
    <row r="206" spans="7:7">
      <c r="G206" s="5" t="str">
        <f t="shared" si="24"/>
        <v/>
      </c>
    </row>
    <row r="207" spans="7:7">
      <c r="G207" s="5" t="str">
        <f t="shared" si="24"/>
        <v/>
      </c>
    </row>
    <row r="208" spans="7:7">
      <c r="G208" s="5" t="str">
        <f t="shared" si="24"/>
        <v/>
      </c>
    </row>
    <row r="209" spans="7:7">
      <c r="G209" s="5" t="str">
        <f t="shared" si="24"/>
        <v/>
      </c>
    </row>
    <row r="210" spans="7:7">
      <c r="G210" s="5" t="str">
        <f t="shared" si="24"/>
        <v/>
      </c>
    </row>
    <row r="211" spans="7:7">
      <c r="G211" s="5" t="str">
        <f t="shared" si="24"/>
        <v/>
      </c>
    </row>
    <row r="212" spans="7:7">
      <c r="G212" s="5" t="str">
        <f t="shared" si="24"/>
        <v/>
      </c>
    </row>
    <row r="213" spans="7:7">
      <c r="G213" s="5" t="str">
        <f t="shared" si="24"/>
        <v/>
      </c>
    </row>
    <row r="214" spans="7:7">
      <c r="G214" s="5" t="str">
        <f t="shared" si="24"/>
        <v/>
      </c>
    </row>
    <row r="215" spans="7:7">
      <c r="G215" s="5" t="str">
        <f t="shared" si="24"/>
        <v/>
      </c>
    </row>
    <row r="216" spans="7:7">
      <c r="G216" s="5" t="str">
        <f t="shared" si="24"/>
        <v/>
      </c>
    </row>
    <row r="217" spans="7:7">
      <c r="G217" s="5" t="str">
        <f t="shared" si="24"/>
        <v/>
      </c>
    </row>
    <row r="218" spans="7:7">
      <c r="G218" s="5" t="str">
        <f t="shared" si="24"/>
        <v/>
      </c>
    </row>
    <row r="219" spans="7:7">
      <c r="G219" s="5" t="str">
        <f t="shared" si="24"/>
        <v/>
      </c>
    </row>
    <row r="220" spans="7:7">
      <c r="G220" s="5" t="str">
        <f t="shared" si="24"/>
        <v/>
      </c>
    </row>
    <row r="221" spans="7:7">
      <c r="G221" s="5" t="str">
        <f t="shared" si="24"/>
        <v/>
      </c>
    </row>
    <row r="222" spans="7:7">
      <c r="G222" s="5" t="str">
        <f t="shared" si="24"/>
        <v/>
      </c>
    </row>
    <row r="223" spans="7:7">
      <c r="G223" s="5" t="str">
        <f t="shared" si="24"/>
        <v/>
      </c>
    </row>
    <row r="224" spans="7:7">
      <c r="G224" s="5" t="str">
        <f t="shared" ref="G224:G287" si="25">IF(B224&lt;&gt;"",SUM(C224:F224),"")</f>
        <v/>
      </c>
    </row>
    <row r="225" spans="7:7">
      <c r="G225" s="5" t="str">
        <f t="shared" si="25"/>
        <v/>
      </c>
    </row>
    <row r="226" spans="7:7">
      <c r="G226" s="5" t="str">
        <f t="shared" si="25"/>
        <v/>
      </c>
    </row>
    <row r="227" spans="7:7">
      <c r="G227" s="5" t="str">
        <f t="shared" si="25"/>
        <v/>
      </c>
    </row>
    <row r="228" spans="7:7">
      <c r="G228" s="5" t="str">
        <f t="shared" si="25"/>
        <v/>
      </c>
    </row>
    <row r="229" spans="7:7">
      <c r="G229" s="5" t="str">
        <f t="shared" si="25"/>
        <v/>
      </c>
    </row>
    <row r="230" spans="7:7">
      <c r="G230" s="5" t="str">
        <f t="shared" si="25"/>
        <v/>
      </c>
    </row>
    <row r="231" spans="7:7">
      <c r="G231" s="5" t="str">
        <f t="shared" si="25"/>
        <v/>
      </c>
    </row>
    <row r="232" spans="7:7">
      <c r="G232" s="5" t="str">
        <f t="shared" si="25"/>
        <v/>
      </c>
    </row>
    <row r="233" spans="7:7">
      <c r="G233" s="5" t="str">
        <f t="shared" si="25"/>
        <v/>
      </c>
    </row>
    <row r="234" spans="7:7">
      <c r="G234" s="5" t="str">
        <f t="shared" si="25"/>
        <v/>
      </c>
    </row>
    <row r="235" spans="7:7">
      <c r="G235" s="5" t="str">
        <f t="shared" si="25"/>
        <v/>
      </c>
    </row>
    <row r="236" spans="7:7">
      <c r="G236" s="5" t="str">
        <f t="shared" si="25"/>
        <v/>
      </c>
    </row>
    <row r="237" spans="7:7">
      <c r="G237" s="5" t="str">
        <f t="shared" si="25"/>
        <v/>
      </c>
    </row>
    <row r="238" spans="7:7">
      <c r="G238" s="5" t="str">
        <f t="shared" si="25"/>
        <v/>
      </c>
    </row>
    <row r="239" spans="7:7">
      <c r="G239" s="5" t="str">
        <f t="shared" si="25"/>
        <v/>
      </c>
    </row>
    <row r="240" spans="7:7">
      <c r="G240" s="5" t="str">
        <f t="shared" si="25"/>
        <v/>
      </c>
    </row>
    <row r="241" spans="7:7">
      <c r="G241" s="5" t="str">
        <f t="shared" si="25"/>
        <v/>
      </c>
    </row>
    <row r="242" spans="7:7">
      <c r="G242" s="5" t="str">
        <f t="shared" si="25"/>
        <v/>
      </c>
    </row>
    <row r="243" spans="7:7">
      <c r="G243" s="5" t="str">
        <f t="shared" si="25"/>
        <v/>
      </c>
    </row>
    <row r="244" spans="7:7">
      <c r="G244" s="5" t="str">
        <f t="shared" si="25"/>
        <v/>
      </c>
    </row>
    <row r="245" spans="7:7">
      <c r="G245" s="5" t="str">
        <f t="shared" si="25"/>
        <v/>
      </c>
    </row>
    <row r="246" spans="7:7">
      <c r="G246" s="5" t="str">
        <f t="shared" si="25"/>
        <v/>
      </c>
    </row>
    <row r="247" spans="7:7">
      <c r="G247" s="5" t="str">
        <f t="shared" si="25"/>
        <v/>
      </c>
    </row>
    <row r="248" spans="7:7">
      <c r="G248" s="5" t="str">
        <f t="shared" si="25"/>
        <v/>
      </c>
    </row>
    <row r="249" spans="7:7">
      <c r="G249" s="5" t="str">
        <f t="shared" si="25"/>
        <v/>
      </c>
    </row>
    <row r="250" spans="7:7">
      <c r="G250" s="5" t="str">
        <f t="shared" si="25"/>
        <v/>
      </c>
    </row>
    <row r="251" spans="7:7">
      <c r="G251" s="5" t="str">
        <f t="shared" si="25"/>
        <v/>
      </c>
    </row>
    <row r="252" spans="7:7">
      <c r="G252" s="5" t="str">
        <f t="shared" si="25"/>
        <v/>
      </c>
    </row>
    <row r="253" spans="7:7">
      <c r="G253" s="5" t="str">
        <f t="shared" si="25"/>
        <v/>
      </c>
    </row>
    <row r="254" spans="7:7">
      <c r="G254" s="5" t="str">
        <f t="shared" si="25"/>
        <v/>
      </c>
    </row>
    <row r="255" spans="7:7">
      <c r="G255" s="5" t="str">
        <f t="shared" si="25"/>
        <v/>
      </c>
    </row>
    <row r="256" spans="7:7">
      <c r="G256" s="5" t="str">
        <f t="shared" si="25"/>
        <v/>
      </c>
    </row>
    <row r="257" spans="7:7">
      <c r="G257" s="5" t="str">
        <f t="shared" si="25"/>
        <v/>
      </c>
    </row>
    <row r="258" spans="7:7">
      <c r="G258" s="5" t="str">
        <f t="shared" si="25"/>
        <v/>
      </c>
    </row>
    <row r="259" spans="7:7">
      <c r="G259" s="5" t="str">
        <f t="shared" si="25"/>
        <v/>
      </c>
    </row>
    <row r="260" spans="7:7">
      <c r="G260" s="5" t="str">
        <f t="shared" si="25"/>
        <v/>
      </c>
    </row>
    <row r="261" spans="7:7">
      <c r="G261" s="5" t="str">
        <f t="shared" si="25"/>
        <v/>
      </c>
    </row>
    <row r="262" spans="7:7">
      <c r="G262" s="5" t="str">
        <f t="shared" si="25"/>
        <v/>
      </c>
    </row>
    <row r="263" spans="7:7">
      <c r="G263" s="5" t="str">
        <f t="shared" si="25"/>
        <v/>
      </c>
    </row>
    <row r="264" spans="7:7">
      <c r="G264" s="5" t="str">
        <f t="shared" si="25"/>
        <v/>
      </c>
    </row>
    <row r="265" spans="7:7">
      <c r="G265" s="5" t="str">
        <f t="shared" si="25"/>
        <v/>
      </c>
    </row>
    <row r="266" spans="7:7">
      <c r="G266" s="5" t="str">
        <f t="shared" si="25"/>
        <v/>
      </c>
    </row>
    <row r="267" spans="7:7">
      <c r="G267" s="5" t="str">
        <f t="shared" si="25"/>
        <v/>
      </c>
    </row>
    <row r="268" spans="7:7">
      <c r="G268" s="5" t="str">
        <f t="shared" si="25"/>
        <v/>
      </c>
    </row>
    <row r="269" spans="7:7">
      <c r="G269" s="5" t="str">
        <f t="shared" si="25"/>
        <v/>
      </c>
    </row>
    <row r="270" spans="7:7">
      <c r="G270" s="5" t="str">
        <f t="shared" si="25"/>
        <v/>
      </c>
    </row>
    <row r="271" spans="7:7">
      <c r="G271" s="5" t="str">
        <f t="shared" si="25"/>
        <v/>
      </c>
    </row>
    <row r="272" spans="7:7">
      <c r="G272" s="5" t="str">
        <f t="shared" si="25"/>
        <v/>
      </c>
    </row>
    <row r="273" spans="7:7">
      <c r="G273" s="5" t="str">
        <f t="shared" si="25"/>
        <v/>
      </c>
    </row>
    <row r="274" spans="7:7">
      <c r="G274" s="5" t="str">
        <f t="shared" si="25"/>
        <v/>
      </c>
    </row>
    <row r="275" spans="7:7">
      <c r="G275" s="5" t="str">
        <f t="shared" si="25"/>
        <v/>
      </c>
    </row>
    <row r="276" spans="7:7">
      <c r="G276" s="5" t="str">
        <f t="shared" si="25"/>
        <v/>
      </c>
    </row>
    <row r="277" spans="7:7">
      <c r="G277" s="5" t="str">
        <f t="shared" si="25"/>
        <v/>
      </c>
    </row>
    <row r="278" spans="7:7">
      <c r="G278" s="5" t="str">
        <f t="shared" si="25"/>
        <v/>
      </c>
    </row>
    <row r="279" spans="7:7">
      <c r="G279" s="5" t="str">
        <f t="shared" si="25"/>
        <v/>
      </c>
    </row>
    <row r="280" spans="7:7">
      <c r="G280" s="5" t="str">
        <f t="shared" si="25"/>
        <v/>
      </c>
    </row>
    <row r="281" spans="7:7">
      <c r="G281" s="5" t="str">
        <f t="shared" si="25"/>
        <v/>
      </c>
    </row>
    <row r="282" spans="7:7">
      <c r="G282" s="5" t="str">
        <f t="shared" si="25"/>
        <v/>
      </c>
    </row>
    <row r="283" spans="7:7">
      <c r="G283" s="5" t="str">
        <f t="shared" si="25"/>
        <v/>
      </c>
    </row>
    <row r="284" spans="7:7">
      <c r="G284" s="5" t="str">
        <f t="shared" si="25"/>
        <v/>
      </c>
    </row>
    <row r="285" spans="7:7">
      <c r="G285" s="5" t="str">
        <f t="shared" si="25"/>
        <v/>
      </c>
    </row>
    <row r="286" spans="7:7">
      <c r="G286" s="5" t="str">
        <f t="shared" si="25"/>
        <v/>
      </c>
    </row>
    <row r="287" spans="7:7">
      <c r="G287" s="5" t="str">
        <f t="shared" si="25"/>
        <v/>
      </c>
    </row>
    <row r="288" spans="7:7">
      <c r="G288" s="5" t="str">
        <f t="shared" ref="G288:G351" si="26">IF(B288&lt;&gt;"",SUM(C288:F288),"")</f>
        <v/>
      </c>
    </row>
    <row r="289" spans="7:7">
      <c r="G289" s="5" t="str">
        <f t="shared" si="26"/>
        <v/>
      </c>
    </row>
    <row r="290" spans="7:7">
      <c r="G290" s="5" t="str">
        <f t="shared" si="26"/>
        <v/>
      </c>
    </row>
    <row r="291" spans="7:7">
      <c r="G291" s="5" t="str">
        <f t="shared" si="26"/>
        <v/>
      </c>
    </row>
    <row r="292" spans="7:7">
      <c r="G292" s="5" t="str">
        <f t="shared" si="26"/>
        <v/>
      </c>
    </row>
    <row r="293" spans="7:7">
      <c r="G293" s="5" t="str">
        <f t="shared" si="26"/>
        <v/>
      </c>
    </row>
    <row r="294" spans="7:7">
      <c r="G294" s="5" t="str">
        <f t="shared" si="26"/>
        <v/>
      </c>
    </row>
    <row r="295" spans="7:7">
      <c r="G295" s="5" t="str">
        <f t="shared" si="26"/>
        <v/>
      </c>
    </row>
    <row r="296" spans="7:7">
      <c r="G296" s="5" t="str">
        <f t="shared" si="26"/>
        <v/>
      </c>
    </row>
    <row r="297" spans="7:7">
      <c r="G297" s="5" t="str">
        <f t="shared" si="26"/>
        <v/>
      </c>
    </row>
    <row r="298" spans="7:7">
      <c r="G298" s="5" t="str">
        <f t="shared" si="26"/>
        <v/>
      </c>
    </row>
    <row r="299" spans="7:7">
      <c r="G299" s="5" t="str">
        <f t="shared" si="26"/>
        <v/>
      </c>
    </row>
    <row r="300" spans="7:7">
      <c r="G300" s="5" t="str">
        <f t="shared" si="26"/>
        <v/>
      </c>
    </row>
    <row r="301" spans="7:7">
      <c r="G301" s="5" t="str">
        <f t="shared" si="26"/>
        <v/>
      </c>
    </row>
    <row r="302" spans="7:7">
      <c r="G302" s="5" t="str">
        <f t="shared" si="26"/>
        <v/>
      </c>
    </row>
    <row r="303" spans="7:7">
      <c r="G303" s="5" t="str">
        <f t="shared" si="26"/>
        <v/>
      </c>
    </row>
    <row r="304" spans="7:7">
      <c r="G304" s="5" t="str">
        <f t="shared" si="26"/>
        <v/>
      </c>
    </row>
    <row r="305" spans="7:7">
      <c r="G305" s="5" t="str">
        <f t="shared" si="26"/>
        <v/>
      </c>
    </row>
    <row r="306" spans="7:7">
      <c r="G306" s="5" t="str">
        <f t="shared" si="26"/>
        <v/>
      </c>
    </row>
    <row r="307" spans="7:7">
      <c r="G307" s="5" t="str">
        <f t="shared" si="26"/>
        <v/>
      </c>
    </row>
    <row r="308" spans="7:7">
      <c r="G308" s="5" t="str">
        <f t="shared" si="26"/>
        <v/>
      </c>
    </row>
    <row r="309" spans="7:7">
      <c r="G309" s="5" t="str">
        <f t="shared" si="26"/>
        <v/>
      </c>
    </row>
    <row r="310" spans="7:7">
      <c r="G310" s="5" t="str">
        <f t="shared" si="26"/>
        <v/>
      </c>
    </row>
    <row r="311" spans="7:7">
      <c r="G311" s="5" t="str">
        <f t="shared" si="26"/>
        <v/>
      </c>
    </row>
    <row r="312" spans="7:7">
      <c r="G312" s="5" t="str">
        <f t="shared" si="26"/>
        <v/>
      </c>
    </row>
    <row r="313" spans="7:7">
      <c r="G313" s="5" t="str">
        <f t="shared" si="26"/>
        <v/>
      </c>
    </row>
    <row r="314" spans="7:7">
      <c r="G314" s="5" t="str">
        <f t="shared" si="26"/>
        <v/>
      </c>
    </row>
    <row r="315" spans="7:7">
      <c r="G315" s="5" t="str">
        <f t="shared" si="26"/>
        <v/>
      </c>
    </row>
    <row r="316" spans="7:7">
      <c r="G316" s="5" t="str">
        <f t="shared" si="26"/>
        <v/>
      </c>
    </row>
    <row r="317" spans="7:7">
      <c r="G317" s="5" t="str">
        <f t="shared" si="26"/>
        <v/>
      </c>
    </row>
    <row r="318" spans="7:7">
      <c r="G318" s="5" t="str">
        <f t="shared" si="26"/>
        <v/>
      </c>
    </row>
    <row r="319" spans="7:7">
      <c r="G319" s="5" t="str">
        <f t="shared" si="26"/>
        <v/>
      </c>
    </row>
    <row r="320" spans="7:7">
      <c r="G320" s="5" t="str">
        <f t="shared" si="26"/>
        <v/>
      </c>
    </row>
    <row r="321" spans="7:7">
      <c r="G321" s="5" t="str">
        <f t="shared" si="26"/>
        <v/>
      </c>
    </row>
    <row r="322" spans="7:7">
      <c r="G322" s="5" t="str">
        <f t="shared" si="26"/>
        <v/>
      </c>
    </row>
    <row r="323" spans="7:7">
      <c r="G323" s="5" t="str">
        <f t="shared" si="26"/>
        <v/>
      </c>
    </row>
    <row r="324" spans="7:7">
      <c r="G324" s="5" t="str">
        <f t="shared" si="26"/>
        <v/>
      </c>
    </row>
    <row r="325" spans="7:7">
      <c r="G325" s="5" t="str">
        <f t="shared" si="26"/>
        <v/>
      </c>
    </row>
    <row r="326" spans="7:7">
      <c r="G326" s="5" t="str">
        <f t="shared" si="26"/>
        <v/>
      </c>
    </row>
    <row r="327" spans="7:7">
      <c r="G327" s="5" t="str">
        <f t="shared" si="26"/>
        <v/>
      </c>
    </row>
    <row r="328" spans="7:7">
      <c r="G328" s="5" t="str">
        <f t="shared" si="26"/>
        <v/>
      </c>
    </row>
    <row r="329" spans="7:7">
      <c r="G329" s="5" t="str">
        <f t="shared" si="26"/>
        <v/>
      </c>
    </row>
    <row r="330" spans="7:7">
      <c r="G330" s="5" t="str">
        <f t="shared" si="26"/>
        <v/>
      </c>
    </row>
    <row r="331" spans="7:7">
      <c r="G331" s="5" t="str">
        <f t="shared" si="26"/>
        <v/>
      </c>
    </row>
    <row r="332" spans="7:7">
      <c r="G332" s="5" t="str">
        <f t="shared" si="26"/>
        <v/>
      </c>
    </row>
    <row r="333" spans="7:7">
      <c r="G333" s="5" t="str">
        <f t="shared" si="26"/>
        <v/>
      </c>
    </row>
    <row r="334" spans="7:7">
      <c r="G334" s="5" t="str">
        <f t="shared" si="26"/>
        <v/>
      </c>
    </row>
    <row r="335" spans="7:7">
      <c r="G335" s="5" t="str">
        <f t="shared" si="26"/>
        <v/>
      </c>
    </row>
    <row r="336" spans="7:7">
      <c r="G336" s="5" t="str">
        <f t="shared" si="26"/>
        <v/>
      </c>
    </row>
    <row r="337" spans="7:7">
      <c r="G337" s="5" t="str">
        <f t="shared" si="26"/>
        <v/>
      </c>
    </row>
    <row r="338" spans="7:7">
      <c r="G338" s="5" t="str">
        <f t="shared" si="26"/>
        <v/>
      </c>
    </row>
    <row r="339" spans="7:7">
      <c r="G339" s="5" t="str">
        <f t="shared" si="26"/>
        <v/>
      </c>
    </row>
    <row r="340" spans="7:7">
      <c r="G340" s="5" t="str">
        <f t="shared" si="26"/>
        <v/>
      </c>
    </row>
    <row r="341" spans="7:7">
      <c r="G341" s="5" t="str">
        <f t="shared" si="26"/>
        <v/>
      </c>
    </row>
    <row r="342" spans="7:7">
      <c r="G342" s="5" t="str">
        <f t="shared" si="26"/>
        <v/>
      </c>
    </row>
    <row r="343" spans="7:7">
      <c r="G343" s="5" t="str">
        <f t="shared" si="26"/>
        <v/>
      </c>
    </row>
    <row r="344" spans="7:7">
      <c r="G344" s="5" t="str">
        <f t="shared" si="26"/>
        <v/>
      </c>
    </row>
    <row r="345" spans="7:7">
      <c r="G345" s="5" t="str">
        <f t="shared" si="26"/>
        <v/>
      </c>
    </row>
    <row r="346" spans="7:7">
      <c r="G346" s="5" t="str">
        <f t="shared" si="26"/>
        <v/>
      </c>
    </row>
    <row r="347" spans="7:7">
      <c r="G347" s="5" t="str">
        <f t="shared" si="26"/>
        <v/>
      </c>
    </row>
    <row r="348" spans="7:7">
      <c r="G348" s="5" t="str">
        <f t="shared" si="26"/>
        <v/>
      </c>
    </row>
    <row r="349" spans="7:7">
      <c r="G349" s="5" t="str">
        <f t="shared" si="26"/>
        <v/>
      </c>
    </row>
    <row r="350" spans="7:7">
      <c r="G350" s="5" t="str">
        <f t="shared" si="26"/>
        <v/>
      </c>
    </row>
    <row r="351" spans="7:7">
      <c r="G351" s="5" t="str">
        <f t="shared" si="26"/>
        <v/>
      </c>
    </row>
    <row r="352" spans="7:7">
      <c r="G352" s="5" t="str">
        <f t="shared" ref="G352:G415" si="27">IF(B352&lt;&gt;"",SUM(C352:F352),"")</f>
        <v/>
      </c>
    </row>
    <row r="353" spans="7:7">
      <c r="G353" s="5" t="str">
        <f t="shared" si="27"/>
        <v/>
      </c>
    </row>
    <row r="354" spans="7:7">
      <c r="G354" s="5" t="str">
        <f t="shared" si="27"/>
        <v/>
      </c>
    </row>
    <row r="355" spans="7:7">
      <c r="G355" s="5" t="str">
        <f t="shared" si="27"/>
        <v/>
      </c>
    </row>
    <row r="356" spans="7:7">
      <c r="G356" s="5" t="str">
        <f t="shared" si="27"/>
        <v/>
      </c>
    </row>
    <row r="357" spans="7:7">
      <c r="G357" s="5" t="str">
        <f t="shared" si="27"/>
        <v/>
      </c>
    </row>
    <row r="358" spans="7:7">
      <c r="G358" s="5" t="str">
        <f t="shared" si="27"/>
        <v/>
      </c>
    </row>
    <row r="359" spans="7:7">
      <c r="G359" s="5" t="str">
        <f t="shared" si="27"/>
        <v/>
      </c>
    </row>
    <row r="360" spans="7:7">
      <c r="G360" s="5" t="str">
        <f t="shared" si="27"/>
        <v/>
      </c>
    </row>
    <row r="361" spans="7:7">
      <c r="G361" s="5" t="str">
        <f t="shared" si="27"/>
        <v/>
      </c>
    </row>
    <row r="362" spans="7:7">
      <c r="G362" s="5" t="str">
        <f t="shared" si="27"/>
        <v/>
      </c>
    </row>
    <row r="363" spans="7:7">
      <c r="G363" s="5" t="str">
        <f t="shared" si="27"/>
        <v/>
      </c>
    </row>
    <row r="364" spans="7:7">
      <c r="G364" s="5" t="str">
        <f t="shared" si="27"/>
        <v/>
      </c>
    </row>
    <row r="365" spans="7:7">
      <c r="G365" s="5" t="str">
        <f t="shared" si="27"/>
        <v/>
      </c>
    </row>
    <row r="366" spans="7:7">
      <c r="G366" s="5" t="str">
        <f t="shared" si="27"/>
        <v/>
      </c>
    </row>
    <row r="367" spans="7:7">
      <c r="G367" s="5" t="str">
        <f t="shared" si="27"/>
        <v/>
      </c>
    </row>
    <row r="368" spans="7:7">
      <c r="G368" s="5" t="str">
        <f t="shared" si="27"/>
        <v/>
      </c>
    </row>
    <row r="369" spans="7:7">
      <c r="G369" s="5" t="str">
        <f t="shared" si="27"/>
        <v/>
      </c>
    </row>
    <row r="370" spans="7:7">
      <c r="G370" s="5" t="str">
        <f t="shared" si="27"/>
        <v/>
      </c>
    </row>
    <row r="371" spans="7:7">
      <c r="G371" s="5" t="str">
        <f t="shared" si="27"/>
        <v/>
      </c>
    </row>
    <row r="372" spans="7:7">
      <c r="G372" s="5" t="str">
        <f t="shared" si="27"/>
        <v/>
      </c>
    </row>
    <row r="373" spans="7:7">
      <c r="G373" s="5" t="str">
        <f t="shared" si="27"/>
        <v/>
      </c>
    </row>
    <row r="374" spans="7:7">
      <c r="G374" s="5" t="str">
        <f t="shared" si="27"/>
        <v/>
      </c>
    </row>
    <row r="375" spans="7:7">
      <c r="G375" s="5" t="str">
        <f t="shared" si="27"/>
        <v/>
      </c>
    </row>
    <row r="376" spans="7:7">
      <c r="G376" s="5" t="str">
        <f t="shared" si="27"/>
        <v/>
      </c>
    </row>
    <row r="377" spans="7:7">
      <c r="G377" s="5" t="str">
        <f t="shared" si="27"/>
        <v/>
      </c>
    </row>
    <row r="378" spans="7:7">
      <c r="G378" s="5" t="str">
        <f t="shared" si="27"/>
        <v/>
      </c>
    </row>
    <row r="379" spans="7:7">
      <c r="G379" s="5" t="str">
        <f t="shared" si="27"/>
        <v/>
      </c>
    </row>
    <row r="380" spans="7:7">
      <c r="G380" s="5" t="str">
        <f t="shared" si="27"/>
        <v/>
      </c>
    </row>
    <row r="381" spans="7:7">
      <c r="G381" s="5" t="str">
        <f t="shared" si="27"/>
        <v/>
      </c>
    </row>
    <row r="382" spans="7:7">
      <c r="G382" s="5" t="str">
        <f t="shared" si="27"/>
        <v/>
      </c>
    </row>
    <row r="383" spans="7:7">
      <c r="G383" s="5" t="str">
        <f t="shared" si="27"/>
        <v/>
      </c>
    </row>
    <row r="384" spans="7:7">
      <c r="G384" s="5" t="str">
        <f t="shared" si="27"/>
        <v/>
      </c>
    </row>
    <row r="385" spans="7:7">
      <c r="G385" s="5" t="str">
        <f t="shared" si="27"/>
        <v/>
      </c>
    </row>
    <row r="386" spans="7:7">
      <c r="G386" s="5" t="str">
        <f t="shared" si="27"/>
        <v/>
      </c>
    </row>
    <row r="387" spans="7:7">
      <c r="G387" s="5" t="str">
        <f t="shared" si="27"/>
        <v/>
      </c>
    </row>
    <row r="388" spans="7:7">
      <c r="G388" s="5" t="str">
        <f t="shared" si="27"/>
        <v/>
      </c>
    </row>
    <row r="389" spans="7:7">
      <c r="G389" s="5" t="str">
        <f t="shared" si="27"/>
        <v/>
      </c>
    </row>
    <row r="390" spans="7:7">
      <c r="G390" s="5" t="str">
        <f t="shared" si="27"/>
        <v/>
      </c>
    </row>
    <row r="391" spans="7:7">
      <c r="G391" s="5" t="str">
        <f t="shared" si="27"/>
        <v/>
      </c>
    </row>
    <row r="392" spans="7:7">
      <c r="G392" s="5" t="str">
        <f t="shared" si="27"/>
        <v/>
      </c>
    </row>
    <row r="393" spans="7:7">
      <c r="G393" s="5" t="str">
        <f t="shared" si="27"/>
        <v/>
      </c>
    </row>
    <row r="394" spans="7:7">
      <c r="G394" s="5" t="str">
        <f t="shared" si="27"/>
        <v/>
      </c>
    </row>
    <row r="395" spans="7:7">
      <c r="G395" s="5" t="str">
        <f t="shared" si="27"/>
        <v/>
      </c>
    </row>
    <row r="396" spans="7:7">
      <c r="G396" s="5" t="str">
        <f t="shared" si="27"/>
        <v/>
      </c>
    </row>
    <row r="397" spans="7:7">
      <c r="G397" s="5" t="str">
        <f t="shared" si="27"/>
        <v/>
      </c>
    </row>
    <row r="398" spans="7:7">
      <c r="G398" s="5" t="str">
        <f t="shared" si="27"/>
        <v/>
      </c>
    </row>
    <row r="399" spans="7:7">
      <c r="G399" s="5" t="str">
        <f t="shared" si="27"/>
        <v/>
      </c>
    </row>
    <row r="400" spans="7:7">
      <c r="G400" s="5" t="str">
        <f t="shared" si="27"/>
        <v/>
      </c>
    </row>
    <row r="401" spans="7:7">
      <c r="G401" s="5" t="str">
        <f t="shared" si="27"/>
        <v/>
      </c>
    </row>
    <row r="402" spans="7:7">
      <c r="G402" s="5" t="str">
        <f t="shared" si="27"/>
        <v/>
      </c>
    </row>
    <row r="403" spans="7:7">
      <c r="G403" s="5" t="str">
        <f t="shared" si="27"/>
        <v/>
      </c>
    </row>
    <row r="404" spans="7:7">
      <c r="G404" s="5" t="str">
        <f t="shared" si="27"/>
        <v/>
      </c>
    </row>
    <row r="405" spans="7:7">
      <c r="G405" s="5" t="str">
        <f t="shared" si="27"/>
        <v/>
      </c>
    </row>
    <row r="406" spans="7:7">
      <c r="G406" s="5" t="str">
        <f t="shared" si="27"/>
        <v/>
      </c>
    </row>
    <row r="407" spans="7:7">
      <c r="G407" s="5" t="str">
        <f t="shared" si="27"/>
        <v/>
      </c>
    </row>
    <row r="408" spans="7:7">
      <c r="G408" s="5" t="str">
        <f t="shared" si="27"/>
        <v/>
      </c>
    </row>
    <row r="409" spans="7:7">
      <c r="G409" s="5" t="str">
        <f t="shared" si="27"/>
        <v/>
      </c>
    </row>
    <row r="410" spans="7:7">
      <c r="G410" s="5" t="str">
        <f t="shared" si="27"/>
        <v/>
      </c>
    </row>
    <row r="411" spans="7:7">
      <c r="G411" s="5" t="str">
        <f t="shared" si="27"/>
        <v/>
      </c>
    </row>
    <row r="412" spans="7:7">
      <c r="G412" s="5" t="str">
        <f t="shared" si="27"/>
        <v/>
      </c>
    </row>
    <row r="413" spans="7:7">
      <c r="G413" s="5" t="str">
        <f t="shared" si="27"/>
        <v/>
      </c>
    </row>
    <row r="414" spans="7:7">
      <c r="G414" s="5" t="str">
        <f t="shared" si="27"/>
        <v/>
      </c>
    </row>
    <row r="415" spans="7:7">
      <c r="G415" s="5" t="str">
        <f t="shared" si="27"/>
        <v/>
      </c>
    </row>
    <row r="416" spans="7:7">
      <c r="G416" s="5" t="str">
        <f t="shared" ref="G416:G479" si="28">IF(B416&lt;&gt;"",SUM(C416:F416),"")</f>
        <v/>
      </c>
    </row>
    <row r="417" spans="7:7">
      <c r="G417" s="5" t="str">
        <f t="shared" si="28"/>
        <v/>
      </c>
    </row>
    <row r="418" spans="7:7">
      <c r="G418" s="5" t="str">
        <f t="shared" si="28"/>
        <v/>
      </c>
    </row>
    <row r="419" spans="7:7">
      <c r="G419" s="5" t="str">
        <f t="shared" si="28"/>
        <v/>
      </c>
    </row>
    <row r="420" spans="7:7">
      <c r="G420" s="5" t="str">
        <f t="shared" si="28"/>
        <v/>
      </c>
    </row>
    <row r="421" spans="7:7">
      <c r="G421" s="5" t="str">
        <f t="shared" si="28"/>
        <v/>
      </c>
    </row>
    <row r="422" spans="7:7">
      <c r="G422" s="5" t="str">
        <f t="shared" si="28"/>
        <v/>
      </c>
    </row>
    <row r="423" spans="7:7">
      <c r="G423" s="5" t="str">
        <f t="shared" si="28"/>
        <v/>
      </c>
    </row>
    <row r="424" spans="7:7">
      <c r="G424" s="5" t="str">
        <f t="shared" si="28"/>
        <v/>
      </c>
    </row>
    <row r="425" spans="7:7">
      <c r="G425" s="5" t="str">
        <f t="shared" si="28"/>
        <v/>
      </c>
    </row>
    <row r="426" spans="7:7">
      <c r="G426" s="5" t="str">
        <f t="shared" si="28"/>
        <v/>
      </c>
    </row>
    <row r="427" spans="7:7">
      <c r="G427" s="5" t="str">
        <f t="shared" si="28"/>
        <v/>
      </c>
    </row>
    <row r="428" spans="7:7">
      <c r="G428" s="5" t="str">
        <f t="shared" si="28"/>
        <v/>
      </c>
    </row>
    <row r="429" spans="7:7">
      <c r="G429" s="5" t="str">
        <f t="shared" si="28"/>
        <v/>
      </c>
    </row>
    <row r="430" spans="7:7">
      <c r="G430" s="5" t="str">
        <f t="shared" si="28"/>
        <v/>
      </c>
    </row>
    <row r="431" spans="7:7">
      <c r="G431" s="5" t="str">
        <f t="shared" si="28"/>
        <v/>
      </c>
    </row>
    <row r="432" spans="7:7">
      <c r="G432" s="5" t="str">
        <f t="shared" si="28"/>
        <v/>
      </c>
    </row>
    <row r="433" spans="7:7">
      <c r="G433" s="5" t="str">
        <f t="shared" si="28"/>
        <v/>
      </c>
    </row>
    <row r="434" spans="7:7">
      <c r="G434" s="5" t="str">
        <f t="shared" si="28"/>
        <v/>
      </c>
    </row>
    <row r="435" spans="7:7">
      <c r="G435" s="5" t="str">
        <f t="shared" si="28"/>
        <v/>
      </c>
    </row>
    <row r="436" spans="7:7">
      <c r="G436" s="5" t="str">
        <f t="shared" si="28"/>
        <v/>
      </c>
    </row>
    <row r="437" spans="7:7">
      <c r="G437" s="5" t="str">
        <f t="shared" si="28"/>
        <v/>
      </c>
    </row>
    <row r="438" spans="7:7">
      <c r="G438" s="5" t="str">
        <f t="shared" si="28"/>
        <v/>
      </c>
    </row>
    <row r="439" spans="7:7">
      <c r="G439" s="5" t="str">
        <f t="shared" si="28"/>
        <v/>
      </c>
    </row>
    <row r="440" spans="7:7">
      <c r="G440" s="5" t="str">
        <f t="shared" si="28"/>
        <v/>
      </c>
    </row>
    <row r="441" spans="7:7">
      <c r="G441" s="5" t="str">
        <f t="shared" si="28"/>
        <v/>
      </c>
    </row>
    <row r="442" spans="7:7">
      <c r="G442" s="5" t="str">
        <f t="shared" si="28"/>
        <v/>
      </c>
    </row>
    <row r="443" spans="7:7">
      <c r="G443" s="5" t="str">
        <f t="shared" si="28"/>
        <v/>
      </c>
    </row>
    <row r="444" spans="7:7">
      <c r="G444" s="5" t="str">
        <f t="shared" si="28"/>
        <v/>
      </c>
    </row>
    <row r="445" spans="7:7">
      <c r="G445" s="5" t="str">
        <f t="shared" si="28"/>
        <v/>
      </c>
    </row>
    <row r="446" spans="7:7">
      <c r="G446" s="5" t="str">
        <f t="shared" si="28"/>
        <v/>
      </c>
    </row>
    <row r="447" spans="7:7">
      <c r="G447" s="5" t="str">
        <f t="shared" si="28"/>
        <v/>
      </c>
    </row>
    <row r="448" spans="7:7">
      <c r="G448" s="5" t="str">
        <f t="shared" si="28"/>
        <v/>
      </c>
    </row>
    <row r="449" spans="7:7">
      <c r="G449" s="5" t="str">
        <f t="shared" si="28"/>
        <v/>
      </c>
    </row>
    <row r="450" spans="7:7">
      <c r="G450" s="5" t="str">
        <f t="shared" si="28"/>
        <v/>
      </c>
    </row>
    <row r="451" spans="7:7">
      <c r="G451" s="5" t="str">
        <f t="shared" si="28"/>
        <v/>
      </c>
    </row>
    <row r="452" spans="7:7">
      <c r="G452" s="5" t="str">
        <f t="shared" si="28"/>
        <v/>
      </c>
    </row>
    <row r="453" spans="7:7">
      <c r="G453" s="5" t="str">
        <f t="shared" si="28"/>
        <v/>
      </c>
    </row>
    <row r="454" spans="7:7">
      <c r="G454" s="5" t="str">
        <f t="shared" si="28"/>
        <v/>
      </c>
    </row>
    <row r="455" spans="7:7">
      <c r="G455" s="5" t="str">
        <f t="shared" si="28"/>
        <v/>
      </c>
    </row>
    <row r="456" spans="7:7">
      <c r="G456" s="5" t="str">
        <f t="shared" si="28"/>
        <v/>
      </c>
    </row>
    <row r="457" spans="7:7">
      <c r="G457" s="5" t="str">
        <f t="shared" si="28"/>
        <v/>
      </c>
    </row>
    <row r="458" spans="7:7">
      <c r="G458" s="5" t="str">
        <f t="shared" si="28"/>
        <v/>
      </c>
    </row>
    <row r="459" spans="7:7">
      <c r="G459" s="5" t="str">
        <f t="shared" si="28"/>
        <v/>
      </c>
    </row>
    <row r="460" spans="7:7">
      <c r="G460" s="5" t="str">
        <f t="shared" si="28"/>
        <v/>
      </c>
    </row>
    <row r="461" spans="7:7">
      <c r="G461" s="5" t="str">
        <f t="shared" si="28"/>
        <v/>
      </c>
    </row>
    <row r="462" spans="7:7">
      <c r="G462" s="5" t="str">
        <f t="shared" si="28"/>
        <v/>
      </c>
    </row>
    <row r="463" spans="7:7">
      <c r="G463" s="5" t="str">
        <f t="shared" si="28"/>
        <v/>
      </c>
    </row>
    <row r="464" spans="7:7">
      <c r="G464" s="5" t="str">
        <f t="shared" si="28"/>
        <v/>
      </c>
    </row>
    <row r="465" spans="7:7">
      <c r="G465" s="5" t="str">
        <f t="shared" si="28"/>
        <v/>
      </c>
    </row>
    <row r="466" spans="7:7">
      <c r="G466" s="5" t="str">
        <f t="shared" si="28"/>
        <v/>
      </c>
    </row>
    <row r="467" spans="7:7">
      <c r="G467" s="5" t="str">
        <f t="shared" si="28"/>
        <v/>
      </c>
    </row>
    <row r="468" spans="7:7">
      <c r="G468" s="5" t="str">
        <f t="shared" si="28"/>
        <v/>
      </c>
    </row>
    <row r="469" spans="7:7">
      <c r="G469" s="5" t="str">
        <f t="shared" si="28"/>
        <v/>
      </c>
    </row>
    <row r="470" spans="7:7">
      <c r="G470" s="5" t="str">
        <f t="shared" si="28"/>
        <v/>
      </c>
    </row>
    <row r="471" spans="7:7">
      <c r="G471" s="5" t="str">
        <f t="shared" si="28"/>
        <v/>
      </c>
    </row>
    <row r="472" spans="7:7">
      <c r="G472" s="5" t="str">
        <f t="shared" si="28"/>
        <v/>
      </c>
    </row>
    <row r="473" spans="7:7">
      <c r="G473" s="5" t="str">
        <f t="shared" si="28"/>
        <v/>
      </c>
    </row>
    <row r="474" spans="7:7">
      <c r="G474" s="5" t="str">
        <f t="shared" si="28"/>
        <v/>
      </c>
    </row>
    <row r="475" spans="7:7">
      <c r="G475" s="5" t="str">
        <f t="shared" si="28"/>
        <v/>
      </c>
    </row>
    <row r="476" spans="7:7">
      <c r="G476" s="5" t="str">
        <f t="shared" si="28"/>
        <v/>
      </c>
    </row>
    <row r="477" spans="7:7">
      <c r="G477" s="5" t="str">
        <f t="shared" si="28"/>
        <v/>
      </c>
    </row>
    <row r="478" spans="7:7">
      <c r="G478" s="5" t="str">
        <f t="shared" si="28"/>
        <v/>
      </c>
    </row>
    <row r="479" spans="7:7">
      <c r="G479" s="5" t="str">
        <f t="shared" si="28"/>
        <v/>
      </c>
    </row>
    <row r="480" spans="7:7">
      <c r="G480" s="5" t="str">
        <f t="shared" ref="G480" si="29">IF(B480&lt;&gt;"",SUM(C480:F480),"")</f>
        <v/>
      </c>
    </row>
  </sheetData>
  <sheetProtection algorithmName="SHA-512" hashValue="gIEQan6om7Wt+gb9FLAzueUDNQ9B75uceG8FWXvYkh/h4m9UKsADdKUE2OTX5VjELuDzVe5ofcQ1Qwxq6d+3Qw==" saltValue="xXa33i96Yf3P4ya5cIjl1Q==" spinCount="100000" sheet="1" sort="0" autoFilter="0" pivotTables="0"/>
  <autoFilter ref="H5:H97" xr:uid="{36C73D8A-9F98-43B5-A536-F280F06D4261}"/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71AC0-583A-4563-9B72-D9BF98991D85}">
  <sheetPr codeName="Planilha46">
    <tabColor rgb="FFFF0000"/>
    <pageSetUpPr fitToPage="1"/>
  </sheetPr>
  <dimension ref="B1:S405"/>
  <sheetViews>
    <sheetView workbookViewId="0">
      <pane ySplit="5" topLeftCell="A6" activePane="bottomLeft" state="frozen"/>
      <selection pane="bottomLeft" activeCell="F6" sqref="F6:F11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1265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210" t="s">
        <v>6</v>
      </c>
      <c r="C4" s="43"/>
      <c r="D4" s="43"/>
      <c r="E4" s="43"/>
      <c r="F4" s="44"/>
      <c r="G4" s="45"/>
      <c r="H4" s="200"/>
      <c r="I4" s="200" t="s">
        <v>48</v>
      </c>
      <c r="J4" s="201" t="s">
        <v>9</v>
      </c>
      <c r="K4" s="201" t="s">
        <v>9</v>
      </c>
      <c r="L4" s="202">
        <v>4.7619047619047616E-2</v>
      </c>
      <c r="M4" s="203" t="s">
        <v>15</v>
      </c>
      <c r="N4" s="36"/>
      <c r="O4" s="19"/>
      <c r="P4" s="19"/>
      <c r="Q4" s="19"/>
      <c r="R4" s="19"/>
      <c r="S4" s="19"/>
    </row>
    <row r="5" spans="2:19" ht="16.5" thickBot="1">
      <c r="B5" s="212" t="s">
        <v>5</v>
      </c>
      <c r="C5" s="208" t="s">
        <v>0</v>
      </c>
      <c r="D5" s="208" t="s">
        <v>12</v>
      </c>
      <c r="E5" s="208" t="s">
        <v>2</v>
      </c>
      <c r="F5" s="208" t="s">
        <v>3</v>
      </c>
      <c r="G5" s="209" t="s">
        <v>1</v>
      </c>
      <c r="H5" s="204" t="s">
        <v>4</v>
      </c>
      <c r="I5" s="204" t="s">
        <v>7</v>
      </c>
      <c r="J5" s="205" t="s">
        <v>8</v>
      </c>
      <c r="K5" s="205" t="s">
        <v>10</v>
      </c>
      <c r="L5" s="206" t="s">
        <v>11</v>
      </c>
      <c r="M5" s="207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241" t="s">
        <v>921</v>
      </c>
      <c r="C6" s="38"/>
      <c r="D6" s="38"/>
      <c r="E6" s="38"/>
      <c r="F6" s="39"/>
      <c r="G6" s="40"/>
      <c r="H6" s="23">
        <f>SUM(C6:G6)</f>
        <v>0</v>
      </c>
      <c r="I6" s="198">
        <f t="shared" ref="I6:I9" si="0">L6-(L6*J6)</f>
        <v>11.805305556</v>
      </c>
      <c r="J6" s="16"/>
      <c r="K6" s="17"/>
      <c r="L6" s="242">
        <v>11.805305556</v>
      </c>
      <c r="M6" s="181"/>
      <c r="N6" s="25">
        <f t="shared" ref="N6:N9" si="1">I6*C6</f>
        <v>0</v>
      </c>
      <c r="O6" s="25">
        <f t="shared" ref="O6:O9" si="2">I6*D6</f>
        <v>0</v>
      </c>
      <c r="P6" s="25">
        <f t="shared" ref="P6:P9" si="3">I6*E6</f>
        <v>0</v>
      </c>
      <c r="Q6" s="26">
        <f t="shared" ref="Q6:Q9" si="4">I6*F6</f>
        <v>0</v>
      </c>
      <c r="R6" s="27">
        <f t="shared" ref="R6:R9" si="5">I6*G6</f>
        <v>0</v>
      </c>
      <c r="S6" s="28">
        <f>SUM(N6:R6)</f>
        <v>0</v>
      </c>
    </row>
    <row r="7" spans="2:19">
      <c r="B7" s="241" t="s">
        <v>922</v>
      </c>
      <c r="C7" s="13"/>
      <c r="D7" s="13"/>
      <c r="E7" s="13"/>
      <c r="F7" s="14"/>
      <c r="G7" s="8"/>
      <c r="H7" s="24">
        <f t="shared" ref="H7:H9" si="6">SUM(C7:G7)</f>
        <v>0</v>
      </c>
      <c r="I7" s="199">
        <f t="shared" si="0"/>
        <v>29.0903125</v>
      </c>
      <c r="J7" s="10"/>
      <c r="K7" s="12"/>
      <c r="L7" s="242">
        <v>29.0903125</v>
      </c>
      <c r="M7" s="181"/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9" si="7">SUM(N7:R7)</f>
        <v>0</v>
      </c>
    </row>
    <row r="8" spans="2:19">
      <c r="B8" s="241" t="s">
        <v>923</v>
      </c>
      <c r="C8" s="13"/>
      <c r="D8" s="13"/>
      <c r="E8" s="13"/>
      <c r="F8" s="14"/>
      <c r="G8" s="8"/>
      <c r="H8" s="24">
        <f t="shared" si="6"/>
        <v>0</v>
      </c>
      <c r="I8" s="199">
        <f t="shared" si="0"/>
        <v>7.9954000000000001</v>
      </c>
      <c r="J8" s="10"/>
      <c r="K8" s="12"/>
      <c r="L8" s="242">
        <v>7.9954000000000001</v>
      </c>
      <c r="M8" s="181"/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241" t="s">
        <v>924</v>
      </c>
      <c r="C9" s="13"/>
      <c r="D9" s="13"/>
      <c r="E9" s="13"/>
      <c r="F9" s="14"/>
      <c r="G9" s="8"/>
      <c r="H9" s="24">
        <f t="shared" si="6"/>
        <v>0</v>
      </c>
      <c r="I9" s="199">
        <f t="shared" si="0"/>
        <v>15.186153846</v>
      </c>
      <c r="J9" s="10"/>
      <c r="K9" s="12"/>
      <c r="L9" s="242">
        <v>15.186153846</v>
      </c>
      <c r="M9" s="181"/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58" t="s">
        <v>13</v>
      </c>
      <c r="C10" s="33">
        <v>0</v>
      </c>
      <c r="D10" s="33">
        <v>0</v>
      </c>
      <c r="E10" s="33">
        <v>0</v>
      </c>
      <c r="F10" s="33"/>
      <c r="G10" s="33">
        <f t="shared" ref="G10" si="8">R11</f>
        <v>0</v>
      </c>
      <c r="H10" s="33">
        <f t="shared" ref="H10" si="9">S11</f>
        <v>0</v>
      </c>
      <c r="N10" s="25"/>
      <c r="O10" s="25"/>
      <c r="P10" s="25"/>
      <c r="Q10" s="26"/>
      <c r="R10" s="27"/>
      <c r="S10" s="28"/>
    </row>
    <row r="11" spans="2:19">
      <c r="B11" s="59" t="s">
        <v>46</v>
      </c>
      <c r="N11" s="29">
        <f t="shared" ref="N11:S11" si="10">SUM(N6:N10)</f>
        <v>0</v>
      </c>
      <c r="O11" s="29">
        <f t="shared" si="10"/>
        <v>0</v>
      </c>
      <c r="P11" s="29">
        <f t="shared" si="10"/>
        <v>0</v>
      </c>
      <c r="Q11" s="29">
        <f t="shared" si="10"/>
        <v>0</v>
      </c>
      <c r="R11" s="29">
        <f t="shared" si="10"/>
        <v>0</v>
      </c>
      <c r="S11" s="29">
        <f t="shared" si="10"/>
        <v>0</v>
      </c>
    </row>
    <row r="12" spans="2:19" ht="16.5" thickBot="1">
      <c r="B12" s="2"/>
    </row>
    <row r="13" spans="2:19">
      <c r="B13" s="60" t="s">
        <v>47</v>
      </c>
    </row>
    <row r="14" spans="2:19">
      <c r="B14" s="61" t="s">
        <v>903</v>
      </c>
    </row>
    <row r="15" spans="2:19">
      <c r="B15" s="61" t="s">
        <v>904</v>
      </c>
    </row>
    <row r="16" spans="2:19" ht="16.5" thickBot="1">
      <c r="B16" s="62" t="s">
        <v>905</v>
      </c>
    </row>
    <row r="17" spans="2:7">
      <c r="B17" s="2"/>
    </row>
    <row r="18" spans="2:7">
      <c r="B18" s="30" t="s">
        <v>20</v>
      </c>
    </row>
    <row r="19" spans="2:7">
      <c r="B19" s="35"/>
    </row>
    <row r="20" spans="2:7">
      <c r="B20" s="35"/>
    </row>
    <row r="21" spans="2:7">
      <c r="G21" s="5" t="str">
        <f t="shared" ref="G21:G84" si="11">IF(B21&lt;&gt;"",SUM(C21:F21),"")</f>
        <v/>
      </c>
    </row>
    <row r="22" spans="2:7">
      <c r="G22" s="5" t="str">
        <f t="shared" si="11"/>
        <v/>
      </c>
    </row>
    <row r="23" spans="2:7">
      <c r="G23" s="5" t="str">
        <f t="shared" si="11"/>
        <v/>
      </c>
    </row>
    <row r="24" spans="2:7">
      <c r="G24" s="5" t="str">
        <f t="shared" si="11"/>
        <v/>
      </c>
    </row>
    <row r="25" spans="2:7">
      <c r="G25" s="5" t="str">
        <f t="shared" si="11"/>
        <v/>
      </c>
    </row>
    <row r="26" spans="2:7">
      <c r="G26" s="5" t="str">
        <f t="shared" si="11"/>
        <v/>
      </c>
    </row>
    <row r="27" spans="2:7">
      <c r="G27" s="5" t="str">
        <f t="shared" si="11"/>
        <v/>
      </c>
    </row>
    <row r="28" spans="2:7">
      <c r="G28" s="5" t="str">
        <f t="shared" si="11"/>
        <v/>
      </c>
    </row>
    <row r="29" spans="2:7">
      <c r="G29" s="5" t="str">
        <f t="shared" si="11"/>
        <v/>
      </c>
    </row>
    <row r="30" spans="2:7">
      <c r="G30" s="5" t="str">
        <f t="shared" si="11"/>
        <v/>
      </c>
    </row>
    <row r="31" spans="2:7">
      <c r="G31" s="5" t="str">
        <f t="shared" si="11"/>
        <v/>
      </c>
    </row>
    <row r="32" spans="2:7">
      <c r="G32" s="5" t="str">
        <f t="shared" si="11"/>
        <v/>
      </c>
    </row>
    <row r="33" spans="7:7">
      <c r="G33" s="5" t="str">
        <f t="shared" si="11"/>
        <v/>
      </c>
    </row>
    <row r="34" spans="7:7">
      <c r="G34" s="5" t="str">
        <f t="shared" si="11"/>
        <v/>
      </c>
    </row>
    <row r="35" spans="7:7">
      <c r="G35" s="5" t="str">
        <f t="shared" si="11"/>
        <v/>
      </c>
    </row>
    <row r="36" spans="7:7">
      <c r="G36" s="5" t="str">
        <f t="shared" si="11"/>
        <v/>
      </c>
    </row>
    <row r="37" spans="7:7">
      <c r="G37" s="5" t="str">
        <f t="shared" si="11"/>
        <v/>
      </c>
    </row>
    <row r="38" spans="7:7">
      <c r="G38" s="5" t="str">
        <f t="shared" si="11"/>
        <v/>
      </c>
    </row>
    <row r="39" spans="7:7">
      <c r="G39" s="5" t="str">
        <f t="shared" si="11"/>
        <v/>
      </c>
    </row>
    <row r="40" spans="7:7">
      <c r="G40" s="5" t="str">
        <f t="shared" si="11"/>
        <v/>
      </c>
    </row>
    <row r="41" spans="7:7">
      <c r="G41" s="5" t="str">
        <f t="shared" si="11"/>
        <v/>
      </c>
    </row>
    <row r="42" spans="7:7">
      <c r="G42" s="5" t="str">
        <f t="shared" si="11"/>
        <v/>
      </c>
    </row>
    <row r="43" spans="7:7">
      <c r="G43" s="5" t="str">
        <f t="shared" si="11"/>
        <v/>
      </c>
    </row>
    <row r="44" spans="7:7">
      <c r="G44" s="5" t="str">
        <f t="shared" si="11"/>
        <v/>
      </c>
    </row>
    <row r="45" spans="7:7">
      <c r="G45" s="5" t="str">
        <f t="shared" si="11"/>
        <v/>
      </c>
    </row>
    <row r="46" spans="7:7">
      <c r="G46" s="5" t="str">
        <f t="shared" si="11"/>
        <v/>
      </c>
    </row>
    <row r="47" spans="7:7">
      <c r="G47" s="5" t="str">
        <f t="shared" si="11"/>
        <v/>
      </c>
    </row>
    <row r="48" spans="7:7">
      <c r="G48" s="5" t="str">
        <f t="shared" si="11"/>
        <v/>
      </c>
    </row>
    <row r="49" spans="7:7">
      <c r="G49" s="5" t="str">
        <f t="shared" si="11"/>
        <v/>
      </c>
    </row>
    <row r="50" spans="7:7">
      <c r="G50" s="5" t="str">
        <f t="shared" si="11"/>
        <v/>
      </c>
    </row>
    <row r="51" spans="7:7">
      <c r="G51" s="5" t="str">
        <f t="shared" si="11"/>
        <v/>
      </c>
    </row>
    <row r="52" spans="7:7">
      <c r="G52" s="5" t="str">
        <f t="shared" si="11"/>
        <v/>
      </c>
    </row>
    <row r="53" spans="7:7">
      <c r="G53" s="5" t="str">
        <f t="shared" si="11"/>
        <v/>
      </c>
    </row>
    <row r="54" spans="7:7">
      <c r="G54" s="5" t="str">
        <f t="shared" si="11"/>
        <v/>
      </c>
    </row>
    <row r="55" spans="7:7">
      <c r="G55" s="5" t="str">
        <f t="shared" si="11"/>
        <v/>
      </c>
    </row>
    <row r="56" spans="7:7">
      <c r="G56" s="5" t="str">
        <f t="shared" si="11"/>
        <v/>
      </c>
    </row>
    <row r="57" spans="7:7">
      <c r="G57" s="5" t="str">
        <f t="shared" si="11"/>
        <v/>
      </c>
    </row>
    <row r="58" spans="7:7">
      <c r="G58" s="5" t="str">
        <f t="shared" si="11"/>
        <v/>
      </c>
    </row>
    <row r="59" spans="7:7">
      <c r="G59" s="5" t="str">
        <f t="shared" si="11"/>
        <v/>
      </c>
    </row>
    <row r="60" spans="7:7">
      <c r="G60" s="5" t="str">
        <f t="shared" si="11"/>
        <v/>
      </c>
    </row>
    <row r="61" spans="7:7">
      <c r="G61" s="5" t="str">
        <f t="shared" si="11"/>
        <v/>
      </c>
    </row>
    <row r="62" spans="7:7">
      <c r="G62" s="5" t="str">
        <f t="shared" si="11"/>
        <v/>
      </c>
    </row>
    <row r="63" spans="7:7">
      <c r="G63" s="5" t="str">
        <f t="shared" si="11"/>
        <v/>
      </c>
    </row>
    <row r="64" spans="7:7">
      <c r="G64" s="5" t="str">
        <f t="shared" si="11"/>
        <v/>
      </c>
    </row>
    <row r="65" spans="7:7">
      <c r="G65" s="5" t="str">
        <f t="shared" si="11"/>
        <v/>
      </c>
    </row>
    <row r="66" spans="7:7">
      <c r="G66" s="5" t="str">
        <f t="shared" si="11"/>
        <v/>
      </c>
    </row>
    <row r="67" spans="7:7">
      <c r="G67" s="5" t="str">
        <f t="shared" si="11"/>
        <v/>
      </c>
    </row>
    <row r="68" spans="7:7">
      <c r="G68" s="5" t="str">
        <f t="shared" si="11"/>
        <v/>
      </c>
    </row>
    <row r="69" spans="7:7">
      <c r="G69" s="5" t="str">
        <f t="shared" si="11"/>
        <v/>
      </c>
    </row>
    <row r="70" spans="7:7">
      <c r="G70" s="5" t="str">
        <f t="shared" si="11"/>
        <v/>
      </c>
    </row>
    <row r="71" spans="7:7">
      <c r="G71" s="5" t="str">
        <f t="shared" si="11"/>
        <v/>
      </c>
    </row>
    <row r="72" spans="7:7">
      <c r="G72" s="5" t="str">
        <f t="shared" si="11"/>
        <v/>
      </c>
    </row>
    <row r="73" spans="7:7">
      <c r="G73" s="5" t="str">
        <f t="shared" si="11"/>
        <v/>
      </c>
    </row>
    <row r="74" spans="7:7">
      <c r="G74" s="5" t="str">
        <f t="shared" si="11"/>
        <v/>
      </c>
    </row>
    <row r="75" spans="7:7">
      <c r="G75" s="5" t="str">
        <f t="shared" si="11"/>
        <v/>
      </c>
    </row>
    <row r="76" spans="7:7">
      <c r="G76" s="5" t="str">
        <f t="shared" si="11"/>
        <v/>
      </c>
    </row>
    <row r="77" spans="7:7">
      <c r="G77" s="5" t="str">
        <f t="shared" si="11"/>
        <v/>
      </c>
    </row>
    <row r="78" spans="7:7">
      <c r="G78" s="5" t="str">
        <f t="shared" si="11"/>
        <v/>
      </c>
    </row>
    <row r="79" spans="7:7">
      <c r="G79" s="5" t="str">
        <f t="shared" si="11"/>
        <v/>
      </c>
    </row>
    <row r="80" spans="7:7">
      <c r="G80" s="5" t="str">
        <f t="shared" si="11"/>
        <v/>
      </c>
    </row>
    <row r="81" spans="7:7">
      <c r="G81" s="5" t="str">
        <f t="shared" si="11"/>
        <v/>
      </c>
    </row>
    <row r="82" spans="7:7">
      <c r="G82" s="5" t="str">
        <f t="shared" si="11"/>
        <v/>
      </c>
    </row>
    <row r="83" spans="7:7">
      <c r="G83" s="5" t="str">
        <f t="shared" si="11"/>
        <v/>
      </c>
    </row>
    <row r="84" spans="7:7">
      <c r="G84" s="5" t="str">
        <f t="shared" si="11"/>
        <v/>
      </c>
    </row>
    <row r="85" spans="7:7">
      <c r="G85" s="5" t="str">
        <f t="shared" ref="G85:G148" si="12">IF(B85&lt;&gt;"",SUM(C85:F85),"")</f>
        <v/>
      </c>
    </row>
    <row r="86" spans="7:7">
      <c r="G86" s="5" t="str">
        <f t="shared" si="12"/>
        <v/>
      </c>
    </row>
    <row r="87" spans="7:7">
      <c r="G87" s="5" t="str">
        <f t="shared" si="12"/>
        <v/>
      </c>
    </row>
    <row r="88" spans="7:7">
      <c r="G88" s="5" t="str">
        <f t="shared" si="12"/>
        <v/>
      </c>
    </row>
    <row r="89" spans="7:7">
      <c r="G89" s="5" t="str">
        <f t="shared" si="12"/>
        <v/>
      </c>
    </row>
    <row r="90" spans="7:7">
      <c r="G90" s="5" t="str">
        <f t="shared" si="12"/>
        <v/>
      </c>
    </row>
    <row r="91" spans="7:7">
      <c r="G91" s="5" t="str">
        <f t="shared" si="12"/>
        <v/>
      </c>
    </row>
    <row r="92" spans="7:7">
      <c r="G92" s="5" t="str">
        <f t="shared" si="12"/>
        <v/>
      </c>
    </row>
    <row r="93" spans="7:7">
      <c r="G93" s="5" t="str">
        <f t="shared" si="12"/>
        <v/>
      </c>
    </row>
    <row r="94" spans="7:7">
      <c r="G94" s="5" t="str">
        <f t="shared" si="12"/>
        <v/>
      </c>
    </row>
    <row r="95" spans="7:7">
      <c r="G95" s="5" t="str">
        <f t="shared" si="12"/>
        <v/>
      </c>
    </row>
    <row r="96" spans="7:7">
      <c r="G96" s="5" t="str">
        <f t="shared" si="12"/>
        <v/>
      </c>
    </row>
    <row r="97" spans="7:7">
      <c r="G97" s="5" t="str">
        <f t="shared" si="12"/>
        <v/>
      </c>
    </row>
    <row r="98" spans="7:7">
      <c r="G98" s="5" t="str">
        <f t="shared" si="12"/>
        <v/>
      </c>
    </row>
    <row r="99" spans="7:7">
      <c r="G99" s="5" t="str">
        <f t="shared" si="12"/>
        <v/>
      </c>
    </row>
    <row r="100" spans="7:7">
      <c r="G100" s="5" t="str">
        <f t="shared" si="12"/>
        <v/>
      </c>
    </row>
    <row r="101" spans="7:7">
      <c r="G101" s="5" t="str">
        <f t="shared" si="12"/>
        <v/>
      </c>
    </row>
    <row r="102" spans="7:7">
      <c r="G102" s="5" t="str">
        <f t="shared" si="12"/>
        <v/>
      </c>
    </row>
    <row r="103" spans="7:7">
      <c r="G103" s="5" t="str">
        <f t="shared" si="12"/>
        <v/>
      </c>
    </row>
    <row r="104" spans="7:7">
      <c r="G104" s="5" t="str">
        <f t="shared" si="12"/>
        <v/>
      </c>
    </row>
    <row r="105" spans="7:7">
      <c r="G105" s="5" t="str">
        <f t="shared" si="12"/>
        <v/>
      </c>
    </row>
    <row r="106" spans="7:7">
      <c r="G106" s="5" t="str">
        <f t="shared" si="12"/>
        <v/>
      </c>
    </row>
    <row r="107" spans="7:7">
      <c r="G107" s="5" t="str">
        <f t="shared" si="12"/>
        <v/>
      </c>
    </row>
    <row r="108" spans="7:7">
      <c r="G108" s="5" t="str">
        <f t="shared" si="12"/>
        <v/>
      </c>
    </row>
    <row r="109" spans="7:7">
      <c r="G109" s="5" t="str">
        <f t="shared" si="12"/>
        <v/>
      </c>
    </row>
    <row r="110" spans="7:7">
      <c r="G110" s="5" t="str">
        <f t="shared" si="12"/>
        <v/>
      </c>
    </row>
    <row r="111" spans="7:7">
      <c r="G111" s="5" t="str">
        <f t="shared" si="12"/>
        <v/>
      </c>
    </row>
    <row r="112" spans="7:7">
      <c r="G112" s="5" t="str">
        <f t="shared" si="12"/>
        <v/>
      </c>
    </row>
    <row r="113" spans="7:7">
      <c r="G113" s="5" t="str">
        <f t="shared" si="12"/>
        <v/>
      </c>
    </row>
    <row r="114" spans="7:7">
      <c r="G114" s="5" t="str">
        <f t="shared" si="12"/>
        <v/>
      </c>
    </row>
    <row r="115" spans="7:7">
      <c r="G115" s="5" t="str">
        <f t="shared" si="12"/>
        <v/>
      </c>
    </row>
    <row r="116" spans="7:7">
      <c r="G116" s="5" t="str">
        <f t="shared" si="12"/>
        <v/>
      </c>
    </row>
    <row r="117" spans="7:7">
      <c r="G117" s="5" t="str">
        <f t="shared" si="12"/>
        <v/>
      </c>
    </row>
    <row r="118" spans="7:7">
      <c r="G118" s="5" t="str">
        <f t="shared" si="12"/>
        <v/>
      </c>
    </row>
    <row r="119" spans="7:7">
      <c r="G119" s="5" t="str">
        <f t="shared" si="12"/>
        <v/>
      </c>
    </row>
    <row r="120" spans="7:7">
      <c r="G120" s="5" t="str">
        <f t="shared" si="12"/>
        <v/>
      </c>
    </row>
    <row r="121" spans="7:7">
      <c r="G121" s="5" t="str">
        <f t="shared" si="12"/>
        <v/>
      </c>
    </row>
    <row r="122" spans="7:7">
      <c r="G122" s="5" t="str">
        <f t="shared" si="12"/>
        <v/>
      </c>
    </row>
    <row r="123" spans="7:7">
      <c r="G123" s="5" t="str">
        <f t="shared" si="12"/>
        <v/>
      </c>
    </row>
    <row r="124" spans="7:7">
      <c r="G124" s="5" t="str">
        <f t="shared" si="12"/>
        <v/>
      </c>
    </row>
    <row r="125" spans="7:7">
      <c r="G125" s="5" t="str">
        <f t="shared" si="12"/>
        <v/>
      </c>
    </row>
    <row r="126" spans="7:7">
      <c r="G126" s="5" t="str">
        <f t="shared" si="12"/>
        <v/>
      </c>
    </row>
    <row r="127" spans="7:7">
      <c r="G127" s="5" t="str">
        <f t="shared" si="12"/>
        <v/>
      </c>
    </row>
    <row r="128" spans="7:7">
      <c r="G128" s="5" t="str">
        <f t="shared" si="12"/>
        <v/>
      </c>
    </row>
    <row r="129" spans="7:7">
      <c r="G129" s="5" t="str">
        <f t="shared" si="12"/>
        <v/>
      </c>
    </row>
    <row r="130" spans="7:7">
      <c r="G130" s="5" t="str">
        <f t="shared" si="12"/>
        <v/>
      </c>
    </row>
    <row r="131" spans="7:7">
      <c r="G131" s="5" t="str">
        <f t="shared" si="12"/>
        <v/>
      </c>
    </row>
    <row r="132" spans="7:7">
      <c r="G132" s="5" t="str">
        <f t="shared" si="12"/>
        <v/>
      </c>
    </row>
    <row r="133" spans="7:7">
      <c r="G133" s="5" t="str">
        <f t="shared" si="12"/>
        <v/>
      </c>
    </row>
    <row r="134" spans="7:7">
      <c r="G134" s="5" t="str">
        <f t="shared" si="12"/>
        <v/>
      </c>
    </row>
    <row r="135" spans="7:7">
      <c r="G135" s="5" t="str">
        <f t="shared" si="12"/>
        <v/>
      </c>
    </row>
    <row r="136" spans="7:7">
      <c r="G136" s="5" t="str">
        <f t="shared" si="12"/>
        <v/>
      </c>
    </row>
    <row r="137" spans="7:7">
      <c r="G137" s="5" t="str">
        <f t="shared" si="12"/>
        <v/>
      </c>
    </row>
    <row r="138" spans="7:7">
      <c r="G138" s="5" t="str">
        <f t="shared" si="12"/>
        <v/>
      </c>
    </row>
    <row r="139" spans="7:7">
      <c r="G139" s="5" t="str">
        <f t="shared" si="12"/>
        <v/>
      </c>
    </row>
    <row r="140" spans="7:7">
      <c r="G140" s="5" t="str">
        <f t="shared" si="12"/>
        <v/>
      </c>
    </row>
    <row r="141" spans="7:7">
      <c r="G141" s="5" t="str">
        <f t="shared" si="12"/>
        <v/>
      </c>
    </row>
    <row r="142" spans="7:7">
      <c r="G142" s="5" t="str">
        <f t="shared" si="12"/>
        <v/>
      </c>
    </row>
    <row r="143" spans="7:7">
      <c r="G143" s="5" t="str">
        <f t="shared" si="12"/>
        <v/>
      </c>
    </row>
    <row r="144" spans="7:7">
      <c r="G144" s="5" t="str">
        <f t="shared" si="12"/>
        <v/>
      </c>
    </row>
    <row r="145" spans="7:7">
      <c r="G145" s="5" t="str">
        <f t="shared" si="12"/>
        <v/>
      </c>
    </row>
    <row r="146" spans="7:7">
      <c r="G146" s="5" t="str">
        <f t="shared" si="12"/>
        <v/>
      </c>
    </row>
    <row r="147" spans="7:7">
      <c r="G147" s="5" t="str">
        <f t="shared" si="12"/>
        <v/>
      </c>
    </row>
    <row r="148" spans="7:7">
      <c r="G148" s="5" t="str">
        <f t="shared" si="12"/>
        <v/>
      </c>
    </row>
    <row r="149" spans="7:7">
      <c r="G149" s="5" t="str">
        <f t="shared" ref="G149:G212" si="13">IF(B149&lt;&gt;"",SUM(C149:F149),"")</f>
        <v/>
      </c>
    </row>
    <row r="150" spans="7:7">
      <c r="G150" s="5" t="str">
        <f t="shared" si="13"/>
        <v/>
      </c>
    </row>
    <row r="151" spans="7:7">
      <c r="G151" s="5" t="str">
        <f t="shared" si="13"/>
        <v/>
      </c>
    </row>
    <row r="152" spans="7:7">
      <c r="G152" s="5" t="str">
        <f t="shared" si="13"/>
        <v/>
      </c>
    </row>
    <row r="153" spans="7:7">
      <c r="G153" s="5" t="str">
        <f t="shared" si="13"/>
        <v/>
      </c>
    </row>
    <row r="154" spans="7:7">
      <c r="G154" s="5" t="str">
        <f t="shared" si="13"/>
        <v/>
      </c>
    </row>
    <row r="155" spans="7:7">
      <c r="G155" s="5" t="str">
        <f t="shared" si="13"/>
        <v/>
      </c>
    </row>
    <row r="156" spans="7:7">
      <c r="G156" s="5" t="str">
        <f t="shared" si="13"/>
        <v/>
      </c>
    </row>
    <row r="157" spans="7:7">
      <c r="G157" s="5" t="str">
        <f t="shared" si="13"/>
        <v/>
      </c>
    </row>
    <row r="158" spans="7:7">
      <c r="G158" s="5" t="str">
        <f t="shared" si="13"/>
        <v/>
      </c>
    </row>
    <row r="159" spans="7:7">
      <c r="G159" s="5" t="str">
        <f t="shared" si="13"/>
        <v/>
      </c>
    </row>
    <row r="160" spans="7:7">
      <c r="G160" s="5" t="str">
        <f t="shared" si="13"/>
        <v/>
      </c>
    </row>
    <row r="161" spans="7:7">
      <c r="G161" s="5" t="str">
        <f t="shared" si="13"/>
        <v/>
      </c>
    </row>
    <row r="162" spans="7:7">
      <c r="G162" s="5" t="str">
        <f t="shared" si="13"/>
        <v/>
      </c>
    </row>
    <row r="163" spans="7:7">
      <c r="G163" s="5" t="str">
        <f t="shared" si="13"/>
        <v/>
      </c>
    </row>
    <row r="164" spans="7:7">
      <c r="G164" s="5" t="str">
        <f t="shared" si="13"/>
        <v/>
      </c>
    </row>
    <row r="165" spans="7:7">
      <c r="G165" s="5" t="str">
        <f t="shared" si="13"/>
        <v/>
      </c>
    </row>
    <row r="166" spans="7:7">
      <c r="G166" s="5" t="str">
        <f t="shared" si="13"/>
        <v/>
      </c>
    </row>
    <row r="167" spans="7:7">
      <c r="G167" s="5" t="str">
        <f t="shared" si="13"/>
        <v/>
      </c>
    </row>
    <row r="168" spans="7:7">
      <c r="G168" s="5" t="str">
        <f t="shared" si="13"/>
        <v/>
      </c>
    </row>
    <row r="169" spans="7:7">
      <c r="G169" s="5" t="str">
        <f t="shared" si="13"/>
        <v/>
      </c>
    </row>
    <row r="170" spans="7:7">
      <c r="G170" s="5" t="str">
        <f t="shared" si="13"/>
        <v/>
      </c>
    </row>
    <row r="171" spans="7:7">
      <c r="G171" s="5" t="str">
        <f t="shared" si="13"/>
        <v/>
      </c>
    </row>
    <row r="172" spans="7:7">
      <c r="G172" s="5" t="str">
        <f t="shared" si="13"/>
        <v/>
      </c>
    </row>
    <row r="173" spans="7:7">
      <c r="G173" s="5" t="str">
        <f t="shared" si="13"/>
        <v/>
      </c>
    </row>
    <row r="174" spans="7:7">
      <c r="G174" s="5" t="str">
        <f t="shared" si="13"/>
        <v/>
      </c>
    </row>
    <row r="175" spans="7:7">
      <c r="G175" s="5" t="str">
        <f t="shared" si="13"/>
        <v/>
      </c>
    </row>
    <row r="176" spans="7:7">
      <c r="G176" s="5" t="str">
        <f t="shared" si="13"/>
        <v/>
      </c>
    </row>
    <row r="177" spans="7:7">
      <c r="G177" s="5" t="str">
        <f t="shared" si="13"/>
        <v/>
      </c>
    </row>
    <row r="178" spans="7:7">
      <c r="G178" s="5" t="str">
        <f t="shared" si="13"/>
        <v/>
      </c>
    </row>
    <row r="179" spans="7:7">
      <c r="G179" s="5" t="str">
        <f t="shared" si="13"/>
        <v/>
      </c>
    </row>
    <row r="180" spans="7:7">
      <c r="G180" s="5" t="str">
        <f t="shared" si="13"/>
        <v/>
      </c>
    </row>
    <row r="181" spans="7:7">
      <c r="G181" s="5" t="str">
        <f t="shared" si="13"/>
        <v/>
      </c>
    </row>
    <row r="182" spans="7:7">
      <c r="G182" s="5" t="str">
        <f t="shared" si="13"/>
        <v/>
      </c>
    </row>
    <row r="183" spans="7:7">
      <c r="G183" s="5" t="str">
        <f t="shared" si="13"/>
        <v/>
      </c>
    </row>
    <row r="184" spans="7:7">
      <c r="G184" s="5" t="str">
        <f t="shared" si="13"/>
        <v/>
      </c>
    </row>
    <row r="185" spans="7:7">
      <c r="G185" s="5" t="str">
        <f t="shared" si="13"/>
        <v/>
      </c>
    </row>
    <row r="186" spans="7:7">
      <c r="G186" s="5" t="str">
        <f t="shared" si="13"/>
        <v/>
      </c>
    </row>
    <row r="187" spans="7:7">
      <c r="G187" s="5" t="str">
        <f t="shared" si="13"/>
        <v/>
      </c>
    </row>
    <row r="188" spans="7:7">
      <c r="G188" s="5" t="str">
        <f t="shared" si="13"/>
        <v/>
      </c>
    </row>
    <row r="189" spans="7:7">
      <c r="G189" s="5" t="str">
        <f t="shared" si="13"/>
        <v/>
      </c>
    </row>
    <row r="190" spans="7:7">
      <c r="G190" s="5" t="str">
        <f t="shared" si="13"/>
        <v/>
      </c>
    </row>
    <row r="191" spans="7:7">
      <c r="G191" s="5" t="str">
        <f t="shared" si="13"/>
        <v/>
      </c>
    </row>
    <row r="192" spans="7:7">
      <c r="G192" s="5" t="str">
        <f t="shared" si="13"/>
        <v/>
      </c>
    </row>
    <row r="193" spans="7:7">
      <c r="G193" s="5" t="str">
        <f t="shared" si="13"/>
        <v/>
      </c>
    </row>
    <row r="194" spans="7:7">
      <c r="G194" s="5" t="str">
        <f t="shared" si="13"/>
        <v/>
      </c>
    </row>
    <row r="195" spans="7:7">
      <c r="G195" s="5" t="str">
        <f t="shared" si="13"/>
        <v/>
      </c>
    </row>
    <row r="196" spans="7:7">
      <c r="G196" s="5" t="str">
        <f t="shared" si="13"/>
        <v/>
      </c>
    </row>
    <row r="197" spans="7:7">
      <c r="G197" s="5" t="str">
        <f t="shared" si="13"/>
        <v/>
      </c>
    </row>
    <row r="198" spans="7:7">
      <c r="G198" s="5" t="str">
        <f t="shared" si="13"/>
        <v/>
      </c>
    </row>
    <row r="199" spans="7:7">
      <c r="G199" s="5" t="str">
        <f t="shared" si="13"/>
        <v/>
      </c>
    </row>
    <row r="200" spans="7:7">
      <c r="G200" s="5" t="str">
        <f t="shared" si="13"/>
        <v/>
      </c>
    </row>
    <row r="201" spans="7:7">
      <c r="G201" s="5" t="str">
        <f t="shared" si="13"/>
        <v/>
      </c>
    </row>
    <row r="202" spans="7:7">
      <c r="G202" s="5" t="str">
        <f t="shared" si="13"/>
        <v/>
      </c>
    </row>
    <row r="203" spans="7:7">
      <c r="G203" s="5" t="str">
        <f t="shared" si="13"/>
        <v/>
      </c>
    </row>
    <row r="204" spans="7:7">
      <c r="G204" s="5" t="str">
        <f t="shared" si="13"/>
        <v/>
      </c>
    </row>
    <row r="205" spans="7:7">
      <c r="G205" s="5" t="str">
        <f t="shared" si="13"/>
        <v/>
      </c>
    </row>
    <row r="206" spans="7:7">
      <c r="G206" s="5" t="str">
        <f t="shared" si="13"/>
        <v/>
      </c>
    </row>
    <row r="207" spans="7:7">
      <c r="G207" s="5" t="str">
        <f t="shared" si="13"/>
        <v/>
      </c>
    </row>
    <row r="208" spans="7:7">
      <c r="G208" s="5" t="str">
        <f t="shared" si="13"/>
        <v/>
      </c>
    </row>
    <row r="209" spans="7:7">
      <c r="G209" s="5" t="str">
        <f t="shared" si="13"/>
        <v/>
      </c>
    </row>
    <row r="210" spans="7:7">
      <c r="G210" s="5" t="str">
        <f t="shared" si="13"/>
        <v/>
      </c>
    </row>
    <row r="211" spans="7:7">
      <c r="G211" s="5" t="str">
        <f t="shared" si="13"/>
        <v/>
      </c>
    </row>
    <row r="212" spans="7:7">
      <c r="G212" s="5" t="str">
        <f t="shared" si="13"/>
        <v/>
      </c>
    </row>
    <row r="213" spans="7:7">
      <c r="G213" s="5" t="str">
        <f t="shared" ref="G213:G276" si="14">IF(B213&lt;&gt;"",SUM(C213:F213),"")</f>
        <v/>
      </c>
    </row>
    <row r="214" spans="7:7">
      <c r="G214" s="5" t="str">
        <f t="shared" si="14"/>
        <v/>
      </c>
    </row>
    <row r="215" spans="7:7">
      <c r="G215" s="5" t="str">
        <f t="shared" si="14"/>
        <v/>
      </c>
    </row>
    <row r="216" spans="7:7">
      <c r="G216" s="5" t="str">
        <f t="shared" si="14"/>
        <v/>
      </c>
    </row>
    <row r="217" spans="7:7">
      <c r="G217" s="5" t="str">
        <f t="shared" si="14"/>
        <v/>
      </c>
    </row>
    <row r="218" spans="7:7">
      <c r="G218" s="5" t="str">
        <f t="shared" si="14"/>
        <v/>
      </c>
    </row>
    <row r="219" spans="7:7">
      <c r="G219" s="5" t="str">
        <f t="shared" si="14"/>
        <v/>
      </c>
    </row>
    <row r="220" spans="7:7">
      <c r="G220" s="5" t="str">
        <f t="shared" si="14"/>
        <v/>
      </c>
    </row>
    <row r="221" spans="7:7">
      <c r="G221" s="5" t="str">
        <f t="shared" si="14"/>
        <v/>
      </c>
    </row>
    <row r="222" spans="7:7">
      <c r="G222" s="5" t="str">
        <f t="shared" si="14"/>
        <v/>
      </c>
    </row>
    <row r="223" spans="7:7">
      <c r="G223" s="5" t="str">
        <f t="shared" si="14"/>
        <v/>
      </c>
    </row>
    <row r="224" spans="7:7">
      <c r="G224" s="5" t="str">
        <f t="shared" si="14"/>
        <v/>
      </c>
    </row>
    <row r="225" spans="7:7">
      <c r="G225" s="5" t="str">
        <f t="shared" si="14"/>
        <v/>
      </c>
    </row>
    <row r="226" spans="7:7">
      <c r="G226" s="5" t="str">
        <f t="shared" si="14"/>
        <v/>
      </c>
    </row>
    <row r="227" spans="7:7">
      <c r="G227" s="5" t="str">
        <f t="shared" si="14"/>
        <v/>
      </c>
    </row>
    <row r="228" spans="7:7">
      <c r="G228" s="5" t="str">
        <f t="shared" si="14"/>
        <v/>
      </c>
    </row>
    <row r="229" spans="7:7">
      <c r="G229" s="5" t="str">
        <f t="shared" si="14"/>
        <v/>
      </c>
    </row>
    <row r="230" spans="7:7">
      <c r="G230" s="5" t="str">
        <f t="shared" si="14"/>
        <v/>
      </c>
    </row>
    <row r="231" spans="7:7">
      <c r="G231" s="5" t="str">
        <f t="shared" si="14"/>
        <v/>
      </c>
    </row>
    <row r="232" spans="7:7">
      <c r="G232" s="5" t="str">
        <f t="shared" si="14"/>
        <v/>
      </c>
    </row>
    <row r="233" spans="7:7">
      <c r="G233" s="5" t="str">
        <f t="shared" si="14"/>
        <v/>
      </c>
    </row>
    <row r="234" spans="7:7">
      <c r="G234" s="5" t="str">
        <f t="shared" si="14"/>
        <v/>
      </c>
    </row>
    <row r="235" spans="7:7">
      <c r="G235" s="5" t="str">
        <f t="shared" si="14"/>
        <v/>
      </c>
    </row>
    <row r="236" spans="7:7">
      <c r="G236" s="5" t="str">
        <f t="shared" si="14"/>
        <v/>
      </c>
    </row>
    <row r="237" spans="7:7">
      <c r="G237" s="5" t="str">
        <f t="shared" si="14"/>
        <v/>
      </c>
    </row>
    <row r="238" spans="7:7">
      <c r="G238" s="5" t="str">
        <f t="shared" si="14"/>
        <v/>
      </c>
    </row>
    <row r="239" spans="7:7">
      <c r="G239" s="5" t="str">
        <f t="shared" si="14"/>
        <v/>
      </c>
    </row>
    <row r="240" spans="7:7">
      <c r="G240" s="5" t="str">
        <f t="shared" si="14"/>
        <v/>
      </c>
    </row>
    <row r="241" spans="7:7">
      <c r="G241" s="5" t="str">
        <f t="shared" si="14"/>
        <v/>
      </c>
    </row>
    <row r="242" spans="7:7">
      <c r="G242" s="5" t="str">
        <f t="shared" si="14"/>
        <v/>
      </c>
    </row>
    <row r="243" spans="7:7">
      <c r="G243" s="5" t="str">
        <f t="shared" si="14"/>
        <v/>
      </c>
    </row>
    <row r="244" spans="7:7">
      <c r="G244" s="5" t="str">
        <f t="shared" si="14"/>
        <v/>
      </c>
    </row>
    <row r="245" spans="7:7">
      <c r="G245" s="5" t="str">
        <f t="shared" si="14"/>
        <v/>
      </c>
    </row>
    <row r="246" spans="7:7">
      <c r="G246" s="5" t="str">
        <f t="shared" si="14"/>
        <v/>
      </c>
    </row>
    <row r="247" spans="7:7">
      <c r="G247" s="5" t="str">
        <f t="shared" si="14"/>
        <v/>
      </c>
    </row>
    <row r="248" spans="7:7">
      <c r="G248" s="5" t="str">
        <f t="shared" si="14"/>
        <v/>
      </c>
    </row>
    <row r="249" spans="7:7">
      <c r="G249" s="5" t="str">
        <f t="shared" si="14"/>
        <v/>
      </c>
    </row>
    <row r="250" spans="7:7">
      <c r="G250" s="5" t="str">
        <f t="shared" si="14"/>
        <v/>
      </c>
    </row>
    <row r="251" spans="7:7">
      <c r="G251" s="5" t="str">
        <f t="shared" si="14"/>
        <v/>
      </c>
    </row>
    <row r="252" spans="7:7">
      <c r="G252" s="5" t="str">
        <f t="shared" si="14"/>
        <v/>
      </c>
    </row>
    <row r="253" spans="7:7">
      <c r="G253" s="5" t="str">
        <f t="shared" si="14"/>
        <v/>
      </c>
    </row>
    <row r="254" spans="7:7">
      <c r="G254" s="5" t="str">
        <f t="shared" si="14"/>
        <v/>
      </c>
    </row>
    <row r="255" spans="7:7">
      <c r="G255" s="5" t="str">
        <f t="shared" si="14"/>
        <v/>
      </c>
    </row>
    <row r="256" spans="7:7">
      <c r="G256" s="5" t="str">
        <f t="shared" si="14"/>
        <v/>
      </c>
    </row>
    <row r="257" spans="7:7">
      <c r="G257" s="5" t="str">
        <f t="shared" si="14"/>
        <v/>
      </c>
    </row>
    <row r="258" spans="7:7">
      <c r="G258" s="5" t="str">
        <f t="shared" si="14"/>
        <v/>
      </c>
    </row>
    <row r="259" spans="7:7">
      <c r="G259" s="5" t="str">
        <f t="shared" si="14"/>
        <v/>
      </c>
    </row>
    <row r="260" spans="7:7">
      <c r="G260" s="5" t="str">
        <f t="shared" si="14"/>
        <v/>
      </c>
    </row>
    <row r="261" spans="7:7">
      <c r="G261" s="5" t="str">
        <f t="shared" si="14"/>
        <v/>
      </c>
    </row>
    <row r="262" spans="7:7">
      <c r="G262" s="5" t="str">
        <f t="shared" si="14"/>
        <v/>
      </c>
    </row>
    <row r="263" spans="7:7">
      <c r="G263" s="5" t="str">
        <f t="shared" si="14"/>
        <v/>
      </c>
    </row>
    <row r="264" spans="7:7">
      <c r="G264" s="5" t="str">
        <f t="shared" si="14"/>
        <v/>
      </c>
    </row>
    <row r="265" spans="7:7">
      <c r="G265" s="5" t="str">
        <f t="shared" si="14"/>
        <v/>
      </c>
    </row>
    <row r="266" spans="7:7">
      <c r="G266" s="5" t="str">
        <f t="shared" si="14"/>
        <v/>
      </c>
    </row>
    <row r="267" spans="7:7">
      <c r="G267" s="5" t="str">
        <f t="shared" si="14"/>
        <v/>
      </c>
    </row>
    <row r="268" spans="7:7">
      <c r="G268" s="5" t="str">
        <f t="shared" si="14"/>
        <v/>
      </c>
    </row>
    <row r="269" spans="7:7">
      <c r="G269" s="5" t="str">
        <f t="shared" si="14"/>
        <v/>
      </c>
    </row>
    <row r="270" spans="7:7">
      <c r="G270" s="5" t="str">
        <f t="shared" si="14"/>
        <v/>
      </c>
    </row>
    <row r="271" spans="7:7">
      <c r="G271" s="5" t="str">
        <f t="shared" si="14"/>
        <v/>
      </c>
    </row>
    <row r="272" spans="7:7">
      <c r="G272" s="5" t="str">
        <f t="shared" si="14"/>
        <v/>
      </c>
    </row>
    <row r="273" spans="7:7">
      <c r="G273" s="5" t="str">
        <f t="shared" si="14"/>
        <v/>
      </c>
    </row>
    <row r="274" spans="7:7">
      <c r="G274" s="5" t="str">
        <f t="shared" si="14"/>
        <v/>
      </c>
    </row>
    <row r="275" spans="7:7">
      <c r="G275" s="5" t="str">
        <f t="shared" si="14"/>
        <v/>
      </c>
    </row>
    <row r="276" spans="7:7">
      <c r="G276" s="5" t="str">
        <f t="shared" si="14"/>
        <v/>
      </c>
    </row>
    <row r="277" spans="7:7">
      <c r="G277" s="5" t="str">
        <f t="shared" ref="G277:G340" si="15">IF(B277&lt;&gt;"",SUM(C277:F277),"")</f>
        <v/>
      </c>
    </row>
    <row r="278" spans="7:7">
      <c r="G278" s="5" t="str">
        <f t="shared" si="15"/>
        <v/>
      </c>
    </row>
    <row r="279" spans="7:7">
      <c r="G279" s="5" t="str">
        <f t="shared" si="15"/>
        <v/>
      </c>
    </row>
    <row r="280" spans="7:7">
      <c r="G280" s="5" t="str">
        <f t="shared" si="15"/>
        <v/>
      </c>
    </row>
    <row r="281" spans="7:7">
      <c r="G281" s="5" t="str">
        <f t="shared" si="15"/>
        <v/>
      </c>
    </row>
    <row r="282" spans="7:7">
      <c r="G282" s="5" t="str">
        <f t="shared" si="15"/>
        <v/>
      </c>
    </row>
    <row r="283" spans="7:7">
      <c r="G283" s="5" t="str">
        <f t="shared" si="15"/>
        <v/>
      </c>
    </row>
    <row r="284" spans="7:7">
      <c r="G284" s="5" t="str">
        <f t="shared" si="15"/>
        <v/>
      </c>
    </row>
    <row r="285" spans="7:7">
      <c r="G285" s="5" t="str">
        <f t="shared" si="15"/>
        <v/>
      </c>
    </row>
    <row r="286" spans="7:7">
      <c r="G286" s="5" t="str">
        <f t="shared" si="15"/>
        <v/>
      </c>
    </row>
    <row r="287" spans="7:7">
      <c r="G287" s="5" t="str">
        <f t="shared" si="15"/>
        <v/>
      </c>
    </row>
    <row r="288" spans="7:7">
      <c r="G288" s="5" t="str">
        <f t="shared" si="15"/>
        <v/>
      </c>
    </row>
    <row r="289" spans="7:7">
      <c r="G289" s="5" t="str">
        <f t="shared" si="15"/>
        <v/>
      </c>
    </row>
    <row r="290" spans="7:7">
      <c r="G290" s="5" t="str">
        <f t="shared" si="15"/>
        <v/>
      </c>
    </row>
    <row r="291" spans="7:7">
      <c r="G291" s="5" t="str">
        <f t="shared" si="15"/>
        <v/>
      </c>
    </row>
    <row r="292" spans="7:7">
      <c r="G292" s="5" t="str">
        <f t="shared" si="15"/>
        <v/>
      </c>
    </row>
    <row r="293" spans="7:7">
      <c r="G293" s="5" t="str">
        <f t="shared" si="15"/>
        <v/>
      </c>
    </row>
    <row r="294" spans="7:7">
      <c r="G294" s="5" t="str">
        <f t="shared" si="15"/>
        <v/>
      </c>
    </row>
    <row r="295" spans="7:7">
      <c r="G295" s="5" t="str">
        <f t="shared" si="15"/>
        <v/>
      </c>
    </row>
    <row r="296" spans="7:7">
      <c r="G296" s="5" t="str">
        <f t="shared" si="15"/>
        <v/>
      </c>
    </row>
    <row r="297" spans="7:7">
      <c r="G297" s="5" t="str">
        <f t="shared" si="15"/>
        <v/>
      </c>
    </row>
    <row r="298" spans="7:7">
      <c r="G298" s="5" t="str">
        <f t="shared" si="15"/>
        <v/>
      </c>
    </row>
    <row r="299" spans="7:7">
      <c r="G299" s="5" t="str">
        <f t="shared" si="15"/>
        <v/>
      </c>
    </row>
    <row r="300" spans="7:7">
      <c r="G300" s="5" t="str">
        <f t="shared" si="15"/>
        <v/>
      </c>
    </row>
    <row r="301" spans="7:7">
      <c r="G301" s="5" t="str">
        <f t="shared" si="15"/>
        <v/>
      </c>
    </row>
    <row r="302" spans="7:7">
      <c r="G302" s="5" t="str">
        <f t="shared" si="15"/>
        <v/>
      </c>
    </row>
    <row r="303" spans="7:7">
      <c r="G303" s="5" t="str">
        <f t="shared" si="15"/>
        <v/>
      </c>
    </row>
    <row r="304" spans="7:7">
      <c r="G304" s="5" t="str">
        <f t="shared" si="15"/>
        <v/>
      </c>
    </row>
    <row r="305" spans="7:7">
      <c r="G305" s="5" t="str">
        <f t="shared" si="15"/>
        <v/>
      </c>
    </row>
    <row r="306" spans="7:7">
      <c r="G306" s="5" t="str">
        <f t="shared" si="15"/>
        <v/>
      </c>
    </row>
    <row r="307" spans="7:7">
      <c r="G307" s="5" t="str">
        <f t="shared" si="15"/>
        <v/>
      </c>
    </row>
    <row r="308" spans="7:7">
      <c r="G308" s="5" t="str">
        <f t="shared" si="15"/>
        <v/>
      </c>
    </row>
    <row r="309" spans="7:7">
      <c r="G309" s="5" t="str">
        <f t="shared" si="15"/>
        <v/>
      </c>
    </row>
    <row r="310" spans="7:7">
      <c r="G310" s="5" t="str">
        <f t="shared" si="15"/>
        <v/>
      </c>
    </row>
    <row r="311" spans="7:7">
      <c r="G311" s="5" t="str">
        <f t="shared" si="15"/>
        <v/>
      </c>
    </row>
    <row r="312" spans="7:7">
      <c r="G312" s="5" t="str">
        <f t="shared" si="15"/>
        <v/>
      </c>
    </row>
    <row r="313" spans="7:7">
      <c r="G313" s="5" t="str">
        <f t="shared" si="15"/>
        <v/>
      </c>
    </row>
    <row r="314" spans="7:7">
      <c r="G314" s="5" t="str">
        <f t="shared" si="15"/>
        <v/>
      </c>
    </row>
    <row r="315" spans="7:7">
      <c r="G315" s="5" t="str">
        <f t="shared" si="15"/>
        <v/>
      </c>
    </row>
    <row r="316" spans="7:7">
      <c r="G316" s="5" t="str">
        <f t="shared" si="15"/>
        <v/>
      </c>
    </row>
    <row r="317" spans="7:7">
      <c r="G317" s="5" t="str">
        <f t="shared" si="15"/>
        <v/>
      </c>
    </row>
    <row r="318" spans="7:7">
      <c r="G318" s="5" t="str">
        <f t="shared" si="15"/>
        <v/>
      </c>
    </row>
    <row r="319" spans="7:7">
      <c r="G319" s="5" t="str">
        <f t="shared" si="15"/>
        <v/>
      </c>
    </row>
    <row r="320" spans="7:7">
      <c r="G320" s="5" t="str">
        <f t="shared" si="15"/>
        <v/>
      </c>
    </row>
    <row r="321" spans="7:7">
      <c r="G321" s="5" t="str">
        <f t="shared" si="15"/>
        <v/>
      </c>
    </row>
    <row r="322" spans="7:7">
      <c r="G322" s="5" t="str">
        <f t="shared" si="15"/>
        <v/>
      </c>
    </row>
    <row r="323" spans="7:7">
      <c r="G323" s="5" t="str">
        <f t="shared" si="15"/>
        <v/>
      </c>
    </row>
    <row r="324" spans="7:7">
      <c r="G324" s="5" t="str">
        <f t="shared" si="15"/>
        <v/>
      </c>
    </row>
    <row r="325" spans="7:7">
      <c r="G325" s="5" t="str">
        <f t="shared" si="15"/>
        <v/>
      </c>
    </row>
    <row r="326" spans="7:7">
      <c r="G326" s="5" t="str">
        <f t="shared" si="15"/>
        <v/>
      </c>
    </row>
    <row r="327" spans="7:7">
      <c r="G327" s="5" t="str">
        <f t="shared" si="15"/>
        <v/>
      </c>
    </row>
    <row r="328" spans="7:7">
      <c r="G328" s="5" t="str">
        <f t="shared" si="15"/>
        <v/>
      </c>
    </row>
    <row r="329" spans="7:7">
      <c r="G329" s="5" t="str">
        <f t="shared" si="15"/>
        <v/>
      </c>
    </row>
    <row r="330" spans="7:7">
      <c r="G330" s="5" t="str">
        <f t="shared" si="15"/>
        <v/>
      </c>
    </row>
    <row r="331" spans="7:7">
      <c r="G331" s="5" t="str">
        <f t="shared" si="15"/>
        <v/>
      </c>
    </row>
    <row r="332" spans="7:7">
      <c r="G332" s="5" t="str">
        <f t="shared" si="15"/>
        <v/>
      </c>
    </row>
    <row r="333" spans="7:7">
      <c r="G333" s="5" t="str">
        <f t="shared" si="15"/>
        <v/>
      </c>
    </row>
    <row r="334" spans="7:7">
      <c r="G334" s="5" t="str">
        <f t="shared" si="15"/>
        <v/>
      </c>
    </row>
    <row r="335" spans="7:7">
      <c r="G335" s="5" t="str">
        <f t="shared" si="15"/>
        <v/>
      </c>
    </row>
    <row r="336" spans="7:7">
      <c r="G336" s="5" t="str">
        <f t="shared" si="15"/>
        <v/>
      </c>
    </row>
    <row r="337" spans="7:7">
      <c r="G337" s="5" t="str">
        <f t="shared" si="15"/>
        <v/>
      </c>
    </row>
    <row r="338" spans="7:7">
      <c r="G338" s="5" t="str">
        <f t="shared" si="15"/>
        <v/>
      </c>
    </row>
    <row r="339" spans="7:7">
      <c r="G339" s="5" t="str">
        <f t="shared" si="15"/>
        <v/>
      </c>
    </row>
    <row r="340" spans="7:7">
      <c r="G340" s="5" t="str">
        <f t="shared" si="15"/>
        <v/>
      </c>
    </row>
    <row r="341" spans="7:7">
      <c r="G341" s="5" t="str">
        <f t="shared" ref="G341:G404" si="16">IF(B341&lt;&gt;"",SUM(C341:F341),"")</f>
        <v/>
      </c>
    </row>
    <row r="342" spans="7:7">
      <c r="G342" s="5" t="str">
        <f t="shared" si="16"/>
        <v/>
      </c>
    </row>
    <row r="343" spans="7:7">
      <c r="G343" s="5" t="str">
        <f t="shared" si="16"/>
        <v/>
      </c>
    </row>
    <row r="344" spans="7:7">
      <c r="G344" s="5" t="str">
        <f t="shared" si="16"/>
        <v/>
      </c>
    </row>
    <row r="345" spans="7:7">
      <c r="G345" s="5" t="str">
        <f t="shared" si="16"/>
        <v/>
      </c>
    </row>
    <row r="346" spans="7:7">
      <c r="G346" s="5" t="str">
        <f t="shared" si="16"/>
        <v/>
      </c>
    </row>
    <row r="347" spans="7:7">
      <c r="G347" s="5" t="str">
        <f t="shared" si="16"/>
        <v/>
      </c>
    </row>
    <row r="348" spans="7:7">
      <c r="G348" s="5" t="str">
        <f t="shared" si="16"/>
        <v/>
      </c>
    </row>
    <row r="349" spans="7:7">
      <c r="G349" s="5" t="str">
        <f t="shared" si="16"/>
        <v/>
      </c>
    </row>
    <row r="350" spans="7:7">
      <c r="G350" s="5" t="str">
        <f t="shared" si="16"/>
        <v/>
      </c>
    </row>
    <row r="351" spans="7:7">
      <c r="G351" s="5" t="str">
        <f t="shared" si="16"/>
        <v/>
      </c>
    </row>
    <row r="352" spans="7:7">
      <c r="G352" s="5" t="str">
        <f t="shared" si="16"/>
        <v/>
      </c>
    </row>
    <row r="353" spans="7:7">
      <c r="G353" s="5" t="str">
        <f t="shared" si="16"/>
        <v/>
      </c>
    </row>
    <row r="354" spans="7:7">
      <c r="G354" s="5" t="str">
        <f t="shared" si="16"/>
        <v/>
      </c>
    </row>
    <row r="355" spans="7:7">
      <c r="G355" s="5" t="str">
        <f t="shared" si="16"/>
        <v/>
      </c>
    </row>
    <row r="356" spans="7:7">
      <c r="G356" s="5" t="str">
        <f t="shared" si="16"/>
        <v/>
      </c>
    </row>
    <row r="357" spans="7:7">
      <c r="G357" s="5" t="str">
        <f t="shared" si="16"/>
        <v/>
      </c>
    </row>
    <row r="358" spans="7:7">
      <c r="G358" s="5" t="str">
        <f t="shared" si="16"/>
        <v/>
      </c>
    </row>
    <row r="359" spans="7:7">
      <c r="G359" s="5" t="str">
        <f t="shared" si="16"/>
        <v/>
      </c>
    </row>
    <row r="360" spans="7:7">
      <c r="G360" s="5" t="str">
        <f t="shared" si="16"/>
        <v/>
      </c>
    </row>
    <row r="361" spans="7:7">
      <c r="G361" s="5" t="str">
        <f t="shared" si="16"/>
        <v/>
      </c>
    </row>
    <row r="362" spans="7:7">
      <c r="G362" s="5" t="str">
        <f t="shared" si="16"/>
        <v/>
      </c>
    </row>
    <row r="363" spans="7:7">
      <c r="G363" s="5" t="str">
        <f t="shared" si="16"/>
        <v/>
      </c>
    </row>
    <row r="364" spans="7:7">
      <c r="G364" s="5" t="str">
        <f t="shared" si="16"/>
        <v/>
      </c>
    </row>
    <row r="365" spans="7:7">
      <c r="G365" s="5" t="str">
        <f t="shared" si="16"/>
        <v/>
      </c>
    </row>
    <row r="366" spans="7:7">
      <c r="G366" s="5" t="str">
        <f t="shared" si="16"/>
        <v/>
      </c>
    </row>
    <row r="367" spans="7:7">
      <c r="G367" s="5" t="str">
        <f t="shared" si="16"/>
        <v/>
      </c>
    </row>
    <row r="368" spans="7:7">
      <c r="G368" s="5" t="str">
        <f t="shared" si="16"/>
        <v/>
      </c>
    </row>
    <row r="369" spans="7:7">
      <c r="G369" s="5" t="str">
        <f t="shared" si="16"/>
        <v/>
      </c>
    </row>
    <row r="370" spans="7:7">
      <c r="G370" s="5" t="str">
        <f t="shared" si="16"/>
        <v/>
      </c>
    </row>
    <row r="371" spans="7:7">
      <c r="G371" s="5" t="str">
        <f t="shared" si="16"/>
        <v/>
      </c>
    </row>
    <row r="372" spans="7:7">
      <c r="G372" s="5" t="str">
        <f t="shared" si="16"/>
        <v/>
      </c>
    </row>
    <row r="373" spans="7:7">
      <c r="G373" s="5" t="str">
        <f t="shared" si="16"/>
        <v/>
      </c>
    </row>
    <row r="374" spans="7:7">
      <c r="G374" s="5" t="str">
        <f t="shared" si="16"/>
        <v/>
      </c>
    </row>
    <row r="375" spans="7:7">
      <c r="G375" s="5" t="str">
        <f t="shared" si="16"/>
        <v/>
      </c>
    </row>
    <row r="376" spans="7:7">
      <c r="G376" s="5" t="str">
        <f t="shared" si="16"/>
        <v/>
      </c>
    </row>
    <row r="377" spans="7:7">
      <c r="G377" s="5" t="str">
        <f t="shared" si="16"/>
        <v/>
      </c>
    </row>
    <row r="378" spans="7:7">
      <c r="G378" s="5" t="str">
        <f t="shared" si="16"/>
        <v/>
      </c>
    </row>
    <row r="379" spans="7:7">
      <c r="G379" s="5" t="str">
        <f t="shared" si="16"/>
        <v/>
      </c>
    </row>
    <row r="380" spans="7:7">
      <c r="G380" s="5" t="str">
        <f t="shared" si="16"/>
        <v/>
      </c>
    </row>
    <row r="381" spans="7:7">
      <c r="G381" s="5" t="str">
        <f t="shared" si="16"/>
        <v/>
      </c>
    </row>
    <row r="382" spans="7:7">
      <c r="G382" s="5" t="str">
        <f t="shared" si="16"/>
        <v/>
      </c>
    </row>
    <row r="383" spans="7:7">
      <c r="G383" s="5" t="str">
        <f t="shared" si="16"/>
        <v/>
      </c>
    </row>
    <row r="384" spans="7:7">
      <c r="G384" s="5" t="str">
        <f t="shared" si="16"/>
        <v/>
      </c>
    </row>
    <row r="385" spans="7:7">
      <c r="G385" s="5" t="str">
        <f t="shared" si="16"/>
        <v/>
      </c>
    </row>
    <row r="386" spans="7:7">
      <c r="G386" s="5" t="str">
        <f t="shared" si="16"/>
        <v/>
      </c>
    </row>
    <row r="387" spans="7:7">
      <c r="G387" s="5" t="str">
        <f t="shared" si="16"/>
        <v/>
      </c>
    </row>
    <row r="388" spans="7:7">
      <c r="G388" s="5" t="str">
        <f t="shared" si="16"/>
        <v/>
      </c>
    </row>
    <row r="389" spans="7:7">
      <c r="G389" s="5" t="str">
        <f t="shared" si="16"/>
        <v/>
      </c>
    </row>
    <row r="390" spans="7:7">
      <c r="G390" s="5" t="str">
        <f t="shared" si="16"/>
        <v/>
      </c>
    </row>
    <row r="391" spans="7:7">
      <c r="G391" s="5" t="str">
        <f t="shared" si="16"/>
        <v/>
      </c>
    </row>
    <row r="392" spans="7:7">
      <c r="G392" s="5" t="str">
        <f t="shared" si="16"/>
        <v/>
      </c>
    </row>
    <row r="393" spans="7:7">
      <c r="G393" s="5" t="str">
        <f t="shared" si="16"/>
        <v/>
      </c>
    </row>
    <row r="394" spans="7:7">
      <c r="G394" s="5" t="str">
        <f t="shared" si="16"/>
        <v/>
      </c>
    </row>
    <row r="395" spans="7:7">
      <c r="G395" s="5" t="str">
        <f t="shared" si="16"/>
        <v/>
      </c>
    </row>
    <row r="396" spans="7:7">
      <c r="G396" s="5" t="str">
        <f t="shared" si="16"/>
        <v/>
      </c>
    </row>
    <row r="397" spans="7:7">
      <c r="G397" s="5" t="str">
        <f t="shared" si="16"/>
        <v/>
      </c>
    </row>
    <row r="398" spans="7:7">
      <c r="G398" s="5" t="str">
        <f t="shared" si="16"/>
        <v/>
      </c>
    </row>
    <row r="399" spans="7:7">
      <c r="G399" s="5" t="str">
        <f t="shared" si="16"/>
        <v/>
      </c>
    </row>
    <row r="400" spans="7:7">
      <c r="G400" s="5" t="str">
        <f t="shared" si="16"/>
        <v/>
      </c>
    </row>
    <row r="401" spans="7:7">
      <c r="G401" s="5" t="str">
        <f t="shared" si="16"/>
        <v/>
      </c>
    </row>
    <row r="402" spans="7:7">
      <c r="G402" s="5" t="str">
        <f t="shared" si="16"/>
        <v/>
      </c>
    </row>
    <row r="403" spans="7:7">
      <c r="G403" s="5" t="str">
        <f t="shared" si="16"/>
        <v/>
      </c>
    </row>
    <row r="404" spans="7:7">
      <c r="G404" s="5" t="str">
        <f t="shared" si="16"/>
        <v/>
      </c>
    </row>
    <row r="405" spans="7:7">
      <c r="G405" s="5" t="str">
        <f t="shared" ref="G405" si="17">IF(B405&lt;&gt;"",SUM(C405:F405),"")</f>
        <v/>
      </c>
    </row>
  </sheetData>
  <sheetProtection algorithmName="SHA-512" hashValue="ZDte6SdEPqZYf+NeWC3HMZPj+e4zUUk8nGWv8YB0GIr/Hi4hvRGddmwVvuF6dhNfQE2T3Kkv5yXie3qYgAHWRg==" saltValue="rkwC8MYHoz4W2FYaq2/FVg==" spinCount="100000" sheet="1" sort="0" autoFilter="0" pivotTables="0"/>
  <autoFilter ref="H5:H9" xr:uid="{36C73D8A-9F98-43B5-A536-F280F06D4261}"/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B4A6-84FA-45F0-8F51-76C587885A0A}">
  <sheetPr codeName="Planilha47">
    <tabColor rgb="FFFF0000"/>
    <pageSetUpPr fitToPage="1"/>
  </sheetPr>
  <dimension ref="B1:S412"/>
  <sheetViews>
    <sheetView workbookViewId="0">
      <pane ySplit="5" topLeftCell="A6" activePane="bottomLeft" state="frozen"/>
      <selection pane="bottomLeft" activeCell="F6" sqref="F6:F18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920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370" t="s">
        <v>6</v>
      </c>
      <c r="C4" s="43"/>
      <c r="D4" s="43"/>
      <c r="E4" s="43"/>
      <c r="F4" s="44"/>
      <c r="G4" s="45"/>
      <c r="H4" s="371"/>
      <c r="I4" s="371" t="s">
        <v>48</v>
      </c>
      <c r="J4" s="372" t="s">
        <v>9</v>
      </c>
      <c r="K4" s="372" t="s">
        <v>9</v>
      </c>
      <c r="L4" s="377">
        <v>4.7619047619047616E-2</v>
      </c>
      <c r="M4" s="373" t="s">
        <v>15</v>
      </c>
      <c r="N4" s="36"/>
      <c r="O4" s="19"/>
      <c r="P4" s="19"/>
      <c r="Q4" s="19"/>
      <c r="R4" s="19"/>
      <c r="S4" s="19"/>
    </row>
    <row r="5" spans="2:19" ht="16.5" thickBot="1">
      <c r="B5" s="395" t="s">
        <v>5</v>
      </c>
      <c r="C5" s="366" t="s">
        <v>0</v>
      </c>
      <c r="D5" s="366" t="s">
        <v>12</v>
      </c>
      <c r="E5" s="366" t="s">
        <v>2</v>
      </c>
      <c r="F5" s="366" t="s">
        <v>3</v>
      </c>
      <c r="G5" s="367" t="s">
        <v>1</v>
      </c>
      <c r="H5" s="368" t="s">
        <v>4</v>
      </c>
      <c r="I5" s="368" t="s">
        <v>7</v>
      </c>
      <c r="J5" s="369" t="s">
        <v>8</v>
      </c>
      <c r="K5" s="369" t="s">
        <v>10</v>
      </c>
      <c r="L5" s="378" t="s">
        <v>11</v>
      </c>
      <c r="M5" s="389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241" t="s">
        <v>909</v>
      </c>
      <c r="C6" s="38"/>
      <c r="D6" s="38"/>
      <c r="E6" s="38"/>
      <c r="F6" s="39"/>
      <c r="G6" s="40"/>
      <c r="H6" s="23">
        <f>SUM(C6:G6)</f>
        <v>0</v>
      </c>
      <c r="I6" s="374">
        <f t="shared" ref="I6:I16" si="0">L6-(L6*J6)</f>
        <v>18.600000000000001</v>
      </c>
      <c r="J6" s="16"/>
      <c r="K6" s="17"/>
      <c r="L6" s="242">
        <v>18.600000000000001</v>
      </c>
      <c r="M6" s="181"/>
      <c r="N6" s="25">
        <f t="shared" ref="N6:N16" si="1">I6*C6</f>
        <v>0</v>
      </c>
      <c r="O6" s="25">
        <f t="shared" ref="O6:O16" si="2">I6*D6</f>
        <v>0</v>
      </c>
      <c r="P6" s="25">
        <f t="shared" ref="P6:P16" si="3">I6*E6</f>
        <v>0</v>
      </c>
      <c r="Q6" s="26">
        <f t="shared" ref="Q6:Q16" si="4">I6*F6</f>
        <v>0</v>
      </c>
      <c r="R6" s="27">
        <f t="shared" ref="R6:R16" si="5">I6*G6</f>
        <v>0</v>
      </c>
      <c r="S6" s="28">
        <f>SUM(N6:R6)</f>
        <v>0</v>
      </c>
    </row>
    <row r="7" spans="2:19">
      <c r="B7" s="241" t="s">
        <v>910</v>
      </c>
      <c r="C7" s="13"/>
      <c r="D7" s="13"/>
      <c r="E7" s="13"/>
      <c r="F7" s="14"/>
      <c r="G7" s="8"/>
      <c r="H7" s="24">
        <f t="shared" ref="H7:H16" si="6">SUM(C7:G7)</f>
        <v>0</v>
      </c>
      <c r="I7" s="375">
        <f t="shared" si="0"/>
        <v>18.600000000000001</v>
      </c>
      <c r="J7" s="10"/>
      <c r="K7" s="12"/>
      <c r="L7" s="242">
        <v>18.600000000000001</v>
      </c>
      <c r="M7" s="181"/>
      <c r="N7" s="25">
        <f t="shared" si="1"/>
        <v>0</v>
      </c>
      <c r="O7" s="25">
        <f t="shared" si="2"/>
        <v>0</v>
      </c>
      <c r="P7" s="25">
        <f t="shared" si="3"/>
        <v>0</v>
      </c>
      <c r="Q7" s="26">
        <f t="shared" si="4"/>
        <v>0</v>
      </c>
      <c r="R7" s="27">
        <f t="shared" si="5"/>
        <v>0</v>
      </c>
      <c r="S7" s="28">
        <f t="shared" ref="S7:S16" si="7">SUM(N7:R7)</f>
        <v>0</v>
      </c>
    </row>
    <row r="8" spans="2:19" ht="15" customHeight="1">
      <c r="B8" s="241" t="s">
        <v>911</v>
      </c>
      <c r="C8" s="13"/>
      <c r="D8" s="13"/>
      <c r="E8" s="13"/>
      <c r="F8" s="14"/>
      <c r="G8" s="8"/>
      <c r="H8" s="24">
        <f t="shared" si="6"/>
        <v>0</v>
      </c>
      <c r="I8" s="375">
        <f t="shared" si="0"/>
        <v>18.600000000000001</v>
      </c>
      <c r="J8" s="10"/>
      <c r="K8" s="12"/>
      <c r="L8" s="242">
        <v>18.600000000000001</v>
      </c>
      <c r="M8" s="181"/>
      <c r="N8" s="25">
        <f t="shared" si="1"/>
        <v>0</v>
      </c>
      <c r="O8" s="25">
        <f t="shared" si="2"/>
        <v>0</v>
      </c>
      <c r="P8" s="25">
        <f t="shared" si="3"/>
        <v>0</v>
      </c>
      <c r="Q8" s="26">
        <f t="shared" si="4"/>
        <v>0</v>
      </c>
      <c r="R8" s="27">
        <f t="shared" si="5"/>
        <v>0</v>
      </c>
      <c r="S8" s="28">
        <f t="shared" si="7"/>
        <v>0</v>
      </c>
    </row>
    <row r="9" spans="2:19">
      <c r="B9" s="241" t="s">
        <v>912</v>
      </c>
      <c r="C9" s="13"/>
      <c r="D9" s="13"/>
      <c r="E9" s="13"/>
      <c r="F9" s="14"/>
      <c r="G9" s="8"/>
      <c r="H9" s="24">
        <f t="shared" si="6"/>
        <v>0</v>
      </c>
      <c r="I9" s="375">
        <f t="shared" si="0"/>
        <v>26.75</v>
      </c>
      <c r="J9" s="10"/>
      <c r="K9" s="12"/>
      <c r="L9" s="242">
        <v>26.75</v>
      </c>
      <c r="M9" s="181"/>
      <c r="N9" s="25">
        <f t="shared" si="1"/>
        <v>0</v>
      </c>
      <c r="O9" s="25">
        <f t="shared" si="2"/>
        <v>0</v>
      </c>
      <c r="P9" s="25">
        <f t="shared" si="3"/>
        <v>0</v>
      </c>
      <c r="Q9" s="26">
        <f t="shared" si="4"/>
        <v>0</v>
      </c>
      <c r="R9" s="27">
        <f t="shared" si="5"/>
        <v>0</v>
      </c>
      <c r="S9" s="28">
        <f t="shared" si="7"/>
        <v>0</v>
      </c>
    </row>
    <row r="10" spans="2:19">
      <c r="B10" s="241" t="s">
        <v>913</v>
      </c>
      <c r="C10" s="13"/>
      <c r="D10" s="13"/>
      <c r="E10" s="13"/>
      <c r="F10" s="14"/>
      <c r="G10" s="8"/>
      <c r="H10" s="24">
        <f t="shared" si="6"/>
        <v>0</v>
      </c>
      <c r="I10" s="375">
        <f t="shared" si="0"/>
        <v>18.100000000000001</v>
      </c>
      <c r="J10" s="10"/>
      <c r="K10" s="12"/>
      <c r="L10" s="242">
        <v>18.100000000000001</v>
      </c>
      <c r="M10" s="181"/>
      <c r="N10" s="25">
        <f t="shared" si="1"/>
        <v>0</v>
      </c>
      <c r="O10" s="25">
        <f t="shared" si="2"/>
        <v>0</v>
      </c>
      <c r="P10" s="25">
        <f t="shared" si="3"/>
        <v>0</v>
      </c>
      <c r="Q10" s="26">
        <f t="shared" si="4"/>
        <v>0</v>
      </c>
      <c r="R10" s="27">
        <f t="shared" si="5"/>
        <v>0</v>
      </c>
      <c r="S10" s="28">
        <f t="shared" si="7"/>
        <v>0</v>
      </c>
    </row>
    <row r="11" spans="2:19">
      <c r="B11" s="241" t="s">
        <v>914</v>
      </c>
      <c r="C11" s="13"/>
      <c r="D11" s="13"/>
      <c r="E11" s="13"/>
      <c r="F11" s="14"/>
      <c r="G11" s="8"/>
      <c r="H11" s="24">
        <f t="shared" si="6"/>
        <v>0</v>
      </c>
      <c r="I11" s="375">
        <f t="shared" si="0"/>
        <v>53.5</v>
      </c>
      <c r="J11" s="10"/>
      <c r="K11" s="12"/>
      <c r="L11" s="242">
        <v>53.5</v>
      </c>
      <c r="M11" s="181"/>
      <c r="N11" s="25">
        <f t="shared" si="1"/>
        <v>0</v>
      </c>
      <c r="O11" s="25">
        <f t="shared" si="2"/>
        <v>0</v>
      </c>
      <c r="P11" s="25">
        <f t="shared" si="3"/>
        <v>0</v>
      </c>
      <c r="Q11" s="26">
        <f t="shared" si="4"/>
        <v>0</v>
      </c>
      <c r="R11" s="27">
        <f t="shared" si="5"/>
        <v>0</v>
      </c>
      <c r="S11" s="28">
        <f t="shared" si="7"/>
        <v>0</v>
      </c>
    </row>
    <row r="12" spans="2:19">
      <c r="B12" s="241" t="s">
        <v>915</v>
      </c>
      <c r="C12" s="13"/>
      <c r="D12" s="13"/>
      <c r="E12" s="13"/>
      <c r="F12" s="14"/>
      <c r="G12" s="8"/>
      <c r="H12" s="24">
        <f t="shared" si="6"/>
        <v>0</v>
      </c>
      <c r="I12" s="375">
        <f t="shared" si="0"/>
        <v>18.100000000000001</v>
      </c>
      <c r="J12" s="10"/>
      <c r="K12" s="12"/>
      <c r="L12" s="242">
        <v>18.100000000000001</v>
      </c>
      <c r="M12" s="181"/>
      <c r="N12" s="25">
        <f t="shared" si="1"/>
        <v>0</v>
      </c>
      <c r="O12" s="25">
        <f t="shared" si="2"/>
        <v>0</v>
      </c>
      <c r="P12" s="25">
        <f t="shared" si="3"/>
        <v>0</v>
      </c>
      <c r="Q12" s="26">
        <f t="shared" si="4"/>
        <v>0</v>
      </c>
      <c r="R12" s="27">
        <f t="shared" si="5"/>
        <v>0</v>
      </c>
      <c r="S12" s="28">
        <f t="shared" si="7"/>
        <v>0</v>
      </c>
    </row>
    <row r="13" spans="2:19">
      <c r="B13" s="241" t="s">
        <v>916</v>
      </c>
      <c r="C13" s="13"/>
      <c r="D13" s="13"/>
      <c r="E13" s="13"/>
      <c r="F13" s="14"/>
      <c r="G13" s="8"/>
      <c r="H13" s="24">
        <f t="shared" si="6"/>
        <v>0</v>
      </c>
      <c r="I13" s="375">
        <f t="shared" si="0"/>
        <v>53.5</v>
      </c>
      <c r="J13" s="10"/>
      <c r="K13" s="12"/>
      <c r="L13" s="242">
        <v>53.5</v>
      </c>
      <c r="M13" s="181"/>
      <c r="N13" s="25">
        <f t="shared" si="1"/>
        <v>0</v>
      </c>
      <c r="O13" s="25">
        <f t="shared" si="2"/>
        <v>0</v>
      </c>
      <c r="P13" s="25">
        <f t="shared" si="3"/>
        <v>0</v>
      </c>
      <c r="Q13" s="26">
        <f t="shared" si="4"/>
        <v>0</v>
      </c>
      <c r="R13" s="27">
        <f t="shared" si="5"/>
        <v>0</v>
      </c>
      <c r="S13" s="28">
        <f t="shared" si="7"/>
        <v>0</v>
      </c>
    </row>
    <row r="14" spans="2:19">
      <c r="B14" s="241" t="s">
        <v>917</v>
      </c>
      <c r="C14" s="13"/>
      <c r="D14" s="13"/>
      <c r="E14" s="13"/>
      <c r="F14" s="14"/>
      <c r="G14" s="8"/>
      <c r="H14" s="24">
        <f t="shared" si="6"/>
        <v>0</v>
      </c>
      <c r="I14" s="375">
        <f t="shared" si="0"/>
        <v>18.100000000000001</v>
      </c>
      <c r="J14" s="10"/>
      <c r="K14" s="12"/>
      <c r="L14" s="242">
        <v>18.100000000000001</v>
      </c>
      <c r="M14" s="181"/>
      <c r="N14" s="25">
        <f t="shared" si="1"/>
        <v>0</v>
      </c>
      <c r="O14" s="25">
        <f t="shared" si="2"/>
        <v>0</v>
      </c>
      <c r="P14" s="25">
        <f t="shared" si="3"/>
        <v>0</v>
      </c>
      <c r="Q14" s="26">
        <f t="shared" si="4"/>
        <v>0</v>
      </c>
      <c r="R14" s="27">
        <f t="shared" si="5"/>
        <v>0</v>
      </c>
      <c r="S14" s="28">
        <f t="shared" si="7"/>
        <v>0</v>
      </c>
    </row>
    <row r="15" spans="2:19">
      <c r="B15" s="241" t="s">
        <v>918</v>
      </c>
      <c r="C15" s="13"/>
      <c r="D15" s="13"/>
      <c r="E15" s="13"/>
      <c r="F15" s="14"/>
      <c r="G15" s="8"/>
      <c r="H15" s="24">
        <f t="shared" si="6"/>
        <v>0</v>
      </c>
      <c r="I15" s="375">
        <f t="shared" si="0"/>
        <v>53.5</v>
      </c>
      <c r="J15" s="10"/>
      <c r="K15" s="12"/>
      <c r="L15" s="242">
        <v>53.5</v>
      </c>
      <c r="M15" s="181"/>
      <c r="N15" s="25">
        <f t="shared" si="1"/>
        <v>0</v>
      </c>
      <c r="O15" s="25">
        <f t="shared" si="2"/>
        <v>0</v>
      </c>
      <c r="P15" s="25">
        <f t="shared" si="3"/>
        <v>0</v>
      </c>
      <c r="Q15" s="26">
        <f t="shared" si="4"/>
        <v>0</v>
      </c>
      <c r="R15" s="27">
        <f t="shared" si="5"/>
        <v>0</v>
      </c>
      <c r="S15" s="28">
        <f t="shared" si="7"/>
        <v>0</v>
      </c>
    </row>
    <row r="16" spans="2:19">
      <c r="B16" s="241" t="s">
        <v>919</v>
      </c>
      <c r="C16" s="13"/>
      <c r="D16" s="13"/>
      <c r="E16" s="13"/>
      <c r="F16" s="14"/>
      <c r="G16" s="8"/>
      <c r="H16" s="24">
        <f t="shared" si="6"/>
        <v>0</v>
      </c>
      <c r="I16" s="375">
        <f t="shared" si="0"/>
        <v>32</v>
      </c>
      <c r="J16" s="10"/>
      <c r="K16" s="12"/>
      <c r="L16" s="242">
        <v>32</v>
      </c>
      <c r="M16" s="181"/>
      <c r="N16" s="25">
        <f t="shared" si="1"/>
        <v>0</v>
      </c>
      <c r="O16" s="25">
        <f t="shared" si="2"/>
        <v>0</v>
      </c>
      <c r="P16" s="25">
        <f t="shared" si="3"/>
        <v>0</v>
      </c>
      <c r="Q16" s="26">
        <f t="shared" si="4"/>
        <v>0</v>
      </c>
      <c r="R16" s="27">
        <f t="shared" si="5"/>
        <v>0</v>
      </c>
      <c r="S16" s="28">
        <f t="shared" si="7"/>
        <v>0</v>
      </c>
    </row>
    <row r="17" spans="2:19">
      <c r="B17" s="58" t="s">
        <v>13</v>
      </c>
      <c r="C17" s="288">
        <v>0</v>
      </c>
      <c r="D17" s="288">
        <v>0</v>
      </c>
      <c r="E17" s="288">
        <v>0</v>
      </c>
      <c r="F17" s="288"/>
      <c r="G17" s="288">
        <f t="shared" ref="G17" si="8">R18</f>
        <v>0</v>
      </c>
      <c r="H17" s="288">
        <f t="shared" ref="H17" si="9">S18</f>
        <v>0</v>
      </c>
      <c r="N17" s="25"/>
      <c r="O17" s="25"/>
      <c r="P17" s="25"/>
      <c r="Q17" s="26"/>
      <c r="R17" s="27"/>
      <c r="S17" s="28"/>
    </row>
    <row r="18" spans="2:19">
      <c r="B18" s="59" t="s">
        <v>46</v>
      </c>
      <c r="N18" s="29">
        <f t="shared" ref="N18:S18" si="10">SUM(N6:N17)</f>
        <v>0</v>
      </c>
      <c r="O18" s="29">
        <f t="shared" si="10"/>
        <v>0</v>
      </c>
      <c r="P18" s="29">
        <f t="shared" si="10"/>
        <v>0</v>
      </c>
      <c r="Q18" s="29">
        <f t="shared" si="10"/>
        <v>0</v>
      </c>
      <c r="R18" s="29">
        <f t="shared" si="10"/>
        <v>0</v>
      </c>
      <c r="S18" s="29">
        <f t="shared" si="10"/>
        <v>0</v>
      </c>
    </row>
    <row r="19" spans="2:19" ht="16.5" thickBot="1">
      <c r="B19" s="2"/>
    </row>
    <row r="20" spans="2:19">
      <c r="B20" s="60" t="s">
        <v>47</v>
      </c>
    </row>
    <row r="21" spans="2:19">
      <c r="B21" s="61" t="s">
        <v>903</v>
      </c>
    </row>
    <row r="22" spans="2:19">
      <c r="B22" s="61" t="s">
        <v>904</v>
      </c>
    </row>
    <row r="23" spans="2:19" ht="16.5" thickBot="1">
      <c r="B23" s="62" t="s">
        <v>905</v>
      </c>
    </row>
    <row r="24" spans="2:19">
      <c r="B24" s="2"/>
    </row>
    <row r="25" spans="2:19">
      <c r="B25" s="30" t="s">
        <v>20</v>
      </c>
    </row>
    <row r="26" spans="2:19">
      <c r="B26" s="35"/>
    </row>
    <row r="27" spans="2:19">
      <c r="B27" s="35"/>
    </row>
    <row r="28" spans="2:19">
      <c r="G28" s="5" t="str">
        <f t="shared" ref="G28:G91" si="11">IF(B28&lt;&gt;"",SUM(C28:F28),"")</f>
        <v/>
      </c>
    </row>
    <row r="29" spans="2:19">
      <c r="G29" s="5" t="str">
        <f t="shared" si="11"/>
        <v/>
      </c>
    </row>
    <row r="30" spans="2:19">
      <c r="G30" s="5" t="str">
        <f t="shared" si="11"/>
        <v/>
      </c>
    </row>
    <row r="31" spans="2:19">
      <c r="G31" s="5" t="str">
        <f t="shared" si="11"/>
        <v/>
      </c>
    </row>
    <row r="32" spans="2:19">
      <c r="G32" s="5" t="str">
        <f t="shared" si="11"/>
        <v/>
      </c>
    </row>
    <row r="33" spans="7:7">
      <c r="G33" s="5" t="str">
        <f t="shared" si="11"/>
        <v/>
      </c>
    </row>
    <row r="34" spans="7:7">
      <c r="G34" s="5" t="str">
        <f t="shared" si="11"/>
        <v/>
      </c>
    </row>
    <row r="35" spans="7:7">
      <c r="G35" s="5" t="str">
        <f t="shared" si="11"/>
        <v/>
      </c>
    </row>
    <row r="36" spans="7:7">
      <c r="G36" s="5" t="str">
        <f t="shared" si="11"/>
        <v/>
      </c>
    </row>
    <row r="37" spans="7:7">
      <c r="G37" s="5" t="str">
        <f t="shared" si="11"/>
        <v/>
      </c>
    </row>
    <row r="38" spans="7:7">
      <c r="G38" s="5" t="str">
        <f t="shared" si="11"/>
        <v/>
      </c>
    </row>
    <row r="39" spans="7:7">
      <c r="G39" s="5" t="str">
        <f t="shared" si="11"/>
        <v/>
      </c>
    </row>
    <row r="40" spans="7:7">
      <c r="G40" s="5" t="str">
        <f t="shared" si="11"/>
        <v/>
      </c>
    </row>
    <row r="41" spans="7:7">
      <c r="G41" s="5" t="str">
        <f t="shared" si="11"/>
        <v/>
      </c>
    </row>
    <row r="42" spans="7:7">
      <c r="G42" s="5" t="str">
        <f t="shared" si="11"/>
        <v/>
      </c>
    </row>
    <row r="43" spans="7:7">
      <c r="G43" s="5" t="str">
        <f t="shared" si="11"/>
        <v/>
      </c>
    </row>
    <row r="44" spans="7:7">
      <c r="G44" s="5" t="str">
        <f t="shared" si="11"/>
        <v/>
      </c>
    </row>
    <row r="45" spans="7:7">
      <c r="G45" s="5" t="str">
        <f t="shared" si="11"/>
        <v/>
      </c>
    </row>
    <row r="46" spans="7:7">
      <c r="G46" s="5" t="str">
        <f t="shared" si="11"/>
        <v/>
      </c>
    </row>
    <row r="47" spans="7:7">
      <c r="G47" s="5" t="str">
        <f t="shared" si="11"/>
        <v/>
      </c>
    </row>
    <row r="48" spans="7:7">
      <c r="G48" s="5" t="str">
        <f t="shared" si="11"/>
        <v/>
      </c>
    </row>
    <row r="49" spans="7:7">
      <c r="G49" s="5" t="str">
        <f t="shared" si="11"/>
        <v/>
      </c>
    </row>
    <row r="50" spans="7:7">
      <c r="G50" s="5" t="str">
        <f t="shared" si="11"/>
        <v/>
      </c>
    </row>
    <row r="51" spans="7:7">
      <c r="G51" s="5" t="str">
        <f t="shared" si="11"/>
        <v/>
      </c>
    </row>
    <row r="52" spans="7:7">
      <c r="G52" s="5" t="str">
        <f t="shared" si="11"/>
        <v/>
      </c>
    </row>
    <row r="53" spans="7:7">
      <c r="G53" s="5" t="str">
        <f t="shared" si="11"/>
        <v/>
      </c>
    </row>
    <row r="54" spans="7:7">
      <c r="G54" s="5" t="str">
        <f t="shared" si="11"/>
        <v/>
      </c>
    </row>
    <row r="55" spans="7:7">
      <c r="G55" s="5" t="str">
        <f t="shared" si="11"/>
        <v/>
      </c>
    </row>
    <row r="56" spans="7:7">
      <c r="G56" s="5" t="str">
        <f t="shared" si="11"/>
        <v/>
      </c>
    </row>
    <row r="57" spans="7:7">
      <c r="G57" s="5" t="str">
        <f t="shared" si="11"/>
        <v/>
      </c>
    </row>
    <row r="58" spans="7:7">
      <c r="G58" s="5" t="str">
        <f t="shared" si="11"/>
        <v/>
      </c>
    </row>
    <row r="59" spans="7:7">
      <c r="G59" s="5" t="str">
        <f t="shared" si="11"/>
        <v/>
      </c>
    </row>
    <row r="60" spans="7:7">
      <c r="G60" s="5" t="str">
        <f t="shared" si="11"/>
        <v/>
      </c>
    </row>
    <row r="61" spans="7:7">
      <c r="G61" s="5" t="str">
        <f t="shared" si="11"/>
        <v/>
      </c>
    </row>
    <row r="62" spans="7:7">
      <c r="G62" s="5" t="str">
        <f t="shared" si="11"/>
        <v/>
      </c>
    </row>
    <row r="63" spans="7:7">
      <c r="G63" s="5" t="str">
        <f t="shared" si="11"/>
        <v/>
      </c>
    </row>
    <row r="64" spans="7:7">
      <c r="G64" s="5" t="str">
        <f t="shared" si="11"/>
        <v/>
      </c>
    </row>
    <row r="65" spans="7:7">
      <c r="G65" s="5" t="str">
        <f t="shared" si="11"/>
        <v/>
      </c>
    </row>
    <row r="66" spans="7:7">
      <c r="G66" s="5" t="str">
        <f t="shared" si="11"/>
        <v/>
      </c>
    </row>
    <row r="67" spans="7:7">
      <c r="G67" s="5" t="str">
        <f t="shared" si="11"/>
        <v/>
      </c>
    </row>
    <row r="68" spans="7:7">
      <c r="G68" s="5" t="str">
        <f t="shared" si="11"/>
        <v/>
      </c>
    </row>
    <row r="69" spans="7:7">
      <c r="G69" s="5" t="str">
        <f t="shared" si="11"/>
        <v/>
      </c>
    </row>
    <row r="70" spans="7:7">
      <c r="G70" s="5" t="str">
        <f t="shared" si="11"/>
        <v/>
      </c>
    </row>
    <row r="71" spans="7:7">
      <c r="G71" s="5" t="str">
        <f t="shared" si="11"/>
        <v/>
      </c>
    </row>
    <row r="72" spans="7:7">
      <c r="G72" s="5" t="str">
        <f t="shared" si="11"/>
        <v/>
      </c>
    </row>
    <row r="73" spans="7:7">
      <c r="G73" s="5" t="str">
        <f t="shared" si="11"/>
        <v/>
      </c>
    </row>
    <row r="74" spans="7:7">
      <c r="G74" s="5" t="str">
        <f t="shared" si="11"/>
        <v/>
      </c>
    </row>
    <row r="75" spans="7:7">
      <c r="G75" s="5" t="str">
        <f t="shared" si="11"/>
        <v/>
      </c>
    </row>
    <row r="76" spans="7:7">
      <c r="G76" s="5" t="str">
        <f t="shared" si="11"/>
        <v/>
      </c>
    </row>
    <row r="77" spans="7:7">
      <c r="G77" s="5" t="str">
        <f t="shared" si="11"/>
        <v/>
      </c>
    </row>
    <row r="78" spans="7:7">
      <c r="G78" s="5" t="str">
        <f t="shared" si="11"/>
        <v/>
      </c>
    </row>
    <row r="79" spans="7:7">
      <c r="G79" s="5" t="str">
        <f t="shared" si="11"/>
        <v/>
      </c>
    </row>
    <row r="80" spans="7:7">
      <c r="G80" s="5" t="str">
        <f t="shared" si="11"/>
        <v/>
      </c>
    </row>
    <row r="81" spans="7:7">
      <c r="G81" s="5" t="str">
        <f t="shared" si="11"/>
        <v/>
      </c>
    </row>
    <row r="82" spans="7:7">
      <c r="G82" s="5" t="str">
        <f t="shared" si="11"/>
        <v/>
      </c>
    </row>
    <row r="83" spans="7:7">
      <c r="G83" s="5" t="str">
        <f t="shared" si="11"/>
        <v/>
      </c>
    </row>
    <row r="84" spans="7:7">
      <c r="G84" s="5" t="str">
        <f t="shared" si="11"/>
        <v/>
      </c>
    </row>
    <row r="85" spans="7:7">
      <c r="G85" s="5" t="str">
        <f t="shared" si="11"/>
        <v/>
      </c>
    </row>
    <row r="86" spans="7:7">
      <c r="G86" s="5" t="str">
        <f t="shared" si="11"/>
        <v/>
      </c>
    </row>
    <row r="87" spans="7:7">
      <c r="G87" s="5" t="str">
        <f t="shared" si="11"/>
        <v/>
      </c>
    </row>
    <row r="88" spans="7:7">
      <c r="G88" s="5" t="str">
        <f t="shared" si="11"/>
        <v/>
      </c>
    </row>
    <row r="89" spans="7:7">
      <c r="G89" s="5" t="str">
        <f t="shared" si="11"/>
        <v/>
      </c>
    </row>
    <row r="90" spans="7:7">
      <c r="G90" s="5" t="str">
        <f t="shared" si="11"/>
        <v/>
      </c>
    </row>
    <row r="91" spans="7:7">
      <c r="G91" s="5" t="str">
        <f t="shared" si="11"/>
        <v/>
      </c>
    </row>
    <row r="92" spans="7:7">
      <c r="G92" s="5" t="str">
        <f t="shared" ref="G92:G155" si="12">IF(B92&lt;&gt;"",SUM(C92:F92),"")</f>
        <v/>
      </c>
    </row>
    <row r="93" spans="7:7">
      <c r="G93" s="5" t="str">
        <f t="shared" si="12"/>
        <v/>
      </c>
    </row>
    <row r="94" spans="7:7">
      <c r="G94" s="5" t="str">
        <f t="shared" si="12"/>
        <v/>
      </c>
    </row>
    <row r="95" spans="7:7">
      <c r="G95" s="5" t="str">
        <f t="shared" si="12"/>
        <v/>
      </c>
    </row>
    <row r="96" spans="7:7">
      <c r="G96" s="5" t="str">
        <f t="shared" si="12"/>
        <v/>
      </c>
    </row>
    <row r="97" spans="7:7">
      <c r="G97" s="5" t="str">
        <f t="shared" si="12"/>
        <v/>
      </c>
    </row>
    <row r="98" spans="7:7">
      <c r="G98" s="5" t="str">
        <f t="shared" si="12"/>
        <v/>
      </c>
    </row>
    <row r="99" spans="7:7">
      <c r="G99" s="5" t="str">
        <f t="shared" si="12"/>
        <v/>
      </c>
    </row>
    <row r="100" spans="7:7">
      <c r="G100" s="5" t="str">
        <f t="shared" si="12"/>
        <v/>
      </c>
    </row>
    <row r="101" spans="7:7">
      <c r="G101" s="5" t="str">
        <f t="shared" si="12"/>
        <v/>
      </c>
    </row>
    <row r="102" spans="7:7">
      <c r="G102" s="5" t="str">
        <f t="shared" si="12"/>
        <v/>
      </c>
    </row>
    <row r="103" spans="7:7">
      <c r="G103" s="5" t="str">
        <f t="shared" si="12"/>
        <v/>
      </c>
    </row>
    <row r="104" spans="7:7">
      <c r="G104" s="5" t="str">
        <f t="shared" si="12"/>
        <v/>
      </c>
    </row>
    <row r="105" spans="7:7">
      <c r="G105" s="5" t="str">
        <f t="shared" si="12"/>
        <v/>
      </c>
    </row>
    <row r="106" spans="7:7">
      <c r="G106" s="5" t="str">
        <f t="shared" si="12"/>
        <v/>
      </c>
    </row>
    <row r="107" spans="7:7">
      <c r="G107" s="5" t="str">
        <f t="shared" si="12"/>
        <v/>
      </c>
    </row>
    <row r="108" spans="7:7">
      <c r="G108" s="5" t="str">
        <f t="shared" si="12"/>
        <v/>
      </c>
    </row>
    <row r="109" spans="7:7">
      <c r="G109" s="5" t="str">
        <f t="shared" si="12"/>
        <v/>
      </c>
    </row>
    <row r="110" spans="7:7">
      <c r="G110" s="5" t="str">
        <f t="shared" si="12"/>
        <v/>
      </c>
    </row>
    <row r="111" spans="7:7">
      <c r="G111" s="5" t="str">
        <f t="shared" si="12"/>
        <v/>
      </c>
    </row>
    <row r="112" spans="7:7">
      <c r="G112" s="5" t="str">
        <f t="shared" si="12"/>
        <v/>
      </c>
    </row>
    <row r="113" spans="7:7">
      <c r="G113" s="5" t="str">
        <f t="shared" si="12"/>
        <v/>
      </c>
    </row>
    <row r="114" spans="7:7">
      <c r="G114" s="5" t="str">
        <f t="shared" si="12"/>
        <v/>
      </c>
    </row>
    <row r="115" spans="7:7">
      <c r="G115" s="5" t="str">
        <f t="shared" si="12"/>
        <v/>
      </c>
    </row>
    <row r="116" spans="7:7">
      <c r="G116" s="5" t="str">
        <f t="shared" si="12"/>
        <v/>
      </c>
    </row>
    <row r="117" spans="7:7">
      <c r="G117" s="5" t="str">
        <f t="shared" si="12"/>
        <v/>
      </c>
    </row>
    <row r="118" spans="7:7">
      <c r="G118" s="5" t="str">
        <f t="shared" si="12"/>
        <v/>
      </c>
    </row>
    <row r="119" spans="7:7">
      <c r="G119" s="5" t="str">
        <f t="shared" si="12"/>
        <v/>
      </c>
    </row>
    <row r="120" spans="7:7">
      <c r="G120" s="5" t="str">
        <f t="shared" si="12"/>
        <v/>
      </c>
    </row>
    <row r="121" spans="7:7">
      <c r="G121" s="5" t="str">
        <f t="shared" si="12"/>
        <v/>
      </c>
    </row>
    <row r="122" spans="7:7">
      <c r="G122" s="5" t="str">
        <f t="shared" si="12"/>
        <v/>
      </c>
    </row>
    <row r="123" spans="7:7">
      <c r="G123" s="5" t="str">
        <f t="shared" si="12"/>
        <v/>
      </c>
    </row>
    <row r="124" spans="7:7">
      <c r="G124" s="5" t="str">
        <f t="shared" si="12"/>
        <v/>
      </c>
    </row>
    <row r="125" spans="7:7">
      <c r="G125" s="5" t="str">
        <f t="shared" si="12"/>
        <v/>
      </c>
    </row>
    <row r="126" spans="7:7">
      <c r="G126" s="5" t="str">
        <f t="shared" si="12"/>
        <v/>
      </c>
    </row>
    <row r="127" spans="7:7">
      <c r="G127" s="5" t="str">
        <f t="shared" si="12"/>
        <v/>
      </c>
    </row>
    <row r="128" spans="7:7">
      <c r="G128" s="5" t="str">
        <f t="shared" si="12"/>
        <v/>
      </c>
    </row>
    <row r="129" spans="7:7">
      <c r="G129" s="5" t="str">
        <f t="shared" si="12"/>
        <v/>
      </c>
    </row>
    <row r="130" spans="7:7">
      <c r="G130" s="5" t="str">
        <f t="shared" si="12"/>
        <v/>
      </c>
    </row>
    <row r="131" spans="7:7">
      <c r="G131" s="5" t="str">
        <f t="shared" si="12"/>
        <v/>
      </c>
    </row>
    <row r="132" spans="7:7">
      <c r="G132" s="5" t="str">
        <f t="shared" si="12"/>
        <v/>
      </c>
    </row>
    <row r="133" spans="7:7">
      <c r="G133" s="5" t="str">
        <f t="shared" si="12"/>
        <v/>
      </c>
    </row>
    <row r="134" spans="7:7">
      <c r="G134" s="5" t="str">
        <f t="shared" si="12"/>
        <v/>
      </c>
    </row>
    <row r="135" spans="7:7">
      <c r="G135" s="5" t="str">
        <f t="shared" si="12"/>
        <v/>
      </c>
    </row>
    <row r="136" spans="7:7">
      <c r="G136" s="5" t="str">
        <f t="shared" si="12"/>
        <v/>
      </c>
    </row>
    <row r="137" spans="7:7">
      <c r="G137" s="5" t="str">
        <f t="shared" si="12"/>
        <v/>
      </c>
    </row>
    <row r="138" spans="7:7">
      <c r="G138" s="5" t="str">
        <f t="shared" si="12"/>
        <v/>
      </c>
    </row>
    <row r="139" spans="7:7">
      <c r="G139" s="5" t="str">
        <f t="shared" si="12"/>
        <v/>
      </c>
    </row>
    <row r="140" spans="7:7">
      <c r="G140" s="5" t="str">
        <f t="shared" si="12"/>
        <v/>
      </c>
    </row>
    <row r="141" spans="7:7">
      <c r="G141" s="5" t="str">
        <f t="shared" si="12"/>
        <v/>
      </c>
    </row>
    <row r="142" spans="7:7">
      <c r="G142" s="5" t="str">
        <f t="shared" si="12"/>
        <v/>
      </c>
    </row>
    <row r="143" spans="7:7">
      <c r="G143" s="5" t="str">
        <f t="shared" si="12"/>
        <v/>
      </c>
    </row>
    <row r="144" spans="7:7">
      <c r="G144" s="5" t="str">
        <f t="shared" si="12"/>
        <v/>
      </c>
    </row>
    <row r="145" spans="7:7">
      <c r="G145" s="5" t="str">
        <f t="shared" si="12"/>
        <v/>
      </c>
    </row>
    <row r="146" spans="7:7">
      <c r="G146" s="5" t="str">
        <f t="shared" si="12"/>
        <v/>
      </c>
    </row>
    <row r="147" spans="7:7">
      <c r="G147" s="5" t="str">
        <f t="shared" si="12"/>
        <v/>
      </c>
    </row>
    <row r="148" spans="7:7">
      <c r="G148" s="5" t="str">
        <f t="shared" si="12"/>
        <v/>
      </c>
    </row>
    <row r="149" spans="7:7">
      <c r="G149" s="5" t="str">
        <f t="shared" si="12"/>
        <v/>
      </c>
    </row>
    <row r="150" spans="7:7">
      <c r="G150" s="5" t="str">
        <f t="shared" si="12"/>
        <v/>
      </c>
    </row>
    <row r="151" spans="7:7">
      <c r="G151" s="5" t="str">
        <f t="shared" si="12"/>
        <v/>
      </c>
    </row>
    <row r="152" spans="7:7">
      <c r="G152" s="5" t="str">
        <f t="shared" si="12"/>
        <v/>
      </c>
    </row>
    <row r="153" spans="7:7">
      <c r="G153" s="5" t="str">
        <f t="shared" si="12"/>
        <v/>
      </c>
    </row>
    <row r="154" spans="7:7">
      <c r="G154" s="5" t="str">
        <f t="shared" si="12"/>
        <v/>
      </c>
    </row>
    <row r="155" spans="7:7">
      <c r="G155" s="5" t="str">
        <f t="shared" si="12"/>
        <v/>
      </c>
    </row>
    <row r="156" spans="7:7">
      <c r="G156" s="5" t="str">
        <f t="shared" ref="G156:G219" si="13">IF(B156&lt;&gt;"",SUM(C156:F156),"")</f>
        <v/>
      </c>
    </row>
    <row r="157" spans="7:7">
      <c r="G157" s="5" t="str">
        <f t="shared" si="13"/>
        <v/>
      </c>
    </row>
    <row r="158" spans="7:7">
      <c r="G158" s="5" t="str">
        <f t="shared" si="13"/>
        <v/>
      </c>
    </row>
    <row r="159" spans="7:7">
      <c r="G159" s="5" t="str">
        <f t="shared" si="13"/>
        <v/>
      </c>
    </row>
    <row r="160" spans="7:7">
      <c r="G160" s="5" t="str">
        <f t="shared" si="13"/>
        <v/>
      </c>
    </row>
    <row r="161" spans="7:7">
      <c r="G161" s="5" t="str">
        <f t="shared" si="13"/>
        <v/>
      </c>
    </row>
    <row r="162" spans="7:7">
      <c r="G162" s="5" t="str">
        <f t="shared" si="13"/>
        <v/>
      </c>
    </row>
    <row r="163" spans="7:7">
      <c r="G163" s="5" t="str">
        <f t="shared" si="13"/>
        <v/>
      </c>
    </row>
    <row r="164" spans="7:7">
      <c r="G164" s="5" t="str">
        <f t="shared" si="13"/>
        <v/>
      </c>
    </row>
    <row r="165" spans="7:7">
      <c r="G165" s="5" t="str">
        <f t="shared" si="13"/>
        <v/>
      </c>
    </row>
    <row r="166" spans="7:7">
      <c r="G166" s="5" t="str">
        <f t="shared" si="13"/>
        <v/>
      </c>
    </row>
    <row r="167" spans="7:7">
      <c r="G167" s="5" t="str">
        <f t="shared" si="13"/>
        <v/>
      </c>
    </row>
    <row r="168" spans="7:7">
      <c r="G168" s="5" t="str">
        <f t="shared" si="13"/>
        <v/>
      </c>
    </row>
    <row r="169" spans="7:7">
      <c r="G169" s="5" t="str">
        <f t="shared" si="13"/>
        <v/>
      </c>
    </row>
    <row r="170" spans="7:7">
      <c r="G170" s="5" t="str">
        <f t="shared" si="13"/>
        <v/>
      </c>
    </row>
    <row r="171" spans="7:7">
      <c r="G171" s="5" t="str">
        <f t="shared" si="13"/>
        <v/>
      </c>
    </row>
    <row r="172" spans="7:7">
      <c r="G172" s="5" t="str">
        <f t="shared" si="13"/>
        <v/>
      </c>
    </row>
    <row r="173" spans="7:7">
      <c r="G173" s="5" t="str">
        <f t="shared" si="13"/>
        <v/>
      </c>
    </row>
    <row r="174" spans="7:7">
      <c r="G174" s="5" t="str">
        <f t="shared" si="13"/>
        <v/>
      </c>
    </row>
    <row r="175" spans="7:7">
      <c r="G175" s="5" t="str">
        <f t="shared" si="13"/>
        <v/>
      </c>
    </row>
    <row r="176" spans="7:7">
      <c r="G176" s="5" t="str">
        <f t="shared" si="13"/>
        <v/>
      </c>
    </row>
    <row r="177" spans="7:7">
      <c r="G177" s="5" t="str">
        <f t="shared" si="13"/>
        <v/>
      </c>
    </row>
    <row r="178" spans="7:7">
      <c r="G178" s="5" t="str">
        <f t="shared" si="13"/>
        <v/>
      </c>
    </row>
    <row r="179" spans="7:7">
      <c r="G179" s="5" t="str">
        <f t="shared" si="13"/>
        <v/>
      </c>
    </row>
    <row r="180" spans="7:7">
      <c r="G180" s="5" t="str">
        <f t="shared" si="13"/>
        <v/>
      </c>
    </row>
    <row r="181" spans="7:7">
      <c r="G181" s="5" t="str">
        <f t="shared" si="13"/>
        <v/>
      </c>
    </row>
    <row r="182" spans="7:7">
      <c r="G182" s="5" t="str">
        <f t="shared" si="13"/>
        <v/>
      </c>
    </row>
    <row r="183" spans="7:7">
      <c r="G183" s="5" t="str">
        <f t="shared" si="13"/>
        <v/>
      </c>
    </row>
    <row r="184" spans="7:7">
      <c r="G184" s="5" t="str">
        <f t="shared" si="13"/>
        <v/>
      </c>
    </row>
    <row r="185" spans="7:7">
      <c r="G185" s="5" t="str">
        <f t="shared" si="13"/>
        <v/>
      </c>
    </row>
    <row r="186" spans="7:7">
      <c r="G186" s="5" t="str">
        <f t="shared" si="13"/>
        <v/>
      </c>
    </row>
    <row r="187" spans="7:7">
      <c r="G187" s="5" t="str">
        <f t="shared" si="13"/>
        <v/>
      </c>
    </row>
    <row r="188" spans="7:7">
      <c r="G188" s="5" t="str">
        <f t="shared" si="13"/>
        <v/>
      </c>
    </row>
    <row r="189" spans="7:7">
      <c r="G189" s="5" t="str">
        <f t="shared" si="13"/>
        <v/>
      </c>
    </row>
    <row r="190" spans="7:7">
      <c r="G190" s="5" t="str">
        <f t="shared" si="13"/>
        <v/>
      </c>
    </row>
    <row r="191" spans="7:7">
      <c r="G191" s="5" t="str">
        <f t="shared" si="13"/>
        <v/>
      </c>
    </row>
    <row r="192" spans="7:7">
      <c r="G192" s="5" t="str">
        <f t="shared" si="13"/>
        <v/>
      </c>
    </row>
    <row r="193" spans="7:7">
      <c r="G193" s="5" t="str">
        <f t="shared" si="13"/>
        <v/>
      </c>
    </row>
    <row r="194" spans="7:7">
      <c r="G194" s="5" t="str">
        <f t="shared" si="13"/>
        <v/>
      </c>
    </row>
    <row r="195" spans="7:7">
      <c r="G195" s="5" t="str">
        <f t="shared" si="13"/>
        <v/>
      </c>
    </row>
    <row r="196" spans="7:7">
      <c r="G196" s="5" t="str">
        <f t="shared" si="13"/>
        <v/>
      </c>
    </row>
    <row r="197" spans="7:7">
      <c r="G197" s="5" t="str">
        <f t="shared" si="13"/>
        <v/>
      </c>
    </row>
    <row r="198" spans="7:7">
      <c r="G198" s="5" t="str">
        <f t="shared" si="13"/>
        <v/>
      </c>
    </row>
    <row r="199" spans="7:7">
      <c r="G199" s="5" t="str">
        <f t="shared" si="13"/>
        <v/>
      </c>
    </row>
    <row r="200" spans="7:7">
      <c r="G200" s="5" t="str">
        <f t="shared" si="13"/>
        <v/>
      </c>
    </row>
    <row r="201" spans="7:7">
      <c r="G201" s="5" t="str">
        <f t="shared" si="13"/>
        <v/>
      </c>
    </row>
    <row r="202" spans="7:7">
      <c r="G202" s="5" t="str">
        <f t="shared" si="13"/>
        <v/>
      </c>
    </row>
    <row r="203" spans="7:7">
      <c r="G203" s="5" t="str">
        <f t="shared" si="13"/>
        <v/>
      </c>
    </row>
    <row r="204" spans="7:7">
      <c r="G204" s="5" t="str">
        <f t="shared" si="13"/>
        <v/>
      </c>
    </row>
    <row r="205" spans="7:7">
      <c r="G205" s="5" t="str">
        <f t="shared" si="13"/>
        <v/>
      </c>
    </row>
    <row r="206" spans="7:7">
      <c r="G206" s="5" t="str">
        <f t="shared" si="13"/>
        <v/>
      </c>
    </row>
    <row r="207" spans="7:7">
      <c r="G207" s="5" t="str">
        <f t="shared" si="13"/>
        <v/>
      </c>
    </row>
    <row r="208" spans="7:7">
      <c r="G208" s="5" t="str">
        <f t="shared" si="13"/>
        <v/>
      </c>
    </row>
    <row r="209" spans="7:7">
      <c r="G209" s="5" t="str">
        <f t="shared" si="13"/>
        <v/>
      </c>
    </row>
    <row r="210" spans="7:7">
      <c r="G210" s="5" t="str">
        <f t="shared" si="13"/>
        <v/>
      </c>
    </row>
    <row r="211" spans="7:7">
      <c r="G211" s="5" t="str">
        <f t="shared" si="13"/>
        <v/>
      </c>
    </row>
    <row r="212" spans="7:7">
      <c r="G212" s="5" t="str">
        <f t="shared" si="13"/>
        <v/>
      </c>
    </row>
    <row r="213" spans="7:7">
      <c r="G213" s="5" t="str">
        <f t="shared" si="13"/>
        <v/>
      </c>
    </row>
    <row r="214" spans="7:7">
      <c r="G214" s="5" t="str">
        <f t="shared" si="13"/>
        <v/>
      </c>
    </row>
    <row r="215" spans="7:7">
      <c r="G215" s="5" t="str">
        <f t="shared" si="13"/>
        <v/>
      </c>
    </row>
    <row r="216" spans="7:7">
      <c r="G216" s="5" t="str">
        <f t="shared" si="13"/>
        <v/>
      </c>
    </row>
    <row r="217" spans="7:7">
      <c r="G217" s="5" t="str">
        <f t="shared" si="13"/>
        <v/>
      </c>
    </row>
    <row r="218" spans="7:7">
      <c r="G218" s="5" t="str">
        <f t="shared" si="13"/>
        <v/>
      </c>
    </row>
    <row r="219" spans="7:7">
      <c r="G219" s="5" t="str">
        <f t="shared" si="13"/>
        <v/>
      </c>
    </row>
    <row r="220" spans="7:7">
      <c r="G220" s="5" t="str">
        <f t="shared" ref="G220:G283" si="14">IF(B220&lt;&gt;"",SUM(C220:F220),"")</f>
        <v/>
      </c>
    </row>
    <row r="221" spans="7:7">
      <c r="G221" s="5" t="str">
        <f t="shared" si="14"/>
        <v/>
      </c>
    </row>
    <row r="222" spans="7:7">
      <c r="G222" s="5" t="str">
        <f t="shared" si="14"/>
        <v/>
      </c>
    </row>
    <row r="223" spans="7:7">
      <c r="G223" s="5" t="str">
        <f t="shared" si="14"/>
        <v/>
      </c>
    </row>
    <row r="224" spans="7:7">
      <c r="G224" s="5" t="str">
        <f t="shared" si="14"/>
        <v/>
      </c>
    </row>
    <row r="225" spans="7:7">
      <c r="G225" s="5" t="str">
        <f t="shared" si="14"/>
        <v/>
      </c>
    </row>
    <row r="226" spans="7:7">
      <c r="G226" s="5" t="str">
        <f t="shared" si="14"/>
        <v/>
      </c>
    </row>
    <row r="227" spans="7:7">
      <c r="G227" s="5" t="str">
        <f t="shared" si="14"/>
        <v/>
      </c>
    </row>
    <row r="228" spans="7:7">
      <c r="G228" s="5" t="str">
        <f t="shared" si="14"/>
        <v/>
      </c>
    </row>
    <row r="229" spans="7:7">
      <c r="G229" s="5" t="str">
        <f t="shared" si="14"/>
        <v/>
      </c>
    </row>
    <row r="230" spans="7:7">
      <c r="G230" s="5" t="str">
        <f t="shared" si="14"/>
        <v/>
      </c>
    </row>
    <row r="231" spans="7:7">
      <c r="G231" s="5" t="str">
        <f t="shared" si="14"/>
        <v/>
      </c>
    </row>
    <row r="232" spans="7:7">
      <c r="G232" s="5" t="str">
        <f t="shared" si="14"/>
        <v/>
      </c>
    </row>
    <row r="233" spans="7:7">
      <c r="G233" s="5" t="str">
        <f t="shared" si="14"/>
        <v/>
      </c>
    </row>
    <row r="234" spans="7:7">
      <c r="G234" s="5" t="str">
        <f t="shared" si="14"/>
        <v/>
      </c>
    </row>
    <row r="235" spans="7:7">
      <c r="G235" s="5" t="str">
        <f t="shared" si="14"/>
        <v/>
      </c>
    </row>
    <row r="236" spans="7:7">
      <c r="G236" s="5" t="str">
        <f t="shared" si="14"/>
        <v/>
      </c>
    </row>
    <row r="237" spans="7:7">
      <c r="G237" s="5" t="str">
        <f t="shared" si="14"/>
        <v/>
      </c>
    </row>
    <row r="238" spans="7:7">
      <c r="G238" s="5" t="str">
        <f t="shared" si="14"/>
        <v/>
      </c>
    </row>
    <row r="239" spans="7:7">
      <c r="G239" s="5" t="str">
        <f t="shared" si="14"/>
        <v/>
      </c>
    </row>
    <row r="240" spans="7:7">
      <c r="G240" s="5" t="str">
        <f t="shared" si="14"/>
        <v/>
      </c>
    </row>
    <row r="241" spans="7:7">
      <c r="G241" s="5" t="str">
        <f t="shared" si="14"/>
        <v/>
      </c>
    </row>
    <row r="242" spans="7:7">
      <c r="G242" s="5" t="str">
        <f t="shared" si="14"/>
        <v/>
      </c>
    </row>
    <row r="243" spans="7:7">
      <c r="G243" s="5" t="str">
        <f t="shared" si="14"/>
        <v/>
      </c>
    </row>
    <row r="244" spans="7:7">
      <c r="G244" s="5" t="str">
        <f t="shared" si="14"/>
        <v/>
      </c>
    </row>
    <row r="245" spans="7:7">
      <c r="G245" s="5" t="str">
        <f t="shared" si="14"/>
        <v/>
      </c>
    </row>
    <row r="246" spans="7:7">
      <c r="G246" s="5" t="str">
        <f t="shared" si="14"/>
        <v/>
      </c>
    </row>
    <row r="247" spans="7:7">
      <c r="G247" s="5" t="str">
        <f t="shared" si="14"/>
        <v/>
      </c>
    </row>
    <row r="248" spans="7:7">
      <c r="G248" s="5" t="str">
        <f t="shared" si="14"/>
        <v/>
      </c>
    </row>
    <row r="249" spans="7:7">
      <c r="G249" s="5" t="str">
        <f t="shared" si="14"/>
        <v/>
      </c>
    </row>
    <row r="250" spans="7:7">
      <c r="G250" s="5" t="str">
        <f t="shared" si="14"/>
        <v/>
      </c>
    </row>
    <row r="251" spans="7:7">
      <c r="G251" s="5" t="str">
        <f t="shared" si="14"/>
        <v/>
      </c>
    </row>
    <row r="252" spans="7:7">
      <c r="G252" s="5" t="str">
        <f t="shared" si="14"/>
        <v/>
      </c>
    </row>
    <row r="253" spans="7:7">
      <c r="G253" s="5" t="str">
        <f t="shared" si="14"/>
        <v/>
      </c>
    </row>
    <row r="254" spans="7:7">
      <c r="G254" s="5" t="str">
        <f t="shared" si="14"/>
        <v/>
      </c>
    </row>
    <row r="255" spans="7:7">
      <c r="G255" s="5" t="str">
        <f t="shared" si="14"/>
        <v/>
      </c>
    </row>
    <row r="256" spans="7:7">
      <c r="G256" s="5" t="str">
        <f t="shared" si="14"/>
        <v/>
      </c>
    </row>
    <row r="257" spans="7:7">
      <c r="G257" s="5" t="str">
        <f t="shared" si="14"/>
        <v/>
      </c>
    </row>
    <row r="258" spans="7:7">
      <c r="G258" s="5" t="str">
        <f t="shared" si="14"/>
        <v/>
      </c>
    </row>
    <row r="259" spans="7:7">
      <c r="G259" s="5" t="str">
        <f t="shared" si="14"/>
        <v/>
      </c>
    </row>
    <row r="260" spans="7:7">
      <c r="G260" s="5" t="str">
        <f t="shared" si="14"/>
        <v/>
      </c>
    </row>
    <row r="261" spans="7:7">
      <c r="G261" s="5" t="str">
        <f t="shared" si="14"/>
        <v/>
      </c>
    </row>
    <row r="262" spans="7:7">
      <c r="G262" s="5" t="str">
        <f t="shared" si="14"/>
        <v/>
      </c>
    </row>
    <row r="263" spans="7:7">
      <c r="G263" s="5" t="str">
        <f t="shared" si="14"/>
        <v/>
      </c>
    </row>
    <row r="264" spans="7:7">
      <c r="G264" s="5" t="str">
        <f t="shared" si="14"/>
        <v/>
      </c>
    </row>
    <row r="265" spans="7:7">
      <c r="G265" s="5" t="str">
        <f t="shared" si="14"/>
        <v/>
      </c>
    </row>
    <row r="266" spans="7:7">
      <c r="G266" s="5" t="str">
        <f t="shared" si="14"/>
        <v/>
      </c>
    </row>
    <row r="267" spans="7:7">
      <c r="G267" s="5" t="str">
        <f t="shared" si="14"/>
        <v/>
      </c>
    </row>
    <row r="268" spans="7:7">
      <c r="G268" s="5" t="str">
        <f t="shared" si="14"/>
        <v/>
      </c>
    </row>
    <row r="269" spans="7:7">
      <c r="G269" s="5" t="str">
        <f t="shared" si="14"/>
        <v/>
      </c>
    </row>
    <row r="270" spans="7:7">
      <c r="G270" s="5" t="str">
        <f t="shared" si="14"/>
        <v/>
      </c>
    </row>
    <row r="271" spans="7:7">
      <c r="G271" s="5" t="str">
        <f t="shared" si="14"/>
        <v/>
      </c>
    </row>
    <row r="272" spans="7:7">
      <c r="G272" s="5" t="str">
        <f t="shared" si="14"/>
        <v/>
      </c>
    </row>
    <row r="273" spans="7:7">
      <c r="G273" s="5" t="str">
        <f t="shared" si="14"/>
        <v/>
      </c>
    </row>
    <row r="274" spans="7:7">
      <c r="G274" s="5" t="str">
        <f t="shared" si="14"/>
        <v/>
      </c>
    </row>
    <row r="275" spans="7:7">
      <c r="G275" s="5" t="str">
        <f t="shared" si="14"/>
        <v/>
      </c>
    </row>
    <row r="276" spans="7:7">
      <c r="G276" s="5" t="str">
        <f t="shared" si="14"/>
        <v/>
      </c>
    </row>
    <row r="277" spans="7:7">
      <c r="G277" s="5" t="str">
        <f t="shared" si="14"/>
        <v/>
      </c>
    </row>
    <row r="278" spans="7:7">
      <c r="G278" s="5" t="str">
        <f t="shared" si="14"/>
        <v/>
      </c>
    </row>
    <row r="279" spans="7:7">
      <c r="G279" s="5" t="str">
        <f t="shared" si="14"/>
        <v/>
      </c>
    </row>
    <row r="280" spans="7:7">
      <c r="G280" s="5" t="str">
        <f t="shared" si="14"/>
        <v/>
      </c>
    </row>
    <row r="281" spans="7:7">
      <c r="G281" s="5" t="str">
        <f t="shared" si="14"/>
        <v/>
      </c>
    </row>
    <row r="282" spans="7:7">
      <c r="G282" s="5" t="str">
        <f t="shared" si="14"/>
        <v/>
      </c>
    </row>
    <row r="283" spans="7:7">
      <c r="G283" s="5" t="str">
        <f t="shared" si="14"/>
        <v/>
      </c>
    </row>
    <row r="284" spans="7:7">
      <c r="G284" s="5" t="str">
        <f t="shared" ref="G284:G347" si="15">IF(B284&lt;&gt;"",SUM(C284:F284),"")</f>
        <v/>
      </c>
    </row>
    <row r="285" spans="7:7">
      <c r="G285" s="5" t="str">
        <f t="shared" si="15"/>
        <v/>
      </c>
    </row>
    <row r="286" spans="7:7">
      <c r="G286" s="5" t="str">
        <f t="shared" si="15"/>
        <v/>
      </c>
    </row>
    <row r="287" spans="7:7">
      <c r="G287" s="5" t="str">
        <f t="shared" si="15"/>
        <v/>
      </c>
    </row>
    <row r="288" spans="7:7">
      <c r="G288" s="5" t="str">
        <f t="shared" si="15"/>
        <v/>
      </c>
    </row>
    <row r="289" spans="7:7">
      <c r="G289" s="5" t="str">
        <f t="shared" si="15"/>
        <v/>
      </c>
    </row>
    <row r="290" spans="7:7">
      <c r="G290" s="5" t="str">
        <f t="shared" si="15"/>
        <v/>
      </c>
    </row>
    <row r="291" spans="7:7">
      <c r="G291" s="5" t="str">
        <f t="shared" si="15"/>
        <v/>
      </c>
    </row>
    <row r="292" spans="7:7">
      <c r="G292" s="5" t="str">
        <f t="shared" si="15"/>
        <v/>
      </c>
    </row>
    <row r="293" spans="7:7">
      <c r="G293" s="5" t="str">
        <f t="shared" si="15"/>
        <v/>
      </c>
    </row>
    <row r="294" spans="7:7">
      <c r="G294" s="5" t="str">
        <f t="shared" si="15"/>
        <v/>
      </c>
    </row>
    <row r="295" spans="7:7">
      <c r="G295" s="5" t="str">
        <f t="shared" si="15"/>
        <v/>
      </c>
    </row>
    <row r="296" spans="7:7">
      <c r="G296" s="5" t="str">
        <f t="shared" si="15"/>
        <v/>
      </c>
    </row>
    <row r="297" spans="7:7">
      <c r="G297" s="5" t="str">
        <f t="shared" si="15"/>
        <v/>
      </c>
    </row>
    <row r="298" spans="7:7">
      <c r="G298" s="5" t="str">
        <f t="shared" si="15"/>
        <v/>
      </c>
    </row>
    <row r="299" spans="7:7">
      <c r="G299" s="5" t="str">
        <f t="shared" si="15"/>
        <v/>
      </c>
    </row>
    <row r="300" spans="7:7">
      <c r="G300" s="5" t="str">
        <f t="shared" si="15"/>
        <v/>
      </c>
    </row>
    <row r="301" spans="7:7">
      <c r="G301" s="5" t="str">
        <f t="shared" si="15"/>
        <v/>
      </c>
    </row>
    <row r="302" spans="7:7">
      <c r="G302" s="5" t="str">
        <f t="shared" si="15"/>
        <v/>
      </c>
    </row>
    <row r="303" spans="7:7">
      <c r="G303" s="5" t="str">
        <f t="shared" si="15"/>
        <v/>
      </c>
    </row>
    <row r="304" spans="7:7">
      <c r="G304" s="5" t="str">
        <f t="shared" si="15"/>
        <v/>
      </c>
    </row>
    <row r="305" spans="7:7">
      <c r="G305" s="5" t="str">
        <f t="shared" si="15"/>
        <v/>
      </c>
    </row>
    <row r="306" spans="7:7">
      <c r="G306" s="5" t="str">
        <f t="shared" si="15"/>
        <v/>
      </c>
    </row>
    <row r="307" spans="7:7">
      <c r="G307" s="5" t="str">
        <f t="shared" si="15"/>
        <v/>
      </c>
    </row>
    <row r="308" spans="7:7">
      <c r="G308" s="5" t="str">
        <f t="shared" si="15"/>
        <v/>
      </c>
    </row>
    <row r="309" spans="7:7">
      <c r="G309" s="5" t="str">
        <f t="shared" si="15"/>
        <v/>
      </c>
    </row>
    <row r="310" spans="7:7">
      <c r="G310" s="5" t="str">
        <f t="shared" si="15"/>
        <v/>
      </c>
    </row>
    <row r="311" spans="7:7">
      <c r="G311" s="5" t="str">
        <f t="shared" si="15"/>
        <v/>
      </c>
    </row>
    <row r="312" spans="7:7">
      <c r="G312" s="5" t="str">
        <f t="shared" si="15"/>
        <v/>
      </c>
    </row>
    <row r="313" spans="7:7">
      <c r="G313" s="5" t="str">
        <f t="shared" si="15"/>
        <v/>
      </c>
    </row>
    <row r="314" spans="7:7">
      <c r="G314" s="5" t="str">
        <f t="shared" si="15"/>
        <v/>
      </c>
    </row>
    <row r="315" spans="7:7">
      <c r="G315" s="5" t="str">
        <f t="shared" si="15"/>
        <v/>
      </c>
    </row>
    <row r="316" spans="7:7">
      <c r="G316" s="5" t="str">
        <f t="shared" si="15"/>
        <v/>
      </c>
    </row>
    <row r="317" spans="7:7">
      <c r="G317" s="5" t="str">
        <f t="shared" si="15"/>
        <v/>
      </c>
    </row>
    <row r="318" spans="7:7">
      <c r="G318" s="5" t="str">
        <f t="shared" si="15"/>
        <v/>
      </c>
    </row>
    <row r="319" spans="7:7">
      <c r="G319" s="5" t="str">
        <f t="shared" si="15"/>
        <v/>
      </c>
    </row>
    <row r="320" spans="7:7">
      <c r="G320" s="5" t="str">
        <f t="shared" si="15"/>
        <v/>
      </c>
    </row>
    <row r="321" spans="7:7">
      <c r="G321" s="5" t="str">
        <f t="shared" si="15"/>
        <v/>
      </c>
    </row>
    <row r="322" spans="7:7">
      <c r="G322" s="5" t="str">
        <f t="shared" si="15"/>
        <v/>
      </c>
    </row>
    <row r="323" spans="7:7">
      <c r="G323" s="5" t="str">
        <f t="shared" si="15"/>
        <v/>
      </c>
    </row>
    <row r="324" spans="7:7">
      <c r="G324" s="5" t="str">
        <f t="shared" si="15"/>
        <v/>
      </c>
    </row>
    <row r="325" spans="7:7">
      <c r="G325" s="5" t="str">
        <f t="shared" si="15"/>
        <v/>
      </c>
    </row>
    <row r="326" spans="7:7">
      <c r="G326" s="5" t="str">
        <f t="shared" si="15"/>
        <v/>
      </c>
    </row>
    <row r="327" spans="7:7">
      <c r="G327" s="5" t="str">
        <f t="shared" si="15"/>
        <v/>
      </c>
    </row>
    <row r="328" spans="7:7">
      <c r="G328" s="5" t="str">
        <f t="shared" si="15"/>
        <v/>
      </c>
    </row>
    <row r="329" spans="7:7">
      <c r="G329" s="5" t="str">
        <f t="shared" si="15"/>
        <v/>
      </c>
    </row>
    <row r="330" spans="7:7">
      <c r="G330" s="5" t="str">
        <f t="shared" si="15"/>
        <v/>
      </c>
    </row>
    <row r="331" spans="7:7">
      <c r="G331" s="5" t="str">
        <f t="shared" si="15"/>
        <v/>
      </c>
    </row>
    <row r="332" spans="7:7">
      <c r="G332" s="5" t="str">
        <f t="shared" si="15"/>
        <v/>
      </c>
    </row>
    <row r="333" spans="7:7">
      <c r="G333" s="5" t="str">
        <f t="shared" si="15"/>
        <v/>
      </c>
    </row>
    <row r="334" spans="7:7">
      <c r="G334" s="5" t="str">
        <f t="shared" si="15"/>
        <v/>
      </c>
    </row>
    <row r="335" spans="7:7">
      <c r="G335" s="5" t="str">
        <f t="shared" si="15"/>
        <v/>
      </c>
    </row>
    <row r="336" spans="7:7">
      <c r="G336" s="5" t="str">
        <f t="shared" si="15"/>
        <v/>
      </c>
    </row>
    <row r="337" spans="7:7">
      <c r="G337" s="5" t="str">
        <f t="shared" si="15"/>
        <v/>
      </c>
    </row>
    <row r="338" spans="7:7">
      <c r="G338" s="5" t="str">
        <f t="shared" si="15"/>
        <v/>
      </c>
    </row>
    <row r="339" spans="7:7">
      <c r="G339" s="5" t="str">
        <f t="shared" si="15"/>
        <v/>
      </c>
    </row>
    <row r="340" spans="7:7">
      <c r="G340" s="5" t="str">
        <f t="shared" si="15"/>
        <v/>
      </c>
    </row>
    <row r="341" spans="7:7">
      <c r="G341" s="5" t="str">
        <f t="shared" si="15"/>
        <v/>
      </c>
    </row>
    <row r="342" spans="7:7">
      <c r="G342" s="5" t="str">
        <f t="shared" si="15"/>
        <v/>
      </c>
    </row>
    <row r="343" spans="7:7">
      <c r="G343" s="5" t="str">
        <f t="shared" si="15"/>
        <v/>
      </c>
    </row>
    <row r="344" spans="7:7">
      <c r="G344" s="5" t="str">
        <f t="shared" si="15"/>
        <v/>
      </c>
    </row>
    <row r="345" spans="7:7">
      <c r="G345" s="5" t="str">
        <f t="shared" si="15"/>
        <v/>
      </c>
    </row>
    <row r="346" spans="7:7">
      <c r="G346" s="5" t="str">
        <f t="shared" si="15"/>
        <v/>
      </c>
    </row>
    <row r="347" spans="7:7">
      <c r="G347" s="5" t="str">
        <f t="shared" si="15"/>
        <v/>
      </c>
    </row>
    <row r="348" spans="7:7">
      <c r="G348" s="5" t="str">
        <f t="shared" ref="G348:G411" si="16">IF(B348&lt;&gt;"",SUM(C348:F348),"")</f>
        <v/>
      </c>
    </row>
    <row r="349" spans="7:7">
      <c r="G349" s="5" t="str">
        <f t="shared" si="16"/>
        <v/>
      </c>
    </row>
    <row r="350" spans="7:7">
      <c r="G350" s="5" t="str">
        <f t="shared" si="16"/>
        <v/>
      </c>
    </row>
    <row r="351" spans="7:7">
      <c r="G351" s="5" t="str">
        <f t="shared" si="16"/>
        <v/>
      </c>
    </row>
    <row r="352" spans="7:7">
      <c r="G352" s="5" t="str">
        <f t="shared" si="16"/>
        <v/>
      </c>
    </row>
    <row r="353" spans="7:7">
      <c r="G353" s="5" t="str">
        <f t="shared" si="16"/>
        <v/>
      </c>
    </row>
    <row r="354" spans="7:7">
      <c r="G354" s="5" t="str">
        <f t="shared" si="16"/>
        <v/>
      </c>
    </row>
    <row r="355" spans="7:7">
      <c r="G355" s="5" t="str">
        <f t="shared" si="16"/>
        <v/>
      </c>
    </row>
    <row r="356" spans="7:7">
      <c r="G356" s="5" t="str">
        <f t="shared" si="16"/>
        <v/>
      </c>
    </row>
    <row r="357" spans="7:7">
      <c r="G357" s="5" t="str">
        <f t="shared" si="16"/>
        <v/>
      </c>
    </row>
    <row r="358" spans="7:7">
      <c r="G358" s="5" t="str">
        <f t="shared" si="16"/>
        <v/>
      </c>
    </row>
    <row r="359" spans="7:7">
      <c r="G359" s="5" t="str">
        <f t="shared" si="16"/>
        <v/>
      </c>
    </row>
    <row r="360" spans="7:7">
      <c r="G360" s="5" t="str">
        <f t="shared" si="16"/>
        <v/>
      </c>
    </row>
    <row r="361" spans="7:7">
      <c r="G361" s="5" t="str">
        <f t="shared" si="16"/>
        <v/>
      </c>
    </row>
    <row r="362" spans="7:7">
      <c r="G362" s="5" t="str">
        <f t="shared" si="16"/>
        <v/>
      </c>
    </row>
    <row r="363" spans="7:7">
      <c r="G363" s="5" t="str">
        <f t="shared" si="16"/>
        <v/>
      </c>
    </row>
    <row r="364" spans="7:7">
      <c r="G364" s="5" t="str">
        <f t="shared" si="16"/>
        <v/>
      </c>
    </row>
    <row r="365" spans="7:7">
      <c r="G365" s="5" t="str">
        <f t="shared" si="16"/>
        <v/>
      </c>
    </row>
    <row r="366" spans="7:7">
      <c r="G366" s="5" t="str">
        <f t="shared" si="16"/>
        <v/>
      </c>
    </row>
    <row r="367" spans="7:7">
      <c r="G367" s="5" t="str">
        <f t="shared" si="16"/>
        <v/>
      </c>
    </row>
    <row r="368" spans="7:7">
      <c r="G368" s="5" t="str">
        <f t="shared" si="16"/>
        <v/>
      </c>
    </row>
    <row r="369" spans="7:7">
      <c r="G369" s="5" t="str">
        <f t="shared" si="16"/>
        <v/>
      </c>
    </row>
    <row r="370" spans="7:7">
      <c r="G370" s="5" t="str">
        <f t="shared" si="16"/>
        <v/>
      </c>
    </row>
    <row r="371" spans="7:7">
      <c r="G371" s="5" t="str">
        <f t="shared" si="16"/>
        <v/>
      </c>
    </row>
    <row r="372" spans="7:7">
      <c r="G372" s="5" t="str">
        <f t="shared" si="16"/>
        <v/>
      </c>
    </row>
    <row r="373" spans="7:7">
      <c r="G373" s="5" t="str">
        <f t="shared" si="16"/>
        <v/>
      </c>
    </row>
    <row r="374" spans="7:7">
      <c r="G374" s="5" t="str">
        <f t="shared" si="16"/>
        <v/>
      </c>
    </row>
    <row r="375" spans="7:7">
      <c r="G375" s="5" t="str">
        <f t="shared" si="16"/>
        <v/>
      </c>
    </row>
    <row r="376" spans="7:7">
      <c r="G376" s="5" t="str">
        <f t="shared" si="16"/>
        <v/>
      </c>
    </row>
    <row r="377" spans="7:7">
      <c r="G377" s="5" t="str">
        <f t="shared" si="16"/>
        <v/>
      </c>
    </row>
    <row r="378" spans="7:7">
      <c r="G378" s="5" t="str">
        <f t="shared" si="16"/>
        <v/>
      </c>
    </row>
    <row r="379" spans="7:7">
      <c r="G379" s="5" t="str">
        <f t="shared" si="16"/>
        <v/>
      </c>
    </row>
    <row r="380" spans="7:7">
      <c r="G380" s="5" t="str">
        <f t="shared" si="16"/>
        <v/>
      </c>
    </row>
    <row r="381" spans="7:7">
      <c r="G381" s="5" t="str">
        <f t="shared" si="16"/>
        <v/>
      </c>
    </row>
    <row r="382" spans="7:7">
      <c r="G382" s="5" t="str">
        <f t="shared" si="16"/>
        <v/>
      </c>
    </row>
    <row r="383" spans="7:7">
      <c r="G383" s="5" t="str">
        <f t="shared" si="16"/>
        <v/>
      </c>
    </row>
    <row r="384" spans="7:7">
      <c r="G384" s="5" t="str">
        <f t="shared" si="16"/>
        <v/>
      </c>
    </row>
    <row r="385" spans="7:7">
      <c r="G385" s="5" t="str">
        <f t="shared" si="16"/>
        <v/>
      </c>
    </row>
    <row r="386" spans="7:7">
      <c r="G386" s="5" t="str">
        <f t="shared" si="16"/>
        <v/>
      </c>
    </row>
    <row r="387" spans="7:7">
      <c r="G387" s="5" t="str">
        <f t="shared" si="16"/>
        <v/>
      </c>
    </row>
    <row r="388" spans="7:7">
      <c r="G388" s="5" t="str">
        <f t="shared" si="16"/>
        <v/>
      </c>
    </row>
    <row r="389" spans="7:7">
      <c r="G389" s="5" t="str">
        <f t="shared" si="16"/>
        <v/>
      </c>
    </row>
    <row r="390" spans="7:7">
      <c r="G390" s="5" t="str">
        <f t="shared" si="16"/>
        <v/>
      </c>
    </row>
    <row r="391" spans="7:7">
      <c r="G391" s="5" t="str">
        <f t="shared" si="16"/>
        <v/>
      </c>
    </row>
    <row r="392" spans="7:7">
      <c r="G392" s="5" t="str">
        <f t="shared" si="16"/>
        <v/>
      </c>
    </row>
    <row r="393" spans="7:7">
      <c r="G393" s="5" t="str">
        <f t="shared" si="16"/>
        <v/>
      </c>
    </row>
    <row r="394" spans="7:7">
      <c r="G394" s="5" t="str">
        <f t="shared" si="16"/>
        <v/>
      </c>
    </row>
    <row r="395" spans="7:7">
      <c r="G395" s="5" t="str">
        <f t="shared" si="16"/>
        <v/>
      </c>
    </row>
    <row r="396" spans="7:7">
      <c r="G396" s="5" t="str">
        <f t="shared" si="16"/>
        <v/>
      </c>
    </row>
    <row r="397" spans="7:7">
      <c r="G397" s="5" t="str">
        <f t="shared" si="16"/>
        <v/>
      </c>
    </row>
    <row r="398" spans="7:7">
      <c r="G398" s="5" t="str">
        <f t="shared" si="16"/>
        <v/>
      </c>
    </row>
    <row r="399" spans="7:7">
      <c r="G399" s="5" t="str">
        <f t="shared" si="16"/>
        <v/>
      </c>
    </row>
    <row r="400" spans="7:7">
      <c r="G400" s="5" t="str">
        <f t="shared" si="16"/>
        <v/>
      </c>
    </row>
    <row r="401" spans="7:7">
      <c r="G401" s="5" t="str">
        <f t="shared" si="16"/>
        <v/>
      </c>
    </row>
    <row r="402" spans="7:7">
      <c r="G402" s="5" t="str">
        <f t="shared" si="16"/>
        <v/>
      </c>
    </row>
    <row r="403" spans="7:7">
      <c r="G403" s="5" t="str">
        <f t="shared" si="16"/>
        <v/>
      </c>
    </row>
    <row r="404" spans="7:7">
      <c r="G404" s="5" t="str">
        <f t="shared" si="16"/>
        <v/>
      </c>
    </row>
    <row r="405" spans="7:7">
      <c r="G405" s="5" t="str">
        <f t="shared" si="16"/>
        <v/>
      </c>
    </row>
    <row r="406" spans="7:7">
      <c r="G406" s="5" t="str">
        <f t="shared" si="16"/>
        <v/>
      </c>
    </row>
    <row r="407" spans="7:7">
      <c r="G407" s="5" t="str">
        <f t="shared" si="16"/>
        <v/>
      </c>
    </row>
    <row r="408" spans="7:7">
      <c r="G408" s="5" t="str">
        <f t="shared" si="16"/>
        <v/>
      </c>
    </row>
    <row r="409" spans="7:7">
      <c r="G409" s="5" t="str">
        <f t="shared" si="16"/>
        <v/>
      </c>
    </row>
    <row r="410" spans="7:7">
      <c r="G410" s="5" t="str">
        <f t="shared" si="16"/>
        <v/>
      </c>
    </row>
    <row r="411" spans="7:7">
      <c r="G411" s="5" t="str">
        <f t="shared" si="16"/>
        <v/>
      </c>
    </row>
    <row r="412" spans="7:7">
      <c r="G412" s="5" t="str">
        <f t="shared" ref="G412" si="17">IF(B412&lt;&gt;"",SUM(C412:F412),"")</f>
        <v/>
      </c>
    </row>
  </sheetData>
  <sheetProtection algorithmName="SHA-512" hashValue="Dg+5dlvuHM8V2sOFCVgokJtAUmypOEGOPvSu+0cT2Ma9nxXcZdpIolPVtG3H2ShX/U9gXxct80i2Z5r88SegxA==" saltValue="uwj1cZbdfJtlHRxoY0TrOQ==" spinCount="100000" sheet="1" sort="0" autoFilter="0" pivotTables="0"/>
  <autoFilter ref="H5:H16" xr:uid="{36C73D8A-9F98-43B5-A536-F280F06D4261}"/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9ECC0-9509-4AFF-AA0C-4FD35C26BE66}">
  <sheetPr codeName="Planilha48">
    <tabColor rgb="FFFF0000"/>
    <pageSetUpPr fitToPage="1"/>
  </sheetPr>
  <dimension ref="B1:S402"/>
  <sheetViews>
    <sheetView workbookViewId="0">
      <pane ySplit="5" topLeftCell="A6" activePane="bottomLeft" state="frozen"/>
      <selection pane="bottomLeft" activeCell="G15" sqref="G15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9.5703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908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370" t="s">
        <v>6</v>
      </c>
      <c r="C4" s="43"/>
      <c r="D4" s="43"/>
      <c r="E4" s="43"/>
      <c r="F4" s="44"/>
      <c r="G4" s="45"/>
      <c r="H4" s="371"/>
      <c r="I4" s="371" t="s">
        <v>48</v>
      </c>
      <c r="J4" s="372" t="s">
        <v>9</v>
      </c>
      <c r="K4" s="372" t="s">
        <v>9</v>
      </c>
      <c r="L4" s="377">
        <v>4.7619047619047616E-2</v>
      </c>
      <c r="M4" s="373" t="s">
        <v>15</v>
      </c>
      <c r="N4" s="36"/>
      <c r="O4" s="19"/>
      <c r="P4" s="19"/>
      <c r="Q4" s="19"/>
      <c r="R4" s="19"/>
      <c r="S4" s="19"/>
    </row>
    <row r="5" spans="2:19" ht="16.5" thickBot="1">
      <c r="B5" s="395" t="s">
        <v>5</v>
      </c>
      <c r="C5" s="366" t="s">
        <v>0</v>
      </c>
      <c r="D5" s="366" t="s">
        <v>12</v>
      </c>
      <c r="E5" s="366" t="s">
        <v>2</v>
      </c>
      <c r="F5" s="366" t="s">
        <v>3</v>
      </c>
      <c r="G5" s="367" t="s">
        <v>1</v>
      </c>
      <c r="H5" s="368" t="s">
        <v>4</v>
      </c>
      <c r="I5" s="368" t="s">
        <v>7</v>
      </c>
      <c r="J5" s="369" t="s">
        <v>8</v>
      </c>
      <c r="K5" s="369" t="s">
        <v>10</v>
      </c>
      <c r="L5" s="378" t="s">
        <v>11</v>
      </c>
      <c r="M5" s="389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241" t="s">
        <v>907</v>
      </c>
      <c r="C6" s="38"/>
      <c r="D6" s="38"/>
      <c r="E6" s="38"/>
      <c r="F6" s="39">
        <v>120</v>
      </c>
      <c r="G6" s="40"/>
      <c r="H6" s="23">
        <f>SUM(C6:G6)</f>
        <v>120</v>
      </c>
      <c r="I6" s="374">
        <f t="shared" ref="I6" si="0">L6-(L6*J6)</f>
        <v>7.36</v>
      </c>
      <c r="J6" s="16"/>
      <c r="K6" s="17"/>
      <c r="L6" s="242">
        <v>7.36</v>
      </c>
      <c r="M6" s="181">
        <v>16</v>
      </c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883.2</v>
      </c>
      <c r="R6" s="27">
        <f t="shared" ref="R6" si="5">I6*G6</f>
        <v>0</v>
      </c>
      <c r="S6" s="28">
        <f>SUM(N6:R6)</f>
        <v>883.2</v>
      </c>
    </row>
    <row r="7" spans="2:19">
      <c r="B7" s="58" t="s">
        <v>13</v>
      </c>
      <c r="C7" s="288">
        <v>0</v>
      </c>
      <c r="D7" s="288">
        <v>0</v>
      </c>
      <c r="E7" s="288">
        <v>0</v>
      </c>
      <c r="F7" s="288">
        <v>883.2</v>
      </c>
      <c r="G7" s="288">
        <f t="shared" ref="G7" si="6">R8</f>
        <v>0</v>
      </c>
      <c r="H7" s="288">
        <f t="shared" ref="H7" si="7">S8</f>
        <v>883.2</v>
      </c>
      <c r="N7" s="25"/>
      <c r="O7" s="25"/>
      <c r="P7" s="25"/>
      <c r="Q7" s="26"/>
      <c r="R7" s="27"/>
      <c r="S7" s="28"/>
    </row>
    <row r="8" spans="2:19">
      <c r="B8" s="59" t="s">
        <v>46</v>
      </c>
      <c r="N8" s="29">
        <f t="shared" ref="N8:S8" si="8">SUM(N6:N7)</f>
        <v>0</v>
      </c>
      <c r="O8" s="29">
        <f t="shared" si="8"/>
        <v>0</v>
      </c>
      <c r="P8" s="29">
        <f t="shared" si="8"/>
        <v>0</v>
      </c>
      <c r="Q8" s="29">
        <f t="shared" si="8"/>
        <v>883.2</v>
      </c>
      <c r="R8" s="29">
        <f t="shared" si="8"/>
        <v>0</v>
      </c>
      <c r="S8" s="29">
        <f t="shared" si="8"/>
        <v>883.2</v>
      </c>
    </row>
    <row r="9" spans="2:19" ht="16.5" thickBot="1">
      <c r="B9" s="2"/>
    </row>
    <row r="10" spans="2:19">
      <c r="B10" s="60" t="s">
        <v>47</v>
      </c>
    </row>
    <row r="11" spans="2:19">
      <c r="B11" s="61" t="s">
        <v>903</v>
      </c>
    </row>
    <row r="12" spans="2:19">
      <c r="B12" s="61" t="s">
        <v>904</v>
      </c>
    </row>
    <row r="13" spans="2:19" ht="16.5" thickBot="1">
      <c r="B13" s="62" t="s">
        <v>905</v>
      </c>
    </row>
    <row r="14" spans="2:19">
      <c r="B14" s="2"/>
    </row>
    <row r="15" spans="2:19">
      <c r="B15" s="30" t="s">
        <v>20</v>
      </c>
    </row>
    <row r="16" spans="2:19">
      <c r="B16" s="35"/>
    </row>
    <row r="17" spans="2:7">
      <c r="B17" s="35"/>
    </row>
    <row r="18" spans="2:7">
      <c r="G18" s="5" t="str">
        <f t="shared" ref="G18:G81" si="9">IF(B18&lt;&gt;"",SUM(C18:F18),"")</f>
        <v/>
      </c>
    </row>
    <row r="19" spans="2:7">
      <c r="G19" s="5" t="str">
        <f t="shared" si="9"/>
        <v/>
      </c>
    </row>
    <row r="20" spans="2:7">
      <c r="G20" s="5" t="str">
        <f t="shared" si="9"/>
        <v/>
      </c>
    </row>
    <row r="21" spans="2:7">
      <c r="G21" s="5" t="str">
        <f t="shared" si="9"/>
        <v/>
      </c>
    </row>
    <row r="22" spans="2:7">
      <c r="G22" s="5" t="str">
        <f t="shared" si="9"/>
        <v/>
      </c>
    </row>
    <row r="23" spans="2:7">
      <c r="G23" s="5" t="str">
        <f t="shared" si="9"/>
        <v/>
      </c>
    </row>
    <row r="24" spans="2:7">
      <c r="G24" s="5" t="str">
        <f t="shared" si="9"/>
        <v/>
      </c>
    </row>
    <row r="25" spans="2:7">
      <c r="G25" s="5" t="str">
        <f t="shared" si="9"/>
        <v/>
      </c>
    </row>
    <row r="26" spans="2:7">
      <c r="G26" s="5" t="str">
        <f t="shared" si="9"/>
        <v/>
      </c>
    </row>
    <row r="27" spans="2:7">
      <c r="G27" s="5" t="str">
        <f t="shared" si="9"/>
        <v/>
      </c>
    </row>
    <row r="28" spans="2:7">
      <c r="G28" s="5" t="str">
        <f t="shared" si="9"/>
        <v/>
      </c>
    </row>
    <row r="29" spans="2:7">
      <c r="G29" s="5" t="str">
        <f t="shared" si="9"/>
        <v/>
      </c>
    </row>
    <row r="30" spans="2:7">
      <c r="G30" s="5" t="str">
        <f t="shared" si="9"/>
        <v/>
      </c>
    </row>
    <row r="31" spans="2:7">
      <c r="G31" s="5" t="str">
        <f t="shared" si="9"/>
        <v/>
      </c>
    </row>
    <row r="32" spans="2:7">
      <c r="G32" s="5" t="str">
        <f t="shared" si="9"/>
        <v/>
      </c>
    </row>
    <row r="33" spans="7:7">
      <c r="G33" s="5" t="str">
        <f t="shared" si="9"/>
        <v/>
      </c>
    </row>
    <row r="34" spans="7:7">
      <c r="G34" s="5" t="str">
        <f t="shared" si="9"/>
        <v/>
      </c>
    </row>
    <row r="35" spans="7:7">
      <c r="G35" s="5" t="str">
        <f t="shared" si="9"/>
        <v/>
      </c>
    </row>
    <row r="36" spans="7:7">
      <c r="G36" s="5" t="str">
        <f t="shared" si="9"/>
        <v/>
      </c>
    </row>
    <row r="37" spans="7:7">
      <c r="G37" s="5" t="str">
        <f t="shared" si="9"/>
        <v/>
      </c>
    </row>
    <row r="38" spans="7:7">
      <c r="G38" s="5" t="str">
        <f t="shared" si="9"/>
        <v/>
      </c>
    </row>
    <row r="39" spans="7:7">
      <c r="G39" s="5" t="str">
        <f t="shared" si="9"/>
        <v/>
      </c>
    </row>
    <row r="40" spans="7:7">
      <c r="G40" s="5" t="str">
        <f t="shared" si="9"/>
        <v/>
      </c>
    </row>
    <row r="41" spans="7:7">
      <c r="G41" s="5" t="str">
        <f t="shared" si="9"/>
        <v/>
      </c>
    </row>
    <row r="42" spans="7:7">
      <c r="G42" s="5" t="str">
        <f t="shared" si="9"/>
        <v/>
      </c>
    </row>
    <row r="43" spans="7:7">
      <c r="G43" s="5" t="str">
        <f t="shared" si="9"/>
        <v/>
      </c>
    </row>
    <row r="44" spans="7:7">
      <c r="G44" s="5" t="str">
        <f t="shared" si="9"/>
        <v/>
      </c>
    </row>
    <row r="45" spans="7:7">
      <c r="G45" s="5" t="str">
        <f t="shared" si="9"/>
        <v/>
      </c>
    </row>
    <row r="46" spans="7:7">
      <c r="G46" s="5" t="str">
        <f t="shared" si="9"/>
        <v/>
      </c>
    </row>
    <row r="47" spans="7:7">
      <c r="G47" s="5" t="str">
        <f t="shared" si="9"/>
        <v/>
      </c>
    </row>
    <row r="48" spans="7:7">
      <c r="G48" s="5" t="str">
        <f t="shared" si="9"/>
        <v/>
      </c>
    </row>
    <row r="49" spans="7:7">
      <c r="G49" s="5" t="str">
        <f t="shared" si="9"/>
        <v/>
      </c>
    </row>
    <row r="50" spans="7:7">
      <c r="G50" s="5" t="str">
        <f t="shared" si="9"/>
        <v/>
      </c>
    </row>
    <row r="51" spans="7:7">
      <c r="G51" s="5" t="str">
        <f t="shared" si="9"/>
        <v/>
      </c>
    </row>
    <row r="52" spans="7:7">
      <c r="G52" s="5" t="str">
        <f t="shared" si="9"/>
        <v/>
      </c>
    </row>
    <row r="53" spans="7:7">
      <c r="G53" s="5" t="str">
        <f t="shared" si="9"/>
        <v/>
      </c>
    </row>
    <row r="54" spans="7:7">
      <c r="G54" s="5" t="str">
        <f t="shared" si="9"/>
        <v/>
      </c>
    </row>
    <row r="55" spans="7:7">
      <c r="G55" s="5" t="str">
        <f t="shared" si="9"/>
        <v/>
      </c>
    </row>
    <row r="56" spans="7:7">
      <c r="G56" s="5" t="str">
        <f t="shared" si="9"/>
        <v/>
      </c>
    </row>
    <row r="57" spans="7:7">
      <c r="G57" s="5" t="str">
        <f t="shared" si="9"/>
        <v/>
      </c>
    </row>
    <row r="58" spans="7:7">
      <c r="G58" s="5" t="str">
        <f t="shared" si="9"/>
        <v/>
      </c>
    </row>
    <row r="59" spans="7:7">
      <c r="G59" s="5" t="str">
        <f t="shared" si="9"/>
        <v/>
      </c>
    </row>
    <row r="60" spans="7:7">
      <c r="G60" s="5" t="str">
        <f t="shared" si="9"/>
        <v/>
      </c>
    </row>
    <row r="61" spans="7:7">
      <c r="G61" s="5" t="str">
        <f t="shared" si="9"/>
        <v/>
      </c>
    </row>
    <row r="62" spans="7:7">
      <c r="G62" s="5" t="str">
        <f t="shared" si="9"/>
        <v/>
      </c>
    </row>
    <row r="63" spans="7:7">
      <c r="G63" s="5" t="str">
        <f t="shared" si="9"/>
        <v/>
      </c>
    </row>
    <row r="64" spans="7:7">
      <c r="G64" s="5" t="str">
        <f t="shared" si="9"/>
        <v/>
      </c>
    </row>
    <row r="65" spans="7:7">
      <c r="G65" s="5" t="str">
        <f t="shared" si="9"/>
        <v/>
      </c>
    </row>
    <row r="66" spans="7:7">
      <c r="G66" s="5" t="str">
        <f t="shared" si="9"/>
        <v/>
      </c>
    </row>
    <row r="67" spans="7:7">
      <c r="G67" s="5" t="str">
        <f t="shared" si="9"/>
        <v/>
      </c>
    </row>
    <row r="68" spans="7:7">
      <c r="G68" s="5" t="str">
        <f t="shared" si="9"/>
        <v/>
      </c>
    </row>
    <row r="69" spans="7:7">
      <c r="G69" s="5" t="str">
        <f t="shared" si="9"/>
        <v/>
      </c>
    </row>
    <row r="70" spans="7:7">
      <c r="G70" s="5" t="str">
        <f t="shared" si="9"/>
        <v/>
      </c>
    </row>
    <row r="71" spans="7:7">
      <c r="G71" s="5" t="str">
        <f t="shared" si="9"/>
        <v/>
      </c>
    </row>
    <row r="72" spans="7:7">
      <c r="G72" s="5" t="str">
        <f t="shared" si="9"/>
        <v/>
      </c>
    </row>
    <row r="73" spans="7:7">
      <c r="G73" s="5" t="str">
        <f t="shared" si="9"/>
        <v/>
      </c>
    </row>
    <row r="74" spans="7:7">
      <c r="G74" s="5" t="str">
        <f t="shared" si="9"/>
        <v/>
      </c>
    </row>
    <row r="75" spans="7:7">
      <c r="G75" s="5" t="str">
        <f t="shared" si="9"/>
        <v/>
      </c>
    </row>
    <row r="76" spans="7:7">
      <c r="G76" s="5" t="str">
        <f t="shared" si="9"/>
        <v/>
      </c>
    </row>
    <row r="77" spans="7:7">
      <c r="G77" s="5" t="str">
        <f t="shared" si="9"/>
        <v/>
      </c>
    </row>
    <row r="78" spans="7:7">
      <c r="G78" s="5" t="str">
        <f t="shared" si="9"/>
        <v/>
      </c>
    </row>
    <row r="79" spans="7:7">
      <c r="G79" s="5" t="str">
        <f t="shared" si="9"/>
        <v/>
      </c>
    </row>
    <row r="80" spans="7:7">
      <c r="G80" s="5" t="str">
        <f t="shared" si="9"/>
        <v/>
      </c>
    </row>
    <row r="81" spans="7:7">
      <c r="G81" s="5" t="str">
        <f t="shared" si="9"/>
        <v/>
      </c>
    </row>
    <row r="82" spans="7:7">
      <c r="G82" s="5" t="str">
        <f t="shared" ref="G82:G145" si="10">IF(B82&lt;&gt;"",SUM(C82:F82),"")</f>
        <v/>
      </c>
    </row>
    <row r="83" spans="7:7">
      <c r="G83" s="5" t="str">
        <f t="shared" si="10"/>
        <v/>
      </c>
    </row>
    <row r="84" spans="7:7">
      <c r="G84" s="5" t="str">
        <f t="shared" si="10"/>
        <v/>
      </c>
    </row>
    <row r="85" spans="7:7">
      <c r="G85" s="5" t="str">
        <f t="shared" si="10"/>
        <v/>
      </c>
    </row>
    <row r="86" spans="7:7">
      <c r="G86" s="5" t="str">
        <f t="shared" si="10"/>
        <v/>
      </c>
    </row>
    <row r="87" spans="7:7">
      <c r="G87" s="5" t="str">
        <f t="shared" si="10"/>
        <v/>
      </c>
    </row>
    <row r="88" spans="7:7">
      <c r="G88" s="5" t="str">
        <f t="shared" si="10"/>
        <v/>
      </c>
    </row>
    <row r="89" spans="7:7">
      <c r="G89" s="5" t="str">
        <f t="shared" si="10"/>
        <v/>
      </c>
    </row>
    <row r="90" spans="7:7">
      <c r="G90" s="5" t="str">
        <f t="shared" si="10"/>
        <v/>
      </c>
    </row>
    <row r="91" spans="7:7">
      <c r="G91" s="5" t="str">
        <f t="shared" si="10"/>
        <v/>
      </c>
    </row>
    <row r="92" spans="7:7">
      <c r="G92" s="5" t="str">
        <f t="shared" si="10"/>
        <v/>
      </c>
    </row>
    <row r="93" spans="7:7">
      <c r="G93" s="5" t="str">
        <f t="shared" si="10"/>
        <v/>
      </c>
    </row>
    <row r="94" spans="7:7">
      <c r="G94" s="5" t="str">
        <f t="shared" si="10"/>
        <v/>
      </c>
    </row>
    <row r="95" spans="7:7">
      <c r="G95" s="5" t="str">
        <f t="shared" si="10"/>
        <v/>
      </c>
    </row>
    <row r="96" spans="7:7">
      <c r="G96" s="5" t="str">
        <f t="shared" si="10"/>
        <v/>
      </c>
    </row>
    <row r="97" spans="7:7">
      <c r="G97" s="5" t="str">
        <f t="shared" si="10"/>
        <v/>
      </c>
    </row>
    <row r="98" spans="7:7">
      <c r="G98" s="5" t="str">
        <f t="shared" si="10"/>
        <v/>
      </c>
    </row>
    <row r="99" spans="7:7">
      <c r="G99" s="5" t="str">
        <f t="shared" si="10"/>
        <v/>
      </c>
    </row>
    <row r="100" spans="7:7">
      <c r="G100" s="5" t="str">
        <f t="shared" si="10"/>
        <v/>
      </c>
    </row>
    <row r="101" spans="7:7">
      <c r="G101" s="5" t="str">
        <f t="shared" si="10"/>
        <v/>
      </c>
    </row>
    <row r="102" spans="7:7">
      <c r="G102" s="5" t="str">
        <f t="shared" si="10"/>
        <v/>
      </c>
    </row>
    <row r="103" spans="7:7">
      <c r="G103" s="5" t="str">
        <f t="shared" si="10"/>
        <v/>
      </c>
    </row>
    <row r="104" spans="7:7">
      <c r="G104" s="5" t="str">
        <f t="shared" si="10"/>
        <v/>
      </c>
    </row>
    <row r="105" spans="7:7">
      <c r="G105" s="5" t="str">
        <f t="shared" si="10"/>
        <v/>
      </c>
    </row>
    <row r="106" spans="7:7">
      <c r="G106" s="5" t="str">
        <f t="shared" si="10"/>
        <v/>
      </c>
    </row>
    <row r="107" spans="7:7">
      <c r="G107" s="5" t="str">
        <f t="shared" si="10"/>
        <v/>
      </c>
    </row>
    <row r="108" spans="7:7">
      <c r="G108" s="5" t="str">
        <f t="shared" si="10"/>
        <v/>
      </c>
    </row>
    <row r="109" spans="7:7">
      <c r="G109" s="5" t="str">
        <f t="shared" si="10"/>
        <v/>
      </c>
    </row>
    <row r="110" spans="7:7">
      <c r="G110" s="5" t="str">
        <f t="shared" si="10"/>
        <v/>
      </c>
    </row>
    <row r="111" spans="7:7">
      <c r="G111" s="5" t="str">
        <f t="shared" si="10"/>
        <v/>
      </c>
    </row>
    <row r="112" spans="7:7">
      <c r="G112" s="5" t="str">
        <f t="shared" si="10"/>
        <v/>
      </c>
    </row>
    <row r="113" spans="7:7">
      <c r="G113" s="5" t="str">
        <f t="shared" si="10"/>
        <v/>
      </c>
    </row>
    <row r="114" spans="7:7">
      <c r="G114" s="5" t="str">
        <f t="shared" si="10"/>
        <v/>
      </c>
    </row>
    <row r="115" spans="7:7">
      <c r="G115" s="5" t="str">
        <f t="shared" si="10"/>
        <v/>
      </c>
    </row>
    <row r="116" spans="7:7">
      <c r="G116" s="5" t="str">
        <f t="shared" si="10"/>
        <v/>
      </c>
    </row>
    <row r="117" spans="7:7">
      <c r="G117" s="5" t="str">
        <f t="shared" si="10"/>
        <v/>
      </c>
    </row>
    <row r="118" spans="7:7">
      <c r="G118" s="5" t="str">
        <f t="shared" si="10"/>
        <v/>
      </c>
    </row>
    <row r="119" spans="7:7">
      <c r="G119" s="5" t="str">
        <f t="shared" si="10"/>
        <v/>
      </c>
    </row>
    <row r="120" spans="7:7">
      <c r="G120" s="5" t="str">
        <f t="shared" si="10"/>
        <v/>
      </c>
    </row>
    <row r="121" spans="7:7">
      <c r="G121" s="5" t="str">
        <f t="shared" si="10"/>
        <v/>
      </c>
    </row>
    <row r="122" spans="7:7">
      <c r="G122" s="5" t="str">
        <f t="shared" si="10"/>
        <v/>
      </c>
    </row>
    <row r="123" spans="7:7">
      <c r="G123" s="5" t="str">
        <f t="shared" si="10"/>
        <v/>
      </c>
    </row>
    <row r="124" spans="7:7">
      <c r="G124" s="5" t="str">
        <f t="shared" si="10"/>
        <v/>
      </c>
    </row>
    <row r="125" spans="7:7">
      <c r="G125" s="5" t="str">
        <f t="shared" si="10"/>
        <v/>
      </c>
    </row>
    <row r="126" spans="7:7">
      <c r="G126" s="5" t="str">
        <f t="shared" si="10"/>
        <v/>
      </c>
    </row>
    <row r="127" spans="7:7">
      <c r="G127" s="5" t="str">
        <f t="shared" si="10"/>
        <v/>
      </c>
    </row>
    <row r="128" spans="7:7">
      <c r="G128" s="5" t="str">
        <f t="shared" si="10"/>
        <v/>
      </c>
    </row>
    <row r="129" spans="7:7">
      <c r="G129" s="5" t="str">
        <f t="shared" si="10"/>
        <v/>
      </c>
    </row>
    <row r="130" spans="7:7">
      <c r="G130" s="5" t="str">
        <f t="shared" si="10"/>
        <v/>
      </c>
    </row>
    <row r="131" spans="7:7">
      <c r="G131" s="5" t="str">
        <f t="shared" si="10"/>
        <v/>
      </c>
    </row>
    <row r="132" spans="7:7">
      <c r="G132" s="5" t="str">
        <f t="shared" si="10"/>
        <v/>
      </c>
    </row>
    <row r="133" spans="7:7">
      <c r="G133" s="5" t="str">
        <f t="shared" si="10"/>
        <v/>
      </c>
    </row>
    <row r="134" spans="7:7">
      <c r="G134" s="5" t="str">
        <f t="shared" si="10"/>
        <v/>
      </c>
    </row>
    <row r="135" spans="7:7">
      <c r="G135" s="5" t="str">
        <f t="shared" si="10"/>
        <v/>
      </c>
    </row>
    <row r="136" spans="7:7">
      <c r="G136" s="5" t="str">
        <f t="shared" si="10"/>
        <v/>
      </c>
    </row>
    <row r="137" spans="7:7">
      <c r="G137" s="5" t="str">
        <f t="shared" si="10"/>
        <v/>
      </c>
    </row>
    <row r="138" spans="7:7">
      <c r="G138" s="5" t="str">
        <f t="shared" si="10"/>
        <v/>
      </c>
    </row>
    <row r="139" spans="7:7">
      <c r="G139" s="5" t="str">
        <f t="shared" si="10"/>
        <v/>
      </c>
    </row>
    <row r="140" spans="7:7">
      <c r="G140" s="5" t="str">
        <f t="shared" si="10"/>
        <v/>
      </c>
    </row>
    <row r="141" spans="7:7">
      <c r="G141" s="5" t="str">
        <f t="shared" si="10"/>
        <v/>
      </c>
    </row>
    <row r="142" spans="7:7">
      <c r="G142" s="5" t="str">
        <f t="shared" si="10"/>
        <v/>
      </c>
    </row>
    <row r="143" spans="7:7">
      <c r="G143" s="5" t="str">
        <f t="shared" si="10"/>
        <v/>
      </c>
    </row>
    <row r="144" spans="7:7">
      <c r="G144" s="5" t="str">
        <f t="shared" si="10"/>
        <v/>
      </c>
    </row>
    <row r="145" spans="7:7">
      <c r="G145" s="5" t="str">
        <f t="shared" si="10"/>
        <v/>
      </c>
    </row>
    <row r="146" spans="7:7">
      <c r="G146" s="5" t="str">
        <f t="shared" ref="G146:G209" si="11">IF(B146&lt;&gt;"",SUM(C146:F146),"")</f>
        <v/>
      </c>
    </row>
    <row r="147" spans="7:7">
      <c r="G147" s="5" t="str">
        <f t="shared" si="11"/>
        <v/>
      </c>
    </row>
    <row r="148" spans="7:7">
      <c r="G148" s="5" t="str">
        <f t="shared" si="11"/>
        <v/>
      </c>
    </row>
    <row r="149" spans="7:7">
      <c r="G149" s="5" t="str">
        <f t="shared" si="11"/>
        <v/>
      </c>
    </row>
    <row r="150" spans="7:7">
      <c r="G150" s="5" t="str">
        <f t="shared" si="11"/>
        <v/>
      </c>
    </row>
    <row r="151" spans="7:7">
      <c r="G151" s="5" t="str">
        <f t="shared" si="11"/>
        <v/>
      </c>
    </row>
    <row r="152" spans="7:7">
      <c r="G152" s="5" t="str">
        <f t="shared" si="11"/>
        <v/>
      </c>
    </row>
    <row r="153" spans="7:7">
      <c r="G153" s="5" t="str">
        <f t="shared" si="11"/>
        <v/>
      </c>
    </row>
    <row r="154" spans="7:7">
      <c r="G154" s="5" t="str">
        <f t="shared" si="11"/>
        <v/>
      </c>
    </row>
    <row r="155" spans="7:7">
      <c r="G155" s="5" t="str">
        <f t="shared" si="11"/>
        <v/>
      </c>
    </row>
    <row r="156" spans="7:7">
      <c r="G156" s="5" t="str">
        <f t="shared" si="11"/>
        <v/>
      </c>
    </row>
    <row r="157" spans="7:7">
      <c r="G157" s="5" t="str">
        <f t="shared" si="11"/>
        <v/>
      </c>
    </row>
    <row r="158" spans="7:7">
      <c r="G158" s="5" t="str">
        <f t="shared" si="11"/>
        <v/>
      </c>
    </row>
    <row r="159" spans="7:7">
      <c r="G159" s="5" t="str">
        <f t="shared" si="11"/>
        <v/>
      </c>
    </row>
    <row r="160" spans="7:7">
      <c r="G160" s="5" t="str">
        <f t="shared" si="11"/>
        <v/>
      </c>
    </row>
    <row r="161" spans="7:7">
      <c r="G161" s="5" t="str">
        <f t="shared" si="11"/>
        <v/>
      </c>
    </row>
    <row r="162" spans="7:7">
      <c r="G162" s="5" t="str">
        <f t="shared" si="11"/>
        <v/>
      </c>
    </row>
    <row r="163" spans="7:7">
      <c r="G163" s="5" t="str">
        <f t="shared" si="11"/>
        <v/>
      </c>
    </row>
    <row r="164" spans="7:7">
      <c r="G164" s="5" t="str">
        <f t="shared" si="11"/>
        <v/>
      </c>
    </row>
    <row r="165" spans="7:7">
      <c r="G165" s="5" t="str">
        <f t="shared" si="11"/>
        <v/>
      </c>
    </row>
    <row r="166" spans="7:7">
      <c r="G166" s="5" t="str">
        <f t="shared" si="11"/>
        <v/>
      </c>
    </row>
    <row r="167" spans="7:7">
      <c r="G167" s="5" t="str">
        <f t="shared" si="11"/>
        <v/>
      </c>
    </row>
    <row r="168" spans="7:7">
      <c r="G168" s="5" t="str">
        <f t="shared" si="11"/>
        <v/>
      </c>
    </row>
    <row r="169" spans="7:7">
      <c r="G169" s="5" t="str">
        <f t="shared" si="11"/>
        <v/>
      </c>
    </row>
    <row r="170" spans="7:7">
      <c r="G170" s="5" t="str">
        <f t="shared" si="11"/>
        <v/>
      </c>
    </row>
    <row r="171" spans="7:7">
      <c r="G171" s="5" t="str">
        <f t="shared" si="11"/>
        <v/>
      </c>
    </row>
    <row r="172" spans="7:7">
      <c r="G172" s="5" t="str">
        <f t="shared" si="11"/>
        <v/>
      </c>
    </row>
    <row r="173" spans="7:7">
      <c r="G173" s="5" t="str">
        <f t="shared" si="11"/>
        <v/>
      </c>
    </row>
    <row r="174" spans="7:7">
      <c r="G174" s="5" t="str">
        <f t="shared" si="11"/>
        <v/>
      </c>
    </row>
    <row r="175" spans="7:7">
      <c r="G175" s="5" t="str">
        <f t="shared" si="11"/>
        <v/>
      </c>
    </row>
    <row r="176" spans="7:7">
      <c r="G176" s="5" t="str">
        <f t="shared" si="11"/>
        <v/>
      </c>
    </row>
    <row r="177" spans="7:7">
      <c r="G177" s="5" t="str">
        <f t="shared" si="11"/>
        <v/>
      </c>
    </row>
    <row r="178" spans="7:7">
      <c r="G178" s="5" t="str">
        <f t="shared" si="11"/>
        <v/>
      </c>
    </row>
    <row r="179" spans="7:7">
      <c r="G179" s="5" t="str">
        <f t="shared" si="11"/>
        <v/>
      </c>
    </row>
    <row r="180" spans="7:7">
      <c r="G180" s="5" t="str">
        <f t="shared" si="11"/>
        <v/>
      </c>
    </row>
    <row r="181" spans="7:7">
      <c r="G181" s="5" t="str">
        <f t="shared" si="11"/>
        <v/>
      </c>
    </row>
    <row r="182" spans="7:7">
      <c r="G182" s="5" t="str">
        <f t="shared" si="11"/>
        <v/>
      </c>
    </row>
    <row r="183" spans="7:7">
      <c r="G183" s="5" t="str">
        <f t="shared" si="11"/>
        <v/>
      </c>
    </row>
    <row r="184" spans="7:7">
      <c r="G184" s="5" t="str">
        <f t="shared" si="11"/>
        <v/>
      </c>
    </row>
    <row r="185" spans="7:7">
      <c r="G185" s="5" t="str">
        <f t="shared" si="11"/>
        <v/>
      </c>
    </row>
    <row r="186" spans="7:7">
      <c r="G186" s="5" t="str">
        <f t="shared" si="11"/>
        <v/>
      </c>
    </row>
    <row r="187" spans="7:7">
      <c r="G187" s="5" t="str">
        <f t="shared" si="11"/>
        <v/>
      </c>
    </row>
    <row r="188" spans="7:7">
      <c r="G188" s="5" t="str">
        <f t="shared" si="11"/>
        <v/>
      </c>
    </row>
    <row r="189" spans="7:7">
      <c r="G189" s="5" t="str">
        <f t="shared" si="11"/>
        <v/>
      </c>
    </row>
    <row r="190" spans="7:7">
      <c r="G190" s="5" t="str">
        <f t="shared" si="11"/>
        <v/>
      </c>
    </row>
    <row r="191" spans="7:7">
      <c r="G191" s="5" t="str">
        <f t="shared" si="11"/>
        <v/>
      </c>
    </row>
    <row r="192" spans="7:7">
      <c r="G192" s="5" t="str">
        <f t="shared" si="11"/>
        <v/>
      </c>
    </row>
    <row r="193" spans="7:7">
      <c r="G193" s="5" t="str">
        <f t="shared" si="11"/>
        <v/>
      </c>
    </row>
    <row r="194" spans="7:7">
      <c r="G194" s="5" t="str">
        <f t="shared" si="11"/>
        <v/>
      </c>
    </row>
    <row r="195" spans="7:7">
      <c r="G195" s="5" t="str">
        <f t="shared" si="11"/>
        <v/>
      </c>
    </row>
    <row r="196" spans="7:7">
      <c r="G196" s="5" t="str">
        <f t="shared" si="11"/>
        <v/>
      </c>
    </row>
    <row r="197" spans="7:7">
      <c r="G197" s="5" t="str">
        <f t="shared" si="11"/>
        <v/>
      </c>
    </row>
    <row r="198" spans="7:7">
      <c r="G198" s="5" t="str">
        <f t="shared" si="11"/>
        <v/>
      </c>
    </row>
    <row r="199" spans="7:7">
      <c r="G199" s="5" t="str">
        <f t="shared" si="11"/>
        <v/>
      </c>
    </row>
    <row r="200" spans="7:7">
      <c r="G200" s="5" t="str">
        <f t="shared" si="11"/>
        <v/>
      </c>
    </row>
    <row r="201" spans="7:7">
      <c r="G201" s="5" t="str">
        <f t="shared" si="11"/>
        <v/>
      </c>
    </row>
    <row r="202" spans="7:7">
      <c r="G202" s="5" t="str">
        <f t="shared" si="11"/>
        <v/>
      </c>
    </row>
    <row r="203" spans="7:7">
      <c r="G203" s="5" t="str">
        <f t="shared" si="11"/>
        <v/>
      </c>
    </row>
    <row r="204" spans="7:7">
      <c r="G204" s="5" t="str">
        <f t="shared" si="11"/>
        <v/>
      </c>
    </row>
    <row r="205" spans="7:7">
      <c r="G205" s="5" t="str">
        <f t="shared" si="11"/>
        <v/>
      </c>
    </row>
    <row r="206" spans="7:7">
      <c r="G206" s="5" t="str">
        <f t="shared" si="11"/>
        <v/>
      </c>
    </row>
    <row r="207" spans="7:7">
      <c r="G207" s="5" t="str">
        <f t="shared" si="11"/>
        <v/>
      </c>
    </row>
    <row r="208" spans="7:7">
      <c r="G208" s="5" t="str">
        <f t="shared" si="11"/>
        <v/>
      </c>
    </row>
    <row r="209" spans="7:7">
      <c r="G209" s="5" t="str">
        <f t="shared" si="11"/>
        <v/>
      </c>
    </row>
    <row r="210" spans="7:7">
      <c r="G210" s="5" t="str">
        <f t="shared" ref="G210:G273" si="12">IF(B210&lt;&gt;"",SUM(C210:F210),"")</f>
        <v/>
      </c>
    </row>
    <row r="211" spans="7:7">
      <c r="G211" s="5" t="str">
        <f t="shared" si="12"/>
        <v/>
      </c>
    </row>
    <row r="212" spans="7:7">
      <c r="G212" s="5" t="str">
        <f t="shared" si="12"/>
        <v/>
      </c>
    </row>
    <row r="213" spans="7:7">
      <c r="G213" s="5" t="str">
        <f t="shared" si="12"/>
        <v/>
      </c>
    </row>
    <row r="214" spans="7:7">
      <c r="G214" s="5" t="str">
        <f t="shared" si="12"/>
        <v/>
      </c>
    </row>
    <row r="215" spans="7:7">
      <c r="G215" s="5" t="str">
        <f t="shared" si="12"/>
        <v/>
      </c>
    </row>
    <row r="216" spans="7:7">
      <c r="G216" s="5" t="str">
        <f t="shared" si="12"/>
        <v/>
      </c>
    </row>
    <row r="217" spans="7:7">
      <c r="G217" s="5" t="str">
        <f t="shared" si="12"/>
        <v/>
      </c>
    </row>
    <row r="218" spans="7:7">
      <c r="G218" s="5" t="str">
        <f t="shared" si="12"/>
        <v/>
      </c>
    </row>
    <row r="219" spans="7:7">
      <c r="G219" s="5" t="str">
        <f t="shared" si="12"/>
        <v/>
      </c>
    </row>
    <row r="220" spans="7:7">
      <c r="G220" s="5" t="str">
        <f t="shared" si="12"/>
        <v/>
      </c>
    </row>
    <row r="221" spans="7:7">
      <c r="G221" s="5" t="str">
        <f t="shared" si="12"/>
        <v/>
      </c>
    </row>
    <row r="222" spans="7:7">
      <c r="G222" s="5" t="str">
        <f t="shared" si="12"/>
        <v/>
      </c>
    </row>
    <row r="223" spans="7:7">
      <c r="G223" s="5" t="str">
        <f t="shared" si="12"/>
        <v/>
      </c>
    </row>
    <row r="224" spans="7:7">
      <c r="G224" s="5" t="str">
        <f t="shared" si="12"/>
        <v/>
      </c>
    </row>
    <row r="225" spans="7:7">
      <c r="G225" s="5" t="str">
        <f t="shared" si="12"/>
        <v/>
      </c>
    </row>
    <row r="226" spans="7:7">
      <c r="G226" s="5" t="str">
        <f t="shared" si="12"/>
        <v/>
      </c>
    </row>
    <row r="227" spans="7:7">
      <c r="G227" s="5" t="str">
        <f t="shared" si="12"/>
        <v/>
      </c>
    </row>
    <row r="228" spans="7:7">
      <c r="G228" s="5" t="str">
        <f t="shared" si="12"/>
        <v/>
      </c>
    </row>
    <row r="229" spans="7:7">
      <c r="G229" s="5" t="str">
        <f t="shared" si="12"/>
        <v/>
      </c>
    </row>
    <row r="230" spans="7:7">
      <c r="G230" s="5" t="str">
        <f t="shared" si="12"/>
        <v/>
      </c>
    </row>
    <row r="231" spans="7:7">
      <c r="G231" s="5" t="str">
        <f t="shared" si="12"/>
        <v/>
      </c>
    </row>
    <row r="232" spans="7:7">
      <c r="G232" s="5" t="str">
        <f t="shared" si="12"/>
        <v/>
      </c>
    </row>
    <row r="233" spans="7:7">
      <c r="G233" s="5" t="str">
        <f t="shared" si="12"/>
        <v/>
      </c>
    </row>
    <row r="234" spans="7:7">
      <c r="G234" s="5" t="str">
        <f t="shared" si="12"/>
        <v/>
      </c>
    </row>
    <row r="235" spans="7:7">
      <c r="G235" s="5" t="str">
        <f t="shared" si="12"/>
        <v/>
      </c>
    </row>
    <row r="236" spans="7:7">
      <c r="G236" s="5" t="str">
        <f t="shared" si="12"/>
        <v/>
      </c>
    </row>
    <row r="237" spans="7:7">
      <c r="G237" s="5" t="str">
        <f t="shared" si="12"/>
        <v/>
      </c>
    </row>
    <row r="238" spans="7:7">
      <c r="G238" s="5" t="str">
        <f t="shared" si="12"/>
        <v/>
      </c>
    </row>
    <row r="239" spans="7:7">
      <c r="G239" s="5" t="str">
        <f t="shared" si="12"/>
        <v/>
      </c>
    </row>
    <row r="240" spans="7:7">
      <c r="G240" s="5" t="str">
        <f t="shared" si="12"/>
        <v/>
      </c>
    </row>
    <row r="241" spans="7:7">
      <c r="G241" s="5" t="str">
        <f t="shared" si="12"/>
        <v/>
      </c>
    </row>
    <row r="242" spans="7:7">
      <c r="G242" s="5" t="str">
        <f t="shared" si="12"/>
        <v/>
      </c>
    </row>
    <row r="243" spans="7:7">
      <c r="G243" s="5" t="str">
        <f t="shared" si="12"/>
        <v/>
      </c>
    </row>
    <row r="244" spans="7:7">
      <c r="G244" s="5" t="str">
        <f t="shared" si="12"/>
        <v/>
      </c>
    </row>
    <row r="245" spans="7:7">
      <c r="G245" s="5" t="str">
        <f t="shared" si="12"/>
        <v/>
      </c>
    </row>
    <row r="246" spans="7:7">
      <c r="G246" s="5" t="str">
        <f t="shared" si="12"/>
        <v/>
      </c>
    </row>
    <row r="247" spans="7:7">
      <c r="G247" s="5" t="str">
        <f t="shared" si="12"/>
        <v/>
      </c>
    </row>
    <row r="248" spans="7:7">
      <c r="G248" s="5" t="str">
        <f t="shared" si="12"/>
        <v/>
      </c>
    </row>
    <row r="249" spans="7:7">
      <c r="G249" s="5" t="str">
        <f t="shared" si="12"/>
        <v/>
      </c>
    </row>
    <row r="250" spans="7:7">
      <c r="G250" s="5" t="str">
        <f t="shared" si="12"/>
        <v/>
      </c>
    </row>
    <row r="251" spans="7:7">
      <c r="G251" s="5" t="str">
        <f t="shared" si="12"/>
        <v/>
      </c>
    </row>
    <row r="252" spans="7:7">
      <c r="G252" s="5" t="str">
        <f t="shared" si="12"/>
        <v/>
      </c>
    </row>
    <row r="253" spans="7:7">
      <c r="G253" s="5" t="str">
        <f t="shared" si="12"/>
        <v/>
      </c>
    </row>
    <row r="254" spans="7:7">
      <c r="G254" s="5" t="str">
        <f t="shared" si="12"/>
        <v/>
      </c>
    </row>
    <row r="255" spans="7:7">
      <c r="G255" s="5" t="str">
        <f t="shared" si="12"/>
        <v/>
      </c>
    </row>
    <row r="256" spans="7:7">
      <c r="G256" s="5" t="str">
        <f t="shared" si="12"/>
        <v/>
      </c>
    </row>
    <row r="257" spans="7:7">
      <c r="G257" s="5" t="str">
        <f t="shared" si="12"/>
        <v/>
      </c>
    </row>
    <row r="258" spans="7:7">
      <c r="G258" s="5" t="str">
        <f t="shared" si="12"/>
        <v/>
      </c>
    </row>
    <row r="259" spans="7:7">
      <c r="G259" s="5" t="str">
        <f t="shared" si="12"/>
        <v/>
      </c>
    </row>
    <row r="260" spans="7:7">
      <c r="G260" s="5" t="str">
        <f t="shared" si="12"/>
        <v/>
      </c>
    </row>
    <row r="261" spans="7:7">
      <c r="G261" s="5" t="str">
        <f t="shared" si="12"/>
        <v/>
      </c>
    </row>
    <row r="262" spans="7:7">
      <c r="G262" s="5" t="str">
        <f t="shared" si="12"/>
        <v/>
      </c>
    </row>
    <row r="263" spans="7:7">
      <c r="G263" s="5" t="str">
        <f t="shared" si="12"/>
        <v/>
      </c>
    </row>
    <row r="264" spans="7:7">
      <c r="G264" s="5" t="str">
        <f t="shared" si="12"/>
        <v/>
      </c>
    </row>
    <row r="265" spans="7:7">
      <c r="G265" s="5" t="str">
        <f t="shared" si="12"/>
        <v/>
      </c>
    </row>
    <row r="266" spans="7:7">
      <c r="G266" s="5" t="str">
        <f t="shared" si="12"/>
        <v/>
      </c>
    </row>
    <row r="267" spans="7:7">
      <c r="G267" s="5" t="str">
        <f t="shared" si="12"/>
        <v/>
      </c>
    </row>
    <row r="268" spans="7:7">
      <c r="G268" s="5" t="str">
        <f t="shared" si="12"/>
        <v/>
      </c>
    </row>
    <row r="269" spans="7:7">
      <c r="G269" s="5" t="str">
        <f t="shared" si="12"/>
        <v/>
      </c>
    </row>
    <row r="270" spans="7:7">
      <c r="G270" s="5" t="str">
        <f t="shared" si="12"/>
        <v/>
      </c>
    </row>
    <row r="271" spans="7:7">
      <c r="G271" s="5" t="str">
        <f t="shared" si="12"/>
        <v/>
      </c>
    </row>
    <row r="272" spans="7:7">
      <c r="G272" s="5" t="str">
        <f t="shared" si="12"/>
        <v/>
      </c>
    </row>
    <row r="273" spans="7:7">
      <c r="G273" s="5" t="str">
        <f t="shared" si="12"/>
        <v/>
      </c>
    </row>
    <row r="274" spans="7:7">
      <c r="G274" s="5" t="str">
        <f t="shared" ref="G274:G337" si="13">IF(B274&lt;&gt;"",SUM(C274:F274),"")</f>
        <v/>
      </c>
    </row>
    <row r="275" spans="7:7">
      <c r="G275" s="5" t="str">
        <f t="shared" si="13"/>
        <v/>
      </c>
    </row>
    <row r="276" spans="7:7">
      <c r="G276" s="5" t="str">
        <f t="shared" si="13"/>
        <v/>
      </c>
    </row>
    <row r="277" spans="7:7">
      <c r="G277" s="5" t="str">
        <f t="shared" si="13"/>
        <v/>
      </c>
    </row>
    <row r="278" spans="7:7">
      <c r="G278" s="5" t="str">
        <f t="shared" si="13"/>
        <v/>
      </c>
    </row>
    <row r="279" spans="7:7">
      <c r="G279" s="5" t="str">
        <f t="shared" si="13"/>
        <v/>
      </c>
    </row>
    <row r="280" spans="7:7">
      <c r="G280" s="5" t="str">
        <f t="shared" si="13"/>
        <v/>
      </c>
    </row>
    <row r="281" spans="7:7">
      <c r="G281" s="5" t="str">
        <f t="shared" si="13"/>
        <v/>
      </c>
    </row>
    <row r="282" spans="7:7">
      <c r="G282" s="5" t="str">
        <f t="shared" si="13"/>
        <v/>
      </c>
    </row>
    <row r="283" spans="7:7">
      <c r="G283" s="5" t="str">
        <f t="shared" si="13"/>
        <v/>
      </c>
    </row>
    <row r="284" spans="7:7">
      <c r="G284" s="5" t="str">
        <f t="shared" si="13"/>
        <v/>
      </c>
    </row>
    <row r="285" spans="7:7">
      <c r="G285" s="5" t="str">
        <f t="shared" si="13"/>
        <v/>
      </c>
    </row>
    <row r="286" spans="7:7">
      <c r="G286" s="5" t="str">
        <f t="shared" si="13"/>
        <v/>
      </c>
    </row>
    <row r="287" spans="7:7">
      <c r="G287" s="5" t="str">
        <f t="shared" si="13"/>
        <v/>
      </c>
    </row>
    <row r="288" spans="7:7">
      <c r="G288" s="5" t="str">
        <f t="shared" si="13"/>
        <v/>
      </c>
    </row>
    <row r="289" spans="7:7">
      <c r="G289" s="5" t="str">
        <f t="shared" si="13"/>
        <v/>
      </c>
    </row>
    <row r="290" spans="7:7">
      <c r="G290" s="5" t="str">
        <f t="shared" si="13"/>
        <v/>
      </c>
    </row>
    <row r="291" spans="7:7">
      <c r="G291" s="5" t="str">
        <f t="shared" si="13"/>
        <v/>
      </c>
    </row>
    <row r="292" spans="7:7">
      <c r="G292" s="5" t="str">
        <f t="shared" si="13"/>
        <v/>
      </c>
    </row>
    <row r="293" spans="7:7">
      <c r="G293" s="5" t="str">
        <f t="shared" si="13"/>
        <v/>
      </c>
    </row>
    <row r="294" spans="7:7">
      <c r="G294" s="5" t="str">
        <f t="shared" si="13"/>
        <v/>
      </c>
    </row>
    <row r="295" spans="7:7">
      <c r="G295" s="5" t="str">
        <f t="shared" si="13"/>
        <v/>
      </c>
    </row>
    <row r="296" spans="7:7">
      <c r="G296" s="5" t="str">
        <f t="shared" si="13"/>
        <v/>
      </c>
    </row>
    <row r="297" spans="7:7">
      <c r="G297" s="5" t="str">
        <f t="shared" si="13"/>
        <v/>
      </c>
    </row>
    <row r="298" spans="7:7">
      <c r="G298" s="5" t="str">
        <f t="shared" si="13"/>
        <v/>
      </c>
    </row>
    <row r="299" spans="7:7">
      <c r="G299" s="5" t="str">
        <f t="shared" si="13"/>
        <v/>
      </c>
    </row>
    <row r="300" spans="7:7">
      <c r="G300" s="5" t="str">
        <f t="shared" si="13"/>
        <v/>
      </c>
    </row>
    <row r="301" spans="7:7">
      <c r="G301" s="5" t="str">
        <f t="shared" si="13"/>
        <v/>
      </c>
    </row>
    <row r="302" spans="7:7">
      <c r="G302" s="5" t="str">
        <f t="shared" si="13"/>
        <v/>
      </c>
    </row>
    <row r="303" spans="7:7">
      <c r="G303" s="5" t="str">
        <f t="shared" si="13"/>
        <v/>
      </c>
    </row>
    <row r="304" spans="7:7">
      <c r="G304" s="5" t="str">
        <f t="shared" si="13"/>
        <v/>
      </c>
    </row>
    <row r="305" spans="7:7">
      <c r="G305" s="5" t="str">
        <f t="shared" si="13"/>
        <v/>
      </c>
    </row>
    <row r="306" spans="7:7">
      <c r="G306" s="5" t="str">
        <f t="shared" si="13"/>
        <v/>
      </c>
    </row>
    <row r="307" spans="7:7">
      <c r="G307" s="5" t="str">
        <f t="shared" si="13"/>
        <v/>
      </c>
    </row>
    <row r="308" spans="7:7">
      <c r="G308" s="5" t="str">
        <f t="shared" si="13"/>
        <v/>
      </c>
    </row>
    <row r="309" spans="7:7">
      <c r="G309" s="5" t="str">
        <f t="shared" si="13"/>
        <v/>
      </c>
    </row>
    <row r="310" spans="7:7">
      <c r="G310" s="5" t="str">
        <f t="shared" si="13"/>
        <v/>
      </c>
    </row>
    <row r="311" spans="7:7">
      <c r="G311" s="5" t="str">
        <f t="shared" si="13"/>
        <v/>
      </c>
    </row>
    <row r="312" spans="7:7">
      <c r="G312" s="5" t="str">
        <f t="shared" si="13"/>
        <v/>
      </c>
    </row>
    <row r="313" spans="7:7">
      <c r="G313" s="5" t="str">
        <f t="shared" si="13"/>
        <v/>
      </c>
    </row>
    <row r="314" spans="7:7">
      <c r="G314" s="5" t="str">
        <f t="shared" si="13"/>
        <v/>
      </c>
    </row>
    <row r="315" spans="7:7">
      <c r="G315" s="5" t="str">
        <f t="shared" si="13"/>
        <v/>
      </c>
    </row>
    <row r="316" spans="7:7">
      <c r="G316" s="5" t="str">
        <f t="shared" si="13"/>
        <v/>
      </c>
    </row>
    <row r="317" spans="7:7">
      <c r="G317" s="5" t="str">
        <f t="shared" si="13"/>
        <v/>
      </c>
    </row>
    <row r="318" spans="7:7">
      <c r="G318" s="5" t="str">
        <f t="shared" si="13"/>
        <v/>
      </c>
    </row>
    <row r="319" spans="7:7">
      <c r="G319" s="5" t="str">
        <f t="shared" si="13"/>
        <v/>
      </c>
    </row>
    <row r="320" spans="7:7">
      <c r="G320" s="5" t="str">
        <f t="shared" si="13"/>
        <v/>
      </c>
    </row>
    <row r="321" spans="7:7">
      <c r="G321" s="5" t="str">
        <f t="shared" si="13"/>
        <v/>
      </c>
    </row>
    <row r="322" spans="7:7">
      <c r="G322" s="5" t="str">
        <f t="shared" si="13"/>
        <v/>
      </c>
    </row>
    <row r="323" spans="7:7">
      <c r="G323" s="5" t="str">
        <f t="shared" si="13"/>
        <v/>
      </c>
    </row>
    <row r="324" spans="7:7">
      <c r="G324" s="5" t="str">
        <f t="shared" si="13"/>
        <v/>
      </c>
    </row>
    <row r="325" spans="7:7">
      <c r="G325" s="5" t="str">
        <f t="shared" si="13"/>
        <v/>
      </c>
    </row>
    <row r="326" spans="7:7">
      <c r="G326" s="5" t="str">
        <f t="shared" si="13"/>
        <v/>
      </c>
    </row>
    <row r="327" spans="7:7">
      <c r="G327" s="5" t="str">
        <f t="shared" si="13"/>
        <v/>
      </c>
    </row>
    <row r="328" spans="7:7">
      <c r="G328" s="5" t="str">
        <f t="shared" si="13"/>
        <v/>
      </c>
    </row>
    <row r="329" spans="7:7">
      <c r="G329" s="5" t="str">
        <f t="shared" si="13"/>
        <v/>
      </c>
    </row>
    <row r="330" spans="7:7">
      <c r="G330" s="5" t="str">
        <f t="shared" si="13"/>
        <v/>
      </c>
    </row>
    <row r="331" spans="7:7">
      <c r="G331" s="5" t="str">
        <f t="shared" si="13"/>
        <v/>
      </c>
    </row>
    <row r="332" spans="7:7">
      <c r="G332" s="5" t="str">
        <f t="shared" si="13"/>
        <v/>
      </c>
    </row>
    <row r="333" spans="7:7">
      <c r="G333" s="5" t="str">
        <f t="shared" si="13"/>
        <v/>
      </c>
    </row>
    <row r="334" spans="7:7">
      <c r="G334" s="5" t="str">
        <f t="shared" si="13"/>
        <v/>
      </c>
    </row>
    <row r="335" spans="7:7">
      <c r="G335" s="5" t="str">
        <f t="shared" si="13"/>
        <v/>
      </c>
    </row>
    <row r="336" spans="7:7">
      <c r="G336" s="5" t="str">
        <f t="shared" si="13"/>
        <v/>
      </c>
    </row>
    <row r="337" spans="7:7">
      <c r="G337" s="5" t="str">
        <f t="shared" si="13"/>
        <v/>
      </c>
    </row>
    <row r="338" spans="7:7">
      <c r="G338" s="5" t="str">
        <f t="shared" ref="G338:G401" si="14">IF(B338&lt;&gt;"",SUM(C338:F338),"")</f>
        <v/>
      </c>
    </row>
    <row r="339" spans="7:7">
      <c r="G339" s="5" t="str">
        <f t="shared" si="14"/>
        <v/>
      </c>
    </row>
    <row r="340" spans="7:7">
      <c r="G340" s="5" t="str">
        <f t="shared" si="14"/>
        <v/>
      </c>
    </row>
    <row r="341" spans="7:7">
      <c r="G341" s="5" t="str">
        <f t="shared" si="14"/>
        <v/>
      </c>
    </row>
    <row r="342" spans="7:7">
      <c r="G342" s="5" t="str">
        <f t="shared" si="14"/>
        <v/>
      </c>
    </row>
    <row r="343" spans="7:7">
      <c r="G343" s="5" t="str">
        <f t="shared" si="14"/>
        <v/>
      </c>
    </row>
    <row r="344" spans="7:7">
      <c r="G344" s="5" t="str">
        <f t="shared" si="14"/>
        <v/>
      </c>
    </row>
    <row r="345" spans="7:7">
      <c r="G345" s="5" t="str">
        <f t="shared" si="14"/>
        <v/>
      </c>
    </row>
    <row r="346" spans="7:7">
      <c r="G346" s="5" t="str">
        <f t="shared" si="14"/>
        <v/>
      </c>
    </row>
    <row r="347" spans="7:7">
      <c r="G347" s="5" t="str">
        <f t="shared" si="14"/>
        <v/>
      </c>
    </row>
    <row r="348" spans="7:7">
      <c r="G348" s="5" t="str">
        <f t="shared" si="14"/>
        <v/>
      </c>
    </row>
    <row r="349" spans="7:7">
      <c r="G349" s="5" t="str">
        <f t="shared" si="14"/>
        <v/>
      </c>
    </row>
    <row r="350" spans="7:7">
      <c r="G350" s="5" t="str">
        <f t="shared" si="14"/>
        <v/>
      </c>
    </row>
    <row r="351" spans="7:7">
      <c r="G351" s="5" t="str">
        <f t="shared" si="14"/>
        <v/>
      </c>
    </row>
    <row r="352" spans="7:7">
      <c r="G352" s="5" t="str">
        <f t="shared" si="14"/>
        <v/>
      </c>
    </row>
    <row r="353" spans="7:7">
      <c r="G353" s="5" t="str">
        <f t="shared" si="14"/>
        <v/>
      </c>
    </row>
    <row r="354" spans="7:7">
      <c r="G354" s="5" t="str">
        <f t="shared" si="14"/>
        <v/>
      </c>
    </row>
    <row r="355" spans="7:7">
      <c r="G355" s="5" t="str">
        <f t="shared" si="14"/>
        <v/>
      </c>
    </row>
    <row r="356" spans="7:7">
      <c r="G356" s="5" t="str">
        <f t="shared" si="14"/>
        <v/>
      </c>
    </row>
    <row r="357" spans="7:7">
      <c r="G357" s="5" t="str">
        <f t="shared" si="14"/>
        <v/>
      </c>
    </row>
    <row r="358" spans="7:7">
      <c r="G358" s="5" t="str">
        <f t="shared" si="14"/>
        <v/>
      </c>
    </row>
    <row r="359" spans="7:7">
      <c r="G359" s="5" t="str">
        <f t="shared" si="14"/>
        <v/>
      </c>
    </row>
    <row r="360" spans="7:7">
      <c r="G360" s="5" t="str">
        <f t="shared" si="14"/>
        <v/>
      </c>
    </row>
    <row r="361" spans="7:7">
      <c r="G361" s="5" t="str">
        <f t="shared" si="14"/>
        <v/>
      </c>
    </row>
    <row r="362" spans="7:7">
      <c r="G362" s="5" t="str">
        <f t="shared" si="14"/>
        <v/>
      </c>
    </row>
    <row r="363" spans="7:7">
      <c r="G363" s="5" t="str">
        <f t="shared" si="14"/>
        <v/>
      </c>
    </row>
    <row r="364" spans="7:7">
      <c r="G364" s="5" t="str">
        <f t="shared" si="14"/>
        <v/>
      </c>
    </row>
    <row r="365" spans="7:7">
      <c r="G365" s="5" t="str">
        <f t="shared" si="14"/>
        <v/>
      </c>
    </row>
    <row r="366" spans="7:7">
      <c r="G366" s="5" t="str">
        <f t="shared" si="14"/>
        <v/>
      </c>
    </row>
    <row r="367" spans="7:7">
      <c r="G367" s="5" t="str">
        <f t="shared" si="14"/>
        <v/>
      </c>
    </row>
    <row r="368" spans="7:7">
      <c r="G368" s="5" t="str">
        <f t="shared" si="14"/>
        <v/>
      </c>
    </row>
    <row r="369" spans="7:7">
      <c r="G369" s="5" t="str">
        <f t="shared" si="14"/>
        <v/>
      </c>
    </row>
    <row r="370" spans="7:7">
      <c r="G370" s="5" t="str">
        <f t="shared" si="14"/>
        <v/>
      </c>
    </row>
    <row r="371" spans="7:7">
      <c r="G371" s="5" t="str">
        <f t="shared" si="14"/>
        <v/>
      </c>
    </row>
    <row r="372" spans="7:7">
      <c r="G372" s="5" t="str">
        <f t="shared" si="14"/>
        <v/>
      </c>
    </row>
    <row r="373" spans="7:7">
      <c r="G373" s="5" t="str">
        <f t="shared" si="14"/>
        <v/>
      </c>
    </row>
    <row r="374" spans="7:7">
      <c r="G374" s="5" t="str">
        <f t="shared" si="14"/>
        <v/>
      </c>
    </row>
    <row r="375" spans="7:7">
      <c r="G375" s="5" t="str">
        <f t="shared" si="14"/>
        <v/>
      </c>
    </row>
    <row r="376" spans="7:7">
      <c r="G376" s="5" t="str">
        <f t="shared" si="14"/>
        <v/>
      </c>
    </row>
    <row r="377" spans="7:7">
      <c r="G377" s="5" t="str">
        <f t="shared" si="14"/>
        <v/>
      </c>
    </row>
    <row r="378" spans="7:7">
      <c r="G378" s="5" t="str">
        <f t="shared" si="14"/>
        <v/>
      </c>
    </row>
    <row r="379" spans="7:7">
      <c r="G379" s="5" t="str">
        <f t="shared" si="14"/>
        <v/>
      </c>
    </row>
    <row r="380" spans="7:7">
      <c r="G380" s="5" t="str">
        <f t="shared" si="14"/>
        <v/>
      </c>
    </row>
    <row r="381" spans="7:7">
      <c r="G381" s="5" t="str">
        <f t="shared" si="14"/>
        <v/>
      </c>
    </row>
    <row r="382" spans="7:7">
      <c r="G382" s="5" t="str">
        <f t="shared" si="14"/>
        <v/>
      </c>
    </row>
    <row r="383" spans="7:7">
      <c r="G383" s="5" t="str">
        <f t="shared" si="14"/>
        <v/>
      </c>
    </row>
    <row r="384" spans="7:7">
      <c r="G384" s="5" t="str">
        <f t="shared" si="14"/>
        <v/>
      </c>
    </row>
    <row r="385" spans="7:7">
      <c r="G385" s="5" t="str">
        <f t="shared" si="14"/>
        <v/>
      </c>
    </row>
    <row r="386" spans="7:7">
      <c r="G386" s="5" t="str">
        <f t="shared" si="14"/>
        <v/>
      </c>
    </row>
    <row r="387" spans="7:7">
      <c r="G387" s="5" t="str">
        <f t="shared" si="14"/>
        <v/>
      </c>
    </row>
    <row r="388" spans="7:7">
      <c r="G388" s="5" t="str">
        <f t="shared" si="14"/>
        <v/>
      </c>
    </row>
    <row r="389" spans="7:7">
      <c r="G389" s="5" t="str">
        <f t="shared" si="14"/>
        <v/>
      </c>
    </row>
    <row r="390" spans="7:7">
      <c r="G390" s="5" t="str">
        <f t="shared" si="14"/>
        <v/>
      </c>
    </row>
    <row r="391" spans="7:7">
      <c r="G391" s="5" t="str">
        <f t="shared" si="14"/>
        <v/>
      </c>
    </row>
    <row r="392" spans="7:7">
      <c r="G392" s="5" t="str">
        <f t="shared" si="14"/>
        <v/>
      </c>
    </row>
    <row r="393" spans="7:7">
      <c r="G393" s="5" t="str">
        <f t="shared" si="14"/>
        <v/>
      </c>
    </row>
    <row r="394" spans="7:7">
      <c r="G394" s="5" t="str">
        <f t="shared" si="14"/>
        <v/>
      </c>
    </row>
    <row r="395" spans="7:7">
      <c r="G395" s="5" t="str">
        <f t="shared" si="14"/>
        <v/>
      </c>
    </row>
    <row r="396" spans="7:7">
      <c r="G396" s="5" t="str">
        <f t="shared" si="14"/>
        <v/>
      </c>
    </row>
    <row r="397" spans="7:7">
      <c r="G397" s="5" t="str">
        <f t="shared" si="14"/>
        <v/>
      </c>
    </row>
    <row r="398" spans="7:7">
      <c r="G398" s="5" t="str">
        <f t="shared" si="14"/>
        <v/>
      </c>
    </row>
    <row r="399" spans="7:7">
      <c r="G399" s="5" t="str">
        <f t="shared" si="14"/>
        <v/>
      </c>
    </row>
    <row r="400" spans="7:7">
      <c r="G400" s="5" t="str">
        <f t="shared" si="14"/>
        <v/>
      </c>
    </row>
    <row r="401" spans="7:7">
      <c r="G401" s="5" t="str">
        <f t="shared" si="14"/>
        <v/>
      </c>
    </row>
    <row r="402" spans="7:7">
      <c r="G402" s="5" t="str">
        <f t="shared" ref="G402" si="15">IF(B402&lt;&gt;"",SUM(C402:F402),"")</f>
        <v/>
      </c>
    </row>
  </sheetData>
  <sheetProtection algorithmName="SHA-512" hashValue="S3Ut2fRMg2TDwWXz46qrVNkaVI/eW1vsKu0jUhZti/0XjAAcfnW2ZxBAQsJXRnwtXAXd9dV1KvZ/QEr71Wf+pA==" saltValue="w1/rsahRSmHZ+bksvKqIqQ==" spinCount="100000" sheet="1" sort="0" autoFilter="0" pivotTables="0"/>
  <autoFilter ref="H5:H6" xr:uid="{36C73D8A-9F98-43B5-A536-F280F06D4261}"/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CE49F-82E8-40AB-BF8E-5D01BCE8C6F7}">
  <sheetPr codeName="Planilha50">
    <tabColor rgb="FFFF0000"/>
    <pageSetUpPr fitToPage="1"/>
  </sheetPr>
  <dimension ref="B1:S402"/>
  <sheetViews>
    <sheetView workbookViewId="0">
      <pane ySplit="5" topLeftCell="A6" activePane="bottomLeft" state="frozen"/>
      <selection pane="bottomLeft" activeCell="F6" sqref="F6:F8"/>
    </sheetView>
  </sheetViews>
  <sheetFormatPr defaultColWidth="9.140625" defaultRowHeight="15.75"/>
  <cols>
    <col min="1" max="1" width="0.5703125" style="1" customWidth="1"/>
    <col min="2" max="2" width="50.5703125" style="3" customWidth="1"/>
    <col min="3" max="6" width="13.5703125" style="15" customWidth="1"/>
    <col min="7" max="7" width="13.5703125" style="5" customWidth="1"/>
    <col min="8" max="8" width="14.5703125" style="1" customWidth="1"/>
    <col min="9" max="9" width="13" style="1" customWidth="1"/>
    <col min="10" max="11" width="9.5703125" style="9" customWidth="1"/>
    <col min="12" max="12" width="11.42578125" style="6" hidden="1" customWidth="1"/>
    <col min="13" max="13" width="13.85546875" style="6" bestFit="1" customWidth="1"/>
    <col min="14" max="14" width="10.5703125" style="1" hidden="1" customWidth="1"/>
    <col min="15" max="15" width="11" style="1" hidden="1" customWidth="1"/>
    <col min="16" max="17" width="10.5703125" style="1" hidden="1" customWidth="1"/>
    <col min="18" max="18" width="12.140625" style="1" hidden="1" customWidth="1"/>
    <col min="19" max="19" width="11.5703125" style="1" hidden="1" customWidth="1"/>
    <col min="20" max="16384" width="9.140625" style="1"/>
  </cols>
  <sheetData>
    <row r="1" spans="2:19" ht="4.5" customHeight="1">
      <c r="B1" s="1"/>
      <c r="C1" s="4"/>
      <c r="D1" s="4"/>
      <c r="E1" s="4"/>
      <c r="F1" s="4"/>
      <c r="G1" s="4"/>
    </row>
    <row r="2" spans="2:19" ht="59.25" customHeight="1">
      <c r="B2" s="63" t="s">
        <v>906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</row>
    <row r="3" spans="2:19" ht="4.5" customHeight="1" thickBot="1">
      <c r="B3" s="1"/>
      <c r="C3" s="4"/>
      <c r="D3" s="4"/>
      <c r="E3" s="4"/>
      <c r="F3" s="4"/>
      <c r="G3" s="4"/>
    </row>
    <row r="4" spans="2:19">
      <c r="B4" s="299" t="s">
        <v>6</v>
      </c>
      <c r="C4" s="43"/>
      <c r="D4" s="43"/>
      <c r="E4" s="43"/>
      <c r="F4" s="44"/>
      <c r="G4" s="45"/>
      <c r="H4" s="289"/>
      <c r="I4" s="289" t="s">
        <v>48</v>
      </c>
      <c r="J4" s="290" t="s">
        <v>9</v>
      </c>
      <c r="K4" s="290" t="s">
        <v>9</v>
      </c>
      <c r="L4" s="291">
        <v>2023</v>
      </c>
      <c r="M4" s="292" t="s">
        <v>15</v>
      </c>
      <c r="N4" s="36"/>
      <c r="O4" s="19"/>
      <c r="P4" s="19"/>
      <c r="Q4" s="19"/>
      <c r="R4" s="19"/>
      <c r="S4" s="19"/>
    </row>
    <row r="5" spans="2:19" ht="16.5" thickBot="1">
      <c r="B5" s="296" t="s">
        <v>5</v>
      </c>
      <c r="C5" s="297" t="s">
        <v>0</v>
      </c>
      <c r="D5" s="297" t="s">
        <v>12</v>
      </c>
      <c r="E5" s="297" t="s">
        <v>2</v>
      </c>
      <c r="F5" s="297" t="s">
        <v>3</v>
      </c>
      <c r="G5" s="298" t="s">
        <v>1</v>
      </c>
      <c r="H5" s="293" t="s">
        <v>4</v>
      </c>
      <c r="I5" s="293" t="s">
        <v>7</v>
      </c>
      <c r="J5" s="294" t="s">
        <v>8</v>
      </c>
      <c r="K5" s="294" t="s">
        <v>10</v>
      </c>
      <c r="L5" s="174" t="s">
        <v>11</v>
      </c>
      <c r="M5" s="295" t="s">
        <v>16</v>
      </c>
      <c r="N5" s="37" t="s">
        <v>0</v>
      </c>
      <c r="O5" s="20" t="s">
        <v>12</v>
      </c>
      <c r="P5" s="20" t="s">
        <v>2</v>
      </c>
      <c r="Q5" s="20" t="s">
        <v>3</v>
      </c>
      <c r="R5" s="21" t="s">
        <v>1</v>
      </c>
      <c r="S5" s="22" t="s">
        <v>4</v>
      </c>
    </row>
    <row r="6" spans="2:19">
      <c r="B6" s="241" t="s">
        <v>902</v>
      </c>
      <c r="C6" s="38"/>
      <c r="D6" s="38"/>
      <c r="E6" s="38"/>
      <c r="F6" s="39"/>
      <c r="G6" s="40"/>
      <c r="H6" s="23">
        <f>SUM(C6:G6)</f>
        <v>0</v>
      </c>
      <c r="I6" s="183">
        <f t="shared" ref="I6" si="0">L6-(L6*J6)</f>
        <v>11.66</v>
      </c>
      <c r="J6" s="16"/>
      <c r="K6" s="17"/>
      <c r="L6" s="242">
        <v>11.66</v>
      </c>
      <c r="M6" s="280"/>
      <c r="N6" s="25">
        <f t="shared" ref="N6" si="1">I6*C6</f>
        <v>0</v>
      </c>
      <c r="O6" s="25">
        <f t="shared" ref="O6" si="2">I6*D6</f>
        <v>0</v>
      </c>
      <c r="P6" s="25">
        <f t="shared" ref="P6" si="3">I6*E6</f>
        <v>0</v>
      </c>
      <c r="Q6" s="26">
        <f t="shared" ref="Q6" si="4">I6*F6</f>
        <v>0</v>
      </c>
      <c r="R6" s="27">
        <f t="shared" ref="R6" si="5">I6*G6</f>
        <v>0</v>
      </c>
      <c r="S6" s="28">
        <f>SUM(N6:R6)</f>
        <v>0</v>
      </c>
    </row>
    <row r="7" spans="2:19">
      <c r="B7" s="58" t="s">
        <v>13</v>
      </c>
      <c r="C7" s="288">
        <v>0</v>
      </c>
      <c r="D7" s="288">
        <v>0</v>
      </c>
      <c r="E7" s="288">
        <v>0</v>
      </c>
      <c r="F7" s="288">
        <v>0</v>
      </c>
      <c r="G7" s="288">
        <f t="shared" ref="G7" si="6">R8</f>
        <v>0</v>
      </c>
      <c r="H7" s="288">
        <f t="shared" ref="H7" si="7">S8</f>
        <v>0</v>
      </c>
      <c r="N7" s="25"/>
      <c r="O7" s="25"/>
      <c r="P7" s="25"/>
      <c r="Q7" s="26"/>
      <c r="R7" s="27"/>
      <c r="S7" s="28"/>
    </row>
    <row r="8" spans="2:19">
      <c r="B8" s="59" t="s">
        <v>46</v>
      </c>
      <c r="N8" s="29">
        <f t="shared" ref="N8:S8" si="8">SUM(N6:N7)</f>
        <v>0</v>
      </c>
      <c r="O8" s="29">
        <f t="shared" si="8"/>
        <v>0</v>
      </c>
      <c r="P8" s="29">
        <f t="shared" si="8"/>
        <v>0</v>
      </c>
      <c r="Q8" s="29">
        <f t="shared" si="8"/>
        <v>0</v>
      </c>
      <c r="R8" s="29">
        <f t="shared" si="8"/>
        <v>0</v>
      </c>
      <c r="S8" s="29">
        <f t="shared" si="8"/>
        <v>0</v>
      </c>
    </row>
    <row r="9" spans="2:19" ht="16.5" thickBot="1">
      <c r="B9" s="2"/>
    </row>
    <row r="10" spans="2:19" ht="21">
      <c r="B10" s="60" t="s">
        <v>47</v>
      </c>
      <c r="I10" s="403" t="s">
        <v>1071</v>
      </c>
    </row>
    <row r="11" spans="2:19">
      <c r="B11" s="61" t="s">
        <v>903</v>
      </c>
    </row>
    <row r="12" spans="2:19">
      <c r="B12" s="61" t="s">
        <v>904</v>
      </c>
    </row>
    <row r="13" spans="2:19" ht="16.5" thickBot="1">
      <c r="B13" s="62" t="s">
        <v>905</v>
      </c>
    </row>
    <row r="14" spans="2:19">
      <c r="B14" s="2"/>
    </row>
    <row r="15" spans="2:19">
      <c r="B15" s="30" t="s">
        <v>20</v>
      </c>
    </row>
    <row r="16" spans="2:19">
      <c r="B16" s="35"/>
    </row>
    <row r="17" spans="2:7">
      <c r="B17" s="35"/>
    </row>
    <row r="22" spans="2:7">
      <c r="G22" s="5" t="str">
        <f t="shared" ref="G22:G81" si="9">IF(B22&lt;&gt;"",SUM(C22:F22),"")</f>
        <v/>
      </c>
    </row>
    <row r="23" spans="2:7">
      <c r="G23" s="5" t="str">
        <f t="shared" si="9"/>
        <v/>
      </c>
    </row>
    <row r="24" spans="2:7">
      <c r="G24" s="5" t="str">
        <f t="shared" si="9"/>
        <v/>
      </c>
    </row>
    <row r="25" spans="2:7">
      <c r="G25" s="5" t="str">
        <f t="shared" si="9"/>
        <v/>
      </c>
    </row>
    <row r="26" spans="2:7">
      <c r="G26" s="5" t="str">
        <f t="shared" si="9"/>
        <v/>
      </c>
    </row>
    <row r="27" spans="2:7">
      <c r="G27" s="5" t="str">
        <f t="shared" si="9"/>
        <v/>
      </c>
    </row>
    <row r="28" spans="2:7">
      <c r="G28" s="5" t="str">
        <f t="shared" si="9"/>
        <v/>
      </c>
    </row>
    <row r="29" spans="2:7">
      <c r="G29" s="5" t="str">
        <f t="shared" si="9"/>
        <v/>
      </c>
    </row>
    <row r="30" spans="2:7">
      <c r="G30" s="5" t="str">
        <f t="shared" si="9"/>
        <v/>
      </c>
    </row>
    <row r="31" spans="2:7">
      <c r="G31" s="5" t="str">
        <f t="shared" si="9"/>
        <v/>
      </c>
    </row>
    <row r="32" spans="2:7">
      <c r="G32" s="5" t="str">
        <f t="shared" si="9"/>
        <v/>
      </c>
    </row>
    <row r="33" spans="7:7">
      <c r="G33" s="5" t="str">
        <f t="shared" si="9"/>
        <v/>
      </c>
    </row>
    <row r="34" spans="7:7">
      <c r="G34" s="5" t="str">
        <f t="shared" si="9"/>
        <v/>
      </c>
    </row>
    <row r="35" spans="7:7">
      <c r="G35" s="5" t="str">
        <f t="shared" si="9"/>
        <v/>
      </c>
    </row>
    <row r="36" spans="7:7">
      <c r="G36" s="5" t="str">
        <f t="shared" si="9"/>
        <v/>
      </c>
    </row>
    <row r="37" spans="7:7">
      <c r="G37" s="5" t="str">
        <f t="shared" si="9"/>
        <v/>
      </c>
    </row>
    <row r="38" spans="7:7">
      <c r="G38" s="5" t="str">
        <f t="shared" si="9"/>
        <v/>
      </c>
    </row>
    <row r="39" spans="7:7">
      <c r="G39" s="5" t="str">
        <f t="shared" si="9"/>
        <v/>
      </c>
    </row>
    <row r="40" spans="7:7">
      <c r="G40" s="5" t="str">
        <f t="shared" si="9"/>
        <v/>
      </c>
    </row>
    <row r="41" spans="7:7">
      <c r="G41" s="5" t="str">
        <f t="shared" si="9"/>
        <v/>
      </c>
    </row>
    <row r="42" spans="7:7">
      <c r="G42" s="5" t="str">
        <f t="shared" si="9"/>
        <v/>
      </c>
    </row>
    <row r="43" spans="7:7">
      <c r="G43" s="5" t="str">
        <f t="shared" si="9"/>
        <v/>
      </c>
    </row>
    <row r="44" spans="7:7">
      <c r="G44" s="5" t="str">
        <f t="shared" si="9"/>
        <v/>
      </c>
    </row>
    <row r="45" spans="7:7">
      <c r="G45" s="5" t="str">
        <f t="shared" si="9"/>
        <v/>
      </c>
    </row>
    <row r="46" spans="7:7">
      <c r="G46" s="5" t="str">
        <f t="shared" si="9"/>
        <v/>
      </c>
    </row>
    <row r="47" spans="7:7">
      <c r="G47" s="5" t="str">
        <f t="shared" si="9"/>
        <v/>
      </c>
    </row>
    <row r="48" spans="7:7">
      <c r="G48" s="5" t="str">
        <f t="shared" si="9"/>
        <v/>
      </c>
    </row>
    <row r="49" spans="7:7">
      <c r="G49" s="5" t="str">
        <f t="shared" si="9"/>
        <v/>
      </c>
    </row>
    <row r="50" spans="7:7">
      <c r="G50" s="5" t="str">
        <f t="shared" si="9"/>
        <v/>
      </c>
    </row>
    <row r="51" spans="7:7">
      <c r="G51" s="5" t="str">
        <f t="shared" si="9"/>
        <v/>
      </c>
    </row>
    <row r="52" spans="7:7">
      <c r="G52" s="5" t="str">
        <f t="shared" si="9"/>
        <v/>
      </c>
    </row>
    <row r="53" spans="7:7">
      <c r="G53" s="5" t="str">
        <f t="shared" si="9"/>
        <v/>
      </c>
    </row>
    <row r="54" spans="7:7">
      <c r="G54" s="5" t="str">
        <f t="shared" si="9"/>
        <v/>
      </c>
    </row>
    <row r="55" spans="7:7">
      <c r="G55" s="5" t="str">
        <f t="shared" si="9"/>
        <v/>
      </c>
    </row>
    <row r="56" spans="7:7">
      <c r="G56" s="5" t="str">
        <f t="shared" si="9"/>
        <v/>
      </c>
    </row>
    <row r="57" spans="7:7">
      <c r="G57" s="5" t="str">
        <f t="shared" si="9"/>
        <v/>
      </c>
    </row>
    <row r="58" spans="7:7">
      <c r="G58" s="5" t="str">
        <f t="shared" si="9"/>
        <v/>
      </c>
    </row>
    <row r="59" spans="7:7">
      <c r="G59" s="5" t="str">
        <f t="shared" si="9"/>
        <v/>
      </c>
    </row>
    <row r="60" spans="7:7">
      <c r="G60" s="5" t="str">
        <f t="shared" si="9"/>
        <v/>
      </c>
    </row>
    <row r="61" spans="7:7">
      <c r="G61" s="5" t="str">
        <f t="shared" si="9"/>
        <v/>
      </c>
    </row>
    <row r="62" spans="7:7">
      <c r="G62" s="5" t="str">
        <f t="shared" si="9"/>
        <v/>
      </c>
    </row>
    <row r="63" spans="7:7">
      <c r="G63" s="5" t="str">
        <f t="shared" si="9"/>
        <v/>
      </c>
    </row>
    <row r="64" spans="7:7">
      <c r="G64" s="5" t="str">
        <f t="shared" si="9"/>
        <v/>
      </c>
    </row>
    <row r="65" spans="7:7">
      <c r="G65" s="5" t="str">
        <f t="shared" si="9"/>
        <v/>
      </c>
    </row>
    <row r="66" spans="7:7">
      <c r="G66" s="5" t="str">
        <f t="shared" si="9"/>
        <v/>
      </c>
    </row>
    <row r="67" spans="7:7">
      <c r="G67" s="5" t="str">
        <f t="shared" si="9"/>
        <v/>
      </c>
    </row>
    <row r="68" spans="7:7">
      <c r="G68" s="5" t="str">
        <f t="shared" si="9"/>
        <v/>
      </c>
    </row>
    <row r="69" spans="7:7">
      <c r="G69" s="5" t="str">
        <f t="shared" si="9"/>
        <v/>
      </c>
    </row>
    <row r="70" spans="7:7">
      <c r="G70" s="5" t="str">
        <f t="shared" si="9"/>
        <v/>
      </c>
    </row>
    <row r="71" spans="7:7">
      <c r="G71" s="5" t="str">
        <f t="shared" si="9"/>
        <v/>
      </c>
    </row>
    <row r="72" spans="7:7">
      <c r="G72" s="5" t="str">
        <f t="shared" si="9"/>
        <v/>
      </c>
    </row>
    <row r="73" spans="7:7">
      <c r="G73" s="5" t="str">
        <f t="shared" si="9"/>
        <v/>
      </c>
    </row>
    <row r="74" spans="7:7">
      <c r="G74" s="5" t="str">
        <f t="shared" si="9"/>
        <v/>
      </c>
    </row>
    <row r="75" spans="7:7">
      <c r="G75" s="5" t="str">
        <f t="shared" si="9"/>
        <v/>
      </c>
    </row>
    <row r="76" spans="7:7">
      <c r="G76" s="5" t="str">
        <f t="shared" si="9"/>
        <v/>
      </c>
    </row>
    <row r="77" spans="7:7">
      <c r="G77" s="5" t="str">
        <f t="shared" si="9"/>
        <v/>
      </c>
    </row>
    <row r="78" spans="7:7">
      <c r="G78" s="5" t="str">
        <f t="shared" si="9"/>
        <v/>
      </c>
    </row>
    <row r="79" spans="7:7">
      <c r="G79" s="5" t="str">
        <f t="shared" si="9"/>
        <v/>
      </c>
    </row>
    <row r="80" spans="7:7">
      <c r="G80" s="5" t="str">
        <f t="shared" si="9"/>
        <v/>
      </c>
    </row>
    <row r="81" spans="7:7">
      <c r="G81" s="5" t="str">
        <f t="shared" si="9"/>
        <v/>
      </c>
    </row>
    <row r="82" spans="7:7">
      <c r="G82" s="5" t="str">
        <f t="shared" ref="G82:G145" si="10">IF(B82&lt;&gt;"",SUM(C82:F82),"")</f>
        <v/>
      </c>
    </row>
    <row r="83" spans="7:7">
      <c r="G83" s="5" t="str">
        <f t="shared" si="10"/>
        <v/>
      </c>
    </row>
    <row r="84" spans="7:7">
      <c r="G84" s="5" t="str">
        <f t="shared" si="10"/>
        <v/>
      </c>
    </row>
    <row r="85" spans="7:7">
      <c r="G85" s="5" t="str">
        <f t="shared" si="10"/>
        <v/>
      </c>
    </row>
    <row r="86" spans="7:7">
      <c r="G86" s="5" t="str">
        <f t="shared" si="10"/>
        <v/>
      </c>
    </row>
    <row r="87" spans="7:7">
      <c r="G87" s="5" t="str">
        <f t="shared" si="10"/>
        <v/>
      </c>
    </row>
    <row r="88" spans="7:7">
      <c r="G88" s="5" t="str">
        <f t="shared" si="10"/>
        <v/>
      </c>
    </row>
    <row r="89" spans="7:7">
      <c r="G89" s="5" t="str">
        <f t="shared" si="10"/>
        <v/>
      </c>
    </row>
    <row r="90" spans="7:7">
      <c r="G90" s="5" t="str">
        <f t="shared" si="10"/>
        <v/>
      </c>
    </row>
    <row r="91" spans="7:7">
      <c r="G91" s="5" t="str">
        <f t="shared" si="10"/>
        <v/>
      </c>
    </row>
    <row r="92" spans="7:7">
      <c r="G92" s="5" t="str">
        <f t="shared" si="10"/>
        <v/>
      </c>
    </row>
    <row r="93" spans="7:7">
      <c r="G93" s="5" t="str">
        <f t="shared" si="10"/>
        <v/>
      </c>
    </row>
    <row r="94" spans="7:7">
      <c r="G94" s="5" t="str">
        <f t="shared" si="10"/>
        <v/>
      </c>
    </row>
    <row r="95" spans="7:7">
      <c r="G95" s="5" t="str">
        <f t="shared" si="10"/>
        <v/>
      </c>
    </row>
    <row r="96" spans="7:7">
      <c r="G96" s="5" t="str">
        <f t="shared" si="10"/>
        <v/>
      </c>
    </row>
    <row r="97" spans="7:7">
      <c r="G97" s="5" t="str">
        <f t="shared" si="10"/>
        <v/>
      </c>
    </row>
    <row r="98" spans="7:7">
      <c r="G98" s="5" t="str">
        <f t="shared" si="10"/>
        <v/>
      </c>
    </row>
    <row r="99" spans="7:7">
      <c r="G99" s="5" t="str">
        <f t="shared" si="10"/>
        <v/>
      </c>
    </row>
    <row r="100" spans="7:7">
      <c r="G100" s="5" t="str">
        <f t="shared" si="10"/>
        <v/>
      </c>
    </row>
    <row r="101" spans="7:7">
      <c r="G101" s="5" t="str">
        <f t="shared" si="10"/>
        <v/>
      </c>
    </row>
    <row r="102" spans="7:7">
      <c r="G102" s="5" t="str">
        <f t="shared" si="10"/>
        <v/>
      </c>
    </row>
    <row r="103" spans="7:7">
      <c r="G103" s="5" t="str">
        <f t="shared" si="10"/>
        <v/>
      </c>
    </row>
    <row r="104" spans="7:7">
      <c r="G104" s="5" t="str">
        <f t="shared" si="10"/>
        <v/>
      </c>
    </row>
    <row r="105" spans="7:7">
      <c r="G105" s="5" t="str">
        <f t="shared" si="10"/>
        <v/>
      </c>
    </row>
    <row r="106" spans="7:7">
      <c r="G106" s="5" t="str">
        <f t="shared" si="10"/>
        <v/>
      </c>
    </row>
    <row r="107" spans="7:7">
      <c r="G107" s="5" t="str">
        <f t="shared" si="10"/>
        <v/>
      </c>
    </row>
    <row r="108" spans="7:7">
      <c r="G108" s="5" t="str">
        <f t="shared" si="10"/>
        <v/>
      </c>
    </row>
    <row r="109" spans="7:7">
      <c r="G109" s="5" t="str">
        <f t="shared" si="10"/>
        <v/>
      </c>
    </row>
    <row r="110" spans="7:7">
      <c r="G110" s="5" t="str">
        <f t="shared" si="10"/>
        <v/>
      </c>
    </row>
    <row r="111" spans="7:7">
      <c r="G111" s="5" t="str">
        <f t="shared" si="10"/>
        <v/>
      </c>
    </row>
    <row r="112" spans="7:7">
      <c r="G112" s="5" t="str">
        <f t="shared" si="10"/>
        <v/>
      </c>
    </row>
    <row r="113" spans="7:7">
      <c r="G113" s="5" t="str">
        <f t="shared" si="10"/>
        <v/>
      </c>
    </row>
    <row r="114" spans="7:7">
      <c r="G114" s="5" t="str">
        <f t="shared" si="10"/>
        <v/>
      </c>
    </row>
    <row r="115" spans="7:7">
      <c r="G115" s="5" t="str">
        <f t="shared" si="10"/>
        <v/>
      </c>
    </row>
    <row r="116" spans="7:7">
      <c r="G116" s="5" t="str">
        <f t="shared" si="10"/>
        <v/>
      </c>
    </row>
    <row r="117" spans="7:7">
      <c r="G117" s="5" t="str">
        <f t="shared" si="10"/>
        <v/>
      </c>
    </row>
    <row r="118" spans="7:7">
      <c r="G118" s="5" t="str">
        <f t="shared" si="10"/>
        <v/>
      </c>
    </row>
    <row r="119" spans="7:7">
      <c r="G119" s="5" t="str">
        <f t="shared" si="10"/>
        <v/>
      </c>
    </row>
    <row r="120" spans="7:7">
      <c r="G120" s="5" t="str">
        <f t="shared" si="10"/>
        <v/>
      </c>
    </row>
    <row r="121" spans="7:7">
      <c r="G121" s="5" t="str">
        <f t="shared" si="10"/>
        <v/>
      </c>
    </row>
    <row r="122" spans="7:7">
      <c r="G122" s="5" t="str">
        <f t="shared" si="10"/>
        <v/>
      </c>
    </row>
    <row r="123" spans="7:7">
      <c r="G123" s="5" t="str">
        <f t="shared" si="10"/>
        <v/>
      </c>
    </row>
    <row r="124" spans="7:7">
      <c r="G124" s="5" t="str">
        <f t="shared" si="10"/>
        <v/>
      </c>
    </row>
    <row r="125" spans="7:7">
      <c r="G125" s="5" t="str">
        <f t="shared" si="10"/>
        <v/>
      </c>
    </row>
    <row r="126" spans="7:7">
      <c r="G126" s="5" t="str">
        <f t="shared" si="10"/>
        <v/>
      </c>
    </row>
    <row r="127" spans="7:7">
      <c r="G127" s="5" t="str">
        <f t="shared" si="10"/>
        <v/>
      </c>
    </row>
    <row r="128" spans="7:7">
      <c r="G128" s="5" t="str">
        <f t="shared" si="10"/>
        <v/>
      </c>
    </row>
    <row r="129" spans="7:7">
      <c r="G129" s="5" t="str">
        <f t="shared" si="10"/>
        <v/>
      </c>
    </row>
    <row r="130" spans="7:7">
      <c r="G130" s="5" t="str">
        <f t="shared" si="10"/>
        <v/>
      </c>
    </row>
    <row r="131" spans="7:7">
      <c r="G131" s="5" t="str">
        <f t="shared" si="10"/>
        <v/>
      </c>
    </row>
    <row r="132" spans="7:7">
      <c r="G132" s="5" t="str">
        <f t="shared" si="10"/>
        <v/>
      </c>
    </row>
    <row r="133" spans="7:7">
      <c r="G133" s="5" t="str">
        <f t="shared" si="10"/>
        <v/>
      </c>
    </row>
    <row r="134" spans="7:7">
      <c r="G134" s="5" t="str">
        <f t="shared" si="10"/>
        <v/>
      </c>
    </row>
    <row r="135" spans="7:7">
      <c r="G135" s="5" t="str">
        <f t="shared" si="10"/>
        <v/>
      </c>
    </row>
    <row r="136" spans="7:7">
      <c r="G136" s="5" t="str">
        <f t="shared" si="10"/>
        <v/>
      </c>
    </row>
    <row r="137" spans="7:7">
      <c r="G137" s="5" t="str">
        <f t="shared" si="10"/>
        <v/>
      </c>
    </row>
    <row r="138" spans="7:7">
      <c r="G138" s="5" t="str">
        <f t="shared" si="10"/>
        <v/>
      </c>
    </row>
    <row r="139" spans="7:7">
      <c r="G139" s="5" t="str">
        <f t="shared" si="10"/>
        <v/>
      </c>
    </row>
    <row r="140" spans="7:7">
      <c r="G140" s="5" t="str">
        <f t="shared" si="10"/>
        <v/>
      </c>
    </row>
    <row r="141" spans="7:7">
      <c r="G141" s="5" t="str">
        <f t="shared" si="10"/>
        <v/>
      </c>
    </row>
    <row r="142" spans="7:7">
      <c r="G142" s="5" t="str">
        <f t="shared" si="10"/>
        <v/>
      </c>
    </row>
    <row r="143" spans="7:7">
      <c r="G143" s="5" t="str">
        <f t="shared" si="10"/>
        <v/>
      </c>
    </row>
    <row r="144" spans="7:7">
      <c r="G144" s="5" t="str">
        <f t="shared" si="10"/>
        <v/>
      </c>
    </row>
    <row r="145" spans="7:7">
      <c r="G145" s="5" t="str">
        <f t="shared" si="10"/>
        <v/>
      </c>
    </row>
    <row r="146" spans="7:7">
      <c r="G146" s="5" t="str">
        <f t="shared" ref="G146:G209" si="11">IF(B146&lt;&gt;"",SUM(C146:F146),"")</f>
        <v/>
      </c>
    </row>
    <row r="147" spans="7:7">
      <c r="G147" s="5" t="str">
        <f t="shared" si="11"/>
        <v/>
      </c>
    </row>
    <row r="148" spans="7:7">
      <c r="G148" s="5" t="str">
        <f t="shared" si="11"/>
        <v/>
      </c>
    </row>
    <row r="149" spans="7:7">
      <c r="G149" s="5" t="str">
        <f t="shared" si="11"/>
        <v/>
      </c>
    </row>
    <row r="150" spans="7:7">
      <c r="G150" s="5" t="str">
        <f t="shared" si="11"/>
        <v/>
      </c>
    </row>
    <row r="151" spans="7:7">
      <c r="G151" s="5" t="str">
        <f t="shared" si="11"/>
        <v/>
      </c>
    </row>
    <row r="152" spans="7:7">
      <c r="G152" s="5" t="str">
        <f t="shared" si="11"/>
        <v/>
      </c>
    </row>
    <row r="153" spans="7:7">
      <c r="G153" s="5" t="str">
        <f t="shared" si="11"/>
        <v/>
      </c>
    </row>
    <row r="154" spans="7:7">
      <c r="G154" s="5" t="str">
        <f t="shared" si="11"/>
        <v/>
      </c>
    </row>
    <row r="155" spans="7:7">
      <c r="G155" s="5" t="str">
        <f t="shared" si="11"/>
        <v/>
      </c>
    </row>
    <row r="156" spans="7:7">
      <c r="G156" s="5" t="str">
        <f t="shared" si="11"/>
        <v/>
      </c>
    </row>
    <row r="157" spans="7:7">
      <c r="G157" s="5" t="str">
        <f t="shared" si="11"/>
        <v/>
      </c>
    </row>
    <row r="158" spans="7:7">
      <c r="G158" s="5" t="str">
        <f t="shared" si="11"/>
        <v/>
      </c>
    </row>
    <row r="159" spans="7:7">
      <c r="G159" s="5" t="str">
        <f t="shared" si="11"/>
        <v/>
      </c>
    </row>
    <row r="160" spans="7:7">
      <c r="G160" s="5" t="str">
        <f t="shared" si="11"/>
        <v/>
      </c>
    </row>
    <row r="161" spans="7:7">
      <c r="G161" s="5" t="str">
        <f t="shared" si="11"/>
        <v/>
      </c>
    </row>
    <row r="162" spans="7:7">
      <c r="G162" s="5" t="str">
        <f t="shared" si="11"/>
        <v/>
      </c>
    </row>
    <row r="163" spans="7:7">
      <c r="G163" s="5" t="str">
        <f t="shared" si="11"/>
        <v/>
      </c>
    </row>
    <row r="164" spans="7:7">
      <c r="G164" s="5" t="str">
        <f t="shared" si="11"/>
        <v/>
      </c>
    </row>
    <row r="165" spans="7:7">
      <c r="G165" s="5" t="str">
        <f t="shared" si="11"/>
        <v/>
      </c>
    </row>
    <row r="166" spans="7:7">
      <c r="G166" s="5" t="str">
        <f t="shared" si="11"/>
        <v/>
      </c>
    </row>
    <row r="167" spans="7:7">
      <c r="G167" s="5" t="str">
        <f t="shared" si="11"/>
        <v/>
      </c>
    </row>
    <row r="168" spans="7:7">
      <c r="G168" s="5" t="str">
        <f t="shared" si="11"/>
        <v/>
      </c>
    </row>
    <row r="169" spans="7:7">
      <c r="G169" s="5" t="str">
        <f t="shared" si="11"/>
        <v/>
      </c>
    </row>
    <row r="170" spans="7:7">
      <c r="G170" s="5" t="str">
        <f t="shared" si="11"/>
        <v/>
      </c>
    </row>
    <row r="171" spans="7:7">
      <c r="G171" s="5" t="str">
        <f t="shared" si="11"/>
        <v/>
      </c>
    </row>
    <row r="172" spans="7:7">
      <c r="G172" s="5" t="str">
        <f t="shared" si="11"/>
        <v/>
      </c>
    </row>
    <row r="173" spans="7:7">
      <c r="G173" s="5" t="str">
        <f t="shared" si="11"/>
        <v/>
      </c>
    </row>
    <row r="174" spans="7:7">
      <c r="G174" s="5" t="str">
        <f t="shared" si="11"/>
        <v/>
      </c>
    </row>
    <row r="175" spans="7:7">
      <c r="G175" s="5" t="str">
        <f t="shared" si="11"/>
        <v/>
      </c>
    </row>
    <row r="176" spans="7:7">
      <c r="G176" s="5" t="str">
        <f t="shared" si="11"/>
        <v/>
      </c>
    </row>
    <row r="177" spans="7:7">
      <c r="G177" s="5" t="str">
        <f t="shared" si="11"/>
        <v/>
      </c>
    </row>
    <row r="178" spans="7:7">
      <c r="G178" s="5" t="str">
        <f t="shared" si="11"/>
        <v/>
      </c>
    </row>
    <row r="179" spans="7:7">
      <c r="G179" s="5" t="str">
        <f t="shared" si="11"/>
        <v/>
      </c>
    </row>
    <row r="180" spans="7:7">
      <c r="G180" s="5" t="str">
        <f t="shared" si="11"/>
        <v/>
      </c>
    </row>
    <row r="181" spans="7:7">
      <c r="G181" s="5" t="str">
        <f t="shared" si="11"/>
        <v/>
      </c>
    </row>
    <row r="182" spans="7:7">
      <c r="G182" s="5" t="str">
        <f t="shared" si="11"/>
        <v/>
      </c>
    </row>
    <row r="183" spans="7:7">
      <c r="G183" s="5" t="str">
        <f t="shared" si="11"/>
        <v/>
      </c>
    </row>
    <row r="184" spans="7:7">
      <c r="G184" s="5" t="str">
        <f t="shared" si="11"/>
        <v/>
      </c>
    </row>
    <row r="185" spans="7:7">
      <c r="G185" s="5" t="str">
        <f t="shared" si="11"/>
        <v/>
      </c>
    </row>
    <row r="186" spans="7:7">
      <c r="G186" s="5" t="str">
        <f t="shared" si="11"/>
        <v/>
      </c>
    </row>
    <row r="187" spans="7:7">
      <c r="G187" s="5" t="str">
        <f t="shared" si="11"/>
        <v/>
      </c>
    </row>
    <row r="188" spans="7:7">
      <c r="G188" s="5" t="str">
        <f t="shared" si="11"/>
        <v/>
      </c>
    </row>
    <row r="189" spans="7:7">
      <c r="G189" s="5" t="str">
        <f t="shared" si="11"/>
        <v/>
      </c>
    </row>
    <row r="190" spans="7:7">
      <c r="G190" s="5" t="str">
        <f t="shared" si="11"/>
        <v/>
      </c>
    </row>
    <row r="191" spans="7:7">
      <c r="G191" s="5" t="str">
        <f t="shared" si="11"/>
        <v/>
      </c>
    </row>
    <row r="192" spans="7:7">
      <c r="G192" s="5" t="str">
        <f t="shared" si="11"/>
        <v/>
      </c>
    </row>
    <row r="193" spans="7:7">
      <c r="G193" s="5" t="str">
        <f t="shared" si="11"/>
        <v/>
      </c>
    </row>
    <row r="194" spans="7:7">
      <c r="G194" s="5" t="str">
        <f t="shared" si="11"/>
        <v/>
      </c>
    </row>
    <row r="195" spans="7:7">
      <c r="G195" s="5" t="str">
        <f t="shared" si="11"/>
        <v/>
      </c>
    </row>
    <row r="196" spans="7:7">
      <c r="G196" s="5" t="str">
        <f t="shared" si="11"/>
        <v/>
      </c>
    </row>
    <row r="197" spans="7:7">
      <c r="G197" s="5" t="str">
        <f t="shared" si="11"/>
        <v/>
      </c>
    </row>
    <row r="198" spans="7:7">
      <c r="G198" s="5" t="str">
        <f t="shared" si="11"/>
        <v/>
      </c>
    </row>
    <row r="199" spans="7:7">
      <c r="G199" s="5" t="str">
        <f t="shared" si="11"/>
        <v/>
      </c>
    </row>
    <row r="200" spans="7:7">
      <c r="G200" s="5" t="str">
        <f t="shared" si="11"/>
        <v/>
      </c>
    </row>
    <row r="201" spans="7:7">
      <c r="G201" s="5" t="str">
        <f t="shared" si="11"/>
        <v/>
      </c>
    </row>
    <row r="202" spans="7:7">
      <c r="G202" s="5" t="str">
        <f t="shared" si="11"/>
        <v/>
      </c>
    </row>
    <row r="203" spans="7:7">
      <c r="G203" s="5" t="str">
        <f t="shared" si="11"/>
        <v/>
      </c>
    </row>
    <row r="204" spans="7:7">
      <c r="G204" s="5" t="str">
        <f t="shared" si="11"/>
        <v/>
      </c>
    </row>
    <row r="205" spans="7:7">
      <c r="G205" s="5" t="str">
        <f t="shared" si="11"/>
        <v/>
      </c>
    </row>
    <row r="206" spans="7:7">
      <c r="G206" s="5" t="str">
        <f t="shared" si="11"/>
        <v/>
      </c>
    </row>
    <row r="207" spans="7:7">
      <c r="G207" s="5" t="str">
        <f t="shared" si="11"/>
        <v/>
      </c>
    </row>
    <row r="208" spans="7:7">
      <c r="G208" s="5" t="str">
        <f t="shared" si="11"/>
        <v/>
      </c>
    </row>
    <row r="209" spans="7:7">
      <c r="G209" s="5" t="str">
        <f t="shared" si="11"/>
        <v/>
      </c>
    </row>
    <row r="210" spans="7:7">
      <c r="G210" s="5" t="str">
        <f t="shared" ref="G210:G273" si="12">IF(B210&lt;&gt;"",SUM(C210:F210),"")</f>
        <v/>
      </c>
    </row>
    <row r="211" spans="7:7">
      <c r="G211" s="5" t="str">
        <f t="shared" si="12"/>
        <v/>
      </c>
    </row>
    <row r="212" spans="7:7">
      <c r="G212" s="5" t="str">
        <f t="shared" si="12"/>
        <v/>
      </c>
    </row>
    <row r="213" spans="7:7">
      <c r="G213" s="5" t="str">
        <f t="shared" si="12"/>
        <v/>
      </c>
    </row>
    <row r="214" spans="7:7">
      <c r="G214" s="5" t="str">
        <f t="shared" si="12"/>
        <v/>
      </c>
    </row>
    <row r="215" spans="7:7">
      <c r="G215" s="5" t="str">
        <f t="shared" si="12"/>
        <v/>
      </c>
    </row>
    <row r="216" spans="7:7">
      <c r="G216" s="5" t="str">
        <f t="shared" si="12"/>
        <v/>
      </c>
    </row>
    <row r="217" spans="7:7">
      <c r="G217" s="5" t="str">
        <f t="shared" si="12"/>
        <v/>
      </c>
    </row>
    <row r="218" spans="7:7">
      <c r="G218" s="5" t="str">
        <f t="shared" si="12"/>
        <v/>
      </c>
    </row>
    <row r="219" spans="7:7">
      <c r="G219" s="5" t="str">
        <f t="shared" si="12"/>
        <v/>
      </c>
    </row>
    <row r="220" spans="7:7">
      <c r="G220" s="5" t="str">
        <f t="shared" si="12"/>
        <v/>
      </c>
    </row>
    <row r="221" spans="7:7">
      <c r="G221" s="5" t="str">
        <f t="shared" si="12"/>
        <v/>
      </c>
    </row>
    <row r="222" spans="7:7">
      <c r="G222" s="5" t="str">
        <f t="shared" si="12"/>
        <v/>
      </c>
    </row>
    <row r="223" spans="7:7">
      <c r="G223" s="5" t="str">
        <f t="shared" si="12"/>
        <v/>
      </c>
    </row>
    <row r="224" spans="7:7">
      <c r="G224" s="5" t="str">
        <f t="shared" si="12"/>
        <v/>
      </c>
    </row>
    <row r="225" spans="7:7">
      <c r="G225" s="5" t="str">
        <f t="shared" si="12"/>
        <v/>
      </c>
    </row>
    <row r="226" spans="7:7">
      <c r="G226" s="5" t="str">
        <f t="shared" si="12"/>
        <v/>
      </c>
    </row>
    <row r="227" spans="7:7">
      <c r="G227" s="5" t="str">
        <f t="shared" si="12"/>
        <v/>
      </c>
    </row>
    <row r="228" spans="7:7">
      <c r="G228" s="5" t="str">
        <f t="shared" si="12"/>
        <v/>
      </c>
    </row>
    <row r="229" spans="7:7">
      <c r="G229" s="5" t="str">
        <f t="shared" si="12"/>
        <v/>
      </c>
    </row>
    <row r="230" spans="7:7">
      <c r="G230" s="5" t="str">
        <f t="shared" si="12"/>
        <v/>
      </c>
    </row>
    <row r="231" spans="7:7">
      <c r="G231" s="5" t="str">
        <f t="shared" si="12"/>
        <v/>
      </c>
    </row>
    <row r="232" spans="7:7">
      <c r="G232" s="5" t="str">
        <f t="shared" si="12"/>
        <v/>
      </c>
    </row>
    <row r="233" spans="7:7">
      <c r="G233" s="5" t="str">
        <f t="shared" si="12"/>
        <v/>
      </c>
    </row>
    <row r="234" spans="7:7">
      <c r="G234" s="5" t="str">
        <f t="shared" si="12"/>
        <v/>
      </c>
    </row>
    <row r="235" spans="7:7">
      <c r="G235" s="5" t="str">
        <f t="shared" si="12"/>
        <v/>
      </c>
    </row>
    <row r="236" spans="7:7">
      <c r="G236" s="5" t="str">
        <f t="shared" si="12"/>
        <v/>
      </c>
    </row>
    <row r="237" spans="7:7">
      <c r="G237" s="5" t="str">
        <f t="shared" si="12"/>
        <v/>
      </c>
    </row>
    <row r="238" spans="7:7">
      <c r="G238" s="5" t="str">
        <f t="shared" si="12"/>
        <v/>
      </c>
    </row>
    <row r="239" spans="7:7">
      <c r="G239" s="5" t="str">
        <f t="shared" si="12"/>
        <v/>
      </c>
    </row>
    <row r="240" spans="7:7">
      <c r="G240" s="5" t="str">
        <f t="shared" si="12"/>
        <v/>
      </c>
    </row>
    <row r="241" spans="7:7">
      <c r="G241" s="5" t="str">
        <f t="shared" si="12"/>
        <v/>
      </c>
    </row>
    <row r="242" spans="7:7">
      <c r="G242" s="5" t="str">
        <f t="shared" si="12"/>
        <v/>
      </c>
    </row>
    <row r="243" spans="7:7">
      <c r="G243" s="5" t="str">
        <f t="shared" si="12"/>
        <v/>
      </c>
    </row>
    <row r="244" spans="7:7">
      <c r="G244" s="5" t="str">
        <f t="shared" si="12"/>
        <v/>
      </c>
    </row>
    <row r="245" spans="7:7">
      <c r="G245" s="5" t="str">
        <f t="shared" si="12"/>
        <v/>
      </c>
    </row>
    <row r="246" spans="7:7">
      <c r="G246" s="5" t="str">
        <f t="shared" si="12"/>
        <v/>
      </c>
    </row>
    <row r="247" spans="7:7">
      <c r="G247" s="5" t="str">
        <f t="shared" si="12"/>
        <v/>
      </c>
    </row>
    <row r="248" spans="7:7">
      <c r="G248" s="5" t="str">
        <f t="shared" si="12"/>
        <v/>
      </c>
    </row>
    <row r="249" spans="7:7">
      <c r="G249" s="5" t="str">
        <f t="shared" si="12"/>
        <v/>
      </c>
    </row>
    <row r="250" spans="7:7">
      <c r="G250" s="5" t="str">
        <f t="shared" si="12"/>
        <v/>
      </c>
    </row>
    <row r="251" spans="7:7">
      <c r="G251" s="5" t="str">
        <f t="shared" si="12"/>
        <v/>
      </c>
    </row>
    <row r="252" spans="7:7">
      <c r="G252" s="5" t="str">
        <f t="shared" si="12"/>
        <v/>
      </c>
    </row>
    <row r="253" spans="7:7">
      <c r="G253" s="5" t="str">
        <f t="shared" si="12"/>
        <v/>
      </c>
    </row>
    <row r="254" spans="7:7">
      <c r="G254" s="5" t="str">
        <f t="shared" si="12"/>
        <v/>
      </c>
    </row>
    <row r="255" spans="7:7">
      <c r="G255" s="5" t="str">
        <f t="shared" si="12"/>
        <v/>
      </c>
    </row>
    <row r="256" spans="7:7">
      <c r="G256" s="5" t="str">
        <f t="shared" si="12"/>
        <v/>
      </c>
    </row>
    <row r="257" spans="7:7">
      <c r="G257" s="5" t="str">
        <f t="shared" si="12"/>
        <v/>
      </c>
    </row>
    <row r="258" spans="7:7">
      <c r="G258" s="5" t="str">
        <f t="shared" si="12"/>
        <v/>
      </c>
    </row>
    <row r="259" spans="7:7">
      <c r="G259" s="5" t="str">
        <f t="shared" si="12"/>
        <v/>
      </c>
    </row>
    <row r="260" spans="7:7">
      <c r="G260" s="5" t="str">
        <f t="shared" si="12"/>
        <v/>
      </c>
    </row>
    <row r="261" spans="7:7">
      <c r="G261" s="5" t="str">
        <f t="shared" si="12"/>
        <v/>
      </c>
    </row>
    <row r="262" spans="7:7">
      <c r="G262" s="5" t="str">
        <f t="shared" si="12"/>
        <v/>
      </c>
    </row>
    <row r="263" spans="7:7">
      <c r="G263" s="5" t="str">
        <f t="shared" si="12"/>
        <v/>
      </c>
    </row>
    <row r="264" spans="7:7">
      <c r="G264" s="5" t="str">
        <f t="shared" si="12"/>
        <v/>
      </c>
    </row>
    <row r="265" spans="7:7">
      <c r="G265" s="5" t="str">
        <f t="shared" si="12"/>
        <v/>
      </c>
    </row>
    <row r="266" spans="7:7">
      <c r="G266" s="5" t="str">
        <f t="shared" si="12"/>
        <v/>
      </c>
    </row>
    <row r="267" spans="7:7">
      <c r="G267" s="5" t="str">
        <f t="shared" si="12"/>
        <v/>
      </c>
    </row>
    <row r="268" spans="7:7">
      <c r="G268" s="5" t="str">
        <f t="shared" si="12"/>
        <v/>
      </c>
    </row>
    <row r="269" spans="7:7">
      <c r="G269" s="5" t="str">
        <f t="shared" si="12"/>
        <v/>
      </c>
    </row>
    <row r="270" spans="7:7">
      <c r="G270" s="5" t="str">
        <f t="shared" si="12"/>
        <v/>
      </c>
    </row>
    <row r="271" spans="7:7">
      <c r="G271" s="5" t="str">
        <f t="shared" si="12"/>
        <v/>
      </c>
    </row>
    <row r="272" spans="7:7">
      <c r="G272" s="5" t="str">
        <f t="shared" si="12"/>
        <v/>
      </c>
    </row>
    <row r="273" spans="7:7">
      <c r="G273" s="5" t="str">
        <f t="shared" si="12"/>
        <v/>
      </c>
    </row>
    <row r="274" spans="7:7">
      <c r="G274" s="5" t="str">
        <f t="shared" ref="G274:G337" si="13">IF(B274&lt;&gt;"",SUM(C274:F274),"")</f>
        <v/>
      </c>
    </row>
    <row r="275" spans="7:7">
      <c r="G275" s="5" t="str">
        <f t="shared" si="13"/>
        <v/>
      </c>
    </row>
    <row r="276" spans="7:7">
      <c r="G276" s="5" t="str">
        <f t="shared" si="13"/>
        <v/>
      </c>
    </row>
    <row r="277" spans="7:7">
      <c r="G277" s="5" t="str">
        <f t="shared" si="13"/>
        <v/>
      </c>
    </row>
    <row r="278" spans="7:7">
      <c r="G278" s="5" t="str">
        <f t="shared" si="13"/>
        <v/>
      </c>
    </row>
    <row r="279" spans="7:7">
      <c r="G279" s="5" t="str">
        <f t="shared" si="13"/>
        <v/>
      </c>
    </row>
    <row r="280" spans="7:7">
      <c r="G280" s="5" t="str">
        <f t="shared" si="13"/>
        <v/>
      </c>
    </row>
    <row r="281" spans="7:7">
      <c r="G281" s="5" t="str">
        <f t="shared" si="13"/>
        <v/>
      </c>
    </row>
    <row r="282" spans="7:7">
      <c r="G282" s="5" t="str">
        <f t="shared" si="13"/>
        <v/>
      </c>
    </row>
    <row r="283" spans="7:7">
      <c r="G283" s="5" t="str">
        <f t="shared" si="13"/>
        <v/>
      </c>
    </row>
    <row r="284" spans="7:7">
      <c r="G284" s="5" t="str">
        <f t="shared" si="13"/>
        <v/>
      </c>
    </row>
    <row r="285" spans="7:7">
      <c r="G285" s="5" t="str">
        <f t="shared" si="13"/>
        <v/>
      </c>
    </row>
    <row r="286" spans="7:7">
      <c r="G286" s="5" t="str">
        <f t="shared" si="13"/>
        <v/>
      </c>
    </row>
    <row r="287" spans="7:7">
      <c r="G287" s="5" t="str">
        <f t="shared" si="13"/>
        <v/>
      </c>
    </row>
    <row r="288" spans="7:7">
      <c r="G288" s="5" t="str">
        <f t="shared" si="13"/>
        <v/>
      </c>
    </row>
    <row r="289" spans="7:7">
      <c r="G289" s="5" t="str">
        <f t="shared" si="13"/>
        <v/>
      </c>
    </row>
    <row r="290" spans="7:7">
      <c r="G290" s="5" t="str">
        <f t="shared" si="13"/>
        <v/>
      </c>
    </row>
    <row r="291" spans="7:7">
      <c r="G291" s="5" t="str">
        <f t="shared" si="13"/>
        <v/>
      </c>
    </row>
    <row r="292" spans="7:7">
      <c r="G292" s="5" t="str">
        <f t="shared" si="13"/>
        <v/>
      </c>
    </row>
    <row r="293" spans="7:7">
      <c r="G293" s="5" t="str">
        <f t="shared" si="13"/>
        <v/>
      </c>
    </row>
    <row r="294" spans="7:7">
      <c r="G294" s="5" t="str">
        <f t="shared" si="13"/>
        <v/>
      </c>
    </row>
    <row r="295" spans="7:7">
      <c r="G295" s="5" t="str">
        <f t="shared" si="13"/>
        <v/>
      </c>
    </row>
    <row r="296" spans="7:7">
      <c r="G296" s="5" t="str">
        <f t="shared" si="13"/>
        <v/>
      </c>
    </row>
    <row r="297" spans="7:7">
      <c r="G297" s="5" t="str">
        <f t="shared" si="13"/>
        <v/>
      </c>
    </row>
    <row r="298" spans="7:7">
      <c r="G298" s="5" t="str">
        <f t="shared" si="13"/>
        <v/>
      </c>
    </row>
    <row r="299" spans="7:7">
      <c r="G299" s="5" t="str">
        <f t="shared" si="13"/>
        <v/>
      </c>
    </row>
    <row r="300" spans="7:7">
      <c r="G300" s="5" t="str">
        <f t="shared" si="13"/>
        <v/>
      </c>
    </row>
    <row r="301" spans="7:7">
      <c r="G301" s="5" t="str">
        <f t="shared" si="13"/>
        <v/>
      </c>
    </row>
    <row r="302" spans="7:7">
      <c r="G302" s="5" t="str">
        <f t="shared" si="13"/>
        <v/>
      </c>
    </row>
    <row r="303" spans="7:7">
      <c r="G303" s="5" t="str">
        <f t="shared" si="13"/>
        <v/>
      </c>
    </row>
    <row r="304" spans="7:7">
      <c r="G304" s="5" t="str">
        <f t="shared" si="13"/>
        <v/>
      </c>
    </row>
    <row r="305" spans="7:7">
      <c r="G305" s="5" t="str">
        <f t="shared" si="13"/>
        <v/>
      </c>
    </row>
    <row r="306" spans="7:7">
      <c r="G306" s="5" t="str">
        <f t="shared" si="13"/>
        <v/>
      </c>
    </row>
    <row r="307" spans="7:7">
      <c r="G307" s="5" t="str">
        <f t="shared" si="13"/>
        <v/>
      </c>
    </row>
    <row r="308" spans="7:7">
      <c r="G308" s="5" t="str">
        <f t="shared" si="13"/>
        <v/>
      </c>
    </row>
    <row r="309" spans="7:7">
      <c r="G309" s="5" t="str">
        <f t="shared" si="13"/>
        <v/>
      </c>
    </row>
    <row r="310" spans="7:7">
      <c r="G310" s="5" t="str">
        <f t="shared" si="13"/>
        <v/>
      </c>
    </row>
    <row r="311" spans="7:7">
      <c r="G311" s="5" t="str">
        <f t="shared" si="13"/>
        <v/>
      </c>
    </row>
    <row r="312" spans="7:7">
      <c r="G312" s="5" t="str">
        <f t="shared" si="13"/>
        <v/>
      </c>
    </row>
    <row r="313" spans="7:7">
      <c r="G313" s="5" t="str">
        <f t="shared" si="13"/>
        <v/>
      </c>
    </row>
    <row r="314" spans="7:7">
      <c r="G314" s="5" t="str">
        <f t="shared" si="13"/>
        <v/>
      </c>
    </row>
    <row r="315" spans="7:7">
      <c r="G315" s="5" t="str">
        <f t="shared" si="13"/>
        <v/>
      </c>
    </row>
    <row r="316" spans="7:7">
      <c r="G316" s="5" t="str">
        <f t="shared" si="13"/>
        <v/>
      </c>
    </row>
    <row r="317" spans="7:7">
      <c r="G317" s="5" t="str">
        <f t="shared" si="13"/>
        <v/>
      </c>
    </row>
    <row r="318" spans="7:7">
      <c r="G318" s="5" t="str">
        <f t="shared" si="13"/>
        <v/>
      </c>
    </row>
    <row r="319" spans="7:7">
      <c r="G319" s="5" t="str">
        <f t="shared" si="13"/>
        <v/>
      </c>
    </row>
    <row r="320" spans="7:7">
      <c r="G320" s="5" t="str">
        <f t="shared" si="13"/>
        <v/>
      </c>
    </row>
    <row r="321" spans="7:7">
      <c r="G321" s="5" t="str">
        <f t="shared" si="13"/>
        <v/>
      </c>
    </row>
    <row r="322" spans="7:7">
      <c r="G322" s="5" t="str">
        <f t="shared" si="13"/>
        <v/>
      </c>
    </row>
    <row r="323" spans="7:7">
      <c r="G323" s="5" t="str">
        <f t="shared" si="13"/>
        <v/>
      </c>
    </row>
    <row r="324" spans="7:7">
      <c r="G324" s="5" t="str">
        <f t="shared" si="13"/>
        <v/>
      </c>
    </row>
    <row r="325" spans="7:7">
      <c r="G325" s="5" t="str">
        <f t="shared" si="13"/>
        <v/>
      </c>
    </row>
    <row r="326" spans="7:7">
      <c r="G326" s="5" t="str">
        <f t="shared" si="13"/>
        <v/>
      </c>
    </row>
    <row r="327" spans="7:7">
      <c r="G327" s="5" t="str">
        <f t="shared" si="13"/>
        <v/>
      </c>
    </row>
    <row r="328" spans="7:7">
      <c r="G328" s="5" t="str">
        <f t="shared" si="13"/>
        <v/>
      </c>
    </row>
    <row r="329" spans="7:7">
      <c r="G329" s="5" t="str">
        <f t="shared" si="13"/>
        <v/>
      </c>
    </row>
    <row r="330" spans="7:7">
      <c r="G330" s="5" t="str">
        <f t="shared" si="13"/>
        <v/>
      </c>
    </row>
    <row r="331" spans="7:7">
      <c r="G331" s="5" t="str">
        <f t="shared" si="13"/>
        <v/>
      </c>
    </row>
    <row r="332" spans="7:7">
      <c r="G332" s="5" t="str">
        <f t="shared" si="13"/>
        <v/>
      </c>
    </row>
    <row r="333" spans="7:7">
      <c r="G333" s="5" t="str">
        <f t="shared" si="13"/>
        <v/>
      </c>
    </row>
    <row r="334" spans="7:7">
      <c r="G334" s="5" t="str">
        <f t="shared" si="13"/>
        <v/>
      </c>
    </row>
    <row r="335" spans="7:7">
      <c r="G335" s="5" t="str">
        <f t="shared" si="13"/>
        <v/>
      </c>
    </row>
    <row r="336" spans="7:7">
      <c r="G336" s="5" t="str">
        <f t="shared" si="13"/>
        <v/>
      </c>
    </row>
    <row r="337" spans="7:7">
      <c r="G337" s="5" t="str">
        <f t="shared" si="13"/>
        <v/>
      </c>
    </row>
    <row r="338" spans="7:7">
      <c r="G338" s="5" t="str">
        <f t="shared" ref="G338:G401" si="14">IF(B338&lt;&gt;"",SUM(C338:F338),"")</f>
        <v/>
      </c>
    </row>
    <row r="339" spans="7:7">
      <c r="G339" s="5" t="str">
        <f t="shared" si="14"/>
        <v/>
      </c>
    </row>
    <row r="340" spans="7:7">
      <c r="G340" s="5" t="str">
        <f t="shared" si="14"/>
        <v/>
      </c>
    </row>
    <row r="341" spans="7:7">
      <c r="G341" s="5" t="str">
        <f t="shared" si="14"/>
        <v/>
      </c>
    </row>
    <row r="342" spans="7:7">
      <c r="G342" s="5" t="str">
        <f t="shared" si="14"/>
        <v/>
      </c>
    </row>
    <row r="343" spans="7:7">
      <c r="G343" s="5" t="str">
        <f t="shared" si="14"/>
        <v/>
      </c>
    </row>
    <row r="344" spans="7:7">
      <c r="G344" s="5" t="str">
        <f t="shared" si="14"/>
        <v/>
      </c>
    </row>
    <row r="345" spans="7:7">
      <c r="G345" s="5" t="str">
        <f t="shared" si="14"/>
        <v/>
      </c>
    </row>
    <row r="346" spans="7:7">
      <c r="G346" s="5" t="str">
        <f t="shared" si="14"/>
        <v/>
      </c>
    </row>
    <row r="347" spans="7:7">
      <c r="G347" s="5" t="str">
        <f t="shared" si="14"/>
        <v/>
      </c>
    </row>
    <row r="348" spans="7:7">
      <c r="G348" s="5" t="str">
        <f t="shared" si="14"/>
        <v/>
      </c>
    </row>
    <row r="349" spans="7:7">
      <c r="G349" s="5" t="str">
        <f t="shared" si="14"/>
        <v/>
      </c>
    </row>
    <row r="350" spans="7:7">
      <c r="G350" s="5" t="str">
        <f t="shared" si="14"/>
        <v/>
      </c>
    </row>
    <row r="351" spans="7:7">
      <c r="G351" s="5" t="str">
        <f t="shared" si="14"/>
        <v/>
      </c>
    </row>
    <row r="352" spans="7:7">
      <c r="G352" s="5" t="str">
        <f t="shared" si="14"/>
        <v/>
      </c>
    </row>
    <row r="353" spans="7:7">
      <c r="G353" s="5" t="str">
        <f t="shared" si="14"/>
        <v/>
      </c>
    </row>
    <row r="354" spans="7:7">
      <c r="G354" s="5" t="str">
        <f t="shared" si="14"/>
        <v/>
      </c>
    </row>
    <row r="355" spans="7:7">
      <c r="G355" s="5" t="str">
        <f t="shared" si="14"/>
        <v/>
      </c>
    </row>
    <row r="356" spans="7:7">
      <c r="G356" s="5" t="str">
        <f t="shared" si="14"/>
        <v/>
      </c>
    </row>
    <row r="357" spans="7:7">
      <c r="G357" s="5" t="str">
        <f t="shared" si="14"/>
        <v/>
      </c>
    </row>
    <row r="358" spans="7:7">
      <c r="G358" s="5" t="str">
        <f t="shared" si="14"/>
        <v/>
      </c>
    </row>
    <row r="359" spans="7:7">
      <c r="G359" s="5" t="str">
        <f t="shared" si="14"/>
        <v/>
      </c>
    </row>
    <row r="360" spans="7:7">
      <c r="G360" s="5" t="str">
        <f t="shared" si="14"/>
        <v/>
      </c>
    </row>
    <row r="361" spans="7:7">
      <c r="G361" s="5" t="str">
        <f t="shared" si="14"/>
        <v/>
      </c>
    </row>
    <row r="362" spans="7:7">
      <c r="G362" s="5" t="str">
        <f t="shared" si="14"/>
        <v/>
      </c>
    </row>
    <row r="363" spans="7:7">
      <c r="G363" s="5" t="str">
        <f t="shared" si="14"/>
        <v/>
      </c>
    </row>
    <row r="364" spans="7:7">
      <c r="G364" s="5" t="str">
        <f t="shared" si="14"/>
        <v/>
      </c>
    </row>
    <row r="365" spans="7:7">
      <c r="G365" s="5" t="str">
        <f t="shared" si="14"/>
        <v/>
      </c>
    </row>
    <row r="366" spans="7:7">
      <c r="G366" s="5" t="str">
        <f t="shared" si="14"/>
        <v/>
      </c>
    </row>
    <row r="367" spans="7:7">
      <c r="G367" s="5" t="str">
        <f t="shared" si="14"/>
        <v/>
      </c>
    </row>
    <row r="368" spans="7:7">
      <c r="G368" s="5" t="str">
        <f t="shared" si="14"/>
        <v/>
      </c>
    </row>
    <row r="369" spans="7:7">
      <c r="G369" s="5" t="str">
        <f t="shared" si="14"/>
        <v/>
      </c>
    </row>
    <row r="370" spans="7:7">
      <c r="G370" s="5" t="str">
        <f t="shared" si="14"/>
        <v/>
      </c>
    </row>
    <row r="371" spans="7:7">
      <c r="G371" s="5" t="str">
        <f t="shared" si="14"/>
        <v/>
      </c>
    </row>
    <row r="372" spans="7:7">
      <c r="G372" s="5" t="str">
        <f t="shared" si="14"/>
        <v/>
      </c>
    </row>
    <row r="373" spans="7:7">
      <c r="G373" s="5" t="str">
        <f t="shared" si="14"/>
        <v/>
      </c>
    </row>
    <row r="374" spans="7:7">
      <c r="G374" s="5" t="str">
        <f t="shared" si="14"/>
        <v/>
      </c>
    </row>
    <row r="375" spans="7:7">
      <c r="G375" s="5" t="str">
        <f t="shared" si="14"/>
        <v/>
      </c>
    </row>
    <row r="376" spans="7:7">
      <c r="G376" s="5" t="str">
        <f t="shared" si="14"/>
        <v/>
      </c>
    </row>
    <row r="377" spans="7:7">
      <c r="G377" s="5" t="str">
        <f t="shared" si="14"/>
        <v/>
      </c>
    </row>
    <row r="378" spans="7:7">
      <c r="G378" s="5" t="str">
        <f t="shared" si="14"/>
        <v/>
      </c>
    </row>
    <row r="379" spans="7:7">
      <c r="G379" s="5" t="str">
        <f t="shared" si="14"/>
        <v/>
      </c>
    </row>
    <row r="380" spans="7:7">
      <c r="G380" s="5" t="str">
        <f t="shared" si="14"/>
        <v/>
      </c>
    </row>
    <row r="381" spans="7:7">
      <c r="G381" s="5" t="str">
        <f t="shared" si="14"/>
        <v/>
      </c>
    </row>
    <row r="382" spans="7:7">
      <c r="G382" s="5" t="str">
        <f t="shared" si="14"/>
        <v/>
      </c>
    </row>
    <row r="383" spans="7:7">
      <c r="G383" s="5" t="str">
        <f t="shared" si="14"/>
        <v/>
      </c>
    </row>
    <row r="384" spans="7:7">
      <c r="G384" s="5" t="str">
        <f t="shared" si="14"/>
        <v/>
      </c>
    </row>
    <row r="385" spans="7:7">
      <c r="G385" s="5" t="str">
        <f t="shared" si="14"/>
        <v/>
      </c>
    </row>
    <row r="386" spans="7:7">
      <c r="G386" s="5" t="str">
        <f t="shared" si="14"/>
        <v/>
      </c>
    </row>
    <row r="387" spans="7:7">
      <c r="G387" s="5" t="str">
        <f t="shared" si="14"/>
        <v/>
      </c>
    </row>
    <row r="388" spans="7:7">
      <c r="G388" s="5" t="str">
        <f t="shared" si="14"/>
        <v/>
      </c>
    </row>
    <row r="389" spans="7:7">
      <c r="G389" s="5" t="str">
        <f t="shared" si="14"/>
        <v/>
      </c>
    </row>
    <row r="390" spans="7:7">
      <c r="G390" s="5" t="str">
        <f t="shared" si="14"/>
        <v/>
      </c>
    </row>
    <row r="391" spans="7:7">
      <c r="G391" s="5" t="str">
        <f t="shared" si="14"/>
        <v/>
      </c>
    </row>
    <row r="392" spans="7:7">
      <c r="G392" s="5" t="str">
        <f t="shared" si="14"/>
        <v/>
      </c>
    </row>
    <row r="393" spans="7:7">
      <c r="G393" s="5" t="str">
        <f t="shared" si="14"/>
        <v/>
      </c>
    </row>
    <row r="394" spans="7:7">
      <c r="G394" s="5" t="str">
        <f t="shared" si="14"/>
        <v/>
      </c>
    </row>
    <row r="395" spans="7:7">
      <c r="G395" s="5" t="str">
        <f t="shared" si="14"/>
        <v/>
      </c>
    </row>
    <row r="396" spans="7:7">
      <c r="G396" s="5" t="str">
        <f t="shared" si="14"/>
        <v/>
      </c>
    </row>
    <row r="397" spans="7:7">
      <c r="G397" s="5" t="str">
        <f t="shared" si="14"/>
        <v/>
      </c>
    </row>
    <row r="398" spans="7:7">
      <c r="G398" s="5" t="str">
        <f t="shared" si="14"/>
        <v/>
      </c>
    </row>
    <row r="399" spans="7:7">
      <c r="G399" s="5" t="str">
        <f t="shared" si="14"/>
        <v/>
      </c>
    </row>
    <row r="400" spans="7:7">
      <c r="G400" s="5" t="str">
        <f t="shared" si="14"/>
        <v/>
      </c>
    </row>
    <row r="401" spans="7:7">
      <c r="G401" s="5" t="str">
        <f t="shared" si="14"/>
        <v/>
      </c>
    </row>
    <row r="402" spans="7:7">
      <c r="G402" s="5" t="str">
        <f t="shared" ref="G402" si="15">IF(B402&lt;&gt;"",SUM(C402:F402),"")</f>
        <v/>
      </c>
    </row>
  </sheetData>
  <sheetProtection algorithmName="SHA-512" hashValue="ThV7mDdBrE7kzXCk+nqYGWytilnCP2qg/lS7ab9oUGyDMgGeNJZ4rXaPOAVAdfcv694ZQHplijSPrJwYPYfA5g==" saltValue="YNgdgknFlJmAbNWfO6KhDw==" spinCount="100000" sheet="1" sort="0" autoFilter="0" pivotTables="0"/>
  <autoFilter ref="H5:H6" xr:uid="{36C73D8A-9F98-43B5-A536-F280F06D4261}"/>
  <pageMargins left="0.78740157480314965" right="0.78740157480314965" top="0.78740157480314965" bottom="0.78740157480314965" header="0" footer="0"/>
  <pageSetup paperSize="9" scale="89" fitToHeight="0" orientation="landscape" horizontalDpi="4294967295" verticalDpi="4294967295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46</vt:i4>
      </vt:variant>
      <vt:variant>
        <vt:lpstr>Intervalos com Nome</vt:lpstr>
      </vt:variant>
      <vt:variant>
        <vt:i4>33</vt:i4>
      </vt:variant>
    </vt:vector>
  </HeadingPairs>
  <TitlesOfParts>
    <vt:vector size="79" baseType="lpstr">
      <vt:lpstr>CEVA BOVINO</vt:lpstr>
      <vt:lpstr>CEVA EQUINOS</vt:lpstr>
      <vt:lpstr>ELANCO</vt:lpstr>
      <vt:lpstr>JA SAUDE</vt:lpstr>
      <vt:lpstr>FABIANI</vt:lpstr>
      <vt:lpstr>MSD VALLÉE</vt:lpstr>
      <vt:lpstr>OURO FINO</vt:lpstr>
      <vt:lpstr>AGENER</vt:lpstr>
      <vt:lpstr>SM</vt:lpstr>
      <vt:lpstr>BOEHRINGER</vt:lpstr>
      <vt:lpstr>CALBOS</vt:lpstr>
      <vt:lpstr>DECHRA</vt:lpstr>
      <vt:lpstr>VETNIL GRANDES</vt:lpstr>
      <vt:lpstr>VETNIL PET</vt:lpstr>
      <vt:lpstr>BRAVET</vt:lpstr>
      <vt:lpstr>UCB</vt:lpstr>
      <vt:lpstr>VETOQUINOL</vt:lpstr>
      <vt:lpstr>FRESENIUS</vt:lpstr>
      <vt:lpstr>CITROMAX</vt:lpstr>
      <vt:lpstr>NOXON</vt:lpstr>
      <vt:lpstr>MICROSULLES</vt:lpstr>
      <vt:lpstr>GRASCON</vt:lpstr>
      <vt:lpstr>PEARSON</vt:lpstr>
      <vt:lpstr>HIPRA</vt:lpstr>
      <vt:lpstr>LABOVET</vt:lpstr>
      <vt:lpstr>CHAMPION</vt:lpstr>
      <vt:lpstr>LEMA</vt:lpstr>
      <vt:lpstr>LAPON</vt:lpstr>
      <vt:lpstr>PINUS</vt:lpstr>
      <vt:lpstr>INDUBRAS</vt:lpstr>
      <vt:lpstr>VANSIL</vt:lpstr>
      <vt:lpstr>SYNTEC GRANDES</vt:lpstr>
      <vt:lpstr>SYNTEC PET</vt:lpstr>
      <vt:lpstr>VAZIO</vt:lpstr>
      <vt:lpstr>BIOGENESIS</vt:lpstr>
      <vt:lpstr>BIOVET</vt:lpstr>
      <vt:lpstr>VIRBAC</vt:lpstr>
      <vt:lpstr>ORGANACT</vt:lpstr>
      <vt:lpstr>BOTUPHARMA</vt:lpstr>
      <vt:lpstr>PRADO</vt:lpstr>
      <vt:lpstr>LAVIZOO</vt:lpstr>
      <vt:lpstr>VILA VET</vt:lpstr>
      <vt:lpstr>BIMEDA</vt:lpstr>
      <vt:lpstr>KAPELLI</vt:lpstr>
      <vt:lpstr>TADABRAS</vt:lpstr>
      <vt:lpstr>LABORCLIN</vt:lpstr>
      <vt:lpstr>AGENER!Área_de_Impressão</vt:lpstr>
      <vt:lpstr>BIMEDA!Área_de_Impressão</vt:lpstr>
      <vt:lpstr>BOEHRINGER!Área_de_Impressão</vt:lpstr>
      <vt:lpstr>BOTUPHARMA!Área_de_Impressão</vt:lpstr>
      <vt:lpstr>'CEVA BOVINO'!Área_de_Impressão</vt:lpstr>
      <vt:lpstr>'CEVA EQUINOS'!Área_de_Impressão</vt:lpstr>
      <vt:lpstr>CHAMPION!Área_de_Impressão</vt:lpstr>
      <vt:lpstr>CITROMAX!Área_de_Impressão</vt:lpstr>
      <vt:lpstr>DECHRA!Área_de_Impressão</vt:lpstr>
      <vt:lpstr>ELANCO!Área_de_Impressão</vt:lpstr>
      <vt:lpstr>FABIANI!Área_de_Impressão</vt:lpstr>
      <vt:lpstr>HIPRA!Área_de_Impressão</vt:lpstr>
      <vt:lpstr>INDUBRAS!Área_de_Impressão</vt:lpstr>
      <vt:lpstr>'JA SAUDE'!Área_de_Impressão</vt:lpstr>
      <vt:lpstr>KAPELLI!Área_de_Impressão</vt:lpstr>
      <vt:lpstr>LABORCLIN!Área_de_Impressão</vt:lpstr>
      <vt:lpstr>LABOVET!Área_de_Impressão</vt:lpstr>
      <vt:lpstr>LAVIZOO!Área_de_Impressão</vt:lpstr>
      <vt:lpstr>'MSD VALLÉE'!Área_de_Impressão</vt:lpstr>
      <vt:lpstr>NOXON!Área_de_Impressão</vt:lpstr>
      <vt:lpstr>ORGANACT!Área_de_Impressão</vt:lpstr>
      <vt:lpstr>'OURO FINO'!Área_de_Impressão</vt:lpstr>
      <vt:lpstr>PEARSON!Área_de_Impressão</vt:lpstr>
      <vt:lpstr>PRADO!Área_de_Impressão</vt:lpstr>
      <vt:lpstr>SM!Área_de_Impressão</vt:lpstr>
      <vt:lpstr>'SYNTEC GRANDES'!Área_de_Impressão</vt:lpstr>
      <vt:lpstr>'SYNTEC PET'!Área_de_Impressão</vt:lpstr>
      <vt:lpstr>TADABRAS!Área_de_Impressão</vt:lpstr>
      <vt:lpstr>UCB!Área_de_Impressão</vt:lpstr>
      <vt:lpstr>VANSIL!Área_de_Impressão</vt:lpstr>
      <vt:lpstr>'VETNIL GRANDES'!Área_de_Impressão</vt:lpstr>
      <vt:lpstr>'VETNIL PET'!Área_de_Impressão</vt:lpstr>
      <vt:lpstr>'VILA VET'!Área_de_Impressão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Brito</dc:creator>
  <cp:lastModifiedBy>Vagner Calado</cp:lastModifiedBy>
  <cp:lastPrinted>2026-01-29T20:25:03Z</cp:lastPrinted>
  <dcterms:created xsi:type="dcterms:W3CDTF">2018-04-25T14:47:07Z</dcterms:created>
  <dcterms:modified xsi:type="dcterms:W3CDTF">2026-01-30T12:51:34Z</dcterms:modified>
</cp:coreProperties>
</file>